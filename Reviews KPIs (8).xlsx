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KPIs" sheetId="1" r:id="rId5"/>
    <sheet state="visible" name="2025 KPIs" sheetId="2" r:id="rId6"/>
    <sheet state="visible" name="Pending Resolution" sheetId="3" r:id="rId7"/>
    <sheet state="visible" name="Launch Tracker" sheetId="4" r:id="rId8"/>
    <sheet state="visible" name="Parents Meeting Targets" sheetId="5" r:id="rId9"/>
    <sheet state="visible" name="629-73 Monthly Check" sheetId="6" r:id="rId10"/>
    <sheet state="visible" name="518-522 Weekly Check" sheetId="7" r:id="rId11"/>
    <sheet state="visible" name="427-430 Monthly Check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tc={06c7d5e1-1385-4379-8616-24378c8b51b8}</author>
    <author>tc={b97e67c5-ebd4-4588-b831-f95296edd24c}</author>
  </authors>
  <commentList>
    <comment authorId="0" ref="L12">
      <text>
        <t xml:space="preserve">Ongoing complaints about cellos that came from TT supplier for: seal issues, sizing issues, material quality</t>
      </text>
    </comment>
    <comment authorId="0" ref="M4">
      <text>
        <t xml:space="preserve">6.7 in Dec2025 </t>
      </text>
    </comment>
    <comment authorId="0" ref="M20">
      <text>
        <t xml:space="preserve">6.0 in Dec2025</t>
      </text>
    </comment>
    <comment authorId="0" ref="M17">
      <text>
        <t xml:space="preserve">5.0 in Dec2025</t>
      </text>
    </comment>
    <comment authorId="0" ref="D6">
      <text>
        <t xml:space="preserve">Had a 4 mil zip parent and DT label parent have ratings decrease</t>
      </text>
    </comment>
    <comment authorId="1" xr:uid="{06c7d5e1-1385-4379-8616-24378c8b51b8}" ref="Z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Sellervate report says 4.6
</t>
      </text>
    </comment>
    <comment authorId="2" xr:uid="{b97e67c5-ebd4-4588-b831-f95296edd24c}" ref="Z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Sellervate report says 4.5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Thresholds last updated 12/25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87">
      <text>
        <t xml:space="preserve">POLY MAILERS have been discontinued, but listings with inventory will remain active until out of stock. Please continue to report on the active listings as normal.</t>
      </text>
    </comment>
    <comment authorId="0" ref="Z86">
      <text>
        <t xml:space="preserve">POLY MAILERS have been discontinued, but listings with inventory will remain active until out of stock. Please continue to report on the active listings as normal.</t>
      </text>
    </comment>
    <comment authorId="0" ref="Z84">
      <text>
        <t xml:space="preserve">POLY MAILERS have been discontinued, but listings with inventory will remain active until out of stock. Please continue to report on the active listings as normal.</t>
      </text>
    </comment>
    <comment authorId="0" ref="B667">
      <text>
        <t xml:space="preserve">Default AB test ongoing right now</t>
      </text>
    </comment>
    <comment authorId="0" ref="Z83">
      <text>
        <t xml:space="preserve">POLY MAILERS have been discontinued, but listings with inventory will remain active until out of stock. Please continue to report on the active listings as normal.</t>
      </text>
    </comment>
    <comment authorId="0" ref="Z81">
      <text>
        <t xml:space="preserve">POLY MAILERS have been discontinued, but listings with inventory will remain active until out of stock. Please continue to report on the active listings as normal.</t>
      </text>
    </comment>
    <comment authorId="0" ref="Z80">
      <text>
        <t xml:space="preserve">POLY MAILERS have been discontinued, but listings with inventory will remain active until out of stock. Please continue to report on the active listings as normal.</t>
      </text>
    </comment>
    <comment authorId="0" ref="Z76">
      <text>
        <t xml:space="preserve">POLY MAILERS have been discontinued, but listings with inventory will remain active until out of stock. Please continue to report on the active listings as normal.</t>
      </text>
    </comment>
    <comment authorId="0" ref="Z71">
      <text>
        <t xml:space="preserve">POLY MAILERS have been discontinued, but listings with inventory will remain active until out of stock. Please continue to report on the active listings as normal.</t>
      </text>
    </comment>
    <comment authorId="0" ref="B683">
      <text>
        <t xml:space="preserve">Default AB test ongoing right now</t>
      </text>
    </comment>
    <comment authorId="0" ref="B391">
      <text>
        <t xml:space="preserve">This is the old version of BAG-CELLO-O-1012200; to be deleted once inventory sells out. 
From Stephanie, 6/16: Joe C has a plan to sell through the BAG-CELLO-O-1012-200 inventory at FBA, and Sunny verified the vendors have the correct label (BAG-CELLO-O-1012200).
We still have BAG-CELLO-O-1012-200 at AWD, but once received at FBA, it should be scanned as BAG-CELLO-O-1012200. I will make this task a priority for my team this week so that there will be no BAG-CELLO-O-1012-200 in stock once the FBA inventory sells-through.</t>
      </text>
    </comment>
    <comment authorId="0" ref="B420">
      <text>
        <t xml:space="preserve">This is the old version of BAG-CELLO-O-1012200; to be deleted once inventory sells out. 
From Stephanie, 6/16: Joe C has a plan to sell through the BAG-CELLO-O-1012-200 inventory at FBA, and Sunny verified the vendors have the correct label (BAG-CELLO-O-1012200).
We still have BAG-CELLO-O-1012-200 at AWD, but once received at FBA, it should be scanned as BAG-CELLO-O-1012200. I will make this task a priority for my team this week so that there will be no BAG-CELLO-O-1012-200 in stock once the FBA inventory sells-through.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87">
      <text>
        <t xml:space="preserve">POLY MAILERS have been discontinued, but listings with inventory will remain active until out of stock. Please continue to report on the active listings as normal.</t>
      </text>
    </comment>
    <comment authorId="0" ref="Z86">
      <text>
        <t xml:space="preserve">POLY MAILERS have been discontinued, but listings with inventory will remain active until out of stock. Please continue to report on the active listings as normal.</t>
      </text>
    </comment>
    <comment authorId="0" ref="B668">
      <text>
        <t xml:space="preserve">Default AB test ongoing right now</t>
      </text>
    </comment>
    <comment authorId="0" ref="Z84">
      <text>
        <t xml:space="preserve">POLY MAILERS have been discontinued, but listings with inventory will remain active until out of stock. Please continue to report on the active listings as normal.</t>
      </text>
    </comment>
    <comment authorId="0" ref="Z83">
      <text>
        <t xml:space="preserve">POLY MAILERS have been discontinued, but listings with inventory will remain active until out of stock. Please continue to report on the active listings as normal.</t>
      </text>
    </comment>
    <comment authorId="0" ref="Z81">
      <text>
        <t xml:space="preserve">POLY MAILERS have been discontinued, but listings with inventory will remain active until out of stock. Please continue to report on the active listings as normal.</t>
      </text>
    </comment>
    <comment authorId="0" ref="Z80">
      <text>
        <t xml:space="preserve">POLY MAILERS have been discontinued, but listings with inventory will remain active until out of stock. Please continue to report on the active listings as normal.</t>
      </text>
    </comment>
    <comment authorId="0" ref="Z76">
      <text>
        <t xml:space="preserve">POLY MAILERS have been discontinued, but listings with inventory will remain active until out of stock. Please continue to report on the active listings as normal.</t>
      </text>
    </comment>
    <comment authorId="0" ref="Z71">
      <text>
        <t xml:space="preserve">POLY MAILERS have been discontinued, but listings with inventory will remain active until out of stock. Please continue to report on the active listings as normal.</t>
      </text>
    </comment>
    <comment authorId="0" ref="B684">
      <text>
        <t xml:space="preserve">Default AB test ongoing right now</t>
      </text>
    </comment>
    <comment authorId="0" ref="B392">
      <text>
        <t xml:space="preserve">This is the old version of BAG-CELLO-O-1012200; to be deleted once inventory sells out. 
From Stephanie, 6/16: Joe C has a plan to sell through the BAG-CELLO-O-1012-200 inventory at FBA, and Sunny verified the vendors have the correct label (BAG-CELLO-O-1012200).
We still have BAG-CELLO-O-1012-200 at AWD, but once received at FBA, it should be scanned as BAG-CELLO-O-1012200. I will make this task a priority for my team this week so that there will be no BAG-CELLO-O-1012-200 in stock once the FBA inventory sells-through.</t>
      </text>
    </comment>
    <comment authorId="0" ref="B421">
      <text>
        <t xml:space="preserve">This is the old version of BAG-CELLO-O-1012200; to be deleted once inventory sells out. 
From Stephanie, 6/16: Joe C has a plan to sell through the BAG-CELLO-O-1012-200 inventory at FBA, and Sunny verified the vendors have the correct label (BAG-CELLO-O-1012200).
We still have BAG-CELLO-O-1012-200 at AWD, but once received at FBA, it should be scanned as BAG-CELLO-O-1012200. I will make this task a priority for my team this week so that there will be no BAG-CELLO-O-1012-200 in stock once the FBA inventory sells-through.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76">
      <text>
        <t xml:space="preserve">POLY MAILERS have been discontinued, but listings with inventory will remain active until out of stock. Please continue to report on the active listings as normal.</t>
      </text>
    </comment>
    <comment authorId="0" ref="AD71">
      <text>
        <t xml:space="preserve">POLY MAILERS have been discontinued, but listings with inventory will remain active until out of stock. Please continue to report on the active listings as normal.</t>
      </text>
    </comment>
    <comment authorId="0" ref="B347">
      <text>
        <t xml:space="preserve">This is the old version of BAG-CELLO-O-1012200; to be deleted once inventory sells out. 
From Stephanie, 6/16: Joe C has a plan to sell through the BAG-CELLO-O-1012-200 inventory at FBA, and Sunny verified the vendors have the correct label (BAG-CELLO-O-1012200).
We still have BAG-CELLO-O-1012-200 at AWD, but once received at FBA, it should be scanned as BAG-CELLO-O-1012200. I will make this task a priority for my team this week so that there will be no BAG-CELLO-O-1012-200 in stock once the FBA inventory sells-through.</t>
      </text>
    </comment>
    <comment authorId="0" ref="AD86">
      <text>
        <t xml:space="preserve">POLY MAILERS have been discontinued, but listings with inventory will remain active until out of stock. Please continue to report on the active listings as normal.</t>
      </text>
    </comment>
    <comment authorId="0" ref="B682">
      <text>
        <t xml:space="preserve">Default AB test ongoing right now</t>
      </text>
    </comment>
    <comment authorId="0" ref="AD83">
      <text>
        <t xml:space="preserve">POLY MAILERS have been discontinued, but listings with inventory will remain active until out of stock. Please continue to report on the active listings as normal.</t>
      </text>
    </comment>
    <comment authorId="0" ref="AD80">
      <text>
        <t xml:space="preserve">POLY MAILERS have been discontinued, but listings with inventory will remain active until out of stock. Please continue to report on the active listings as normal.</t>
      </text>
    </comment>
  </commentList>
</comments>
</file>

<file path=xl/sharedStrings.xml><?xml version="1.0" encoding="utf-8"?>
<sst xmlns="http://schemas.openxmlformats.org/spreadsheetml/2006/main" count="16372" uniqueCount="4430">
  <si>
    <t>KPI</t>
  </si>
  <si>
    <t>What Does It Measure?</t>
  </si>
  <si>
    <t>Jan 2026</t>
  </si>
  <si>
    <t>Feb 2026</t>
  </si>
  <si>
    <t>March 2026</t>
  </si>
  <si>
    <t>April 2026</t>
  </si>
  <si>
    <t>May 2026</t>
  </si>
  <si>
    <t>June 2026</t>
  </si>
  <si>
    <t>Product Line</t>
  </si>
  <si>
    <t>Reviews Received</t>
  </si>
  <si>
    <t>Positive to Negative Review Ratio</t>
  </si>
  <si>
    <t>Ratio Trend</t>
  </si>
  <si>
    <t>Average Star Rating</t>
  </si>
  <si>
    <t>Reviews Received 2</t>
  </si>
  <si>
    <t>Positive to Negative Review Ratio 2</t>
  </si>
  <si>
    <t>Ratio Trend 2</t>
  </si>
  <si>
    <t>Average Star Rating 2</t>
  </si>
  <si>
    <t>Reviews Received 3</t>
  </si>
  <si>
    <t>Positive to Negative Review Ratio 3</t>
  </si>
  <si>
    <t>Ratio Trend 3</t>
  </si>
  <si>
    <t>Average Star Rating 3</t>
  </si>
  <si>
    <t>Reviews Received 4</t>
  </si>
  <si>
    <t>Positive to Negative Review Ratio 4</t>
  </si>
  <si>
    <t>Ratio Trend 4</t>
  </si>
  <si>
    <t>Average Star Rating 4</t>
  </si>
  <si>
    <t>Reviews Received 5</t>
  </si>
  <si>
    <t>Positive to Negative Review Ratio 5</t>
  </si>
  <si>
    <t>Ratio Trend 5</t>
  </si>
  <si>
    <t>Average Star Rating 5</t>
  </si>
  <si>
    <t>Reviews Received 6</t>
  </si>
  <si>
    <t>Positive to Negative Review Ratio 6</t>
  </si>
  <si>
    <t>Ratio Trend 6</t>
  </si>
  <si>
    <t>Average Star Rating 6</t>
  </si>
  <si>
    <t xml:space="preserve">Total Reviews Received MoM </t>
  </si>
  <si>
    <t>Automated review requests are increasing total reviews</t>
  </si>
  <si>
    <t>336</t>
  </si>
  <si>
    <t>342</t>
  </si>
  <si>
    <t>436</t>
  </si>
  <si>
    <t>495</t>
  </si>
  <si>
    <t>January 2026</t>
  </si>
  <si>
    <r>
      <rPr>
        <rFont val="Arial"/>
        <color theme="1"/>
      </rPr>
      <t xml:space="preserve">Overall Review Rate
</t>
    </r>
    <r>
      <rPr>
        <rFont val="Arial"/>
        <i/>
        <color theme="1"/>
      </rPr>
      <t>Total Reviews Received/Total Order Items</t>
    </r>
  </si>
  <si>
    <t>Automated review requests are increasing total reviews relative to fluctuations in orders</t>
  </si>
  <si>
    <t>0.47%</t>
  </si>
  <si>
    <t>0.43%</t>
  </si>
  <si>
    <t>0.52%</t>
  </si>
  <si>
    <t>0.61%</t>
  </si>
  <si>
    <t>Zip Bags</t>
  </si>
  <si>
    <t>Overall Positive to Negative Review Ratio Rate MoM</t>
  </si>
  <si>
    <t>A whole number that better tracks review ratio trends</t>
  </si>
  <si>
    <t>6.93</t>
  </si>
  <si>
    <t>4.66</t>
  </si>
  <si>
    <t>8.04</t>
  </si>
  <si>
    <t>6.72</t>
  </si>
  <si>
    <t>2 Mil</t>
  </si>
  <si>
    <t>26:4</t>
  </si>
  <si>
    <t>8:4</t>
  </si>
  <si>
    <t>35:8</t>
  </si>
  <si>
    <t>14:5</t>
  </si>
  <si>
    <t>23:2</t>
  </si>
  <si>
    <t>Negative Reviews Updated or Removed</t>
  </si>
  <si>
    <t>Review Puncher is positively impacting negative reviews (Moved to Sellervate)</t>
  </si>
  <si>
    <t>6</t>
  </si>
  <si>
    <t>16</t>
  </si>
  <si>
    <t>29</t>
  </si>
  <si>
    <t>4 Mil</t>
  </si>
  <si>
    <t>7:1</t>
  </si>
  <si>
    <t>6:1</t>
  </si>
  <si>
    <t>9:2</t>
  </si>
  <si>
    <t>4:1</t>
  </si>
  <si>
    <t>8:3</t>
  </si>
  <si>
    <t>% of Parent Ratings Below Target Rating</t>
  </si>
  <si>
    <t>How competitive parent listings are on Amazon marketplace</t>
  </si>
  <si>
    <t>61.73%</t>
  </si>
  <si>
    <t>62.4%</t>
  </si>
  <si>
    <t>61.4%</t>
  </si>
  <si>
    <t>6 Mil</t>
  </si>
  <si>
    <t>17:0</t>
  </si>
  <si>
    <t>2 Mil White Block</t>
  </si>
  <si>
    <t>1:0</t>
  </si>
  <si>
    <t>0</t>
  </si>
  <si>
    <t>4 Mil White Block</t>
  </si>
  <si>
    <t>20:1</t>
  </si>
  <si>
    <t>Monthly Negative &amp; Neutral Reviews</t>
  </si>
  <si>
    <t>2 Mil Hang Hole</t>
  </si>
  <si>
    <t>9:0</t>
  </si>
  <si>
    <t>4 Mil Hang Hole</t>
  </si>
  <si>
    <t>Flat Bags</t>
  </si>
  <si>
    <t>6:0</t>
  </si>
  <si>
    <t>5:0</t>
  </si>
  <si>
    <t>7:0</t>
  </si>
  <si>
    <t>Cello Bags</t>
  </si>
  <si>
    <t>28:8</t>
  </si>
  <si>
    <t>13:9</t>
  </si>
  <si>
    <t>36:11</t>
  </si>
  <si>
    <t>7:3</t>
  </si>
  <si>
    <t>37:16</t>
  </si>
  <si>
    <t>SFW Bags</t>
  </si>
  <si>
    <t>10:1</t>
  </si>
  <si>
    <t>27:6</t>
  </si>
  <si>
    <t>11:3</t>
  </si>
  <si>
    <t>20:3</t>
  </si>
  <si>
    <t>30:1</t>
  </si>
  <si>
    <t>Frosted Slider Bags</t>
  </si>
  <si>
    <t>1:1</t>
  </si>
  <si>
    <t>Poly Tubing</t>
  </si>
  <si>
    <t>2:0</t>
  </si>
  <si>
    <t>2:1</t>
  </si>
  <si>
    <t>Direct Thermal Labels</t>
  </si>
  <si>
    <t>Zebra/Rollo</t>
  </si>
  <si>
    <t>24:1</t>
  </si>
  <si>
    <t>13:1</t>
  </si>
  <si>
    <t>88:3</t>
  </si>
  <si>
    <t>DYMO</t>
  </si>
  <si>
    <t>2:2</t>
  </si>
  <si>
    <t>1:2</t>
  </si>
  <si>
    <t>Brother</t>
  </si>
  <si>
    <t>Laser Labels</t>
  </si>
  <si>
    <t>5:1</t>
  </si>
  <si>
    <t>9:4</t>
  </si>
  <si>
    <t>77:18</t>
  </si>
  <si>
    <t>62:13</t>
  </si>
  <si>
    <t>35:9</t>
  </si>
  <si>
    <t>Clear Labels</t>
  </si>
  <si>
    <t>Warning/Moving Labels</t>
  </si>
  <si>
    <t>Oct 2025</t>
  </si>
  <si>
    <t>Nov 2025</t>
  </si>
  <si>
    <t>Dec 2025</t>
  </si>
  <si>
    <t>Ratio Whole Number</t>
  </si>
  <si>
    <t>Ratio Whole Number 2</t>
  </si>
  <si>
    <t>Ratio Whole Number 3</t>
  </si>
  <si>
    <t>152.00</t>
  </si>
  <si>
    <t>160</t>
  </si>
  <si>
    <r>
      <rPr>
        <rFont val="Arial"/>
        <color theme="1"/>
      </rPr>
      <t xml:space="preserve">Overall Review Rate
</t>
    </r>
    <r>
      <rPr>
        <rFont val="Arial"/>
        <i/>
        <color theme="1"/>
      </rPr>
      <t>Total Reviews Received/Total Order Items</t>
    </r>
  </si>
  <si>
    <t>0.26%</t>
  </si>
  <si>
    <t>0.29%</t>
  </si>
  <si>
    <t>Reviews Received MoM by Product Line</t>
  </si>
  <si>
    <t>Which products need more help gaining reviews</t>
  </si>
  <si>
    <t>See Table 2</t>
  </si>
  <si>
    <t>7:4</t>
  </si>
  <si>
    <t>3:1</t>
  </si>
  <si>
    <t>Overall Positive to Negative Review Ratio MoM</t>
  </si>
  <si>
    <t>Overall customer sentiment trending positive or negative</t>
  </si>
  <si>
    <t>8:1</t>
  </si>
  <si>
    <t>118:35</t>
  </si>
  <si>
    <t>113:29</t>
  </si>
  <si>
    <t>5:2</t>
  </si>
  <si>
    <t>3.37</t>
  </si>
  <si>
    <t>3.89</t>
  </si>
  <si>
    <t>White Block</t>
  </si>
  <si>
    <t>Positive to Negative Review Ratio MoM by Product Line</t>
  </si>
  <si>
    <t>Customer sentiment trends per product line</t>
  </si>
  <si>
    <t>3:0</t>
  </si>
  <si>
    <t>Review Puncher Refund Cost MoM</t>
  </si>
  <si>
    <t>Cost to update/remove reviews through Review Puncher</t>
  </si>
  <si>
    <t>Tracked Here</t>
  </si>
  <si>
    <t>$375.18</t>
  </si>
  <si>
    <t>17:9</t>
  </si>
  <si>
    <t>Review Puncher is positively impacting negative reviews</t>
  </si>
  <si>
    <t>1</t>
  </si>
  <si>
    <t>12:1</t>
  </si>
  <si>
    <t>18:1</t>
  </si>
  <si>
    <t>Average Star Rating by Product Line</t>
  </si>
  <si>
    <t>Changes in customer-facing star rating</t>
  </si>
  <si>
    <t>Manually Calculated Average Star Rating MoM by Product Line</t>
  </si>
  <si>
    <t>Granular view of rating trends per product line</t>
  </si>
  <si>
    <t>61.33%</t>
  </si>
  <si>
    <t>0:1</t>
  </si>
  <si>
    <t>11:7</t>
  </si>
  <si>
    <t>Tapes</t>
  </si>
  <si>
    <t>Duct</t>
  </si>
  <si>
    <t>1:3</t>
  </si>
  <si>
    <t xml:space="preserve">Masking </t>
  </si>
  <si>
    <t>Clear</t>
  </si>
  <si>
    <t>Electrical</t>
  </si>
  <si>
    <t>Filament</t>
  </si>
  <si>
    <t>KRAT</t>
  </si>
  <si>
    <t>Pouches</t>
  </si>
  <si>
    <t>3:2</t>
  </si>
  <si>
    <t>Shrink Rolls/Bags</t>
  </si>
  <si>
    <t>Vacuum Seal Bags</t>
  </si>
  <si>
    <t>Issue</t>
  </si>
  <si>
    <t>Month Moved</t>
  </si>
  <si>
    <t>Unclear thickness</t>
  </si>
  <si>
    <t>Smaller than advertised</t>
  </si>
  <si>
    <t>Printer Incompatible</t>
  </si>
  <si>
    <t>Parent/Line ASIN</t>
  </si>
  <si>
    <t>Parent SKU</t>
  </si>
  <si>
    <t>Launch SKU(s)</t>
  </si>
  <si>
    <t>Own Parent or Mixed</t>
  </si>
  <si>
    <t>Brand</t>
  </si>
  <si>
    <t>Launch Month</t>
  </si>
  <si>
    <t>Target Rating</t>
  </si>
  <si>
    <t>Notes</t>
  </si>
  <si>
    <t>B0GQBYG7F6</t>
  </si>
  <si>
    <t>BAG-FLAT-100-GROUP17</t>
  </si>
  <si>
    <t>BAG-FLAT-1013-100, BAG-FLAT-2026-100, BAG-FLAT-2424-100</t>
  </si>
  <si>
    <t>Mixed (existing mature parent)</t>
  </si>
  <si>
    <t>Spartan Industrial</t>
  </si>
  <si>
    <t>Parent already in checklist; launch SKUs added as new child variants</t>
  </si>
  <si>
    <t>B0GPMHB8TF</t>
  </si>
  <si>
    <t>BAG-FLAT-1000-GROUP19</t>
  </si>
  <si>
    <t>BAG-FLAT-0305-1000, BAG-FLAT-0406-1000, BAG-FLAT-0507-1000, BAG-FLAT-0810-1000, BAG-FLAT-1012-1000, BAG-FLAT-1216-1000</t>
  </si>
  <si>
    <t>B0H2NB3DYW</t>
  </si>
  <si>
    <t>BAG-FLAT-2M-GROUP32</t>
  </si>
  <si>
    <t>BAG-FLAT-2M-0507-1000-NEW, BAG-FLAT-2M-0810-1000, BAG-FLAT-2M-0912-1000-NEW</t>
  </si>
  <si>
    <t>B0GPRPN3G2</t>
  </si>
  <si>
    <t>BAG-FLAT-2M-GROUP93</t>
  </si>
  <si>
    <t>BAG-FLAT-2M-3040-100, BAG-FLAT-2M-3648-50, BAG-FLAT-2M-4060-50, BAG-FLAT-2M-4848-50</t>
  </si>
  <si>
    <t>B0GSC2NZYT</t>
  </si>
  <si>
    <t>BAG-FLAT_GROUP92</t>
  </si>
  <si>
    <t>BAG-FLAT-1013-1000, BAG-FLAT-2026-500</t>
  </si>
  <si>
    <t>B0CPBBQZKF</t>
  </si>
  <si>
    <t>BAG-ZIP-100-GROUP103</t>
  </si>
  <si>
    <t>BAG-ZIPLOCK-1313-100, BAG-ZIPLOCK-1618-100</t>
  </si>
  <si>
    <t>B0GQJH8SHF</t>
  </si>
  <si>
    <t>BAG-ZIP-1000-GROUP47</t>
  </si>
  <si>
    <t>BAG-ZIP-0101, BAG-ZIP-01F01F-A, BAG-ZIP-01F02, BAG-ZIP-02F03</t>
  </si>
  <si>
    <t>B07XL1ZRJP</t>
  </si>
  <si>
    <t>BAG-ZIP-200-GROUP12</t>
  </si>
  <si>
    <t>BAG-ZIP-0404-200, BAG-ZIP-0606-200</t>
  </si>
  <si>
    <t>B0GNTH2RX3</t>
  </si>
  <si>
    <t>BAG-ZIP-BLK-HD-GROUP87</t>
  </si>
  <si>
    <t>BAG-ZIP-0203-BLK-HD-100, BAG-ZIP-0304-BLK-HD-100, BAG-ZIP-0305-BLK-HD-100, BAG-ZIP-0404-BLK-HD-100, BAG-ZIP-0406-BLK-HD-100, BAG-ZIP-0606-BLK-HD-100, BAG-ZIP-0609-BLK-HD-100</t>
  </si>
  <si>
    <t>Own Parent (new, launch-only)</t>
  </si>
  <si>
    <t>B0GNT954BY</t>
  </si>
  <si>
    <t>BAG-ZIP-BLK-HD-GROUP88</t>
  </si>
  <si>
    <t>BAG-ZIP-0203-BLK-HD, BAG-ZIP-0304-BLK-HD, BAG-ZIP-0305-BLK-HD, BAG-ZIP-0404-BLK-HD, BAG-ZIP-0406-BLK-HD, BAG-ZIP-0606-BLK-HD, BAG-ZIP-0609-BLK-HD</t>
  </si>
  <si>
    <t>B0GQTJY38X</t>
  </si>
  <si>
    <t>BAG-ZIP-GROUP10</t>
  </si>
  <si>
    <t>BAG-ZIP-1313-500</t>
  </si>
  <si>
    <t>B0H2JMRGY6</t>
  </si>
  <si>
    <t>BAG-ZIP-GROUP9</t>
  </si>
  <si>
    <t>BAG-ZIP-1618-250, BAG-ZIPLOCK-1414-500, BAG-ZIPLOCK-1616-250</t>
  </si>
  <si>
    <t>B0GQJF79CJ</t>
  </si>
  <si>
    <t>BAG-ZIP-GROUP99</t>
  </si>
  <si>
    <t>BAG-ZIP-0205, BAG-ZIP-0206, BAG-ZIP-0308, BAG-ZIP-0506, BAG-ZIP-0618</t>
  </si>
  <si>
    <t>B0GLSCBXJY</t>
  </si>
  <si>
    <t>BAG-ZIP-HD-1</t>
  </si>
  <si>
    <t>BAG-ZIP-1212-HD-100, BAG-ZIP-1218-HD-100, BAG-ZIP-1420-HD-100, BAG-ZIP-1624-HD-100</t>
  </si>
  <si>
    <t>B0BSKST2SS</t>
  </si>
  <si>
    <t>BAG-ZIP-HD-GROUP1</t>
  </si>
  <si>
    <t>BAG-ZIP-0408-HD</t>
  </si>
  <si>
    <t>B0GLRCWLJS</t>
  </si>
  <si>
    <t>BAG-ZIP-HD-GROUP2</t>
  </si>
  <si>
    <t>BAG-ZIP-1212-HD-250, BAG-ZIP-1218-HD-250, BAG-ZIP-1420-HD-200</t>
  </si>
  <si>
    <t>B0GMCLRLSB</t>
  </si>
  <si>
    <t>BAG-ZIP-HD-GROUP4</t>
  </si>
  <si>
    <t>BAG-ZIP-0202-HD-NEW, BAG-ZIP-0204-HD, BAG-ZIP-0306-HD-NEW, BAG-ZIP-0407-HD, BAG-ZIP-0608-HD</t>
  </si>
  <si>
    <t>B0GVZB42Z5</t>
  </si>
  <si>
    <t>BAG-ZIP-HD-GROUP5</t>
  </si>
  <si>
    <t>BAG-ZIP-0303-HD-200, BAG-ZIP-0404-HD-200, BAG-ZIP-0606-HD-200</t>
  </si>
  <si>
    <t>B0GQJJL1TH</t>
  </si>
  <si>
    <t>BAG-ZIP-HH-GROUP82</t>
  </si>
  <si>
    <t>BAG-ZIP-0304-HH, BAG-ZIP-0304-HH-100, BAG-ZIP-0404-HH, BAG-ZIP-0404-HH-100, BAG-ZIP-0406-HH, BAG-ZIP-0406-HH-100, BAG-ZIP-0505-HH, BAG-ZIP-0505-HH-100, BAG-ZIP-0508-HH, BAG-ZIP-0508-HH-100, BAG-ZIP-0606-HH, BAG-ZIP-0606-HH-100, BAG-ZIP-0609-HH, BAG-ZIP-0609-HH-100, BAG-ZIP-0912-HH, BAG-ZIP-0912-HH-100</t>
  </si>
  <si>
    <t>B0GQLW8Z6N</t>
  </si>
  <si>
    <t>BAG-ZIP-HH-HD-GROUP100</t>
  </si>
  <si>
    <t>BAG-ZIP-0304-HH-HD, BAG-ZIP-0304-HH-HD-100, BAG-ZIP-0305-HH-HD, BAG-ZIP-0305-HH-HD-100, BAG-ZIP-0406-HH-HD, BAG-ZIP-0406-HH-HD-100, BAG-ZIP-0505-HH-HD, BAG-ZIP-0505-HH-HD-100, BAG-ZIP-0508-HH-HD, BAG-ZIP-0508-HH-HD-100, BAG-ZIP-0606-HH-HD, BAG-ZIP-0606-HH-HD-100, BAG-ZIP-0609-HH-HD, BAG-ZIP-0609-HH-HD-100</t>
  </si>
  <si>
    <t>B0GNZ47HT3</t>
  </si>
  <si>
    <t>BAG-ZIP-UHD-GROUP89</t>
  </si>
  <si>
    <t>BAG-ZIP-0305-UHD-100, BAG-ZIP-0406-UHD-100, BAG-ZIP-0507-UHD-100, BAG-ZIP-0606-UHD-100, BAG-ZIP-0609-UHD-100, BAG-ZIP-0810-UHD-100, BAG-ZIP-0912-UHD-100, BAG-ZIP-1013-UHD-100, BAG-ZIP-1215-UHD-100, BAG-ZIP-1315-UHD-100, BAG-ZIP-1318-UHD-100</t>
  </si>
  <si>
    <t>B0GP1RFTMN</t>
  </si>
  <si>
    <t>BAG-ZIP-UHD-GROUP90</t>
  </si>
  <si>
    <t>BAG-ZIP-0305-UHD-1000, BAG-ZIP-0406-UHD-1000, BAG-ZIP-0507-UHD-1000, BAG-ZIP-0606-UHD-1000, BAG-ZIP-0609-UHD-500, BAG-ZIP-0912-UHD-250, BAG-ZIP-1013-UHD-250, BAG-ZIP-1215-UHD-200, BAG-ZIP-1315-UHD-200</t>
  </si>
  <si>
    <t>B0GQPYG79N</t>
  </si>
  <si>
    <t>BAG-ZIPLOCK-GROUP104</t>
  </si>
  <si>
    <t>BAG-ZIPLOCK-1414-100, BAG-ZIPLOCK-1616-100, BAG-ZIPLOCK-2424-100</t>
  </si>
  <si>
    <t>B0GT6N42CZ</t>
  </si>
  <si>
    <t>BAG-ZIPLOCK-GRP101</t>
  </si>
  <si>
    <t>BAG-ZIPLOCK-0208-100, BAG-ZIPLOCK-0212-100, BAG-ZIPLOCK-0306-100, BAG-ZIPLOCK-0408-100, BAG-ZIPLOCK-0410-100, BAG-ZIPLOCK-0512-100, BAG-ZIPLOCK-0612-100, BAG-ZIPLOCK-0618-100</t>
  </si>
  <si>
    <t>B0GT6F2J8W</t>
  </si>
  <si>
    <t>BAG-ZIP_GROUP102</t>
  </si>
  <si>
    <t>BAG-ZIPLOCK-0404-100, BAG-ZIPLOCK-0405-100, BAG-ZIPLOCK-0407-100, BAG-ZIPLOCK-0505-100, BAG-ZIPLOCK-0508-100, BAG-ZIPLOCK-0606-100, BAG-ZIPLOCK-0610-100, BAG-ZIPLOCK-0808-100</t>
  </si>
  <si>
    <t>B0GKCCY766</t>
  </si>
  <si>
    <t>LB-LABEL-LS-01F00F-GROUP3</t>
  </si>
  <si>
    <t>LB-LABEL-LS-01F00F-100, LB-LABEL-LS-01F00F-200, LB-LABEL-LS-01F00F-30, LB-LABEL-LS-01F00F-500</t>
  </si>
  <si>
    <t>Aegis Adhesives</t>
  </si>
  <si>
    <t>B0GKC44VVR</t>
  </si>
  <si>
    <t>LB-LABEL-LS-01F01-GROUP8</t>
  </si>
  <si>
    <t>LB-LABEL-LS-01F01-100, LB-LABEL-LS-01F01-200, LB-LABEL-LS-01F01-30, LB-LABEL-LS-01F01-500</t>
  </si>
  <si>
    <t>B0GKCXT8SZ</t>
  </si>
  <si>
    <t>LB-LABEL-LS-0202-GROUP6</t>
  </si>
  <si>
    <t>LB-LABEL-LS-0202-100-NEW, LB-LABEL-LS-0202-200, LB-LABEL-LS-0202-30-NEW, LB-LABEL-LS-0202-500-NEW</t>
  </si>
  <si>
    <t>B0GKCB8VMD</t>
  </si>
  <si>
    <t>LB-LABEL-LS-02F03FGROUP2</t>
  </si>
  <si>
    <t>LB-LABEL-LS-02F03F-100, LB-LABEL-LS-02F03F-200, LB-LABEL-LS-02F03F-30, LB-LABEL-LS-02F03F-500</t>
  </si>
  <si>
    <t>B0GKC7W2KV</t>
  </si>
  <si>
    <t>LB-LABEL-LS-0302-GROUP5</t>
  </si>
  <si>
    <t>LB-LABEL-LS-0302-100, LB-LABEL-LS-0302-200, LB-LABEL-LS-0302-30, LB-LABEL-LS-0302-500</t>
  </si>
  <si>
    <t>B0GKC8VTGB</t>
  </si>
  <si>
    <t>LB-LABEL-LS-03F00F-GROUP9</t>
  </si>
  <si>
    <t>LB-LABEL-LS-03F00F-100, LB-LABEL-LS-03F00F-200, LB-LABEL-LS-03F00F-30, LB-LABEL-LS-03F00F-500</t>
  </si>
  <si>
    <t>B0GKCSY6F6</t>
  </si>
  <si>
    <t>LB-LABEL-LS-0402F-GROUP7</t>
  </si>
  <si>
    <t>LB-LABEL-LS-0402F-100, LB-LABEL-LS-0402F-200, LB-LABEL-LS-0402F-30, LB-LABEL-LS-0402F-500</t>
  </si>
  <si>
    <t>B0GKCHLC8K</t>
  </si>
  <si>
    <t>LB-LABEL-LS-0404-GROUP10</t>
  </si>
  <si>
    <t>LB-LABEL-LS-0404-100-NEW, LB-LABEL-LS-0404-200, LB-LABEL-LS-0404-30-NEW, LB-LABEL-LS-0404-500-NEW</t>
  </si>
  <si>
    <t>B0GKC66J2N</t>
  </si>
  <si>
    <t>LB-LABEL-LS-0405-GROUP1</t>
  </si>
  <si>
    <t>LB-LABEL-LS-0405-100, LB-LABEL-LS-0405-200, LB-LABEL-LS-0405-30, LB-LABEL-LS-0405-500</t>
  </si>
  <si>
    <t>B0CKRTS2HJ</t>
  </si>
  <si>
    <t>43-RRQZ-HRVK</t>
  </si>
  <si>
    <t>BAG-ZIP-0404-BLK, BAG-ZIP-0606-BLK</t>
  </si>
  <si>
    <t>Product Type</t>
  </si>
  <si>
    <t>Product Subtype</t>
  </si>
  <si>
    <t>Current Review Count (Approx.)</t>
  </si>
  <si>
    <t>Avg Group * Rating</t>
  </si>
  <si>
    <t>Avg Competitor Group * Rating</t>
  </si>
  <si>
    <t>New Target Rating</t>
  </si>
  <si>
    <t>Total Number of Parents (Dec)</t>
  </si>
  <si>
    <t>Parents Meeting/Exceeding Target (Dec)</t>
  </si>
  <si>
    <t>% Meeting or Exceeding (Dec)</t>
  </si>
  <si>
    <t>Total Number of Parents (Jan)</t>
  </si>
  <si>
    <t>Parents Meeting/Exceeding Target (Jan)</t>
  </si>
  <si>
    <t>% Meeting or Exceeding</t>
  </si>
  <si>
    <t>Total Number of Parents (Feb)</t>
  </si>
  <si>
    <t>Parents Meeting/Exceeding Target (Feb)</t>
  </si>
  <si>
    <t>Total Number of Parents (March)</t>
  </si>
  <si>
    <t>Parents Meeting/Exceeding Target (March)</t>
  </si>
  <si>
    <t>Total Number of Parents (April)</t>
  </si>
  <si>
    <t>Parents Meeting/Exceeding Target (April)</t>
  </si>
  <si>
    <t>Total Number of Parents (May)</t>
  </si>
  <si>
    <t>Parents Meeting/Exceeding Target (May)</t>
  </si>
  <si>
    <t>1.1 Mil</t>
  </si>
  <si>
    <t>2.2 Mil</t>
  </si>
  <si>
    <t>All</t>
  </si>
  <si>
    <t>Suff Bags</t>
  </si>
  <si>
    <t>Permanent</t>
  </si>
  <si>
    <t>Resealable</t>
  </si>
  <si>
    <t>Frosted Sliders</t>
  </si>
  <si>
    <t>Shrink Rolls</t>
  </si>
  <si>
    <t>Polyolefin</t>
  </si>
  <si>
    <t>Shrink Bags</t>
  </si>
  <si>
    <t>PVC</t>
  </si>
  <si>
    <t>Vac Bags</t>
  </si>
  <si>
    <t>Black</t>
  </si>
  <si>
    <t>NA</t>
  </si>
  <si>
    <t>Direct Thermal</t>
  </si>
  <si>
    <t>Zebra/Rollo - White</t>
  </si>
  <si>
    <t>Zebra/Rollo - Color</t>
  </si>
  <si>
    <t>Zebra/Rollo - Fanfold</t>
  </si>
  <si>
    <t>Warning Labels</t>
  </si>
  <si>
    <t>Clear Packing Tape</t>
  </si>
  <si>
    <t>Anti-Slip Tape</t>
  </si>
  <si>
    <t>Electrical Tape</t>
  </si>
  <si>
    <t>Duct Tape</t>
  </si>
  <si>
    <t>Masking Tape</t>
  </si>
  <si>
    <t>Filament Tape</t>
  </si>
  <si>
    <t>Kraft Rubber Adhesive</t>
  </si>
  <si>
    <t>Envelopes</t>
  </si>
  <si>
    <t>Overall</t>
  </si>
  <si>
    <t xml:space="preserve"> </t>
  </si>
  <si>
    <t>if yellow — SKU managed by Brooke</t>
  </si>
  <si>
    <r>
      <rPr>
        <rFont val="Open Sans"/>
        <i val="0"/>
        <color theme="1"/>
        <sz val="8.0"/>
      </rPr>
      <t>⬆️</t>
    </r>
    <r>
      <rPr>
        <rFont val="Open Sans"/>
        <i/>
        <color theme="1"/>
        <sz val="8.0"/>
      </rPr>
      <t xml:space="preserve"> Toggle +/- Button to Hide ASINs &amp; GS1 UPCs</t>
    </r>
  </si>
  <si>
    <t>Pack It Chic</t>
  </si>
  <si>
    <t>#</t>
  </si>
  <si>
    <t>SKU</t>
  </si>
  <si>
    <t>Size</t>
  </si>
  <si>
    <t>ASIN</t>
  </si>
  <si>
    <t>GS1 UPC</t>
  </si>
  <si>
    <t>Issue Type</t>
  </si>
  <si>
    <t>Secondary Issue Type</t>
  </si>
  <si>
    <t>Third Type</t>
  </si>
  <si>
    <t>Listing Notes</t>
  </si>
  <si>
    <t>Status</t>
  </si>
  <si>
    <t>Reported?</t>
  </si>
  <si>
    <t>Third Issue Type</t>
  </si>
  <si>
    <t>SIZE</t>
  </si>
  <si>
    <t>Listing 1</t>
  </si>
  <si>
    <t>Zip bag 4 mil</t>
  </si>
  <si>
    <t>Current Star Rating: 4.6</t>
  </si>
  <si>
    <t>Current Review Count: 403</t>
  </si>
  <si>
    <t>LB-DT-Parent-01</t>
  </si>
  <si>
    <t>B0GHSZ84C2</t>
  </si>
  <si>
    <t>Rollo/Zebra DT</t>
  </si>
  <si>
    <t>drop (previous 1345)</t>
  </si>
  <si>
    <t>Current Star Rating: 4.4</t>
  </si>
  <si>
    <t>Current Review Count: 39</t>
  </si>
  <si>
    <t>BAG-CELLO-A_GROUP 1</t>
  </si>
  <si>
    <t>B0GQZHDYP6</t>
  </si>
  <si>
    <t>Cello non-reinforced</t>
  </si>
  <si>
    <t>Rating drop</t>
  </si>
  <si>
    <t>Current Review Count: 29,536</t>
  </si>
  <si>
    <t>BAG-ZIP-0203-HD</t>
  </si>
  <si>
    <t>2" X 3"</t>
  </si>
  <si>
    <t>B07XTHHRYR</t>
  </si>
  <si>
    <t>LB-DT01F01-A</t>
  </si>
  <si>
    <t>1.25" X 1</t>
  </si>
  <si>
    <t>B098ZCMYKX</t>
  </si>
  <si>
    <t>BAG-CELLO-A-0305-200</t>
  </si>
  <si>
    <t>3" X 5"</t>
  </si>
  <si>
    <t>B076VSCGX7</t>
  </si>
  <si>
    <t>810115971122</t>
  </si>
  <si>
    <t>BAG-ZIP-0303-HD</t>
  </si>
  <si>
    <t>3" X 3"</t>
  </si>
  <si>
    <t>B07XT9Z5BV</t>
  </si>
  <si>
    <t>LB-DT01F00F</t>
  </si>
  <si>
    <t>1.2" X 0.85"</t>
  </si>
  <si>
    <t>B098Z85MQB</t>
  </si>
  <si>
    <t>BAG-CELLO-A-0406-200</t>
  </si>
  <si>
    <t>4" X 6"</t>
  </si>
  <si>
    <t>B076VW3CX6</t>
  </si>
  <si>
    <t>810115971146</t>
  </si>
  <si>
    <t>BAG-ZIP-0304-HD</t>
  </si>
  <si>
    <t>3" X 4"</t>
  </si>
  <si>
    <t>B07XLHKKCM</t>
  </si>
  <si>
    <t>Incorrect Bullet Points</t>
  </si>
  <si>
    <t>bullet 5</t>
  </si>
  <si>
    <t>LB-DTC02-WHT-12</t>
  </si>
  <si>
    <t>2" circle</t>
  </si>
  <si>
    <t>B0CMFZYSPK</t>
  </si>
  <si>
    <t>BAG-CELLO-A-0507-200</t>
  </si>
  <si>
    <t>5" X 7"</t>
  </si>
  <si>
    <t>B076VRP8W3</t>
  </si>
  <si>
    <t>810115970217</t>
  </si>
  <si>
    <t>BAG-ZIP-0305-HD</t>
  </si>
  <si>
    <t>B07XT2KN5V</t>
  </si>
  <si>
    <t>LB-DT0103</t>
  </si>
  <si>
    <t>1" X 3"</t>
  </si>
  <si>
    <t>B0G3T9K1SF</t>
  </si>
  <si>
    <t>BAG-CELLO-A-0810-200</t>
  </si>
  <si>
    <t>8" X 10"</t>
  </si>
  <si>
    <t>B076VVJHFQ</t>
  </si>
  <si>
    <t>810115971177</t>
  </si>
  <si>
    <t>BAG-ZIP-0406-HD</t>
  </si>
  <si>
    <t>B07XLJHVGC</t>
  </si>
  <si>
    <t>bullet 2</t>
  </si>
  <si>
    <t>LB-DT0201-2UP</t>
  </si>
  <si>
    <t xml:space="preserve">2" X 1" </t>
  </si>
  <si>
    <t>B0G3T46QVR</t>
  </si>
  <si>
    <t>BAG-CELLO-A-609200</t>
  </si>
  <si>
    <t>6" X 9"</t>
  </si>
  <si>
    <t>B07DF4X8M2</t>
  </si>
  <si>
    <t>810115971207</t>
  </si>
  <si>
    <t>4" X 8"</t>
  </si>
  <si>
    <t>B0G4ZXBG75</t>
  </si>
  <si>
    <t>LB-DT02F01F-RM</t>
  </si>
  <si>
    <t>2.25" X 1.25"</t>
  </si>
  <si>
    <t>B0G3TM3S77</t>
  </si>
  <si>
    <t>BAG-CELLO-A-1013200</t>
  </si>
  <si>
    <t>10" X 13"</t>
  </si>
  <si>
    <t>B07DF5GKTL</t>
  </si>
  <si>
    <t>810115970231</t>
  </si>
  <si>
    <t>BAG-ZIP-0507-HD</t>
  </si>
  <si>
    <t>B0BSKYH6FM</t>
  </si>
  <si>
    <t>LB-DT02F01-B</t>
  </si>
  <si>
    <t>2.625" X 1"</t>
  </si>
  <si>
    <t>B0G3TWJVP1</t>
  </si>
  <si>
    <t>BAG-CELLO-A-0912200</t>
  </si>
  <si>
    <t>9" X 12"</t>
  </si>
  <si>
    <t>B07DF6FM34</t>
  </si>
  <si>
    <t>810115970224</t>
  </si>
  <si>
    <t>BAG-ZIP-0609-HD</t>
  </si>
  <si>
    <t>B0BSL2LR58</t>
  </si>
  <si>
    <t>LB-DT02F01</t>
  </si>
  <si>
    <t>2.25" X 1</t>
  </si>
  <si>
    <t>B0G3TDCLJP</t>
  </si>
  <si>
    <t>BAG-CELLO-A-1114200</t>
  </si>
  <si>
    <t>11" X 14"</t>
  </si>
  <si>
    <t>B07DF9L3S7</t>
  </si>
  <si>
    <t>810115970248</t>
  </si>
  <si>
    <t>LB-DT01F00F-D</t>
  </si>
  <si>
    <t>1.75" X 0.875"</t>
  </si>
  <si>
    <t>B0G3TL3TYS</t>
  </si>
  <si>
    <t>BAG-CELLO-A-0305</t>
  </si>
  <si>
    <t>B076VSNGYR</t>
  </si>
  <si>
    <t>810115970170</t>
  </si>
  <si>
    <t>Listing 2</t>
  </si>
  <si>
    <t>Current Star Rating: 4.5</t>
  </si>
  <si>
    <t>Current Review Count: 92</t>
  </si>
  <si>
    <t>LB-DT03F01F</t>
  </si>
  <si>
    <t>3.5" X 1.5"</t>
  </si>
  <si>
    <t>B0G3T5QWX7</t>
  </si>
  <si>
    <t>BAG-CELLO-A-0609</t>
  </si>
  <si>
    <t>B076VTYRW6</t>
  </si>
  <si>
    <t>BAG-ZIP-0810-HD-500</t>
  </si>
  <si>
    <t>B0BSL9RKYS</t>
  </si>
  <si>
    <t>LB-DT02CF-NEW</t>
  </si>
  <si>
    <t>2" X 130'</t>
  </si>
  <si>
    <t>B0G3T81CX7</t>
  </si>
  <si>
    <t>BAG-CELLO-A-0406</t>
  </si>
  <si>
    <t>B076VT43ZC</t>
  </si>
  <si>
    <t>BAG-ZIP-0912-HD-500</t>
  </si>
  <si>
    <t>B0BSKTH1CC</t>
  </si>
  <si>
    <t>BAG-CELLO-A-0810</t>
  </si>
  <si>
    <t>B076VVZNXR</t>
  </si>
  <si>
    <t>BAG-ZIP-1012-HD-500</t>
  </si>
  <si>
    <t>10" X 12"</t>
  </si>
  <si>
    <t>B0BSKXPNWD</t>
  </si>
  <si>
    <t>there are question marks, incorrect all buller points</t>
  </si>
  <si>
    <t>LB-DT-Parent-02</t>
  </si>
  <si>
    <t>B0GHT7FL6K</t>
  </si>
  <si>
    <t>Current Review Count: 635</t>
  </si>
  <si>
    <t>BAG-CELLO-A-0507</t>
  </si>
  <si>
    <t>B076VSN41X</t>
  </si>
  <si>
    <t>810115971153</t>
  </si>
  <si>
    <t>BAG-ZIP-1013-HD-250</t>
  </si>
  <si>
    <t>B0BSL2XP7R</t>
  </si>
  <si>
    <t>LB-DT02F04</t>
  </si>
  <si>
    <t>2.25" X 4</t>
  </si>
  <si>
    <t>B01M07IROF</t>
  </si>
  <si>
    <t>BAG-CELLO-A-0912</t>
  </si>
  <si>
    <t>9” X 12”</t>
  </si>
  <si>
    <t>B076VZMYRJ</t>
  </si>
  <si>
    <t>BAG-ZIP-1215-HD-250</t>
  </si>
  <si>
    <t>12" X 15"</t>
  </si>
  <si>
    <t>B0BSL1J7RC</t>
  </si>
  <si>
    <t>LB-DT02F01F</t>
  </si>
  <si>
    <t>B01GJFRNHM</t>
  </si>
  <si>
    <t>BAG-CELLO-A-1114</t>
  </si>
  <si>
    <t>11” X 14”</t>
  </si>
  <si>
    <t>B076VR9KQH</t>
  </si>
  <si>
    <t>BAG-ZIP-1212-HD-250</t>
  </si>
  <si>
    <t>12" X 12"</t>
  </si>
  <si>
    <t>B0G4ZPLNC4</t>
  </si>
  <si>
    <t>LB-DT02F00F</t>
  </si>
  <si>
    <t>2.25" X 0.75"</t>
  </si>
  <si>
    <t>B098ZB4C6B</t>
  </si>
  <si>
    <t>BAG-CELLO-A-1013</t>
  </si>
  <si>
    <t>10” X 13”</t>
  </si>
  <si>
    <t>B076VSRJBL</t>
  </si>
  <si>
    <t>BAG-ZIP-1218-HD-250</t>
  </si>
  <si>
    <t>12" X 18"</t>
  </si>
  <si>
    <t>B0G4XX9CRZ</t>
  </si>
  <si>
    <t>LB-DT02F02F</t>
  </si>
  <si>
    <t>2.5" X 2.5"</t>
  </si>
  <si>
    <t>B0G3T4JGJ4</t>
  </si>
  <si>
    <t>Title Issue</t>
  </si>
  <si>
    <t>BAG-ZIP-1315-HD-250</t>
  </si>
  <si>
    <t>13" X 15"</t>
  </si>
  <si>
    <t>B0BSKZ366D</t>
  </si>
  <si>
    <t>bullet 1,2,4,5</t>
  </si>
  <si>
    <t>LB-DT02F01-A</t>
  </si>
  <si>
    <t>2.5" X 1</t>
  </si>
  <si>
    <t>B0G3T3RTLV</t>
  </si>
  <si>
    <t>BAG-CELLO-A_GROUP 2</t>
  </si>
  <si>
    <t>B0GQBS12WC</t>
  </si>
  <si>
    <t>Current Review Count:46</t>
  </si>
  <si>
    <t>BAG-ZIP-1318-HD-250</t>
  </si>
  <si>
    <t>13" X 18"</t>
  </si>
  <si>
    <t>B0BSKZLQZF</t>
  </si>
  <si>
    <t>LB-DT02F02</t>
  </si>
  <si>
    <t>2.25" X 2"</t>
  </si>
  <si>
    <t>B0G3T3KQSY</t>
  </si>
  <si>
    <t>BAG-CELLO-A-03F05F-200</t>
  </si>
  <si>
    <t>B0CQ8V1F5M</t>
  </si>
  <si>
    <t>BAG-ZIP-1420-HD-200</t>
  </si>
  <si>
    <t>14" X 20"</t>
  </si>
  <si>
    <t>B0G4ZPLMDC</t>
  </si>
  <si>
    <t>wrong count</t>
  </si>
  <si>
    <t>LB-DT02F01F-A</t>
  </si>
  <si>
    <t>2.5" X 1.5"</t>
  </si>
  <si>
    <t>B0G3T5SY3Q</t>
  </si>
  <si>
    <t>BAG-CELLO-A-05F07F-200</t>
  </si>
  <si>
    <t>5” X 7”</t>
  </si>
  <si>
    <t>B0CQ8VDYFH</t>
  </si>
  <si>
    <t>LB-DT02F03</t>
  </si>
  <si>
    <t>2.25" X 3</t>
  </si>
  <si>
    <t>B0G3TGSHH9</t>
  </si>
  <si>
    <t>BAG-CELLO-A-08F10F-200</t>
  </si>
  <si>
    <t>8” X 10”</t>
  </si>
  <si>
    <t>B0CQ8TNRZM</t>
  </si>
  <si>
    <t>Listing 3</t>
  </si>
  <si>
    <t>Current Star Rating: 4.8</t>
  </si>
  <si>
    <t>Current Review Count: 497</t>
  </si>
  <si>
    <t>BAG-CELLO-A-06F09F-200</t>
  </si>
  <si>
    <t>6” X 9”</t>
  </si>
  <si>
    <t>B0CQ8WBPGJ</t>
  </si>
  <si>
    <t>BAG-ZIP-0810-HD-100</t>
  </si>
  <si>
    <t>B07XQ2MJDL</t>
  </si>
  <si>
    <t>LB-DT-Parent-03</t>
  </si>
  <si>
    <t>B0GHT8JSPC</t>
  </si>
  <si>
    <t>Current Star Rating: 4.7</t>
  </si>
  <si>
    <t>Current Review Count: 613</t>
  </si>
  <si>
    <t>BAG-CELLO-A-04F06F-200</t>
  </si>
  <si>
    <t>4” X 6”</t>
  </si>
  <si>
    <t>B0CQ8XJS46</t>
  </si>
  <si>
    <t>BAG-ZIP-0912-HD-100</t>
  </si>
  <si>
    <t>B07XJW9G8N</t>
  </si>
  <si>
    <t>LB-DT0200F</t>
  </si>
  <si>
    <t>2" X 0.5"</t>
  </si>
  <si>
    <t>B098Z8JYZC</t>
  </si>
  <si>
    <t>BAG-CELLO-A-03F05F-1000</t>
  </si>
  <si>
    <t xml:space="preserve">3" X 5" </t>
  </si>
  <si>
    <t>B0FSPXNPFK</t>
  </si>
  <si>
    <t>BAG-ZIP-1012-HD-100</t>
  </si>
  <si>
    <t>B07XKZ1NV5</t>
  </si>
  <si>
    <t>LB-DT0202</t>
  </si>
  <si>
    <t>2" X 2"</t>
  </si>
  <si>
    <t>B098Z3G1HQ</t>
  </si>
  <si>
    <t>BAG-CELLO-A-05F07F-1000</t>
  </si>
  <si>
    <t>B0CQ8WVCZ2</t>
  </si>
  <si>
    <t>BAG-ZIP-1013-HD-100</t>
  </si>
  <si>
    <t>B07XJWWGJ8</t>
  </si>
  <si>
    <t>LB-DT0201F</t>
  </si>
  <si>
    <t>2" X 1.5"</t>
  </si>
  <si>
    <t>B098YXR294</t>
  </si>
  <si>
    <t>BAG-CELLO-A-04F06F-1000</t>
  </si>
  <si>
    <t>B0CQ8SYLYG</t>
  </si>
  <si>
    <t>BAG-ZIP-1212-HD-100</t>
  </si>
  <si>
    <t>B0G4XZDDXW</t>
  </si>
  <si>
    <t>LB-DT0204</t>
  </si>
  <si>
    <t>2" X 4"</t>
  </si>
  <si>
    <t>B098ZGXB7M</t>
  </si>
  <si>
    <t>BAG-CELLO-A-06F09F-1000</t>
  </si>
  <si>
    <t>B0CQ8VX3W7</t>
  </si>
  <si>
    <t>BAG-ZIP-1215-HD-100</t>
  </si>
  <si>
    <t>B07XQ38RHD</t>
  </si>
  <si>
    <t>LB-DT0206</t>
  </si>
  <si>
    <t>2" X 6"</t>
  </si>
  <si>
    <t>B0CMG164DD</t>
  </si>
  <si>
    <t>BAG-CELLO-A-08F10F-1000</t>
  </si>
  <si>
    <t xml:space="preserve">8" X 10" </t>
  </si>
  <si>
    <t>B0CQ8VKLSR</t>
  </si>
  <si>
    <t>BAG-ZIP-1218-HD-100</t>
  </si>
  <si>
    <t>B0G4XXDXWB</t>
  </si>
  <si>
    <t>LB-DT0201</t>
  </si>
  <si>
    <t>2" X 1"</t>
  </si>
  <si>
    <t>B01GJGC2OK</t>
  </si>
  <si>
    <t>BAG-ZIP-1315-HD-100</t>
  </si>
  <si>
    <t>B07XPTM95B</t>
  </si>
  <si>
    <t>bullet 1-5</t>
  </si>
  <si>
    <t>LB-DT0203</t>
  </si>
  <si>
    <t>B0G3T3MHCZ</t>
  </si>
  <si>
    <t>BAG-CELLO-A_GROUP 3</t>
  </si>
  <si>
    <t>B0GV449JY9</t>
  </si>
  <si>
    <t>Current Review Count: 932</t>
  </si>
  <si>
    <t>BAG-ZIP-1318-HD-100</t>
  </si>
  <si>
    <t>B07XPV8ZR9</t>
  </si>
  <si>
    <t>LB-DT0208</t>
  </si>
  <si>
    <t>2" X 8"</t>
  </si>
  <si>
    <t>B0G3T84TL2</t>
  </si>
  <si>
    <t>BAG-CELLO-A-0202</t>
  </si>
  <si>
    <t>B089Q29FF7</t>
  </si>
  <si>
    <t>810115970002</t>
  </si>
  <si>
    <t>BAG-ZIP-1420-HD-100</t>
  </si>
  <si>
    <t>B0G4ZXR2KJ</t>
  </si>
  <si>
    <t>BAG-CELLO-A-0203</t>
  </si>
  <si>
    <t>B089PYNXPN</t>
  </si>
  <si>
    <t>810115971092</t>
  </si>
  <si>
    <t>BAG-ZIP-1624-HD-100</t>
  </si>
  <si>
    <t>16" X 24"</t>
  </si>
  <si>
    <t>B0G4XWWYYT</t>
  </si>
  <si>
    <t>Listing 4</t>
  </si>
  <si>
    <t>LB-DT-Parent-04</t>
  </si>
  <si>
    <t>B0GHT4D2V9</t>
  </si>
  <si>
    <t>Current Review Count: 237</t>
  </si>
  <si>
    <t>BAG-CELLO-A-0303</t>
  </si>
  <si>
    <t>B089Q6R1MC</t>
  </si>
  <si>
    <t>810115971108</t>
  </si>
  <si>
    <t>LB-DT01F01</t>
  </si>
  <si>
    <t>1.5" X 1"</t>
  </si>
  <si>
    <t>B075V6PSMV</t>
  </si>
  <si>
    <t>BAG-CELLO-A-0304</t>
  </si>
  <si>
    <t>B089QDLH5S</t>
  </si>
  <si>
    <t>810115971115</t>
  </si>
  <si>
    <t>Missing Bullet Points</t>
  </si>
  <si>
    <t>Current Review Count: 38</t>
  </si>
  <si>
    <t>LB-DT0100F</t>
  </si>
  <si>
    <t>1" X 0.5"</t>
  </si>
  <si>
    <t>B098Z79FQ2</t>
  </si>
  <si>
    <t>BAG-CELLO-A-0404</t>
  </si>
  <si>
    <t>4" X 4"</t>
  </si>
  <si>
    <t>B089PW2N6S</t>
  </si>
  <si>
    <t>810115971139</t>
  </si>
  <si>
    <t>BAG-ZIP-0202-HD-NEW</t>
  </si>
  <si>
    <t>B0G5B4BH6V</t>
  </si>
  <si>
    <t>LB-DT01F00F-A</t>
  </si>
  <si>
    <t>1.5" X 0.5"</t>
  </si>
  <si>
    <t>B098Z3L6B5</t>
  </si>
  <si>
    <t>BAG-CELLO-A-0505</t>
  </si>
  <si>
    <t>5" X 5"</t>
  </si>
  <si>
    <t>B0FSPZTD7J</t>
  </si>
  <si>
    <t>BAG-ZIP-0204-HD</t>
  </si>
  <si>
    <t>B0G4XY2LNQ</t>
  </si>
  <si>
    <t>LB-DT01F01F</t>
  </si>
  <si>
    <t>1.5" X 1.5"</t>
  </si>
  <si>
    <t>B098Z63CGG</t>
  </si>
  <si>
    <t>BAG-CELLO-A-0606</t>
  </si>
  <si>
    <t>6" X 6"</t>
  </si>
  <si>
    <t>B0FSQ7TZP1</t>
  </si>
  <si>
    <t>BAG-ZIP-0306-HD-NEW</t>
  </si>
  <si>
    <t>3" X 6"</t>
  </si>
  <si>
    <t>B0G5B2ZLYT</t>
  </si>
  <si>
    <t>LB-DT0101</t>
  </si>
  <si>
    <t>1" X 1"</t>
  </si>
  <si>
    <t>B098YX8P44</t>
  </si>
  <si>
    <t>BAG-CELLO-A-0404-200</t>
  </si>
  <si>
    <t>B0FSP93NKQ</t>
  </si>
  <si>
    <t>BAG-ZIP-0404-HD</t>
  </si>
  <si>
    <t>B0C4BRC47Q</t>
  </si>
  <si>
    <t>LB-DT01F00F-B</t>
  </si>
  <si>
    <t>1.75" X 0.5"</t>
  </si>
  <si>
    <t>B0G3SSCTCV</t>
  </si>
  <si>
    <t>BAG-CELLO-A-0606-200</t>
  </si>
  <si>
    <t>B0FSPHRL8M</t>
  </si>
  <si>
    <t>BAG-ZIP-0407-HD</t>
  </si>
  <si>
    <t>4" X 7"</t>
  </si>
  <si>
    <t>B0G4XXKNP7</t>
  </si>
  <si>
    <t>LB-DT01F01F-A</t>
  </si>
  <si>
    <t>1.75" X 1.25"</t>
  </si>
  <si>
    <t>B0G3T1FB71</t>
  </si>
  <si>
    <t>BAG-CELLO-A-0505-200</t>
  </si>
  <si>
    <t>B0FSPTSSGW</t>
  </si>
  <si>
    <t>BAG-ZIP-0508-HD</t>
  </si>
  <si>
    <t>5" X 8"</t>
  </si>
  <si>
    <t>B0C4BWBG7T</t>
  </si>
  <si>
    <t>LB-DT01F00F-C</t>
  </si>
  <si>
    <t>1.75" X 0.75"</t>
  </si>
  <si>
    <t>B0G3T1JD4S</t>
  </si>
  <si>
    <t>BAG-CELLO-A-0303-200</t>
  </si>
  <si>
    <t>B0FSQ8S5J9</t>
  </si>
  <si>
    <t>BAG-ZIP-0606-HD-NEW</t>
  </si>
  <si>
    <t>B0DGY6MN97</t>
  </si>
  <si>
    <t>BAG-ZIP-0608-HD</t>
  </si>
  <si>
    <t>6" X 8"</t>
  </si>
  <si>
    <t>B0G4XYQ8PH</t>
  </si>
  <si>
    <t>Listing 5</t>
  </si>
  <si>
    <t>LB-DT-Parent-05</t>
  </si>
  <si>
    <t>B0GHT56862</t>
  </si>
  <si>
    <t>Current Review Count:67</t>
  </si>
  <si>
    <t>V2-QVNE-TJQF</t>
  </si>
  <si>
    <t>B0CTW464W5</t>
  </si>
  <si>
    <t>White Envelope</t>
  </si>
  <si>
    <t>Current Review Count: 132</t>
  </si>
  <si>
    <t>LB-DT0402-10</t>
  </si>
  <si>
    <t>4" X 2"</t>
  </si>
  <si>
    <t>B098ZKX3LS</t>
  </si>
  <si>
    <t>ENV-A1-WHITE-110</t>
  </si>
  <si>
    <t>3 5/8” X 5 1/8”</t>
  </si>
  <si>
    <t>B0BTRP8YTH</t>
  </si>
  <si>
    <t>810115979654</t>
  </si>
  <si>
    <t>Discontinued</t>
  </si>
  <si>
    <t>Listing closed</t>
  </si>
  <si>
    <t>Current Review Count: 389</t>
  </si>
  <si>
    <t>LB-DT0403-10</t>
  </si>
  <si>
    <t>4" X 3"</t>
  </si>
  <si>
    <t>B098Z4WKM9</t>
  </si>
  <si>
    <t>ENV-A2-WHITE-110</t>
  </si>
  <si>
    <t>4 3/8" X 5 3/4"</t>
  </si>
  <si>
    <t>B0BTRQZHTX</t>
  </si>
  <si>
    <t>810115979661</t>
  </si>
  <si>
    <t>BAG-ZIP-0303-HD-200</t>
  </si>
  <si>
    <t>B0G4Y1RNY8</t>
  </si>
  <si>
    <t>LB-DT0401</t>
  </si>
  <si>
    <t>4" X 1"</t>
  </si>
  <si>
    <t>B098Z45K1D</t>
  </si>
  <si>
    <t>ENV-A6-WHITE-110</t>
  </si>
  <si>
    <t>B0BTRNF7VF</t>
  </si>
  <si>
    <t>810115979678</t>
  </si>
  <si>
    <t>OOS</t>
  </si>
  <si>
    <t>BAG-ZIP-0304-HD-200</t>
  </si>
  <si>
    <t>B0C1QLBJCX</t>
  </si>
  <si>
    <t>LB-DT0401F</t>
  </si>
  <si>
    <t>4" X 1.5"</t>
  </si>
  <si>
    <t>B098ZDX2BC</t>
  </si>
  <si>
    <t>ENV-A7-WHITE-110</t>
  </si>
  <si>
    <t>B0BTRZS1M7</t>
  </si>
  <si>
    <t>810115979685</t>
  </si>
  <si>
    <t>Unavailable</t>
  </si>
  <si>
    <t>BAG-ZIP-0305-HD-200</t>
  </si>
  <si>
    <t>B0C1QZVD26</t>
  </si>
  <si>
    <t>LB-DT0404</t>
  </si>
  <si>
    <t>B0CMFYVCQN</t>
  </si>
  <si>
    <t>BAG-ZIP-0404-HD-200</t>
  </si>
  <si>
    <t>B0G4XYS1KL</t>
  </si>
  <si>
    <t>LB-DT0408</t>
  </si>
  <si>
    <t>B0CMFHGW6G</t>
  </si>
  <si>
    <t>Listing 6</t>
  </si>
  <si>
    <t>EB-PQ2A-K1D8</t>
  </si>
  <si>
    <t>B0BTRPZ1G4</t>
  </si>
  <si>
    <t>Current Review Count: 135</t>
  </si>
  <si>
    <t>BAG-ZIP-0406-HD-200</t>
  </si>
  <si>
    <t>B0C1QDPD73</t>
  </si>
  <si>
    <t>LB-DT0405</t>
  </si>
  <si>
    <t>4" X 5"</t>
  </si>
  <si>
    <t>B0G3T7KZJ6</t>
  </si>
  <si>
    <t>ENV-A1-WHITE-1000</t>
  </si>
  <si>
    <t>B0BTS54H8R</t>
  </si>
  <si>
    <t>BAG-ZIP-0507-HD-200</t>
  </si>
  <si>
    <t>B0C1QY1PJN</t>
  </si>
  <si>
    <t>LB-DT0402F</t>
  </si>
  <si>
    <t>4" X 2.5"</t>
  </si>
  <si>
    <t>B0G3TGJ9Z4</t>
  </si>
  <si>
    <t>ENV-A2-WHITE-250</t>
  </si>
  <si>
    <t>B0BTRWQY38</t>
  </si>
  <si>
    <t>BAG-ZIP-0606-HD-200</t>
  </si>
  <si>
    <t>B0G4XY6W4C</t>
  </si>
  <si>
    <t>LB-DT0406F</t>
  </si>
  <si>
    <t>4" X 6.5"</t>
  </si>
  <si>
    <t>B0G3T1CWNH</t>
  </si>
  <si>
    <t>ENV-A6-WHITE-1000</t>
  </si>
  <si>
    <t>B0BTRMKD72</t>
  </si>
  <si>
    <t>BAG-ZIP-0609-HD-200</t>
  </si>
  <si>
    <t>B0C1R2WNP8</t>
  </si>
  <si>
    <t>LB-DT0410</t>
  </si>
  <si>
    <t>4" X 10"</t>
  </si>
  <si>
    <t>B0G3SWSTGT</t>
  </si>
  <si>
    <t>ENV-A6-WHITE-250</t>
  </si>
  <si>
    <t>B0BTRSLPSQ</t>
  </si>
  <si>
    <t>LB-DT0406-NEW</t>
  </si>
  <si>
    <t>B0G3T5LT4Y</t>
  </si>
  <si>
    <t>ENV-A7-WHITE-1000</t>
  </si>
  <si>
    <t>5 1/4" X 7 1/4"</t>
  </si>
  <si>
    <t>B0BTRZQQTD</t>
  </si>
  <si>
    <t>Zip bag 2 mil</t>
  </si>
  <si>
    <t>Current Review Count: 1078</t>
  </si>
  <si>
    <t>LB-DT04CF</t>
  </si>
  <si>
    <t>4" X 130'</t>
  </si>
  <si>
    <t>B0G3TGT7NT</t>
  </si>
  <si>
    <t>ENV-A7-WHITE-250</t>
  </si>
  <si>
    <t>B0BTRPDP7X</t>
  </si>
  <si>
    <t>BAG-ZIP-0205</t>
  </si>
  <si>
    <t>2" X 5"</t>
  </si>
  <si>
    <t>B0GHT4QY6L</t>
  </si>
  <si>
    <t>ENV-A9-WHITE-250</t>
  </si>
  <si>
    <t>5.75” X 8.75”</t>
  </si>
  <si>
    <t>B0BTRTZGHN</t>
  </si>
  <si>
    <t>BAG-ZIP-0206</t>
  </si>
  <si>
    <t>B0GHT5VHL4</t>
  </si>
  <si>
    <t>LB-DT-Parent-06</t>
  </si>
  <si>
    <t>B0GHT7HM1B</t>
  </si>
  <si>
    <t>Current Review Count: 230</t>
  </si>
  <si>
    <t>BAG-ZIP-0208</t>
  </si>
  <si>
    <t>B089N2YXLH</t>
  </si>
  <si>
    <t>LB-DT0301</t>
  </si>
  <si>
    <t>3" X 1"</t>
  </si>
  <si>
    <t>B01M16L1ER</t>
  </si>
  <si>
    <t>Listing 7</t>
  </si>
  <si>
    <t>2N-528Q-Q2ZO</t>
  </si>
  <si>
    <t>B0BTRVFVRB</t>
  </si>
  <si>
    <t>Kraft Envelope</t>
  </si>
  <si>
    <t>Current Review Count: 133</t>
  </si>
  <si>
    <t>BAG-ZIP-0303</t>
  </si>
  <si>
    <t>B07C4Y541X</t>
  </si>
  <si>
    <t>LB-DT0302</t>
  </si>
  <si>
    <t xml:space="preserve">3" X 2" </t>
  </si>
  <si>
    <t>B01GJFRNBS</t>
  </si>
  <si>
    <t>ENV-A2-KRAFT-110</t>
  </si>
  <si>
    <t>B0BTRW4BR3</t>
  </si>
  <si>
    <t>BAG-ZIP-0308</t>
  </si>
  <si>
    <t>3" X 8"</t>
  </si>
  <si>
    <t>B0GHT1WY3P</t>
  </si>
  <si>
    <t>LB-DT0303</t>
  </si>
  <si>
    <t>B0CMFMNZ7N</t>
  </si>
  <si>
    <t>ENV-A6-KRAFT-110</t>
  </si>
  <si>
    <t>B0BTRTM6DZ</t>
  </si>
  <si>
    <t>BAG-ZIP-0212</t>
  </si>
  <si>
    <t>2" X 12"</t>
  </si>
  <si>
    <t>B089ND7DN2</t>
  </si>
  <si>
    <t>LB-DT0305</t>
  </si>
  <si>
    <t>B0CMFX8X7X</t>
  </si>
  <si>
    <t>ENV-A6-KRAFT-250</t>
  </si>
  <si>
    <t>B0BTRPX469</t>
  </si>
  <si>
    <t>BAG-ZIP-0312</t>
  </si>
  <si>
    <t>3" X 12"</t>
  </si>
  <si>
    <t>B089N9BQNV</t>
  </si>
  <si>
    <t>LB-DT0301F</t>
  </si>
  <si>
    <t xml:space="preserve">3" X 1.5" </t>
  </si>
  <si>
    <t>B098ZJK8CX</t>
  </si>
  <si>
    <t>ENV-A7-KRAFT-110</t>
  </si>
  <si>
    <t>B0BTRV46MD</t>
  </si>
  <si>
    <t>BAG-ZIP-0506</t>
  </si>
  <si>
    <t>5" X 6"</t>
  </si>
  <si>
    <t>B0GHT7ZLFW</t>
  </si>
  <si>
    <t>LB-DT0304</t>
  </si>
  <si>
    <t>B0G3SSHNQL</t>
  </si>
  <si>
    <t>ENV-A7-KRAFT-250</t>
  </si>
  <si>
    <t>B0BTRSJXKY</t>
  </si>
  <si>
    <t>BAG-ZIP-0618</t>
  </si>
  <si>
    <t>6" X 18"</t>
  </si>
  <si>
    <t>B0GHSWD3Q3</t>
  </si>
  <si>
    <t>LB-DT0300F-A</t>
  </si>
  <si>
    <t>3" X 0.75"</t>
  </si>
  <si>
    <t>B0G3SVTS5K</t>
  </si>
  <si>
    <t>ENV-A9-KRAFT-110</t>
  </si>
  <si>
    <t>5.5” X 8.5”</t>
  </si>
  <si>
    <t>B0BTRN87FJ</t>
  </si>
  <si>
    <t>LB-DT0306</t>
  </si>
  <si>
    <t>B0G3STJNMG</t>
  </si>
  <si>
    <t>Current Review Count: 2127</t>
  </si>
  <si>
    <t>LB-DT0300F</t>
  </si>
  <si>
    <t>3" X 0.5"</t>
  </si>
  <si>
    <t>B0G3T96LVC</t>
  </si>
  <si>
    <t>Listing 8</t>
  </si>
  <si>
    <t>CL-X712-XMZZ</t>
  </si>
  <si>
    <t>B07W5K2ZG8</t>
  </si>
  <si>
    <t>Poly mailer</t>
  </si>
  <si>
    <t xml:space="preserve">Current Star Rating: </t>
  </si>
  <si>
    <t xml:space="preserve">Current Review Count: </t>
  </si>
  <si>
    <t>BAG-ZIP-0101</t>
  </si>
  <si>
    <t>B0GHZS92CM</t>
  </si>
  <si>
    <t>bg-pm1013pattern-018</t>
  </si>
  <si>
    <t>Pink polka dot</t>
  </si>
  <si>
    <t>B07BKQ12V4</t>
  </si>
  <si>
    <t>BAG-ZIP-01F01F-A</t>
  </si>
  <si>
    <t>1.25" X 1.25"</t>
  </si>
  <si>
    <t>B0GHZT9B4X</t>
  </si>
  <si>
    <t>LB-DTSZSY-001</t>
  </si>
  <si>
    <t>B0GS2RC48J</t>
  </si>
  <si>
    <t>Current Star Rating: 4.9</t>
  </si>
  <si>
    <t>Current Review Count: 21</t>
  </si>
  <si>
    <t>bg-pm1013pattern-048</t>
  </si>
  <si>
    <t xml:space="preserve">Navy Polka Dot </t>
  </si>
  <si>
    <t>B07BKTDHR7</t>
  </si>
  <si>
    <t>BAG-ZIP-01F01F</t>
  </si>
  <si>
    <t>B07XT2LV64</t>
  </si>
  <si>
    <t>LB-DT0101-001</t>
  </si>
  <si>
    <t>B0GGMCQMC2</t>
  </si>
  <si>
    <t>bg-pm1013pattern-058</t>
  </si>
  <si>
    <t>Mint Gold Triangle</t>
  </si>
  <si>
    <t>B07BKVKYY4</t>
  </si>
  <si>
    <t>BAG-ZIP-01F02</t>
  </si>
  <si>
    <t>1.5" X 2"</t>
  </si>
  <si>
    <t>B0GHZHVV6S</t>
  </si>
  <si>
    <t>LB-DT01F01F-001</t>
  </si>
  <si>
    <t>B0GGMJ8ZBD</t>
  </si>
  <si>
    <t>BAG-ZIP-0202</t>
  </si>
  <si>
    <t>B07XT5ZZ2Q</t>
  </si>
  <si>
    <t>LB-DT0201-001</t>
  </si>
  <si>
    <t>B0GGNXCSPZ</t>
  </si>
  <si>
    <t>List 9</t>
  </si>
  <si>
    <t>QS-BB2G-TA2A</t>
  </si>
  <si>
    <t>B07W3T2QH9</t>
  </si>
  <si>
    <t>BAG-ZIP-0203</t>
  </si>
  <si>
    <t>B07XT9ZRRT</t>
  </si>
  <si>
    <t>LB-DT0202-001</t>
  </si>
  <si>
    <t>B0GGLLQBC9</t>
  </si>
  <si>
    <t>BAG-ZIP-02F03</t>
  </si>
  <si>
    <t>2.5" X 3"</t>
  </si>
  <si>
    <t>B0GHSYKLDT</t>
  </si>
  <si>
    <t>LB-DT0204-001</t>
  </si>
  <si>
    <t>B0GGNKRM48</t>
  </si>
  <si>
    <t>bg-pm1013pattern-028</t>
  </si>
  <si>
    <t>Gingham Plaid</t>
  </si>
  <si>
    <t>B07BKNJN8N</t>
  </si>
  <si>
    <t>BAG-ZIP-0204</t>
  </si>
  <si>
    <t>B0BSMPB6QG</t>
  </si>
  <si>
    <t>LB-DT0301-001</t>
  </si>
  <si>
    <t>B0GGP4YSV1</t>
  </si>
  <si>
    <t>bg-pm1013pattern-038</t>
  </si>
  <si>
    <t>Arrows Pattern</t>
  </si>
  <si>
    <t>B07BKPJV3N</t>
  </si>
  <si>
    <t>LB-DT0302-001</t>
  </si>
  <si>
    <t>3" X 2"</t>
  </si>
  <si>
    <t>B0GGP55S23</t>
  </si>
  <si>
    <t>Current Review Count: 548</t>
  </si>
  <si>
    <t>LB-DT0303-001</t>
  </si>
  <si>
    <t>B0GGNRMHSS</t>
  </si>
  <si>
    <t>02-W7IX-BNKW</t>
  </si>
  <si>
    <t>B07W5DC213</t>
  </si>
  <si>
    <t>BAG-ZIP-0812</t>
  </si>
  <si>
    <t>8" X 12"</t>
  </si>
  <si>
    <t>B0BSL8HVT4</t>
  </si>
  <si>
    <t>bg-pm1013pattern-088</t>
  </si>
  <si>
    <t>Floral Pattern</t>
  </si>
  <si>
    <t>B07F65TYQ9</t>
  </si>
  <si>
    <t>BAG-ZIP-1010</t>
  </si>
  <si>
    <t>10" X 10"</t>
  </si>
  <si>
    <t>B0BSL71V6F</t>
  </si>
  <si>
    <t>LB-DT1ROLL</t>
  </si>
  <si>
    <t>B0GS2RC495</t>
  </si>
  <si>
    <t>Current Star Rating:  5.0</t>
  </si>
  <si>
    <t>BAG-ZIP-1012-500</t>
  </si>
  <si>
    <t>B07C4TK46Z</t>
  </si>
  <si>
    <t>LB-DT02F01F-001</t>
  </si>
  <si>
    <t>B0GGNFS3RD</t>
  </si>
  <si>
    <t>AH-3OVD-YBTO</t>
  </si>
  <si>
    <t>B07W6K7X9Z</t>
  </si>
  <si>
    <t>BAG-ZIP-1013-500</t>
  </si>
  <si>
    <t>B07C549L8X</t>
  </si>
  <si>
    <t>LB-DT02F04-001</t>
  </si>
  <si>
    <t>2.25" X 4"</t>
  </si>
  <si>
    <t>B0GGNKDY91</t>
  </si>
  <si>
    <t>bg-pm1013sweets-008</t>
  </si>
  <si>
    <t>Doughnut Pattern</t>
  </si>
  <si>
    <t>B07B8MF1Z3</t>
  </si>
  <si>
    <t>BAG-ZIP-1114-500</t>
  </si>
  <si>
    <t>B0BSN87KQN</t>
  </si>
  <si>
    <t>LB-DT0401F-001</t>
  </si>
  <si>
    <t>B0GGLH16SF</t>
  </si>
  <si>
    <t>BAG-ZIP-1212-500</t>
  </si>
  <si>
    <t>B089N65X33</t>
  </si>
  <si>
    <t>LB-DT0402-001</t>
  </si>
  <si>
    <t>B0GGLT1X56</t>
  </si>
  <si>
    <t>Listing 12</t>
  </si>
  <si>
    <t>W4-H2M5-POEL</t>
  </si>
  <si>
    <t>B07W5K34GH</t>
  </si>
  <si>
    <t>BAG-ZIPLOCK-1414-500</t>
  </si>
  <si>
    <t>14" X 14"</t>
  </si>
  <si>
    <t>B0G4XYG5H6</t>
  </si>
  <si>
    <t>LB-DT0403-001</t>
  </si>
  <si>
    <t>B0GH28T8K6</t>
  </si>
  <si>
    <t>bg-pm1013food-008</t>
  </si>
  <si>
    <t>California Avocados</t>
  </si>
  <si>
    <t>B07B8LKJDB</t>
  </si>
  <si>
    <t>BAG-ZIPLOCK-1616-250</t>
  </si>
  <si>
    <t>16" X 16"</t>
  </si>
  <si>
    <t>B0G4XYRTHP</t>
  </si>
  <si>
    <t>BG-PM1013LEAF-100</t>
  </si>
  <si>
    <t>Tropical Leaves</t>
  </si>
  <si>
    <t>B074JL8H2H</t>
  </si>
  <si>
    <t>BAG-ZIP-1618-250</t>
  </si>
  <si>
    <t>16" X 18"</t>
  </si>
  <si>
    <t>B0GHT81WKC</t>
  </si>
  <si>
    <t>Listing 9</t>
  </si>
  <si>
    <t>LB-DT0SZE</t>
  </si>
  <si>
    <t>B0GS2J5S8J</t>
  </si>
  <si>
    <t>no reviews yet</t>
  </si>
  <si>
    <t>Current Review Count:</t>
  </si>
  <si>
    <t>BG-PM1013PINEAPPLE-100</t>
  </si>
  <si>
    <t>Tropical Pineapple</t>
  </si>
  <si>
    <t>B074JHBG3M</t>
  </si>
  <si>
    <t>LB-DT0201-024</t>
  </si>
  <si>
    <t>B0GGMB8F75</t>
  </si>
  <si>
    <t>Current Review Count: 408</t>
  </si>
  <si>
    <t>LB-DT02F01F-024</t>
  </si>
  <si>
    <t>B0GGMF3LKS</t>
  </si>
  <si>
    <t>BAG-ZIP-1215-500</t>
  </si>
  <si>
    <t>B07C56KG8G</t>
  </si>
  <si>
    <t>LB-DT02F04-024</t>
  </si>
  <si>
    <t>B0GGLZQN2N</t>
  </si>
  <si>
    <t>BAG-ZIP-1218-500</t>
  </si>
  <si>
    <t>B089N4KKR6</t>
  </si>
  <si>
    <t>LB-DT0302-020</t>
  </si>
  <si>
    <t>B0GGLNJTX3</t>
  </si>
  <si>
    <t>13" X 13"</t>
  </si>
  <si>
    <t>B0GHT3PR7K</t>
  </si>
  <si>
    <t>LB-DT0402-016</t>
  </si>
  <si>
    <t>B0GGLRV6HB</t>
  </si>
  <si>
    <t>BAG-ZIP-1315-500</t>
  </si>
  <si>
    <t>B07C4VPMGZ</t>
  </si>
  <si>
    <t>BAG-ZIP-1318-500</t>
  </si>
  <si>
    <t>B07C4VC1QB</t>
  </si>
  <si>
    <t>Listing 10</t>
  </si>
  <si>
    <t>LB-DT0406-450</t>
  </si>
  <si>
    <t>B0GS2KQZRR</t>
  </si>
  <si>
    <t>Current Review Count: 23</t>
  </si>
  <si>
    <t>BAG-ZIP-1420-250</t>
  </si>
  <si>
    <t>B089PXLHGJ</t>
  </si>
  <si>
    <t>LB-DT0406-450-002</t>
  </si>
  <si>
    <t>B0GGLNN3H1</t>
  </si>
  <si>
    <t>ask if manage by brooke</t>
  </si>
  <si>
    <t>BAG-ZIP-1424-250</t>
  </si>
  <si>
    <t>14" X 24"</t>
  </si>
  <si>
    <t>B0BSL6Z8YJ</t>
  </si>
  <si>
    <t>LB-DT0406-450-004</t>
  </si>
  <si>
    <t>B0GGM9WCW7</t>
  </si>
  <si>
    <t>BAG-ZIP-1620-250</t>
  </si>
  <si>
    <t>16" X 20"</t>
  </si>
  <si>
    <t>B0BSL78938</t>
  </si>
  <si>
    <t>LB-DT0406-450-008</t>
  </si>
  <si>
    <t>B0GGMB22SD</t>
  </si>
  <si>
    <t>BAG-ZIP-1624-250</t>
  </si>
  <si>
    <t>B089SHW98W</t>
  </si>
  <si>
    <t>LB-DT0406-450-020-NEW</t>
  </si>
  <si>
    <t>B0H5R5HF3W</t>
  </si>
  <si>
    <t>Split Variation</t>
  </si>
  <si>
    <t>unavailable, ask if manage by brooke</t>
  </si>
  <si>
    <t>BAG-ZIP-1824-250-NEW</t>
  </si>
  <si>
    <t>18" X 24"</t>
  </si>
  <si>
    <t>B0GTDXM485</t>
  </si>
  <si>
    <t>Pending Product Launch</t>
  </si>
  <si>
    <t>Bags pt 5</t>
  </si>
  <si>
    <t>Listing 11</t>
  </si>
  <si>
    <t>LB-DT0406-FF</t>
  </si>
  <si>
    <t>B0GS3Q5GV2</t>
  </si>
  <si>
    <t>Fanfold Rollo/Zebra DT</t>
  </si>
  <si>
    <t>UI-DIXL-D8W7</t>
  </si>
  <si>
    <t>B0GRMP921P</t>
  </si>
  <si>
    <t>Current Review Count: 2530</t>
  </si>
  <si>
    <t>LB-DT0406-FF-500-02</t>
  </si>
  <si>
    <t>B0GGLXRZ16</t>
  </si>
  <si>
    <t>BAG-ZIP-0609-200</t>
  </si>
  <si>
    <t>B07XQ7B769</t>
  </si>
  <si>
    <t>LB-DT0406-FF-500-04</t>
  </si>
  <si>
    <t>B0GGMJ111X</t>
  </si>
  <si>
    <t>BAG-ZIP-0810-200</t>
  </si>
  <si>
    <t>B07XJXBF3T</t>
  </si>
  <si>
    <t>LB-DT0406-FF-500-08-NEW</t>
  </si>
  <si>
    <t>B0H5RD5SXM</t>
  </si>
  <si>
    <t>840472508174</t>
  </si>
  <si>
    <t>BAG-ZIP-0912-200</t>
  </si>
  <si>
    <t>B07XPVGM2S</t>
  </si>
  <si>
    <t>LB-DT0406-FF-1000-04-NEW</t>
  </si>
  <si>
    <t>B0H5R88PJJ</t>
  </si>
  <si>
    <t>840472508167</t>
  </si>
  <si>
    <t>BAG-ZIP-1012-200</t>
  </si>
  <si>
    <t>B07XJX943D</t>
  </si>
  <si>
    <t>BAG-ZIP-1013-200</t>
  </si>
  <si>
    <t>B07XL2NK9X</t>
  </si>
  <si>
    <t>LB-DT-Parent-07</t>
  </si>
  <si>
    <t>B0GJFRP2MR</t>
  </si>
  <si>
    <t>Current Star Rating: 5.0</t>
  </si>
  <si>
    <t>Current Review Count: 1</t>
  </si>
  <si>
    <t>BAG-ZIP-1215-200</t>
  </si>
  <si>
    <t>B07XL2P4H7</t>
  </si>
  <si>
    <t>LB-DT0406-IND-4</t>
  </si>
  <si>
    <t>B0G5SX3QPS</t>
  </si>
  <si>
    <t>BAG-ZIP-1315-200</t>
  </si>
  <si>
    <t>B07XQ3YTX3</t>
  </si>
  <si>
    <t>LB-DT0406-IND-1</t>
  </si>
  <si>
    <t>B0G5TGDWQ7</t>
  </si>
  <si>
    <t>BAG-ZIP-1318-200</t>
  </si>
  <si>
    <t>B07XJX9NLN</t>
  </si>
  <si>
    <t>LB-DT0402-IND-4</t>
  </si>
  <si>
    <t>B0G3T5DRHW</t>
  </si>
  <si>
    <t>BAG-ZIP-1824-200</t>
  </si>
  <si>
    <t>B0GTF4KBJD</t>
  </si>
  <si>
    <t xml:space="preserve">Bags pt 5 - Case in works </t>
  </si>
  <si>
    <t>LB-DT0402-IND-1</t>
  </si>
  <si>
    <t>B0G3TS4LY1</t>
  </si>
  <si>
    <t>BAG-ZIP-2424-200</t>
  </si>
  <si>
    <t>24" X 24"</t>
  </si>
  <si>
    <t>B0GTDVPTFB</t>
  </si>
  <si>
    <t>Listing 13</t>
  </si>
  <si>
    <t>LB-DM-12RLLS</t>
  </si>
  <si>
    <t>B0H12MR1BP</t>
  </si>
  <si>
    <t>DYMO DT</t>
  </si>
  <si>
    <t>Current Review Count: 762</t>
  </si>
  <si>
    <t>E2-ZFW1-X4CP</t>
  </si>
  <si>
    <t>B0GRMZ5FV4</t>
  </si>
  <si>
    <t>Current Review Count: 6439</t>
  </si>
  <si>
    <t>LB-DM30324</t>
  </si>
  <si>
    <t>2 1/8" X 2 3/4"</t>
  </si>
  <si>
    <t>B07FP2VH5G</t>
  </si>
  <si>
    <t>BAG-ZIP-0304</t>
  </si>
  <si>
    <t>B07C4Q87YK</t>
  </si>
  <si>
    <t>LB-DM30333</t>
  </si>
  <si>
    <t>1/2" X 1"</t>
  </si>
  <si>
    <t>B07PFRR2CN</t>
  </si>
  <si>
    <t>BAG-ZIP-0305</t>
  </si>
  <si>
    <t>B07C4WSYTR</t>
  </si>
  <si>
    <t>LB-DM30332</t>
  </si>
  <si>
    <t xml:space="preserve">1" X 1" </t>
  </si>
  <si>
    <t>B07FP2KDYP</t>
  </si>
  <si>
    <t>BAG-ZIP-0406</t>
  </si>
  <si>
    <t>B07C4TBB76</t>
  </si>
  <si>
    <t>LB-DYMO30330</t>
  </si>
  <si>
    <t>3/4" X 2"</t>
  </si>
  <si>
    <t>B072ML7XVP</t>
  </si>
  <si>
    <t>BAG-ZIP-0507</t>
  </si>
  <si>
    <t>B07C4VF3QS</t>
  </si>
  <si>
    <t>LB-DM30915A</t>
  </si>
  <si>
    <t>1 5/8" X 1 1/4"</t>
  </si>
  <si>
    <t>B0GGLG9TVD</t>
  </si>
  <si>
    <t>BAG-ZIP-0609</t>
  </si>
  <si>
    <t>B07CZSQWHQ</t>
  </si>
  <si>
    <t>LB-DM-30346</t>
  </si>
  <si>
    <t>1/2" X 1 7/8"</t>
  </si>
  <si>
    <t>B07FP1MW4Q</t>
  </si>
  <si>
    <t>BAG-ZIP-0810</t>
  </si>
  <si>
    <t>B07CZTTBCD</t>
  </si>
  <si>
    <t>BAG-ZIP-0912-500</t>
  </si>
  <si>
    <t>B07C4TWVDC</t>
  </si>
  <si>
    <t>Listing 14</t>
  </si>
  <si>
    <t>MT-B743-NEPX</t>
  </si>
  <si>
    <t>B07QY59351</t>
  </si>
  <si>
    <t>Current Review Count: 495</t>
  </si>
  <si>
    <t>LB-DM30252-24</t>
  </si>
  <si>
    <t>1 1/8" X 3 1/2"</t>
  </si>
  <si>
    <t>B07B1XZF3W</t>
  </si>
  <si>
    <t>JA-AGQN_BUUQ</t>
  </si>
  <si>
    <t>B0GSCBK5B8</t>
  </si>
  <si>
    <t>Current Review Count: 89</t>
  </si>
  <si>
    <t>LB-DM30256-20</t>
  </si>
  <si>
    <t>2 5/16" X 4"</t>
  </si>
  <si>
    <t>B07B21T7K6</t>
  </si>
  <si>
    <t>BAG-ZIP-0512</t>
  </si>
  <si>
    <t>5" X 12"</t>
  </si>
  <si>
    <t>B0BSMVGH2W</t>
  </si>
  <si>
    <t>LB-DM30334-20</t>
  </si>
  <si>
    <t>2 1/4" X 1 1/4"</t>
  </si>
  <si>
    <t>B07QW47ZF4</t>
  </si>
  <si>
    <t>BAG-ZIP-0612</t>
  </si>
  <si>
    <t>6" X 12"</t>
  </si>
  <si>
    <t>B089N973FH</t>
  </si>
  <si>
    <t>LB-DM30336-24</t>
  </si>
  <si>
    <t>1" X 2 1/8"</t>
  </si>
  <si>
    <t>B07QY5CFDK</t>
  </si>
  <si>
    <t>BAG-ZIP-0708</t>
  </si>
  <si>
    <t>7" X 8"</t>
  </si>
  <si>
    <t>B089NFWN2V</t>
  </si>
  <si>
    <t>LB-DM1744907-20-NEW</t>
  </si>
  <si>
    <t>B0H5R3V8MZ</t>
  </si>
  <si>
    <t>BAG-ZIP-0710</t>
  </si>
  <si>
    <t>7" X 10"</t>
  </si>
  <si>
    <t>B0BSMM7T3N</t>
  </si>
  <si>
    <t>BAG-ZIP-0405</t>
  </si>
  <si>
    <t>B0BSMMHH7P</t>
  </si>
  <si>
    <t>Listing 15</t>
  </si>
  <si>
    <t>LB-DYMOSZE</t>
  </si>
  <si>
    <t>B0GSBMQ5X6</t>
  </si>
  <si>
    <t>Current Review Count: 623</t>
  </si>
  <si>
    <t>BAG-ZIP-0407</t>
  </si>
  <si>
    <t>B089NKYXLC</t>
  </si>
  <si>
    <t>LB-DM-30347</t>
  </si>
  <si>
    <t>1" X 1-1/2"</t>
  </si>
  <si>
    <t>B07FP5DZXG</t>
  </si>
  <si>
    <t>BAG-ZIP-0410</t>
  </si>
  <si>
    <t>B0BSMVNTSW</t>
  </si>
  <si>
    <t>LB-DM30857</t>
  </si>
  <si>
    <t>2 1/4" X 4"</t>
  </si>
  <si>
    <t>B01MQJ9GNY</t>
  </si>
  <si>
    <t>BAG-ZIP-0508</t>
  </si>
  <si>
    <t>B089N3BF71</t>
  </si>
  <si>
    <t>LB-DM30258</t>
  </si>
  <si>
    <t>2-1/8" X 2-3/4"</t>
  </si>
  <si>
    <t>B07FP67XVC</t>
  </si>
  <si>
    <t>BAG-ZIP-0608</t>
  </si>
  <si>
    <t>B089N1MSBY</t>
  </si>
  <si>
    <t>LB-DM99019</t>
  </si>
  <si>
    <t>2-5/16" X 7-1/2"</t>
  </si>
  <si>
    <t>B07PDTQ6YX</t>
  </si>
  <si>
    <t>LB-DM1744907-12</t>
  </si>
  <si>
    <t>B0GGNF2QVW</t>
  </si>
  <si>
    <t>Current Review Count: 4592</t>
  </si>
  <si>
    <t>LB-DM1744907-6</t>
  </si>
  <si>
    <t>B0GGNWQZPV</t>
  </si>
  <si>
    <t>BAG-ZIP-01F01F-200</t>
  </si>
  <si>
    <t>B07XPV32RP</t>
  </si>
  <si>
    <t>BAG-ZIP-0202-200</t>
  </si>
  <si>
    <t>B07XPW33RG</t>
  </si>
  <si>
    <t>BAG-ZIP-0203-200</t>
  </si>
  <si>
    <t xml:space="preserve">2" X 3" </t>
  </si>
  <si>
    <t>B07XL1RPNZ</t>
  </si>
  <si>
    <t>Listing 16</t>
  </si>
  <si>
    <t>LB-DM1744907-4X6</t>
  </si>
  <si>
    <t>B0GSBZKB9Z</t>
  </si>
  <si>
    <t xml:space="preserve">Current Review Count: 309 </t>
  </si>
  <si>
    <t>BAG-ZIP-0303-200</t>
  </si>
  <si>
    <t>B07XQ372P5</t>
  </si>
  <si>
    <t>LB-DM1744907</t>
  </si>
  <si>
    <t>B01GJF0QK8</t>
  </si>
  <si>
    <t>not match in canto</t>
  </si>
  <si>
    <t>BAG-ZIP-0304-200</t>
  </si>
  <si>
    <t>B07XJWZX21</t>
  </si>
  <si>
    <t>LB-DM1744907-1</t>
  </si>
  <si>
    <t>B0GJ6Q9YV8</t>
  </si>
  <si>
    <t>BAG-ZIP-0305-200</t>
  </si>
  <si>
    <t>B07XJX2N5G</t>
  </si>
  <si>
    <t>LB-DM1744907-4</t>
  </si>
  <si>
    <t>B06XW7W4NZ</t>
  </si>
  <si>
    <t>BAG-ZIP-0406-200</t>
  </si>
  <si>
    <t>B07XQ1J57B</t>
  </si>
  <si>
    <t>LB-DM1744907-15-NEW</t>
  </si>
  <si>
    <t>B0H5QXNHW8</t>
  </si>
  <si>
    <t>BAG-ZIP-0507-200</t>
  </si>
  <si>
    <t>B07XPW5LRR</t>
  </si>
  <si>
    <t>LB-DM1744907-30-NEW</t>
  </si>
  <si>
    <t>B0H5R2BWCQ</t>
  </si>
  <si>
    <t>BAG-ZIP-0404-200</t>
  </si>
  <si>
    <t>B0G4ZGVMR8</t>
  </si>
  <si>
    <t>BAG-ZIP-0606-200</t>
  </si>
  <si>
    <t>B0G4ZK9FQ8</t>
  </si>
  <si>
    <t>Listing 17</t>
  </si>
  <si>
    <t>HQ-7ROB-2B2T</t>
  </si>
  <si>
    <t>B0GS3HJYRC</t>
  </si>
  <si>
    <t>LB-DM30252</t>
  </si>
  <si>
    <t>B01GJEVSFQ</t>
  </si>
  <si>
    <t>810115970057</t>
  </si>
  <si>
    <t>Current Review Count: 3888</t>
  </si>
  <si>
    <t>LB-DM30256</t>
  </si>
  <si>
    <t>B01GJEVS42</t>
  </si>
  <si>
    <t>810115970750</t>
  </si>
  <si>
    <t>BAG-ZIPLOCK-0912-100</t>
  </si>
  <si>
    <t>B06Y1SWBWB</t>
  </si>
  <si>
    <t>LB-DM30323</t>
  </si>
  <si>
    <t>2 1/8" X 4"</t>
  </si>
  <si>
    <t>B01N8ZX5T4</t>
  </si>
  <si>
    <t>810115970071</t>
  </si>
  <si>
    <t>BAG-ZIPLOCK-1012-100</t>
  </si>
  <si>
    <t>B06Y1QLP1J</t>
  </si>
  <si>
    <t>LB-DM30334</t>
  </si>
  <si>
    <t>B01N90ADWA</t>
  </si>
  <si>
    <t>810115970798</t>
  </si>
  <si>
    <t>BAG-ZIPLOCK-1013-100</t>
  </si>
  <si>
    <t>B06Y1PQ5PB</t>
  </si>
  <si>
    <t>LB-DM30336</t>
  </si>
  <si>
    <t>B01GJF0QE4</t>
  </si>
  <si>
    <t>810115970811</t>
  </si>
  <si>
    <t>BAG-ZIPLOCK-1114-100</t>
  </si>
  <si>
    <t>B0BSKT4KD8</t>
  </si>
  <si>
    <t>LB-DM1744907-10</t>
  </si>
  <si>
    <t>B0GGM2J3LC</t>
  </si>
  <si>
    <t>BAG-ZIPLOCK-1215-100</t>
  </si>
  <si>
    <t>B07C4TP786</t>
  </si>
  <si>
    <t>BAG-ZIPLOCK-1313-100</t>
  </si>
  <si>
    <t>B0GHTDYMGF</t>
  </si>
  <si>
    <t>Listing 18</t>
  </si>
  <si>
    <t>NM-8NRT-SLRZ</t>
  </si>
  <si>
    <t>B0GSBG471H</t>
  </si>
  <si>
    <t>Brother DT</t>
  </si>
  <si>
    <t>Current Review Count: 507</t>
  </si>
  <si>
    <t>BAG-ZIPLOCK-1318-100</t>
  </si>
  <si>
    <t>B06Y1R3F4Y</t>
  </si>
  <si>
    <t>LB-BROTHER-DK1201</t>
  </si>
  <si>
    <t>1.1" X 3.5"</t>
  </si>
  <si>
    <t>B071JTL67Z</t>
  </si>
  <si>
    <t>810115970644</t>
  </si>
  <si>
    <t>BAG-ZIPLOCK-1420-100</t>
  </si>
  <si>
    <t>B089N5X66S</t>
  </si>
  <si>
    <t>LB-BROTHER-DK1202</t>
  </si>
  <si>
    <t>2.4" X 3.9"</t>
  </si>
  <si>
    <t>B072QKSDTG</t>
  </si>
  <si>
    <t>810115970651</t>
  </si>
  <si>
    <t>BAG-ZIPLOCK-1618-100</t>
  </si>
  <si>
    <t>B0GHT44TGP</t>
  </si>
  <si>
    <t>LB-BROTHER-DK1209</t>
  </si>
  <si>
    <t>1.1" X 2.4"</t>
  </si>
  <si>
    <t>B075V6SQYN</t>
  </si>
  <si>
    <t>810115970675</t>
  </si>
  <si>
    <t>BAG-ZIPLOCK-1624-100</t>
  </si>
  <si>
    <t>B089SJ5NFF</t>
  </si>
  <si>
    <t>LB-BROTHER-DK2205-10F</t>
  </si>
  <si>
    <t>2.4" X 100'</t>
  </si>
  <si>
    <t>B0GGLHVVSM</t>
  </si>
  <si>
    <t>LB-BROTHER-DK2205</t>
  </si>
  <si>
    <t>B0GGNPZTV2</t>
  </si>
  <si>
    <t>Current Review Count: 2293</t>
  </si>
  <si>
    <t>BAG-ZIPLOCK-0812-100</t>
  </si>
  <si>
    <t>B0BSL4P6QS</t>
  </si>
  <si>
    <t>Listing 19</t>
  </si>
  <si>
    <t>DK-BRO-COM</t>
  </si>
  <si>
    <t>B0GSBGT96J</t>
  </si>
  <si>
    <t>Current Review Count: 676</t>
  </si>
  <si>
    <t>BAG-ZIPLOCK-1010-100</t>
  </si>
  <si>
    <t>B0BSL34F8D</t>
  </si>
  <si>
    <t>LB-BROTHER02F1001</t>
  </si>
  <si>
    <t>B01LWN8YZA</t>
  </si>
  <si>
    <t>810115970705</t>
  </si>
  <si>
    <t>BAG-ZIPLOCK-1212-100</t>
  </si>
  <si>
    <t>B089N61TG3</t>
  </si>
  <si>
    <t>LB-BROTHER-DK1204</t>
  </si>
  <si>
    <t>0.66" X 2.1"</t>
  </si>
  <si>
    <t>B07PGX5NLK</t>
  </si>
  <si>
    <t>810115970668</t>
  </si>
  <si>
    <t>BAG-ZIPLOCK-1218-100</t>
  </si>
  <si>
    <t>B089NBP8YG</t>
  </si>
  <si>
    <t>LB-BROTHER-DK1221</t>
  </si>
  <si>
    <t>0.9” Square</t>
  </si>
  <si>
    <t>B07PFRR9KH</t>
  </si>
  <si>
    <t>810115970699</t>
  </si>
  <si>
    <t>BAG-ZIPLOCK-1315-100</t>
  </si>
  <si>
    <t>B06Y1QSXHB</t>
  </si>
  <si>
    <t>LB-BROTHER-DK1201-10F</t>
  </si>
  <si>
    <t>B0GGNFK12P</t>
  </si>
  <si>
    <t>BAG-ZIPLOCK-1414-100</t>
  </si>
  <si>
    <t>B0G4Y118CW</t>
  </si>
  <si>
    <t>LB-BROTHER-DK1202-10F</t>
  </si>
  <si>
    <t>B0GGLGQQXM</t>
  </si>
  <si>
    <t>BAG-ZIPLOCK-1424-100</t>
  </si>
  <si>
    <t>B0BSL5C8LQ</t>
  </si>
  <si>
    <t>LB-BROTHER-DK1209-10F</t>
  </si>
  <si>
    <t>B0GGNFK12Q</t>
  </si>
  <si>
    <t>BAG-ZIPLOCK-1616-100</t>
  </si>
  <si>
    <t>B0G4ZYY4JZ</t>
  </si>
  <si>
    <t>BAG-ZIPLOCK-1620-100</t>
  </si>
  <si>
    <t>B0BSL3HG9P</t>
  </si>
  <si>
    <t>Listing 20</t>
  </si>
  <si>
    <t>LB-DT-CLR</t>
  </si>
  <si>
    <t>B0CMKGGW1Y</t>
  </si>
  <si>
    <t>Current Review Count: 232</t>
  </si>
  <si>
    <t>BAG-ZIPLOCK-1824-100-NEW</t>
  </si>
  <si>
    <t>B0GTF21H48</t>
  </si>
  <si>
    <t>LB-DT0102-CLR-01</t>
  </si>
  <si>
    <t>1" X 2"</t>
  </si>
  <si>
    <t>B0CMFTSCFX</t>
  </si>
  <si>
    <t>BAG-ZIPLOCK-2424-100</t>
  </si>
  <si>
    <t>B0GTDWHWC1</t>
  </si>
  <si>
    <t>LB-DT01F03F-CLR-01</t>
  </si>
  <si>
    <t>1.25" X 3.5"</t>
  </si>
  <si>
    <t>B0CMFWMX2L</t>
  </si>
  <si>
    <t>LB-DT0203-CLR-01</t>
  </si>
  <si>
    <t>B0CMG86M2X</t>
  </si>
  <si>
    <t>BAG_ZIP-1000_GROUP15</t>
  </si>
  <si>
    <t>B0H2J9TH5T</t>
  </si>
  <si>
    <t>rating drop from 4.7 , 1856</t>
  </si>
  <si>
    <t>Current Review Count: 658</t>
  </si>
  <si>
    <t>LB-DT0204-CLR-01</t>
  </si>
  <si>
    <t>B0CMFVV92Q</t>
  </si>
  <si>
    <t>BAG-ZIP-0707</t>
  </si>
  <si>
    <t>7" X 7"</t>
  </si>
  <si>
    <t>B0BSMDQG82</t>
  </si>
  <si>
    <t>LB-DT0305-CLR-01</t>
  </si>
  <si>
    <t>B0CMFTQR6D</t>
  </si>
  <si>
    <t>BAG-ZIP-0808</t>
  </si>
  <si>
    <t>8" X 8"</t>
  </si>
  <si>
    <t>B089N4JSYL</t>
  </si>
  <si>
    <t>LB-DTC01-CLR-01</t>
  </si>
  <si>
    <t>1" Circle</t>
  </si>
  <si>
    <t>B0CMFQ61N2</t>
  </si>
  <si>
    <t>BAG-ZIP-0306</t>
  </si>
  <si>
    <t>B089NBFSWT</t>
  </si>
  <si>
    <t>LB-DTC01P-CLR-01</t>
  </si>
  <si>
    <t>B0CMFZLB6L</t>
  </si>
  <si>
    <t>BAG-ZIP-0404</t>
  </si>
  <si>
    <t>B089NKTL9J</t>
  </si>
  <si>
    <t>LB-CLR-0609</t>
  </si>
  <si>
    <t>B0G3T3T38B</t>
  </si>
  <si>
    <t>BAG-ZIP-0408</t>
  </si>
  <si>
    <t>B089N4R57M</t>
  </si>
  <si>
    <t>LB-CLR-0406</t>
  </si>
  <si>
    <t>B0G3TJ17QL</t>
  </si>
  <si>
    <t>BAG-ZIP-0505</t>
  </si>
  <si>
    <t>B0BSMXW9JV</t>
  </si>
  <si>
    <t>LB-CLR-0202</t>
  </si>
  <si>
    <t>B0G3T1DZ66</t>
  </si>
  <si>
    <t>BAG-ZIP-0510</t>
  </si>
  <si>
    <t>5" X 10"</t>
  </si>
  <si>
    <t>B0BSMQTRM4</t>
  </si>
  <si>
    <t>LB-CLR-0102F</t>
  </si>
  <si>
    <t>1" X 2.625"</t>
  </si>
  <si>
    <t>B0G3SSFKRT</t>
  </si>
  <si>
    <t>BAG-ZIP-0606</t>
  </si>
  <si>
    <t>B089NHLQ3J</t>
  </si>
  <si>
    <t>LB-CLR-01F00F</t>
  </si>
  <si>
    <t>B0G3TJDKCN</t>
  </si>
  <si>
    <t>BAG-ZIP-0610</t>
  </si>
  <si>
    <t>6" X 10"</t>
  </si>
  <si>
    <t>B089N4R58K</t>
  </si>
  <si>
    <t>Listing 21</t>
  </si>
  <si>
    <t>LB-3X5WARN</t>
  </si>
  <si>
    <t>B0GT63QZHV</t>
  </si>
  <si>
    <t>Warning labels</t>
  </si>
  <si>
    <t>Current Review Count: 78</t>
  </si>
  <si>
    <t>Current Review Count: 390</t>
  </si>
  <si>
    <t>LB-WARN-00004</t>
  </si>
  <si>
    <t>This Side Up</t>
  </si>
  <si>
    <t>B0CMFQTSHL</t>
  </si>
  <si>
    <t>BAG-ZIPLOCK-0208-100</t>
  </si>
  <si>
    <t>B0GHSZBG74</t>
  </si>
  <si>
    <t>Product Specs Issue</t>
  </si>
  <si>
    <t>1"L x 1"W x 1"H</t>
  </si>
  <si>
    <t>LB-WARN-00007</t>
  </si>
  <si>
    <t>Caution Heavy</t>
  </si>
  <si>
    <t>B0CMFHGJCY</t>
  </si>
  <si>
    <t>BAG-ZIPLOCK-0212-100</t>
  </si>
  <si>
    <t>B0GHT7DZBF</t>
  </si>
  <si>
    <t>LB-WARN-00012</t>
  </si>
  <si>
    <t>Do Not Stack</t>
  </si>
  <si>
    <t>B0CMG4HMG4</t>
  </si>
  <si>
    <t>BAG-ZIPLOCK-0306-100</t>
  </si>
  <si>
    <t>B0GHT49Y2B</t>
  </si>
  <si>
    <t>LB-WARN-00015</t>
  </si>
  <si>
    <t>Do Not Break Stretch Wrap</t>
  </si>
  <si>
    <t>B0CMFGR4BK</t>
  </si>
  <si>
    <t>BAG-ZIPLOCK-0408-100</t>
  </si>
  <si>
    <t>B0GHT91K7V</t>
  </si>
  <si>
    <t>LB-WARN-00021</t>
  </si>
  <si>
    <t>Do Not Double Stack Bilingual English Spanish</t>
  </si>
  <si>
    <t>B0G3T52NF1</t>
  </si>
  <si>
    <t>BAG-ZIPLOCK-0410-100</t>
  </si>
  <si>
    <t>B0GHSVXNTM</t>
  </si>
  <si>
    <t>LB-WARN-00024</t>
  </si>
  <si>
    <t>Do Not Break Down Skid</t>
  </si>
  <si>
    <t>B0G3TSMJX2</t>
  </si>
  <si>
    <t>BAG-ZIPLOCK-0512-100</t>
  </si>
  <si>
    <t>B0GHSWKVYN</t>
  </si>
  <si>
    <t>LB-WARN-00026</t>
  </si>
  <si>
    <t>Top Load Only - This Side Up</t>
  </si>
  <si>
    <t>B0G3T1FN8K</t>
  </si>
  <si>
    <t>BAG-ZIP-0609-100</t>
  </si>
  <si>
    <t>B07XTDF6T8</t>
  </si>
  <si>
    <t>LB-WARN-00027</t>
  </si>
  <si>
    <t>Do Not Inventory</t>
  </si>
  <si>
    <t>B0G3TLKRF6</t>
  </si>
  <si>
    <t>BAG-ZIPLOCK-0612-100</t>
  </si>
  <si>
    <t>B0GHSV25Y8</t>
  </si>
  <si>
    <t>LB-WARN-00037</t>
  </si>
  <si>
    <t>Mixed Pallet</t>
  </si>
  <si>
    <t>B0G3SZW1X8</t>
  </si>
  <si>
    <t>BAG-ZIPLOCK-0618-100</t>
  </si>
  <si>
    <t>B0GHTDNFC4</t>
  </si>
  <si>
    <t>LB-WARN-00038</t>
  </si>
  <si>
    <t>Skid Of</t>
  </si>
  <si>
    <t>B0G3SSY6T2</t>
  </si>
  <si>
    <t>LB-WARN-00042</t>
  </si>
  <si>
    <t>Packing List Enclosed</t>
  </si>
  <si>
    <t>B0G3T4GT1Y</t>
  </si>
  <si>
    <t>Current Review Count: 689</t>
  </si>
  <si>
    <t>LB-WARN-00044</t>
  </si>
  <si>
    <t>Fragile Handle with Care</t>
  </si>
  <si>
    <t>B0G3TM5T2B</t>
  </si>
  <si>
    <t>BAG-ZIPLOCK-0404-100</t>
  </si>
  <si>
    <t>B0GHTCCY31</t>
  </si>
  <si>
    <t>BAG-ZIPLOCK-0405-100</t>
  </si>
  <si>
    <t>B0GHT7SXJ4</t>
  </si>
  <si>
    <t>Listing 22</t>
  </si>
  <si>
    <t>LB-WARN-P02</t>
  </si>
  <si>
    <t>B0GT62J6CV</t>
  </si>
  <si>
    <t>Current Review Count: 19</t>
  </si>
  <si>
    <t>BAG-ZIPLOCK-0407-100</t>
  </si>
  <si>
    <t>B0GHTDBSJK</t>
  </si>
  <si>
    <t>LB-WARN-00009</t>
  </si>
  <si>
    <t>Biohazard</t>
  </si>
  <si>
    <t>B0CMFZR6PW</t>
  </si>
  <si>
    <t>BAG-ZIPLOCK-0505-100</t>
  </si>
  <si>
    <t>B0GHT1YRTJ</t>
  </si>
  <si>
    <t>LB-WARN-00013</t>
  </si>
  <si>
    <t>Keep Refrigerated</t>
  </si>
  <si>
    <t>B0CMFX8X6V</t>
  </si>
  <si>
    <t>BAG-ZIPLOCK-0508-100</t>
  </si>
  <si>
    <t>B0GHTD3XB3</t>
  </si>
  <si>
    <t>LB-WARN-00022</t>
  </si>
  <si>
    <t>Keep Frozen</t>
  </si>
  <si>
    <t>B0G3SWTSPN</t>
  </si>
  <si>
    <t>BAG-ZIPLOCK-0606-100</t>
  </si>
  <si>
    <t>B0GHTC2G7W</t>
  </si>
  <si>
    <t>LB-WARN-00028</t>
  </si>
  <si>
    <t>Corrosive</t>
  </si>
  <si>
    <t>B0G3TLG9NJ</t>
  </si>
  <si>
    <t>BAG-ZIPLOCK-0610-100</t>
  </si>
  <si>
    <t>B0GHSSW4XX</t>
  </si>
  <si>
    <t>LB-WARN-00029</t>
  </si>
  <si>
    <t>Flammable Liquid</t>
  </si>
  <si>
    <t>B0G3TBM25C</t>
  </si>
  <si>
    <t>BAG-ZIPLOCK-0808-100</t>
  </si>
  <si>
    <t>B0GHT9RCFX</t>
  </si>
  <si>
    <t>LB-WARN-00030</t>
  </si>
  <si>
    <t>Miscellaneous Dangerous Goods</t>
  </si>
  <si>
    <t>B0G3TBMCP3</t>
  </si>
  <si>
    <t>BAG-ZIPLOCK-0810-100</t>
  </si>
  <si>
    <t>B06Y19VHHV</t>
  </si>
  <si>
    <t>LB-WARN-00031</t>
  </si>
  <si>
    <t>Dry Ice UN1845 Hazard Class 9</t>
  </si>
  <si>
    <t>B0G3TDBZ2B</t>
  </si>
  <si>
    <t>LB-WARN-00032</t>
  </si>
  <si>
    <t>UN3373 Biological Substance</t>
  </si>
  <si>
    <t>B0G3TB3225</t>
  </si>
  <si>
    <t>2 mil white block zip</t>
  </si>
  <si>
    <t>Current Review Count: 121</t>
  </si>
  <si>
    <t>LB-WARN-00045</t>
  </si>
  <si>
    <t>Non Hazardous Waste</t>
  </si>
  <si>
    <t>B0G3THHSD7</t>
  </si>
  <si>
    <t>BAG-ZIP-0203-BLK</t>
  </si>
  <si>
    <t>B0C4C2DMRK</t>
  </si>
  <si>
    <t>810115979029</t>
  </si>
  <si>
    <t>LB-WARN-00046</t>
  </si>
  <si>
    <t xml:space="preserve">Hazardous Waste </t>
  </si>
  <si>
    <t>B0G3SSL5VL</t>
  </si>
  <si>
    <t>BAG-ZIP-0304-BLK</t>
  </si>
  <si>
    <t>B0C4BW29S3</t>
  </si>
  <si>
    <t>810115978985</t>
  </si>
  <si>
    <t>LB-WARN-00047</t>
  </si>
  <si>
    <t xml:space="preserve">Universal Waste </t>
  </si>
  <si>
    <t>B0G3SQBX2L</t>
  </si>
  <si>
    <t>BAG-ZIP-0305-BLK</t>
  </si>
  <si>
    <t>B0C4BPB3HL</t>
  </si>
  <si>
    <t>810115978992</t>
  </si>
  <si>
    <t>LB-WARN-00048</t>
  </si>
  <si>
    <t>SDS</t>
  </si>
  <si>
    <t>B0G3V26CL8</t>
  </si>
  <si>
    <t>BAG-ZIP-0404-BLK</t>
  </si>
  <si>
    <t>B0G4ZTXNPV</t>
  </si>
  <si>
    <t>BAG-ZIP-0406-BLK</t>
  </si>
  <si>
    <t>B0C4C64N7W</t>
  </si>
  <si>
    <t>810115978978</t>
  </si>
  <si>
    <t>Listing 23</t>
  </si>
  <si>
    <t>LB-WARN-02</t>
  </si>
  <si>
    <t>B0GT5VJHZK</t>
  </si>
  <si>
    <t>Current Review Count: 543</t>
  </si>
  <si>
    <t>BAG-ZIP-0507-BLK</t>
  </si>
  <si>
    <t>B0C4C3XKGC</t>
  </si>
  <si>
    <t>810115979005</t>
  </si>
  <si>
    <t>GC-EK5E-XPRF</t>
  </si>
  <si>
    <t>This Side Up - Fragile</t>
  </si>
  <si>
    <t>B01BIJ6FUU</t>
  </si>
  <si>
    <t>BAG-ZIP-0606-BLK</t>
  </si>
  <si>
    <t>B0G4ZN1Y55</t>
  </si>
  <si>
    <t>LB-WARN-00006</t>
  </si>
  <si>
    <t>Do Not Double Stack</t>
  </si>
  <si>
    <t>B0CMFTFR2T</t>
  </si>
  <si>
    <t>BAG-ZIP-0609-BLK</t>
  </si>
  <si>
    <t>6" X  9"</t>
  </si>
  <si>
    <t>B0C4BYGK1Q</t>
  </si>
  <si>
    <t>810115979012</t>
  </si>
  <si>
    <t>LB-WARN-00008</t>
  </si>
  <si>
    <t>Refrigerate Upon Arrival</t>
  </si>
  <si>
    <t>B0CMFT7BB9</t>
  </si>
  <si>
    <t>BAG-ZIP-0810-BLK</t>
  </si>
  <si>
    <t>B0CKG96J56</t>
  </si>
  <si>
    <t>810115978954</t>
  </si>
  <si>
    <t>LB-WARN-00010</t>
  </si>
  <si>
    <t>Perishable</t>
  </si>
  <si>
    <t>B0CMFWXHD2</t>
  </si>
  <si>
    <t>BAG-ZIP-0912-BLK</t>
  </si>
  <si>
    <t>B0CKGNB3C9</t>
  </si>
  <si>
    <t>810115978961</t>
  </si>
  <si>
    <t>LB-WARN-00011</t>
  </si>
  <si>
    <t>Fragile Liquid</t>
  </si>
  <si>
    <t>B0CMFZNNF1</t>
  </si>
  <si>
    <t>LB-WARN-00014</t>
  </si>
  <si>
    <t>Do Not Open With Sharp Object</t>
  </si>
  <si>
    <t>B0CMFL1YB8</t>
  </si>
  <si>
    <t>6 mil zip bags</t>
  </si>
  <si>
    <t>Current Review Count: 30</t>
  </si>
  <si>
    <t>LB-WARN-00020</t>
  </si>
  <si>
    <t>Live Fish</t>
  </si>
  <si>
    <t>B0G3SM7RRN</t>
  </si>
  <si>
    <t>BAG-ZIP-0305-UHD-100</t>
  </si>
  <si>
    <t>B0G4XY6SWF</t>
  </si>
  <si>
    <t>LB-WARN-00025</t>
  </si>
  <si>
    <t>Live Animals</t>
  </si>
  <si>
    <t>B0G3SZS44J</t>
  </si>
  <si>
    <t>BAG-ZIP-0406-UHD-100</t>
  </si>
  <si>
    <t>B0G4Y1QHQH</t>
  </si>
  <si>
    <t>LB-WARN-00039</t>
  </si>
  <si>
    <t>Mixed Carton</t>
  </si>
  <si>
    <t>B0G3TWFGY3</t>
  </si>
  <si>
    <t>BAG-ZIP-0507-UHD-100</t>
  </si>
  <si>
    <t xml:space="preserve">5" X 7" </t>
  </si>
  <si>
    <t>B0G4XYLW8J</t>
  </si>
  <si>
    <t>LB-WARN-00040</t>
  </si>
  <si>
    <t>Do Not Drop</t>
  </si>
  <si>
    <t>B0G3T86CSR</t>
  </si>
  <si>
    <t>BAG-ZIP-0606-UHD-100</t>
  </si>
  <si>
    <t>B0G4ZTYKYS</t>
  </si>
  <si>
    <t>LB-WARN-00041</t>
  </si>
  <si>
    <t xml:space="preserve">Next Day Air </t>
  </si>
  <si>
    <t>B0G3V23P6D</t>
  </si>
  <si>
    <t>BAG-ZIP-0609-UHD-100</t>
  </si>
  <si>
    <t>B0G4ZZ88J9</t>
  </si>
  <si>
    <t>LB-WARN-00043</t>
  </si>
  <si>
    <t>Freeze Upon Arrival</t>
  </si>
  <si>
    <t>B0G3TPPNHX</t>
  </si>
  <si>
    <t>BAG-ZIP-0810-UHD-100</t>
  </si>
  <si>
    <t>B0G4XY766C</t>
  </si>
  <si>
    <t>BAG-ZIP-0912-UHD-100</t>
  </si>
  <si>
    <t>B0G4XYQFR9</t>
  </si>
  <si>
    <t>Listing 24</t>
  </si>
  <si>
    <t>LB-WARN-GRP12</t>
  </si>
  <si>
    <t>B0GT661Q6X</t>
  </si>
  <si>
    <t>Current Review Count: 414</t>
  </si>
  <si>
    <t>BAG-ZIP-1013-UHD-100</t>
  </si>
  <si>
    <t>B0G4XYQG8S</t>
  </si>
  <si>
    <t>Z9-H1MQ-IPL2</t>
  </si>
  <si>
    <t>Glass - Please Handle</t>
  </si>
  <si>
    <t>B01BIJ6GMW</t>
  </si>
  <si>
    <t>BAG-ZIP-1215-UHD-100</t>
  </si>
  <si>
    <t>B0G4XYQG8R</t>
  </si>
  <si>
    <t>LB-WARN-00005</t>
  </si>
  <si>
    <t>Heavy</t>
  </si>
  <si>
    <t>B0CMFWKHY3</t>
  </si>
  <si>
    <t>BAG-ZIP-1315-UHD-100</t>
  </si>
  <si>
    <t>B0G4ZS5G29</t>
  </si>
  <si>
    <t>LB-WARN-00016</t>
  </si>
  <si>
    <t>MiXed Merchandise</t>
  </si>
  <si>
    <t>B0CMFXQRMQ</t>
  </si>
  <si>
    <t>BAG-ZIP-1318-UHD-100</t>
  </si>
  <si>
    <t>B0G4XWM92W</t>
  </si>
  <si>
    <t>LB-WARN-00017</t>
  </si>
  <si>
    <t>Inspect for Damage Before Accepting</t>
  </si>
  <si>
    <t>B0CMG4SXQB</t>
  </si>
  <si>
    <t>LB-WARN-00018</t>
  </si>
  <si>
    <t xml:space="preserve">Red Arrows This Side Up </t>
  </si>
  <si>
    <t>B0G3T9T62J</t>
  </si>
  <si>
    <t>LB-WARN-00019</t>
  </si>
  <si>
    <t xml:space="preserve">3481 Battery </t>
  </si>
  <si>
    <t>B0G3TLXD2F</t>
  </si>
  <si>
    <t>BAG-ZIP-0305-UHD-1000</t>
  </si>
  <si>
    <t>B0G4XYT4W3</t>
  </si>
  <si>
    <t>LB-WARN-00023</t>
  </si>
  <si>
    <t xml:space="preserve">Please Do Not Double Stack Fragile Thank You </t>
  </si>
  <si>
    <t>B0G3TJDHDD</t>
  </si>
  <si>
    <t>BAG-ZIP-0406-UHD-1000</t>
  </si>
  <si>
    <t>B0G4XYG8TN</t>
  </si>
  <si>
    <t>LB-WARN-00033</t>
  </si>
  <si>
    <t>Fragile Electronic Equipment</t>
  </si>
  <si>
    <t>B0G3TBSS7H</t>
  </si>
  <si>
    <t>BAG-ZIP-0507-UHD-1000</t>
  </si>
  <si>
    <t>B0G4ZKBZQN</t>
  </si>
  <si>
    <t>LB-WARN-00034</t>
  </si>
  <si>
    <t>Do Not Crush</t>
  </si>
  <si>
    <t>B0G3SWZ4Q7</t>
  </si>
  <si>
    <t>BAG-ZIP-0606-UHD-1000</t>
  </si>
  <si>
    <t>B0G4ZXQRKR</t>
  </si>
  <si>
    <t>LB-WARN-00035</t>
  </si>
  <si>
    <t>Do Not Drop Fragile</t>
  </si>
  <si>
    <t>B0G3T5B184</t>
  </si>
  <si>
    <t>BAG-ZIP-0609-UHD-500</t>
  </si>
  <si>
    <t>B0G4ZZBFZJ</t>
  </si>
  <si>
    <t>LB-WARN-00036</t>
  </si>
  <si>
    <t>High Claim Item</t>
  </si>
  <si>
    <t>B0G3T5CZYL</t>
  </si>
  <si>
    <t>BAG-ZIP-0912-UHD-250</t>
  </si>
  <si>
    <t>B0G4ZY35TV</t>
  </si>
  <si>
    <t>BAG-ZIP-1013-UHD-250</t>
  </si>
  <si>
    <t>B0G4XYNX6M</t>
  </si>
  <si>
    <t>Listing 25</t>
  </si>
  <si>
    <t>WARN500-LB</t>
  </si>
  <si>
    <t>B0H2ZNNF3J</t>
  </si>
  <si>
    <t>BAG-ZIP-1215-UHD-200</t>
  </si>
  <si>
    <t>B0G4XYQQ21</t>
  </si>
  <si>
    <t>LB-WARN-00049</t>
  </si>
  <si>
    <t>Do Not Bend</t>
  </si>
  <si>
    <t>B0GSFMBXBM</t>
  </si>
  <si>
    <t>BAG-ZIP-1315-UHD-200</t>
  </si>
  <si>
    <t>B0G4ZQ5XHJ</t>
  </si>
  <si>
    <t>LB-WARN-00050</t>
  </si>
  <si>
    <t>Fragile 1" X 3"</t>
  </si>
  <si>
    <t>B0GSFMFQQM</t>
  </si>
  <si>
    <t>LB-WARN-00051</t>
  </si>
  <si>
    <t>Glass 1" X 3"</t>
  </si>
  <si>
    <t>B0GSFGPYH5</t>
  </si>
  <si>
    <t>4 mil white block zip</t>
  </si>
  <si>
    <t>Current Review Count: 25</t>
  </si>
  <si>
    <t>LB-WARN-00052</t>
  </si>
  <si>
    <t>Glass 2" X 3"</t>
  </si>
  <si>
    <t>B0GSFDCJPQ</t>
  </si>
  <si>
    <t>BAG-ZIP-0203-BLK-HD-100</t>
  </si>
  <si>
    <t>B0G4ZGVMR9</t>
  </si>
  <si>
    <t>LB-WARN-00053</t>
  </si>
  <si>
    <t>Fragile 2" X 3"</t>
  </si>
  <si>
    <t>B0GSFSB2ZY</t>
  </si>
  <si>
    <t>BAG-ZIP-0304-BLK-HD-100</t>
  </si>
  <si>
    <t>B0G4ZHKKLZ</t>
  </si>
  <si>
    <t>6T-RVBP-3QLV</t>
  </si>
  <si>
    <t>Moving Labels</t>
  </si>
  <si>
    <t>B01GJGJLIU</t>
  </si>
  <si>
    <t>BAG-ZIP-0305-BLK-HD-100</t>
  </si>
  <si>
    <t>B0G4XZ1TVT</t>
  </si>
  <si>
    <t>BAG-ZIP-0406-BLK-HD-100</t>
  </si>
  <si>
    <t>B0G4ZMZ4TP</t>
  </si>
  <si>
    <t>Listing 26</t>
  </si>
  <si>
    <t>WARN1000-LB</t>
  </si>
  <si>
    <t>B0H2ZP6J6V</t>
  </si>
  <si>
    <t>BAG-ZIP-0609-BLK-HD-100</t>
  </si>
  <si>
    <t xml:space="preserve">6" X 9" </t>
  </si>
  <si>
    <t>B0G4XYYPQW</t>
  </si>
  <si>
    <t>LB-WARN-00049-10</t>
  </si>
  <si>
    <t>B0GSFVXKPL</t>
  </si>
  <si>
    <t>BAG-ZIP-0404-BLK-HD-100</t>
  </si>
  <si>
    <t>LB-WARN-00050-10</t>
  </si>
  <si>
    <t>B0GSFQ5TZ1</t>
  </si>
  <si>
    <t>BAG-ZIP-0606-BLK-HD-100</t>
  </si>
  <si>
    <t xml:space="preserve">6" X 6" </t>
  </si>
  <si>
    <t>LB-WARN-00051-10</t>
  </si>
  <si>
    <t>B0GSFL4J47</t>
  </si>
  <si>
    <t>LB-WARN-00052-10</t>
  </si>
  <si>
    <t>B0GSFMBJB2</t>
  </si>
  <si>
    <t>LB-WARN-00053-10</t>
  </si>
  <si>
    <t>B0GSFKPDXF</t>
  </si>
  <si>
    <t>BAG-ZIP-0203-BLK-HD</t>
  </si>
  <si>
    <t>B0G4ZDD4WR</t>
  </si>
  <si>
    <t>BAG-ZIP-0304-BLK-HD</t>
  </si>
  <si>
    <t>B0G4ZZ8Z1M</t>
  </si>
  <si>
    <t>Listing 27</t>
  </si>
  <si>
    <t>LB-LABEL-LS-0202-A-GROUP15</t>
  </si>
  <si>
    <t>B0GQCY98D8</t>
  </si>
  <si>
    <t>Current Star Rating: 4</t>
  </si>
  <si>
    <t>Current Review Count: 36</t>
  </si>
  <si>
    <t>BAG-ZIP-0305-BLK-HD</t>
  </si>
  <si>
    <t>B0G4XXR9NT</t>
  </si>
  <si>
    <t>LB-LABEL-LS-0202-A-100</t>
  </si>
  <si>
    <t>B0FW9F482W</t>
  </si>
  <si>
    <t>BAG-ZIP-0406-BLK-HD</t>
  </si>
  <si>
    <t>B0G4ZV1PTX</t>
  </si>
  <si>
    <t>LB-LABEL-LS-0202-A-250</t>
  </si>
  <si>
    <t>B0FWF5F54F</t>
  </si>
  <si>
    <t>BAG-ZIP-0609-BLK-HD</t>
  </si>
  <si>
    <t>B0G4XXMWRP</t>
  </si>
  <si>
    <t>LB-LABEL-LS-0202-A-30</t>
  </si>
  <si>
    <t>B0FWH9TSSJ</t>
  </si>
  <si>
    <t>BAG-ZIP-0404-BLK-HD</t>
  </si>
  <si>
    <t>B0G4XYZQBT</t>
  </si>
  <si>
    <t>LB-LABEL-LS-0202-A-500</t>
  </si>
  <si>
    <t>B0FWFYWS23</t>
  </si>
  <si>
    <t>BAG-ZIP-0606-BLK-HD</t>
  </si>
  <si>
    <t>B0G4ZK8L5J</t>
  </si>
  <si>
    <t>Listing 28</t>
  </si>
  <si>
    <t>LB-LABEL-LS-0303-A-GROUP16</t>
  </si>
  <si>
    <t>B0GQDGPZRG</t>
  </si>
  <si>
    <t>2 mil hang hole zip</t>
  </si>
  <si>
    <t>Current Review Count: 29</t>
  </si>
  <si>
    <t>LB-LABEL-LS-0303-A-100</t>
  </si>
  <si>
    <t>B0FWH3LLBW</t>
  </si>
  <si>
    <t>BAG-ZIP-0304-HH-100</t>
  </si>
  <si>
    <t>B0G4XY53F7</t>
  </si>
  <si>
    <t>LB-LABEL-LS-0303-A-250</t>
  </si>
  <si>
    <t>B0FWGXWSL9</t>
  </si>
  <si>
    <t>BAG-ZIP-0404-HH-100</t>
  </si>
  <si>
    <t>B0G4XZBQ5T</t>
  </si>
  <si>
    <t>LB-LABEL-LS-0303-A-30</t>
  </si>
  <si>
    <t>B0FWGV2K19</t>
  </si>
  <si>
    <t>BAG-ZIP-0406-HH-100</t>
  </si>
  <si>
    <t>B0G4XXTBJB</t>
  </si>
  <si>
    <t>LB-LABEL-LS-0303-A-500</t>
  </si>
  <si>
    <t>B0FWHCHDTP</t>
  </si>
  <si>
    <t>BAG-ZIP-0505-HH-100</t>
  </si>
  <si>
    <t>B0G4XXWJ63</t>
  </si>
  <si>
    <t>BAG-ZIP-0508-HH-100</t>
  </si>
  <si>
    <t>B0G4XZK36G</t>
  </si>
  <si>
    <t>Listing 29</t>
  </si>
  <si>
    <t>LB-LABEL-LS-0404-A-GROUP17</t>
  </si>
  <si>
    <t>B0GQCNRPY7</t>
  </si>
  <si>
    <t>Current Star Rating: 4.2</t>
  </si>
  <si>
    <t>Current Review Count: 4</t>
  </si>
  <si>
    <t>BAG-ZIP-0606-HH-100</t>
  </si>
  <si>
    <t>B0G4ZQ5HB4</t>
  </si>
  <si>
    <t>LB-LABEL-LS-0404-A-100</t>
  </si>
  <si>
    <t>B0FWH1W9BZ</t>
  </si>
  <si>
    <t>BAG-ZIP-0609-HH-100</t>
  </si>
  <si>
    <t>B0G4XZLK74</t>
  </si>
  <si>
    <t>LB-LABEL-LS-0404-A-250</t>
  </si>
  <si>
    <t>B0FWGXSJMK</t>
  </si>
  <si>
    <t>BAG-ZIP-0912-HH-100</t>
  </si>
  <si>
    <t>B0G4XWKMFQ</t>
  </si>
  <si>
    <t>LB-LABEL-LS-0404-A-30</t>
  </si>
  <si>
    <t>B0FWGQYDPM</t>
  </si>
  <si>
    <t>BAG-ZIP-0304-HH</t>
  </si>
  <si>
    <t>B0G4ZQ6PRJ</t>
  </si>
  <si>
    <t>LB-LABEL-LS-0404-A-500</t>
  </si>
  <si>
    <t>B0FWH37NXC</t>
  </si>
  <si>
    <t>BAG-ZIP-0404-HH</t>
  </si>
  <si>
    <t>B0G4ZGRV44</t>
  </si>
  <si>
    <t>BAG-ZIP-0406-HH</t>
  </si>
  <si>
    <t>B0G4ZDF2XZ</t>
  </si>
  <si>
    <t>Listing 30</t>
  </si>
  <si>
    <t>LB-LABEL-LS-C1F-A-GROUP18</t>
  </si>
  <si>
    <t>B0GQD2WS6T</t>
  </si>
  <si>
    <t>Current Review Count: 33</t>
  </si>
  <si>
    <t>BAG-ZIP-0505-HH</t>
  </si>
  <si>
    <t>B0G4ZSL2V4</t>
  </si>
  <si>
    <t>LB-LABEL-LS-C1F-A-100</t>
  </si>
  <si>
    <t>1.5" Circle</t>
  </si>
  <si>
    <t>B0FWHC3PZH</t>
  </si>
  <si>
    <t>BAG-ZIP-0508-HH</t>
  </si>
  <si>
    <t>B0G4XX9WSD</t>
  </si>
  <si>
    <t>LB-LABEL-LS-C1F-A-250</t>
  </si>
  <si>
    <t>B0FWHJ2586</t>
  </si>
  <si>
    <t>BAG-ZIP-0606-HH</t>
  </si>
  <si>
    <t>B0G4XZC4DP</t>
  </si>
  <si>
    <t>LB-LABEL-LS-C1F-A-30</t>
  </si>
  <si>
    <t>B0FWHBNLL1</t>
  </si>
  <si>
    <t>BAG-ZIP-0609-HH</t>
  </si>
  <si>
    <t>B0G4XX4ZZL</t>
  </si>
  <si>
    <t>LB-LABEL-LS-C1F-A-500</t>
  </si>
  <si>
    <t>B0FWGMZXGZ</t>
  </si>
  <si>
    <t>BAG-ZIP-0912-HH</t>
  </si>
  <si>
    <t>B0G4XZHJPR</t>
  </si>
  <si>
    <t>Listing 31</t>
  </si>
  <si>
    <t>76-BMSW-6CPM</t>
  </si>
  <si>
    <t>B0GXH2G6CZ</t>
  </si>
  <si>
    <t>Current Star Rating: 4.1</t>
  </si>
  <si>
    <t>Current Review Count: 24</t>
  </si>
  <si>
    <t>4 mil hang hole zip</t>
  </si>
  <si>
    <t>Current Star Rating: 5</t>
  </si>
  <si>
    <t>Current Review Count: 3</t>
  </si>
  <si>
    <t>LB-LABEL-LS-0101-A-100</t>
  </si>
  <si>
    <t>B0FWHC7PH4</t>
  </si>
  <si>
    <t>BAG-ZIP-0304-HH-HD-100</t>
  </si>
  <si>
    <t>B0GHT6KZX6</t>
  </si>
  <si>
    <t xml:space="preserve">1 x 1 x 1 </t>
  </si>
  <si>
    <t>LB-LABEL-LS-0101-A-250</t>
  </si>
  <si>
    <t>B0FWH7MMQR</t>
  </si>
  <si>
    <t>BAG-ZIP-0304-HH-HD</t>
  </si>
  <si>
    <t>B0GHSR2FZG</t>
  </si>
  <si>
    <t>LB-LABEL-LS-0101-A-500</t>
  </si>
  <si>
    <t>B0FWHSXLGB</t>
  </si>
  <si>
    <t>BAG-ZIP-0305-HH-HD-100</t>
  </si>
  <si>
    <t>B0GHSZ4LCF</t>
  </si>
  <si>
    <t>LB-LABEL-LS-0101-A-30</t>
  </si>
  <si>
    <t>B0FWHJL6NZ</t>
  </si>
  <si>
    <t>BAG-ZIP-0305-HH-HD</t>
  </si>
  <si>
    <t>B0GHT8RY1W</t>
  </si>
  <si>
    <t>1 x 1 x 1</t>
  </si>
  <si>
    <t>BAG-ZIP-0406-HH-HD-100</t>
  </si>
  <si>
    <t>B0GHT5NT9N</t>
  </si>
  <si>
    <t>Listing 32</t>
  </si>
  <si>
    <t>LB-LABEL-LS-C2-A</t>
  </si>
  <si>
    <t>B0GW9Q3TV4</t>
  </si>
  <si>
    <t>Current Review Count: 28</t>
  </si>
  <si>
    <t>BAG-ZIP-0406-HH-HD</t>
  </si>
  <si>
    <t>B0GHT8YKJX</t>
  </si>
  <si>
    <t>LB-LABEL-LS-C2-A-100</t>
  </si>
  <si>
    <t>2" Circle</t>
  </si>
  <si>
    <t>B0FWLX294M</t>
  </si>
  <si>
    <t>BAG-ZIP-0505-HH-HD-100</t>
  </si>
  <si>
    <t>B0GHT1TH4C</t>
  </si>
  <si>
    <t>LB-LABEL-LS-C2-A-250</t>
  </si>
  <si>
    <t>B0FWLLTC2P</t>
  </si>
  <si>
    <t>BAG-ZIP-0505-HH-HD</t>
  </si>
  <si>
    <t>B0GHT7R26P</t>
  </si>
  <si>
    <t>LB-LABEL-LS-C2-A-500</t>
  </si>
  <si>
    <t>B0FWLS2XQP</t>
  </si>
  <si>
    <t>BAG-ZIP-0508-HH-HD-100</t>
  </si>
  <si>
    <t>B0GHTC2NZT</t>
  </si>
  <si>
    <t>LB-LABEL-LS-C2-A-30</t>
  </si>
  <si>
    <t>B0FWLFN78Q</t>
  </si>
  <si>
    <t>BAG-ZIP-0508-HH-HD</t>
  </si>
  <si>
    <t>B0GHSTY6XX</t>
  </si>
  <si>
    <t>BAG-ZIP-0606-HH-HD-100</t>
  </si>
  <si>
    <t>B0GHT6GCM9</t>
  </si>
  <si>
    <t>Listing 33</t>
  </si>
  <si>
    <t>Current Review Count: 17</t>
  </si>
  <si>
    <t>BAG-ZIP-0606-HH-HD</t>
  </si>
  <si>
    <t>B0GHT43VSJ</t>
  </si>
  <si>
    <t>LB-LABEL-LS-01F00F-100</t>
  </si>
  <si>
    <t>B0GKHFLJF4</t>
  </si>
  <si>
    <t>BAG-ZIP-0609-HH-HD-100</t>
  </si>
  <si>
    <t>B0GHT41CTS</t>
  </si>
  <si>
    <t>LB-LABEL-LS-01F00F-200</t>
  </si>
  <si>
    <t>B0GKHGVZMX</t>
  </si>
  <si>
    <t>BAG-ZIP-0609-HH-HD</t>
  </si>
  <si>
    <t>B0GHT8C2SP</t>
  </si>
  <si>
    <t>LB-LABEL-LS-01F00F-30</t>
  </si>
  <si>
    <t>B0GKHZMPLB</t>
  </si>
  <si>
    <t>LB-LABEL-LS-01F00F-500</t>
  </si>
  <si>
    <t>B0GKHPCD6S</t>
  </si>
  <si>
    <t>Flat bag 1.1 mil</t>
  </si>
  <si>
    <t>Current Review Count: 1155</t>
  </si>
  <si>
    <t>BAG-FLAT-1013-100</t>
  </si>
  <si>
    <t>B0G4XZC6M6</t>
  </si>
  <si>
    <t>Listing 34</t>
  </si>
  <si>
    <t>BAG-FLAT-1015-100</t>
  </si>
  <si>
    <t>10" X 15"</t>
  </si>
  <si>
    <t>B0BSMFMZTD</t>
  </si>
  <si>
    <t>LB-LABEL-LS-01F01-100</t>
  </si>
  <si>
    <t>B0GKHV34LX</t>
  </si>
  <si>
    <t>BAG-FLAT-1215-100</t>
  </si>
  <si>
    <t>B089PVPSDR</t>
  </si>
  <si>
    <t>LB-LABEL-LS-01F01-200</t>
  </si>
  <si>
    <t>B0GKHPLYWK</t>
  </si>
  <si>
    <t>BAG-FLAT-1218-100</t>
  </si>
  <si>
    <t>B089PZ3Q6B</t>
  </si>
  <si>
    <t>LB-LABEL-LS-01F01-30</t>
  </si>
  <si>
    <t>B0GKHM469P</t>
  </si>
  <si>
    <t>BAG-FLAT-1620-100</t>
  </si>
  <si>
    <t>B0BSMPDZWR</t>
  </si>
  <si>
    <t>LB-LABEL-LS-01F01-500</t>
  </si>
  <si>
    <t>B0GKHV7CFV</t>
  </si>
  <si>
    <t>BAG-FLAT-1824-100</t>
  </si>
  <si>
    <t>B089QBN7YH</t>
  </si>
  <si>
    <t>BAG-FLAT-2026-100</t>
  </si>
  <si>
    <t xml:space="preserve">20" X 26" </t>
  </si>
  <si>
    <t>B0G4XX54YM</t>
  </si>
  <si>
    <t>Listing 35</t>
  </si>
  <si>
    <t>Current Star Rating:</t>
  </si>
  <si>
    <t>BAG-FLAT-2424-100</t>
  </si>
  <si>
    <t xml:space="preserve">24" X 24" </t>
  </si>
  <si>
    <t>B0G4XSH37J</t>
  </si>
  <si>
    <t>LB-LABEL-LS-0202-100-NEW</t>
  </si>
  <si>
    <t>B0GKHS31NX</t>
  </si>
  <si>
    <t>LB-LABEL-LS-0202-200</t>
  </si>
  <si>
    <t>B0GKHP9W89</t>
  </si>
  <si>
    <t>BAG-FLAT-200-GROUP18</t>
  </si>
  <si>
    <t>B0GR9VZ8SH</t>
  </si>
  <si>
    <t>LB-LABEL-LS-0202-30-NEW</t>
  </si>
  <si>
    <t>B0GKHV2N4F</t>
  </si>
  <si>
    <t>BAG-FLAT-0912-200</t>
  </si>
  <si>
    <t>B0CKGMPS15</t>
  </si>
  <si>
    <t>LB-LABEL-LS-0202-500-NEW</t>
  </si>
  <si>
    <t>B0GKHZTXSY</t>
  </si>
  <si>
    <t>BAG-FLAT-1015-200</t>
  </si>
  <si>
    <t>B0BSMXYR5B</t>
  </si>
  <si>
    <t>BAG-FLAT-1215-200</t>
  </si>
  <si>
    <t>B0BSMY4SB4</t>
  </si>
  <si>
    <t>Listing 36</t>
  </si>
  <si>
    <t>Current Review Count: 13</t>
  </si>
  <si>
    <t>BAG-FLAT-1218-200</t>
  </si>
  <si>
    <t>B0BSMXYR5C</t>
  </si>
  <si>
    <t>LB-LABEL-LS-02F03F-100</t>
  </si>
  <si>
    <t>2 1/3" X 3 3/8"</t>
  </si>
  <si>
    <t>B0GKHRMC7R</t>
  </si>
  <si>
    <t>BAG-FLAT-1620-200</t>
  </si>
  <si>
    <t>B0BSMXG4PD</t>
  </si>
  <si>
    <t>LB-LABEL-LS-02F03F-200</t>
  </si>
  <si>
    <t>B0GKHLLRXN</t>
  </si>
  <si>
    <t>BAG-FLAT-1824-200</t>
  </si>
  <si>
    <t>B0BSMF9DVM</t>
  </si>
  <si>
    <t>LB-LABEL-LS-02F03F-30</t>
  </si>
  <si>
    <t>B0GKHNPYCD</t>
  </si>
  <si>
    <t>LB-LABEL-LS-02F03F-500</t>
  </si>
  <si>
    <t>B0GKHG4QXP</t>
  </si>
  <si>
    <t>Current Review Count:52</t>
  </si>
  <si>
    <t>BAG-FLAT-0305-1000</t>
  </si>
  <si>
    <t>B0G5BD2GFZ</t>
  </si>
  <si>
    <t>Listing 37</t>
  </si>
  <si>
    <t>BAG-FLAT-0406-1000</t>
  </si>
  <si>
    <t>B0G4XWNLD8</t>
  </si>
  <si>
    <t>LB-LABEL-LS-0302-100</t>
  </si>
  <si>
    <t>B0GKHW15GB</t>
  </si>
  <si>
    <t>BAG-FLAT-0507-1000</t>
  </si>
  <si>
    <t>B0G4XX12TS</t>
  </si>
  <si>
    <t>LB-LABEL-LS-0302-200</t>
  </si>
  <si>
    <t>B0GKHK3W2W</t>
  </si>
  <si>
    <t>BAG-FLAT-0608-1000</t>
  </si>
  <si>
    <t>B0CKG5BMX7</t>
  </si>
  <si>
    <t>LB-LABEL-LS-0302-30</t>
  </si>
  <si>
    <t>B0GKHV2YCS</t>
  </si>
  <si>
    <t>BAG-FLAT-0810-1000</t>
  </si>
  <si>
    <t>B0G4XVGVDG</t>
  </si>
  <si>
    <t>LB-LABEL-LS-0302-500</t>
  </si>
  <si>
    <t>B0GKHL4Y95</t>
  </si>
  <si>
    <t>BAG-FLAT-0912-1000</t>
  </si>
  <si>
    <t>B0CKGDWBCG</t>
  </si>
  <si>
    <t>BAG-FLAT-1012-1000</t>
  </si>
  <si>
    <t>B0G4XX98ZY</t>
  </si>
  <si>
    <t>Listing 38</t>
  </si>
  <si>
    <t>Current Review Count: 16</t>
  </si>
  <si>
    <t>BAG-FLAT-1216-1000</t>
  </si>
  <si>
    <t>12" X 16"</t>
  </si>
  <si>
    <t>B0G4XYPGRQ</t>
  </si>
  <si>
    <t>LB-LABEL-LS-03F00F-100</t>
  </si>
  <si>
    <t>3 7/16" X 2/3"</t>
  </si>
  <si>
    <t>B0GKHP7Y4T</t>
  </si>
  <si>
    <t>LB-LABEL-LS-03F00F-200</t>
  </si>
  <si>
    <t>B0GKHRVTBN</t>
  </si>
  <si>
    <t>Current Review Count: 278</t>
  </si>
  <si>
    <t>LB-LABEL-LS-03F00F-30</t>
  </si>
  <si>
    <t>B0GKHZP37T</t>
  </si>
  <si>
    <t>BAG-FLAT-1013-1000</t>
  </si>
  <si>
    <t>B0G4XX5Z3T</t>
  </si>
  <si>
    <t>LB-LABEL-LS-03F00F-500</t>
  </si>
  <si>
    <t>B0GKJ3LV22</t>
  </si>
  <si>
    <t>BAG-FLAT-1015-1000</t>
  </si>
  <si>
    <t>B0BSNB43JB</t>
  </si>
  <si>
    <t>BAG-FLAT-1215-1000</t>
  </si>
  <si>
    <t>B089PVQDHH</t>
  </si>
  <si>
    <t>Listing 39</t>
  </si>
  <si>
    <t>BAG-FLAT-1218-1000</t>
  </si>
  <si>
    <t>B089Q2RPJN</t>
  </si>
  <si>
    <t>Title, bullet 1,3,4,5</t>
  </si>
  <si>
    <t>LB-LABEL-LS-0402F-100</t>
  </si>
  <si>
    <t>B0GKHV34LW</t>
  </si>
  <si>
    <t>BAG-FLAT-1620-500</t>
  </si>
  <si>
    <t>B0BSN9SZQS</t>
  </si>
  <si>
    <t>LB-LABEL-LS-0402F-200</t>
  </si>
  <si>
    <t>B0GKHWRPD9</t>
  </si>
  <si>
    <t>BAG-FLAT-1824-500</t>
  </si>
  <si>
    <t>B089PZPJZ2</t>
  </si>
  <si>
    <t>LB-LABEL-LS-0402F-30</t>
  </si>
  <si>
    <t>B0GKHL1WQQ</t>
  </si>
  <si>
    <t>BAG-FLAT-2026-500</t>
  </si>
  <si>
    <t>20" X 26"</t>
  </si>
  <si>
    <t>B0G4XTRF6J</t>
  </si>
  <si>
    <t>LB-LABEL-LS-0402F-500</t>
  </si>
  <si>
    <t>B0GKHNN3CX</t>
  </si>
  <si>
    <t>BAG-FLAT-2424-500</t>
  </si>
  <si>
    <t>B0G4XV7LSD</t>
  </si>
  <si>
    <t>Listing 40</t>
  </si>
  <si>
    <t>SPAR-16M-FOB</t>
  </si>
  <si>
    <t>B0GW4BHHB5</t>
  </si>
  <si>
    <t>Flat bag 1.6 mil</t>
  </si>
  <si>
    <t>LB-LABEL-LS-0404-100-NEW</t>
  </si>
  <si>
    <t>B0GKHW3QD1</t>
  </si>
  <si>
    <t>BAG-FLAT-16M-3652-100</t>
  </si>
  <si>
    <t>36" x 52"</t>
  </si>
  <si>
    <t>B0GTDX2LTB</t>
  </si>
  <si>
    <t>LB-LABEL-LS-0404-200</t>
  </si>
  <si>
    <t>B0GKHVRFJ4</t>
  </si>
  <si>
    <t>BAG-FLAT-16M-2030-100</t>
  </si>
  <si>
    <t>20" x 30"</t>
  </si>
  <si>
    <t>B0GTDYB7R8</t>
  </si>
  <si>
    <t>LB-LABEL-LS-0404-30-NEW</t>
  </si>
  <si>
    <t>B0GKHQKCXR</t>
  </si>
  <si>
    <t>BAG-FLAT-16M-3040-100</t>
  </si>
  <si>
    <t>30" x 40"</t>
  </si>
  <si>
    <t>B0GTDZ9RTD</t>
  </si>
  <si>
    <t>LB-LABEL-LS-0404-500-NEW</t>
  </si>
  <si>
    <t>B0GKHSCVD3</t>
  </si>
  <si>
    <t>incorrect anatomy image</t>
  </si>
  <si>
    <t>BAG-FLAT-16M-2436-100</t>
  </si>
  <si>
    <t>24" x 36"</t>
  </si>
  <si>
    <t>B0GTDZ4LH1</t>
  </si>
  <si>
    <t>BAG-FLAT-16M-3652-10</t>
  </si>
  <si>
    <t>B0GTF4MQ6V</t>
  </si>
  <si>
    <t>Listing 41</t>
  </si>
  <si>
    <t>Current Review Count: 14</t>
  </si>
  <si>
    <t>BAG-FLAT-16M-2030-10</t>
  </si>
  <si>
    <t>B0GTF42QTP</t>
  </si>
  <si>
    <t>LB-LABEL-LS-0405-100</t>
  </si>
  <si>
    <t>B0GKHZCYSH</t>
  </si>
  <si>
    <t>BAG-FLAT-16M-3040-10</t>
  </si>
  <si>
    <t>B0GTDXQ499</t>
  </si>
  <si>
    <t>LB-LABEL-LS-0405-200</t>
  </si>
  <si>
    <t>B0GKHL8M1N</t>
  </si>
  <si>
    <t>BAG-FLAT-16M-2436-10</t>
  </si>
  <si>
    <t>B0GTF2D5K8</t>
  </si>
  <si>
    <t>LB-LABEL-LS-0405-30</t>
  </si>
  <si>
    <t>B0GKHV2YCR</t>
  </si>
  <si>
    <t>LB-LABEL-LS-0405-500</t>
  </si>
  <si>
    <t>B0GKHVK8YX</t>
  </si>
  <si>
    <t>BAG-FLAT-GROUP31</t>
  </si>
  <si>
    <t>B0H2N3TYRZ</t>
  </si>
  <si>
    <t>Flat bag 2 mil</t>
  </si>
  <si>
    <t>Current Review Count: 68</t>
  </si>
  <si>
    <t>BAG-FLAT-2M-0312-1000</t>
  </si>
  <si>
    <t>B0BSP165R5</t>
  </si>
  <si>
    <t>BAG-FLAT-2M-0824-500</t>
  </si>
  <si>
    <t>8" X 24"</t>
  </si>
  <si>
    <t>B0BSP5S2S6</t>
  </si>
  <si>
    <t>BAG-FLAT-2M-0412-1000</t>
  </si>
  <si>
    <t>4" X 12"</t>
  </si>
  <si>
    <t>B0BSP2KMNP</t>
  </si>
  <si>
    <t>BAG-FLAT-2M-0416-1000</t>
  </si>
  <si>
    <t>4" X 16"</t>
  </si>
  <si>
    <t>B0BSP47CD1</t>
  </si>
  <si>
    <t>BAG-FLAT-2M-0418-1000</t>
  </si>
  <si>
    <t>4" X 18"</t>
  </si>
  <si>
    <t>B0BSP3C954</t>
  </si>
  <si>
    <t>BAG-FLAT-2M-0624-1000</t>
  </si>
  <si>
    <t>6" X 24"</t>
  </si>
  <si>
    <t>B0BSP2S23B</t>
  </si>
  <si>
    <t>Current Review Count: 125</t>
  </si>
  <si>
    <t>BAG-FLAT-2M-1015-500</t>
  </si>
  <si>
    <t>B0BSP4DRN8</t>
  </si>
  <si>
    <t>BAG-FLAT-2M-1215-500</t>
  </si>
  <si>
    <t>B0BSP5SF3X</t>
  </si>
  <si>
    <t>bullets 1, 2, 3, ,5</t>
  </si>
  <si>
    <t>BAG-FLAT-2M-1218-500</t>
  </si>
  <si>
    <t>B0BSP3VCG5</t>
  </si>
  <si>
    <t>BAG-FLAT-2M-1824-250</t>
  </si>
  <si>
    <t>B0BSP5PGXG</t>
  </si>
  <si>
    <t>BAG-FLAT-2M-0305-1000</t>
  </si>
  <si>
    <t>B0CKGL1C9S</t>
  </si>
  <si>
    <t>BAG-FLAT-2M-0406-1000</t>
  </si>
  <si>
    <t>B0BSP2FJ9F</t>
  </si>
  <si>
    <t>BAG-FLAT-2M-0507-1000-NEW</t>
  </si>
  <si>
    <t>B0C4BYZZ5B</t>
  </si>
  <si>
    <t>BAG-FLAT-2M-0608-1000</t>
  </si>
  <si>
    <t>B0C4C3FJC8</t>
  </si>
  <si>
    <t>BAG-FLAT-2M-0810-1000</t>
  </si>
  <si>
    <t>B0G4XZLKM8</t>
  </si>
  <si>
    <t>BAG-FLAT-2M-0912-1000-NEW</t>
  </si>
  <si>
    <t>B0C4BYRMXG</t>
  </si>
  <si>
    <t>BAG-FLAT-2M-2030-200</t>
  </si>
  <si>
    <t>20" X 30"</t>
  </si>
  <si>
    <t>B0CKG5C2V3</t>
  </si>
  <si>
    <t>BAG-FLAT-2M-100-GROUP21</t>
  </si>
  <si>
    <t>B0GPRH2CHZ</t>
  </si>
  <si>
    <t>Current Review Count: 175</t>
  </si>
  <si>
    <t>BAG-FLAT-2M-0412-100</t>
  </si>
  <si>
    <t>B0BSP5SG3M</t>
  </si>
  <si>
    <t>BAG-FLAT-2M-0416-100</t>
  </si>
  <si>
    <t>B0BSP54M1K</t>
  </si>
  <si>
    <t>BAG-FLAT-2M-0418-100</t>
  </si>
  <si>
    <t>B0BSP3M4YV</t>
  </si>
  <si>
    <t>BAG-FLAT-2M-0624-100</t>
  </si>
  <si>
    <t>B0BSP3L3Z1</t>
  </si>
  <si>
    <t>BAG-FLAT-2M-0824-100</t>
  </si>
  <si>
    <t>B0BSP43F31</t>
  </si>
  <si>
    <t>Current Review Count: 211</t>
  </si>
  <si>
    <t>BAG-FLAT-2M-1015-100</t>
  </si>
  <si>
    <t>B0BSP4MN73</t>
  </si>
  <si>
    <t>BAG-FLAT-2M-1215-100</t>
  </si>
  <si>
    <t>B0BSP4RTPC</t>
  </si>
  <si>
    <t>BAG-FLAT-2M-1218-100</t>
  </si>
  <si>
    <t>B0BSP432RK</t>
  </si>
  <si>
    <t>BAG-FLAT-2M-1824-100</t>
  </si>
  <si>
    <t>B0BSP4RHX5</t>
  </si>
  <si>
    <t>BAG-FLAT-2M-2030-100</t>
  </si>
  <si>
    <t>B0CKGDV79F</t>
  </si>
  <si>
    <t>BAG-FLAT-2M-2436-100</t>
  </si>
  <si>
    <t>24" X 36"</t>
  </si>
  <si>
    <t>B0BSP4DP7Y</t>
  </si>
  <si>
    <t>BAG-FLAT-2M-3040-100</t>
  </si>
  <si>
    <t>30" X 40"</t>
  </si>
  <si>
    <t>B0G4Y1LY2K</t>
  </si>
  <si>
    <t>BAG-FLAT-2M-3648-50</t>
  </si>
  <si>
    <t>36" X 48"</t>
  </si>
  <si>
    <t>B0G4XZ111H</t>
  </si>
  <si>
    <t>BAG-FLAT-2M-4060-50</t>
  </si>
  <si>
    <t>40" X 60"</t>
  </si>
  <si>
    <t>B0G4XYNQ49</t>
  </si>
  <si>
    <t>BAG-FLAT-2M-4848-50</t>
  </si>
  <si>
    <t>48" X 48"</t>
  </si>
  <si>
    <t>B0G4ZDF3XT</t>
  </si>
  <si>
    <t>SPAR-2M-FOBT</t>
  </si>
  <si>
    <t>B0GW41YHBK</t>
  </si>
  <si>
    <t>Flat bag 2 mil with ties</t>
  </si>
  <si>
    <t>BAG-FLAT-2M-4060-10T</t>
  </si>
  <si>
    <t>40" x 60"</t>
  </si>
  <si>
    <t>B0GTF232WQ</t>
  </si>
  <si>
    <t>BAG-FLAT-2M-4668-10T</t>
  </si>
  <si>
    <t>46" x 68"</t>
  </si>
  <si>
    <t>B0GTDS8X7V</t>
  </si>
  <si>
    <t>BAG-FLAT-2M-4848-10T</t>
  </si>
  <si>
    <t>48" x 48"</t>
  </si>
  <si>
    <t>B0GTDZHR95</t>
  </si>
  <si>
    <t>BAG-FLAT-2M-3648-10T</t>
  </si>
  <si>
    <t>36" x 48"</t>
  </si>
  <si>
    <t>B0GTF39W6Q</t>
  </si>
  <si>
    <t>BAG-FLAT-2M-4060-50T</t>
  </si>
  <si>
    <t>B0GTDSYLL2</t>
  </si>
  <si>
    <t>BAG-FLAT-2M-4666-50T</t>
  </si>
  <si>
    <t>46" x 66"</t>
  </si>
  <si>
    <t>B0GTDZQ56L</t>
  </si>
  <si>
    <t>BAG-FLAT-2M-4848-50T</t>
  </si>
  <si>
    <t>B0GTF3TNRV</t>
  </si>
  <si>
    <t>BAG-FLAT-2M-3648-50T</t>
  </si>
  <si>
    <t>B0GTDV83FW</t>
  </si>
  <si>
    <t>04-RFYA-CPVH</t>
  </si>
  <si>
    <t>B0BNTRDMPQ</t>
  </si>
  <si>
    <t>Frosted slider</t>
  </si>
  <si>
    <t>Rating drop from 4.5 to 4.4</t>
  </si>
  <si>
    <t>Current Review Count: 186</t>
  </si>
  <si>
    <t>BAG-SLIDE-0609</t>
  </si>
  <si>
    <t>B0CKG7MFGM</t>
  </si>
  <si>
    <t>BAG-SLIDE-0609-100</t>
  </si>
  <si>
    <t>B0CKFN3BGW</t>
  </si>
  <si>
    <t>BAG-SLIDE-0810-100</t>
  </si>
  <si>
    <t>B0CKGH65VQ</t>
  </si>
  <si>
    <t>BAG-SLIDE-0810-500</t>
  </si>
  <si>
    <t>B0CKGDRVG5</t>
  </si>
  <si>
    <t>BAG-SLIDE-0912-100</t>
  </si>
  <si>
    <t>B0BNT76X5J</t>
  </si>
  <si>
    <t>BAG-SLIDE-0912-500</t>
  </si>
  <si>
    <t>B0BNTJ887V</t>
  </si>
  <si>
    <t>BAG-SLIDE-1013-100</t>
  </si>
  <si>
    <t>B0BNSRHSCR</t>
  </si>
  <si>
    <t>BAG-SLIDE-1013-500</t>
  </si>
  <si>
    <t>B0BNTKCMZG</t>
  </si>
  <si>
    <t>BAG-SLIDE-1114-100</t>
  </si>
  <si>
    <t>B0BNSZDKGQ</t>
  </si>
  <si>
    <t>BAG-SLIDE-1114-500</t>
  </si>
  <si>
    <t>B0BNTGTFFQ</t>
  </si>
  <si>
    <t>BAG-SLIDE-1215-100</t>
  </si>
  <si>
    <t>B0BNT4T5HC</t>
  </si>
  <si>
    <t>BAG-SLIDE-1215-250</t>
  </si>
  <si>
    <t>B0BNTGPB3T</t>
  </si>
  <si>
    <t>BAG-SLIDE-1318-100</t>
  </si>
  <si>
    <t>B0BNT6Y9D4</t>
  </si>
  <si>
    <t>BAG-SLIDE-1318-250</t>
  </si>
  <si>
    <t>B0BNTFTG3L</t>
  </si>
  <si>
    <t>BAG-SLIDE-1420-100</t>
  </si>
  <si>
    <t>B0BNTCPX3R</t>
  </si>
  <si>
    <t>BAG-SLIDE-1420-250</t>
  </si>
  <si>
    <t>B0BNTNQDSB</t>
  </si>
  <si>
    <t>BAG-SLIDE-1624-100</t>
  </si>
  <si>
    <t>B0CKG3DMHX</t>
  </si>
  <si>
    <t>BAG-SLIDE-1624-200</t>
  </si>
  <si>
    <t>B0CKG9P1VN</t>
  </si>
  <si>
    <t>CELLO-BAG-O-1</t>
  </si>
  <si>
    <t>B0GWR6DWP2</t>
  </si>
  <si>
    <t>Cello reinforced</t>
  </si>
  <si>
    <t>Current Review Count: 13,196</t>
  </si>
  <si>
    <t>BAG-CELLO-O-0912100</t>
  </si>
  <si>
    <t>B07DF7SJJB</t>
  </si>
  <si>
    <t>BAG-CELLO-O-1012100</t>
  </si>
  <si>
    <t>B0BY3P49B4</t>
  </si>
  <si>
    <t>BAG-CELLO-O-1013100</t>
  </si>
  <si>
    <t>B07DF6LDM1</t>
  </si>
  <si>
    <t>BAG-CELLO-O-1114100</t>
  </si>
  <si>
    <t>B089PYLVYV</t>
  </si>
  <si>
    <t>BAG-CELLO-O-1215100</t>
  </si>
  <si>
    <t>B07DF8DRY5</t>
  </si>
  <si>
    <t>BAG-CELLO-O-1420100</t>
  </si>
  <si>
    <t>B0BY3QSKCN</t>
  </si>
  <si>
    <t>BAG-CELLO-O-1218100</t>
  </si>
  <si>
    <t>B089PZRSBG</t>
  </si>
  <si>
    <t>BAG-CELLO-O-1012-200</t>
  </si>
  <si>
    <t>B0BXZ4T9M1</t>
  </si>
  <si>
    <t>Non-Combined Reviews</t>
  </si>
  <si>
    <t>BAG-CELLO-O-1</t>
  </si>
  <si>
    <t>B0C5NQCZ3W</t>
  </si>
  <si>
    <t>Current Review Count: 602</t>
  </si>
  <si>
    <t>BAG-CELLO-O-0912-1000</t>
  </si>
  <si>
    <t>B07DFCKP3W</t>
  </si>
  <si>
    <t>BAG-CELLO-O-1012-1000</t>
  </si>
  <si>
    <t>B0BSWVVNG9</t>
  </si>
  <si>
    <t>BAG-CELLO-O-1013-1000</t>
  </si>
  <si>
    <t>B07DF85PNG</t>
  </si>
  <si>
    <t>bullet 3</t>
  </si>
  <si>
    <t>BAG-CELLO-O-1114-1000</t>
  </si>
  <si>
    <t>B089Q2B119</t>
  </si>
  <si>
    <t>BAG-CELLO-O-1215-1000</t>
  </si>
  <si>
    <t>B07DF8S7PS</t>
  </si>
  <si>
    <t>BAG-CELLO-O-1420-500</t>
  </si>
  <si>
    <t>B0BSXJJ49J</t>
  </si>
  <si>
    <t>AD-MSVG-ZICJ</t>
  </si>
  <si>
    <t>B0BSX3JM3H</t>
  </si>
  <si>
    <t>Cello</t>
  </si>
  <si>
    <t>Current Review Count: 1560</t>
  </si>
  <si>
    <t>BAG-CELLO-O-0208-1000</t>
  </si>
  <si>
    <t>B0BSP778V9</t>
  </si>
  <si>
    <t>BAG-CELLO-O-0210-1000</t>
  </si>
  <si>
    <t>2" X 10"</t>
  </si>
  <si>
    <t>B0BSP86JHQ</t>
  </si>
  <si>
    <t>BAG-CELLO-O-0303-1000</t>
  </si>
  <si>
    <t>B0BSP86CWP</t>
  </si>
  <si>
    <t>BAG-CELLO-O-0304-1000</t>
  </si>
  <si>
    <t>B089Q1VT7H</t>
  </si>
  <si>
    <t>BAG-CELLO-O-0305-1000</t>
  </si>
  <si>
    <t>B07V5BHXPS</t>
  </si>
  <si>
    <t>BAG-CELLO-O-0306-1000</t>
  </si>
  <si>
    <t>B0BSP6ZQH8</t>
  </si>
  <si>
    <t>BAG-CELLO-O-0404-1000</t>
  </si>
  <si>
    <t>B0BSP6J4MD</t>
  </si>
  <si>
    <t>BAG-CELLO-O-0406-1000</t>
  </si>
  <si>
    <t>B07V59PYH2</t>
  </si>
  <si>
    <t>BAG-CELLO-O-0407-1000</t>
  </si>
  <si>
    <t>B0BSP6FX1W</t>
  </si>
  <si>
    <t>BAG-CELLO-O-0408-1000</t>
  </si>
  <si>
    <t>B0BSP7WGRF</t>
  </si>
  <si>
    <t>BAG-CELLO-O-5</t>
  </si>
  <si>
    <t>B0C6WJ2LLT</t>
  </si>
  <si>
    <t>Current Review Count: 1852</t>
  </si>
  <si>
    <t>BAG-CELLO-O-0505-1000</t>
  </si>
  <si>
    <t>B0BSP6TQBB</t>
  </si>
  <si>
    <t>BAG-CELLO-O-0507-1000</t>
  </si>
  <si>
    <t>B07V5DRRGR</t>
  </si>
  <si>
    <t>BAG-CELLO-O-0508-1000</t>
  </si>
  <si>
    <t>B0BSP4R472</t>
  </si>
  <si>
    <t>BAG-CELLO-O-0606-1000</t>
  </si>
  <si>
    <t>B0BSP6XCKR</t>
  </si>
  <si>
    <t>BAG-CELLO-O-0608-1000</t>
  </si>
  <si>
    <t>B0BSP6PLX5</t>
  </si>
  <si>
    <t>BAG-CELLO-O-0609-1000</t>
  </si>
  <si>
    <t>B07V5CJ7TG</t>
  </si>
  <si>
    <t>BAG-CELLO-O-0610-1000</t>
  </si>
  <si>
    <t>B0BSP7W45H</t>
  </si>
  <si>
    <t>BAG-CELLO-O-0808-1000</t>
  </si>
  <si>
    <t>B0BSP7SJ11</t>
  </si>
  <si>
    <t>BAG-CELLO-O-0810-1000</t>
  </si>
  <si>
    <t>B07V1QDCW9</t>
  </si>
  <si>
    <t>BAGCELLOPIC-1</t>
  </si>
  <si>
    <t>B0CRBHGH97</t>
  </si>
  <si>
    <t>Current Review Count: 5507</t>
  </si>
  <si>
    <t>BAG-CELLO-O-0305200</t>
  </si>
  <si>
    <t>B07V1Q9Y7V</t>
  </si>
  <si>
    <t>BAG-CELLO-O-0406200</t>
  </si>
  <si>
    <t>B07V3B5D3Z</t>
  </si>
  <si>
    <t>BAG-CELLO-O-0507200</t>
  </si>
  <si>
    <t>B07V59W9JG</t>
  </si>
  <si>
    <t>BAG-CELLO-O-0609200</t>
  </si>
  <si>
    <t>B07V1QB5TC</t>
  </si>
  <si>
    <t>BAG-CELLO-O-0810200</t>
  </si>
  <si>
    <t>B07V5BXQKP</t>
  </si>
  <si>
    <t>Listing 42</t>
  </si>
  <si>
    <t>BAG-CELLO-O-3</t>
  </si>
  <si>
    <t>B0C5NZCBXW</t>
  </si>
  <si>
    <t>Current Review Count: 5853</t>
  </si>
  <si>
    <t>BAG-CELLO-O-0912200</t>
  </si>
  <si>
    <t>B07DF9TXRM</t>
  </si>
  <si>
    <t>BAG-CELLO-O-1012200</t>
  </si>
  <si>
    <t>B0C47FMT9T</t>
  </si>
  <si>
    <t>BAG-CELLO-O-1013200</t>
  </si>
  <si>
    <t>B07DFBCWHQ</t>
  </si>
  <si>
    <t>BAG-CELLO-O-1114200</t>
  </si>
  <si>
    <t>B089PVY7TM</t>
  </si>
  <si>
    <t>BAG-CELLO-O-1215200</t>
  </si>
  <si>
    <t>B07DF9FXTZ</t>
  </si>
  <si>
    <t>BAG-CELLO-O-1218200</t>
  </si>
  <si>
    <t>B089Q8TZWX</t>
  </si>
  <si>
    <t>BAG-CELLO-O-1420200</t>
  </si>
  <si>
    <t>B0C47FSLGC</t>
  </si>
  <si>
    <t>Listing 43</t>
  </si>
  <si>
    <t>SFW-BAG-RS-P1</t>
  </si>
  <si>
    <t>B0GWRXJD5P</t>
  </si>
  <si>
    <t>Suff bag resealable</t>
  </si>
  <si>
    <t>Current Review Count: 165</t>
  </si>
  <si>
    <t>BAG-SUF-RS-0609</t>
  </si>
  <si>
    <t>B0BSX91NB9</t>
  </si>
  <si>
    <t>BAG-SUF-RS-0810</t>
  </si>
  <si>
    <t>B0BSXC1GNP</t>
  </si>
  <si>
    <t>BAG-SUF-RS-0912</t>
  </si>
  <si>
    <t>B0BSXBMKVY</t>
  </si>
  <si>
    <t>BAG-SUF-RS-1013</t>
  </si>
  <si>
    <t>B0BSX94GJ6</t>
  </si>
  <si>
    <t>BAG-SUF-RS-1114</t>
  </si>
  <si>
    <t>B0BSX9W1NV</t>
  </si>
  <si>
    <t>BAG-SUF-RS-1215-500</t>
  </si>
  <si>
    <t>B0BSX96DPZ</t>
  </si>
  <si>
    <t>BAG-SUF-RS-1218-500</t>
  </si>
  <si>
    <t>B0BSX929H1</t>
  </si>
  <si>
    <t>BAG-SUF-RS-1420-500</t>
  </si>
  <si>
    <t>B0BSX92X53</t>
  </si>
  <si>
    <t>BAG-SUF-RS-1824-250</t>
  </si>
  <si>
    <t>B0BSX91T7T</t>
  </si>
  <si>
    <t>Listing 44</t>
  </si>
  <si>
    <t>SFW-BAG-RS-P1-100</t>
  </si>
  <si>
    <t>B0GWRXCG5L</t>
  </si>
  <si>
    <t>Current Review Count: 195</t>
  </si>
  <si>
    <t>BAG-SUF-RS-0912-100</t>
  </si>
  <si>
    <t>B0BSX8QDXX</t>
  </si>
  <si>
    <t>BAG-SUF-RS-1013-100</t>
  </si>
  <si>
    <t>B0BSX98RSW</t>
  </si>
  <si>
    <t>BAG-SUF-RS-1114-100</t>
  </si>
  <si>
    <t>B0BSX8N7F8</t>
  </si>
  <si>
    <t>BAG-SUF-RS-1215-100</t>
  </si>
  <si>
    <t>B0BSX959V2</t>
  </si>
  <si>
    <t>BAG-SUF-RS-1218-100</t>
  </si>
  <si>
    <t>B0BSX8SR46</t>
  </si>
  <si>
    <t>BAG-SUF-RS-1420-100</t>
  </si>
  <si>
    <t xml:space="preserve">14" X 20" </t>
  </si>
  <si>
    <t>B0BSX9LB97</t>
  </si>
  <si>
    <t>BAG-SUF-RS-1824-100</t>
  </si>
  <si>
    <t>B0BSX9M8RH</t>
  </si>
  <si>
    <t>Listing 45</t>
  </si>
  <si>
    <t>X8-2I86-DN7G</t>
  </si>
  <si>
    <t>B0BSX8QZCZ</t>
  </si>
  <si>
    <t>Current Review Count: 222</t>
  </si>
  <si>
    <t>BAG-SUF-RS-0609-200</t>
  </si>
  <si>
    <t>B0BSX894GQ</t>
  </si>
  <si>
    <t>BAG-SUF-RS-0810-200</t>
  </si>
  <si>
    <t>B0BSX8VH7X</t>
  </si>
  <si>
    <t>BAG-SUF-RS-0912-200</t>
  </si>
  <si>
    <t>B0BSX85C29</t>
  </si>
  <si>
    <t>BAG-SUF-RS-1013-200</t>
  </si>
  <si>
    <t>B0BSX7S1CY</t>
  </si>
  <si>
    <t>BAG-SUF-RS-1114-200</t>
  </si>
  <si>
    <t>B0BSXKB2B1</t>
  </si>
  <si>
    <t>BAG-SUF-RS-1215-200</t>
  </si>
  <si>
    <t>B0BSX7HXQW</t>
  </si>
  <si>
    <t>BAG-SUF-RS-1218-200</t>
  </si>
  <si>
    <t>B0BSXBFX2Q</t>
  </si>
  <si>
    <t>BAG-SUF-RS-1420-200</t>
  </si>
  <si>
    <t>B0BSX8BQHG</t>
  </si>
  <si>
    <t>BAG-SUF-RS-1824-200</t>
  </si>
  <si>
    <t>B0BSX8HY1L</t>
  </si>
  <si>
    <t>Listing 46</t>
  </si>
  <si>
    <t>BAG-SUF-200-GROUP31</t>
  </si>
  <si>
    <t>B0GLJDWP23</t>
  </si>
  <si>
    <t>Suff bag permanent</t>
  </si>
  <si>
    <t>Current Review Count: 2345</t>
  </si>
  <si>
    <t>BAG-SUF-1012-200</t>
  </si>
  <si>
    <t>B0BV4T5QFQ</t>
  </si>
  <si>
    <t>BAG-SUF-1015-200</t>
  </si>
  <si>
    <t>B0BV542SFC</t>
  </si>
  <si>
    <t>BAG-SUF-1315-200</t>
  </si>
  <si>
    <t>B0BV4V48V3</t>
  </si>
  <si>
    <t>BAG-SUF-1420-200</t>
  </si>
  <si>
    <t>B075LMJNGH</t>
  </si>
  <si>
    <t>BAG-SUF-1620-200</t>
  </si>
  <si>
    <t>B0CKGJ8RC8</t>
  </si>
  <si>
    <t>BAG-SUF-1824-200</t>
  </si>
  <si>
    <t>B07XVHYPTY</t>
  </si>
  <si>
    <t>BAG-SUF-2024-200</t>
  </si>
  <si>
    <t>20" X 24"</t>
  </si>
  <si>
    <t>B0CKGKQD33</t>
  </si>
  <si>
    <t>BAG-SUF-2430-200</t>
  </si>
  <si>
    <t>24" X 30"</t>
  </si>
  <si>
    <t>B0CKGC12X5</t>
  </si>
  <si>
    <t>Listing 47</t>
  </si>
  <si>
    <t>BAG-SUF-100-PARENT</t>
  </si>
  <si>
    <t>B0GGLPTMXF</t>
  </si>
  <si>
    <t>Current Review Count: 6681</t>
  </si>
  <si>
    <t>BAG-SUF-1013100</t>
  </si>
  <si>
    <t>B07BKT5MJK</t>
  </si>
  <si>
    <t>BAG-SUF-1215-100</t>
  </si>
  <si>
    <t xml:space="preserve">12" X 15" </t>
  </si>
  <si>
    <t>B01NCOZ6A7</t>
  </si>
  <si>
    <t>BAG-SUF-1315-100</t>
  </si>
  <si>
    <t>B0BYJTBMZH</t>
  </si>
  <si>
    <t>BAG-SUF-1420-100</t>
  </si>
  <si>
    <t>B01NBNIF85</t>
  </si>
  <si>
    <t>BAG-SUF-1620-100</t>
  </si>
  <si>
    <t>B0CKG78JX7</t>
  </si>
  <si>
    <t>BAG-SUF-2024-100</t>
  </si>
  <si>
    <t>B0CKG84RDR</t>
  </si>
  <si>
    <t>BAG-SUF-2430-100</t>
  </si>
  <si>
    <t>B0CKGGBY71</t>
  </si>
  <si>
    <t>BAG-SUF-2436-100</t>
  </si>
  <si>
    <t>B0BYJSBLZ1</t>
  </si>
  <si>
    <t>BAG-SUF-BUNDLE</t>
  </si>
  <si>
    <t>Bundle</t>
  </si>
  <si>
    <t>B01MT1XILS</t>
  </si>
  <si>
    <t>Listing 48</t>
  </si>
  <si>
    <t>BAG-SUF-2</t>
  </si>
  <si>
    <t>B0G2FB97RL</t>
  </si>
  <si>
    <t>Current Review Count: 5350</t>
  </si>
  <si>
    <t>BAG-SUF-0912-100</t>
  </si>
  <si>
    <t>B01MT1X6NB</t>
  </si>
  <si>
    <t>BAG-SUF-1012-100</t>
  </si>
  <si>
    <t>B0BY3PX2LD</t>
  </si>
  <si>
    <t>BAG-SUF-1015-100</t>
  </si>
  <si>
    <t>B0BY3Q2VN7</t>
  </si>
  <si>
    <t>BAG-SUF-1114-100</t>
  </si>
  <si>
    <t>B01N7L276P</t>
  </si>
  <si>
    <t>BAG-SUF-1218-100</t>
  </si>
  <si>
    <t>B01MS09027</t>
  </si>
  <si>
    <t>BAG-SUF-1824-100</t>
  </si>
  <si>
    <t>B07XLQ3F15</t>
  </si>
  <si>
    <t>Listing 49</t>
  </si>
  <si>
    <t>SFW-BAG-1000-GROUP34</t>
  </si>
  <si>
    <t>B0GN3S14M2</t>
  </si>
  <si>
    <t>Current Review Count: 2648</t>
  </si>
  <si>
    <t>SFW-Bag-0406</t>
  </si>
  <si>
    <t>B0BV525MJL</t>
  </si>
  <si>
    <t>SFW-Bag-0507</t>
  </si>
  <si>
    <t>B0BV5G9VML</t>
  </si>
  <si>
    <t>SFW-Bag-0609</t>
  </si>
  <si>
    <t>B01MZ2N8X2</t>
  </si>
  <si>
    <t>SFW-Bag-0810</t>
  </si>
  <si>
    <t>B01N6JPYNG</t>
  </si>
  <si>
    <t>SFW-Bag-0912</t>
  </si>
  <si>
    <t>B01MS09FNF</t>
  </si>
  <si>
    <t>SFW-Bag-1013</t>
  </si>
  <si>
    <t>B07BHCSBNZ</t>
  </si>
  <si>
    <t>SFW-Bag-1015</t>
  </si>
  <si>
    <t>B0BV55XKC3</t>
  </si>
  <si>
    <t>SFW-Bag-1114</t>
  </si>
  <si>
    <t>B01NBNIP0B</t>
  </si>
  <si>
    <t>Listing 50</t>
  </si>
  <si>
    <t>SFW-Bag-PARENT1</t>
  </si>
  <si>
    <t>B0GGN777YH</t>
  </si>
  <si>
    <t>SFW-Bag-1012</t>
  </si>
  <si>
    <t>B0BV5F3ZDY</t>
  </si>
  <si>
    <t>SFW-Bag-1215-500</t>
  </si>
  <si>
    <t>B07BHCJ4K4</t>
  </si>
  <si>
    <t>SFW-Bag-1218-500</t>
  </si>
  <si>
    <t>B07BHCJHX6</t>
  </si>
  <si>
    <t>SFW-Bag-1315-500</t>
  </si>
  <si>
    <t>B0C47W2JDP</t>
  </si>
  <si>
    <t>SFW-Bag-1420-500</t>
  </si>
  <si>
    <t>B07BHBZWM8</t>
  </si>
  <si>
    <t>SFW-Bag-1824-250</t>
  </si>
  <si>
    <t>B07XV6KJG2</t>
  </si>
  <si>
    <t>SFW-Bag-2024-250</t>
  </si>
  <si>
    <t>B0C4C3QV7T</t>
  </si>
  <si>
    <t>SFW-Bag-2436-200</t>
  </si>
  <si>
    <t>B0C479J9G6</t>
  </si>
  <si>
    <t>Listing 51</t>
  </si>
  <si>
    <t>BAG-SUF-200-GROUP36</t>
  </si>
  <si>
    <t>B0GMLLZ7HV</t>
  </si>
  <si>
    <t>Current Review Count: 6512</t>
  </si>
  <si>
    <t>BAG-SUF-0609-200</t>
  </si>
  <si>
    <t>B075LMP67C</t>
  </si>
  <si>
    <t xml:space="preserve">bullet 3 </t>
  </si>
  <si>
    <t>BAG-SUF-0810-200</t>
  </si>
  <si>
    <t>B075LMFQ7Z</t>
  </si>
  <si>
    <t>BAG-SUF-0912-200</t>
  </si>
  <si>
    <t>B075LDFBZN</t>
  </si>
  <si>
    <t>BAG-SUF-1013200</t>
  </si>
  <si>
    <t>B07BKT1L4W</t>
  </si>
  <si>
    <t>BAG-SUF-1114-200</t>
  </si>
  <si>
    <t>B075LH41QD</t>
  </si>
  <si>
    <t>BAG-SUF-1215-200</t>
  </si>
  <si>
    <t>B075LH6BJ3</t>
  </si>
  <si>
    <t>BAG-SUF-1218-200</t>
  </si>
  <si>
    <t>B075LK9DRD</t>
  </si>
  <si>
    <t>Listing 52</t>
  </si>
  <si>
    <t>IW-ILKW-W2KK</t>
  </si>
  <si>
    <t>B0BNTWWCKL</t>
  </si>
  <si>
    <t>Poly tubing</t>
  </si>
  <si>
    <t>BAG-TUBE-02</t>
  </si>
  <si>
    <t>2" X 1000 ft</t>
  </si>
  <si>
    <t>B0BNTVRKZM</t>
  </si>
  <si>
    <t>BAG-TUBE-03</t>
  </si>
  <si>
    <t>3" X 1000 ft</t>
  </si>
  <si>
    <t>B0BNTVCJMY</t>
  </si>
  <si>
    <t>BAG-TUBE-04</t>
  </si>
  <si>
    <t>4" X1000 ft</t>
  </si>
  <si>
    <t>B0BNTXD6XG</t>
  </si>
  <si>
    <t>BAG-TUBE-06</t>
  </si>
  <si>
    <t>6" X 1000 ft</t>
  </si>
  <si>
    <t>B0BNV1SXMZ</t>
  </si>
  <si>
    <t>BAG-TUBE-08</t>
  </si>
  <si>
    <t>8" X 800 ft</t>
  </si>
  <si>
    <t>B0CKGDV79C</t>
  </si>
  <si>
    <t>BAG-TUBE-12</t>
  </si>
  <si>
    <t>12" 800 ft</t>
  </si>
  <si>
    <t>B0CKG626ND</t>
  </si>
  <si>
    <t>Listing 53</t>
  </si>
  <si>
    <t>SP-YEX42P48AEVPVE9E</t>
  </si>
  <si>
    <t>B0DXW1TB9S</t>
  </si>
  <si>
    <t>Current Review Count: 1327</t>
  </si>
  <si>
    <t>SI-LABEL-SHIP-01</t>
  </si>
  <si>
    <t>2-5/16" X 4</t>
  </si>
  <si>
    <t>B07C2NNV6G</t>
  </si>
  <si>
    <t>SI-LABEL-SHIP-02</t>
  </si>
  <si>
    <t>2-1/8" X 4"</t>
  </si>
  <si>
    <t>B07C2PBWMP</t>
  </si>
  <si>
    <t>SI-LABEL-TAG-01</t>
  </si>
  <si>
    <t>2-1/4" X 4</t>
  </si>
  <si>
    <t>B07C2NX4WQ</t>
  </si>
  <si>
    <t>SI-LABEL-UPC-01</t>
  </si>
  <si>
    <t>1" X 2-1/8”</t>
  </si>
  <si>
    <t>B07C2GZLZP</t>
  </si>
  <si>
    <t>SI-LABEL-UPC-02</t>
  </si>
  <si>
    <t>1-1/8" X 3-1/2”</t>
  </si>
  <si>
    <t>B07C2PFQTZ</t>
  </si>
  <si>
    <t>SI-LABEL-UPC-03</t>
  </si>
  <si>
    <t>2-1/4" X 1-1/4”</t>
  </si>
  <si>
    <t>B07C2MB1YC</t>
  </si>
  <si>
    <t>Listing 54</t>
  </si>
  <si>
    <t>2U-NY2U-L29R</t>
  </si>
  <si>
    <t>B0BQQDTX4W</t>
  </si>
  <si>
    <t>Color Rollo/Zebra DT</t>
  </si>
  <si>
    <t>Current Review Count: 113</t>
  </si>
  <si>
    <t>SI-LABEL-DT-01-2</t>
  </si>
  <si>
    <t>B0BQQ1BXSQ</t>
  </si>
  <si>
    <t>810115978459</t>
  </si>
  <si>
    <t>SI-LABEL-DT-01-BLUE-2</t>
  </si>
  <si>
    <t>B0BQPLSM88</t>
  </si>
  <si>
    <t>810115978466</t>
  </si>
  <si>
    <t>SI-LABEL-DT-01-BUNDLE</t>
  </si>
  <si>
    <t xml:space="preserve"> 2.25" X 1.25"</t>
  </si>
  <si>
    <t>B0BQPZ9J44</t>
  </si>
  <si>
    <t>810115978503</t>
  </si>
  <si>
    <t>SI-LABEL-DT-01-GRN-2</t>
  </si>
  <si>
    <t>B0BQPK2GPJ</t>
  </si>
  <si>
    <t>810115978473</t>
  </si>
  <si>
    <t>SI-LABEL-DT-01-PINK-2</t>
  </si>
  <si>
    <t xml:space="preserve"> 2.25" X 1.25" </t>
  </si>
  <si>
    <t>B0BQPYBD2P</t>
  </si>
  <si>
    <t>810115978497</t>
  </si>
  <si>
    <t>SI-LABEL-DT-01-YEL-2</t>
  </si>
  <si>
    <t>B0BQPY7SFB</t>
  </si>
  <si>
    <t>810115978480</t>
  </si>
  <si>
    <t>Listing 55</t>
  </si>
  <si>
    <t>8J-65RB-P2H3</t>
  </si>
  <si>
    <t>B0BQPMCRLL</t>
  </si>
  <si>
    <t>Current Review Count: 185</t>
  </si>
  <si>
    <t>SI-LABEL-DT-02C-2</t>
  </si>
  <si>
    <t xml:space="preserve"> 2" Circle</t>
  </si>
  <si>
    <t>B0BQPWBSD5</t>
  </si>
  <si>
    <t>SI-LABEL-DT-02C-BLUE-2</t>
  </si>
  <si>
    <t>B0BQPJVQCG</t>
  </si>
  <si>
    <t>SI-LABEL-DT-02C-GRN-2</t>
  </si>
  <si>
    <t>B0BQPS6G3H</t>
  </si>
  <si>
    <t>SI-LABEL-DT-02C-YEL-2</t>
  </si>
  <si>
    <t>B0BQPZ4HCS</t>
  </si>
  <si>
    <t>SI-LABEL-DT-02C-PINK-2</t>
  </si>
  <si>
    <t>B0BQPRN5CB</t>
  </si>
  <si>
    <t>SI-LABEL-DT-02C-BUNDLE</t>
  </si>
  <si>
    <t>B0BQQ2LCYK</t>
  </si>
  <si>
    <t>SI-LABEL-DT-02C-GRNFL-2</t>
  </si>
  <si>
    <t>B0CMFHG2R8</t>
  </si>
  <si>
    <t>SI-LABEL-DT-02C-ORAFL-2</t>
  </si>
  <si>
    <t>B0CMFS7XGX</t>
  </si>
  <si>
    <t>SI-LABEL-DT-02C-REDFL-2</t>
  </si>
  <si>
    <t>B0CMFWKHZC</t>
  </si>
  <si>
    <t>SI-LABEL-DT-02C-PURPS-2</t>
  </si>
  <si>
    <t>B0CMFW1B2M</t>
  </si>
  <si>
    <t>Listing 56</t>
  </si>
  <si>
    <t>SI-LABEL-DT-Parent_02</t>
  </si>
  <si>
    <t>B0GS9GDXCZ</t>
  </si>
  <si>
    <t>Current Review Count: 50</t>
  </si>
  <si>
    <t>SI-LABEL-DT-03-01</t>
  </si>
  <si>
    <t>B0G3T4C1D1</t>
  </si>
  <si>
    <t>SI-LABEL-DT-04-04</t>
  </si>
  <si>
    <t>B0G3TBNZB3</t>
  </si>
  <si>
    <t>SI-LABEL-DT-05-01</t>
  </si>
  <si>
    <t>B0G3TPPNJ1</t>
  </si>
  <si>
    <t>SI-LABEL-DT-05-04</t>
  </si>
  <si>
    <t>B0G3T4J4S3</t>
  </si>
  <si>
    <t>SI-LABEL-DT-02-01</t>
  </si>
  <si>
    <t>B0G3TLHWCX</t>
  </si>
  <si>
    <t>840472501311</t>
  </si>
  <si>
    <t>SI-LABEL-DT-04-01</t>
  </si>
  <si>
    <t>B0G3T532DM</t>
  </si>
  <si>
    <t>840472501335</t>
  </si>
  <si>
    <t>SI-LABEL-DT-01-01</t>
  </si>
  <si>
    <t>2.25" X 1.24"</t>
  </si>
  <si>
    <t>B0G3SZXC8Z</t>
  </si>
  <si>
    <t>SI-LABEL-DT-0201-04</t>
  </si>
  <si>
    <t xml:space="preserve"> 2" X 1"</t>
  </si>
  <si>
    <t>B0CMFTV918</t>
  </si>
  <si>
    <t>810115976141</t>
  </si>
  <si>
    <t>SI-LABEL-DT-02F01F-04</t>
  </si>
  <si>
    <t>B0CMFZYSPH</t>
  </si>
  <si>
    <t>810115976134</t>
  </si>
  <si>
    <t>SI-LABEL-DT-0302-04</t>
  </si>
  <si>
    <t>B0CMFSL1BL</t>
  </si>
  <si>
    <t>810115976158</t>
  </si>
  <si>
    <t>Listing 57</t>
  </si>
  <si>
    <t>SI-LABEL-DT-Parent-57</t>
  </si>
  <si>
    <t>B0H2B8QR6L</t>
  </si>
  <si>
    <t>SI-LABEL-DT-06</t>
  </si>
  <si>
    <t xml:space="preserve">1 1/2" X 1" </t>
  </si>
  <si>
    <t>B0CHNCMGNN</t>
  </si>
  <si>
    <t>SI-LABEL-DT-07</t>
  </si>
  <si>
    <t xml:space="preserve">4" X 2" </t>
  </si>
  <si>
    <t>B0CHNBWRTD</t>
  </si>
  <si>
    <t>SI-LABEL-DT-13-10</t>
  </si>
  <si>
    <t>B0G3T4KT86</t>
  </si>
  <si>
    <t>SI-LABEL-DT-14-10</t>
  </si>
  <si>
    <t>B0G3TL4VH7</t>
  </si>
  <si>
    <t>SI-LABEL-DT-11-10</t>
  </si>
  <si>
    <t>B0G3TBJQNR</t>
  </si>
  <si>
    <t>SI-LABEL-DT-12-10</t>
  </si>
  <si>
    <t>B0G3T8CCCB</t>
  </si>
  <si>
    <t>SI-LABEL-DT-18-10</t>
  </si>
  <si>
    <t>B0GGL6SLRS</t>
  </si>
  <si>
    <t>SI-LABEL-DT-19-10</t>
  </si>
  <si>
    <t>B0GGLRM64J</t>
  </si>
  <si>
    <t>Listing 58</t>
  </si>
  <si>
    <t>SI-LABEL-DT-Parent-58</t>
  </si>
  <si>
    <t>B0H2B5YKP6</t>
  </si>
  <si>
    <t>SI-LABEL-DT-09-01</t>
  </si>
  <si>
    <t xml:space="preserve">4" X 6" </t>
  </si>
  <si>
    <t>B0G3TDVSLQ</t>
  </si>
  <si>
    <t>SI-LABEL-DT-08-01</t>
  </si>
  <si>
    <t>B0G3T7R6HS</t>
  </si>
  <si>
    <t>not visivle in the front end</t>
  </si>
  <si>
    <t>SI-LABEL-DT-07-01</t>
  </si>
  <si>
    <t>B0G3TCTZJQ</t>
  </si>
  <si>
    <t>SI-LABEL-DT-09-04</t>
  </si>
  <si>
    <t>B0GGNC1JZQ</t>
  </si>
  <si>
    <t>SI-LABEL-DT-0402-04</t>
  </si>
  <si>
    <t>B0CMFTSBZQ</t>
  </si>
  <si>
    <t>810115976165</t>
  </si>
  <si>
    <t>SI-LABEL-DT-0403-04</t>
  </si>
  <si>
    <t xml:space="preserve">4" X 3" </t>
  </si>
  <si>
    <t>B0CMFWJRBZ</t>
  </si>
  <si>
    <t>810115976172</t>
  </si>
  <si>
    <t>Listing 59</t>
  </si>
  <si>
    <t>SI-LABEL-DT-Parent-59</t>
  </si>
  <si>
    <t>B0H2B82WG9</t>
  </si>
  <si>
    <t>Current Review Count: 52</t>
  </si>
  <si>
    <t>SI-LABEL-DT-06-04</t>
  </si>
  <si>
    <t>B0G3TS9M4B</t>
  </si>
  <si>
    <t>SI-LABEL-DT-06-01</t>
  </si>
  <si>
    <t>B0G3T5NG6C</t>
  </si>
  <si>
    <t>SI-LABEL-DT-13-04</t>
  </si>
  <si>
    <t>B0G3SQ7N3L</t>
  </si>
  <si>
    <t>SI-LABEL-DT-14-04</t>
  </si>
  <si>
    <t>B0G3T53WBY</t>
  </si>
  <si>
    <t>SI-LABEL-DT-13-01</t>
  </si>
  <si>
    <t>B0G3T7S3MS</t>
  </si>
  <si>
    <t>SI-LABEL-DT-16-01</t>
  </si>
  <si>
    <t>B0G3TNT717</t>
  </si>
  <si>
    <t>SI-LABEL-DT-17-04</t>
  </si>
  <si>
    <t>B0G3SWWSHY</t>
  </si>
  <si>
    <t>SI-LABEL-DT-16-04</t>
  </si>
  <si>
    <t>B0G3TMKXPC</t>
  </si>
  <si>
    <t>SI-LABEL-DT-14-01</t>
  </si>
  <si>
    <t>B0G3TCRG9Z</t>
  </si>
  <si>
    <t>SI-LABEL-DT-17-01</t>
  </si>
  <si>
    <t>B0G3T59LQG</t>
  </si>
  <si>
    <t>Listing 60</t>
  </si>
  <si>
    <t>SI-LABEL-DT-Parent-60</t>
  </si>
  <si>
    <t>B0H2BGZT1F</t>
  </si>
  <si>
    <t>Current Review Count: 98</t>
  </si>
  <si>
    <t>SI-LABEL-DT-10-10</t>
  </si>
  <si>
    <t>1.25" X 1"</t>
  </si>
  <si>
    <t>B0G3TF66K9</t>
  </si>
  <si>
    <t>SI-LABEL-DT-20-10</t>
  </si>
  <si>
    <t>B0GGLGXCQ6</t>
  </si>
  <si>
    <t>SI-LABEL-DT-21-10</t>
  </si>
  <si>
    <t>B0GGL3H22C</t>
  </si>
  <si>
    <t>SI-LABEL-DT-23-10</t>
  </si>
  <si>
    <t>2.5" X 1"</t>
  </si>
  <si>
    <t>B0GGLL8ZS5</t>
  </si>
  <si>
    <t>SI-LABEL-DT-15-10</t>
  </si>
  <si>
    <t>3" X 1.5"</t>
  </si>
  <si>
    <t>B0G3T1L9Z9</t>
  </si>
  <si>
    <t>SI-LABEL-DT-08</t>
  </si>
  <si>
    <t>B0CHND8YXR</t>
  </si>
  <si>
    <t>SI-LABEL-DT-22-10</t>
  </si>
  <si>
    <t>B0GGLG63YZ</t>
  </si>
  <si>
    <t>SI-LABEL-DT-05</t>
  </si>
  <si>
    <t>B07QY3LJ6R</t>
  </si>
  <si>
    <t>Listing 61</t>
  </si>
  <si>
    <t>SI-LABEL-DT-Parent_61</t>
  </si>
  <si>
    <t>B0H2BDDW6T</t>
  </si>
  <si>
    <t>Current Review Count: 1154</t>
  </si>
  <si>
    <t>SI-LABEL-DT-17-10</t>
  </si>
  <si>
    <t>B0G3T8ZP78</t>
  </si>
  <si>
    <t>SI-LABEL-DT-09</t>
  </si>
  <si>
    <t>B0CHNB48FY</t>
  </si>
  <si>
    <t>SI-LABEL-DT-04</t>
  </si>
  <si>
    <t>B07QZ61R1S</t>
  </si>
  <si>
    <t>SI-LABEL-DT-09-20-NEW</t>
  </si>
  <si>
    <t>B0H5R4SVSL</t>
  </si>
  <si>
    <t>SI-LABEL-DT-16-10</t>
  </si>
  <si>
    <t>B0G3T8BD8G</t>
  </si>
  <si>
    <t>SI-LABEL-DT-01</t>
  </si>
  <si>
    <t>2.25" X 1.5"</t>
  </si>
  <si>
    <t>B07QY487BC</t>
  </si>
  <si>
    <t>SI-LABEL-DT-02</t>
  </si>
  <si>
    <t>B07QY535PL</t>
  </si>
  <si>
    <t>SI-LABEL-DT-03</t>
  </si>
  <si>
    <t>B07QY4QVP5</t>
  </si>
  <si>
    <t>Listing 62</t>
  </si>
  <si>
    <t>SI-LABEL-DT-Parent_62</t>
  </si>
  <si>
    <t>B0H2BKKYZS</t>
  </si>
  <si>
    <t>Current Star Rating: 2.7</t>
  </si>
  <si>
    <t>SI-LABEL-DT-01-20</t>
  </si>
  <si>
    <t>B0GGLL8ZS1</t>
  </si>
  <si>
    <t>SI-LABEL-DT-02-20</t>
  </si>
  <si>
    <t>B0GGLWL3BF</t>
  </si>
  <si>
    <t>SI-LABEL-DT-03-20</t>
  </si>
  <si>
    <t>B0GGNK1QCS</t>
  </si>
  <si>
    <t>SI-LABEL-DT-09-08</t>
  </si>
  <si>
    <t>B0GGNC9RN8</t>
  </si>
  <si>
    <t>SI-LABEL-DT-09-15-NEW</t>
  </si>
  <si>
    <t>B0H5QWQCXV</t>
  </si>
  <si>
    <t>SI-LABEL-DT-09-40-NEW</t>
  </si>
  <si>
    <t>B0H5RGZ7V4</t>
  </si>
  <si>
    <t>SI-LABEL-DT-09-12</t>
  </si>
  <si>
    <t>B0GGPB8MB4</t>
  </si>
  <si>
    <t>SI-LABEL-DT-09-30-NEW</t>
  </si>
  <si>
    <t>B0H5R4GNDL</t>
  </si>
  <si>
    <t>Listing 63</t>
  </si>
  <si>
    <t>LASER-FF-1</t>
  </si>
  <si>
    <t>B0CKRXSYTZ</t>
  </si>
  <si>
    <t>Current Star Rating: 4.0</t>
  </si>
  <si>
    <t>SI-LABEL-FF-S-0302</t>
  </si>
  <si>
    <t>B0CKG1JMXQ</t>
  </si>
  <si>
    <t>810115975298</t>
  </si>
  <si>
    <t>SI-LABEL-FF-S-0402</t>
  </si>
  <si>
    <t>B0CKG95ZNW</t>
  </si>
  <si>
    <t>810115975304</t>
  </si>
  <si>
    <t>SI-LABEL-FF-S-0403</t>
  </si>
  <si>
    <t>B0CKFZDRBN</t>
  </si>
  <si>
    <t>810115975311</t>
  </si>
  <si>
    <t>Listing 64</t>
  </si>
  <si>
    <t>16-YV2B-4HC1</t>
  </si>
  <si>
    <t>B0GS3RXKVN</t>
  </si>
  <si>
    <t>Current Star Rating: 4.3</t>
  </si>
  <si>
    <t>Current Review Count: 136</t>
  </si>
  <si>
    <t>SI-LABEL-FF-0406-BLUE-500</t>
  </si>
  <si>
    <t>B0BQPPGQSH</t>
  </si>
  <si>
    <t>SI-LABEL-FF-0406-GRN-500</t>
  </si>
  <si>
    <t>B0BQPZ9VMJ</t>
  </si>
  <si>
    <t>SI-LABEL-FF-0406-PINK-500</t>
  </si>
  <si>
    <t>B0BQPVJF1Z</t>
  </si>
  <si>
    <t>SI-LABEL-FF-0406-YEL-500</t>
  </si>
  <si>
    <t>B0BQQBZ5J3</t>
  </si>
  <si>
    <t>SI-LABEL-FF-0406-ORNG-500</t>
  </si>
  <si>
    <t>B0G3T5Q7TR</t>
  </si>
  <si>
    <t>SI-LABEL-FF-0406-BRWN-500</t>
  </si>
  <si>
    <t>B0G3SQ7N41</t>
  </si>
  <si>
    <t>SI-LABEL-FF-0406-PURP-500-NEW</t>
  </si>
  <si>
    <t>B0G563ZL35</t>
  </si>
  <si>
    <t>Listing 65</t>
  </si>
  <si>
    <t>SPAR-FFLD-406</t>
  </si>
  <si>
    <t>B0GS735VY9</t>
  </si>
  <si>
    <t>SI-LABEL-FF-0406-200</t>
  </si>
  <si>
    <t>B0GGNC4QF1</t>
  </si>
  <si>
    <t>SI-LABEL-FF-0406-500</t>
  </si>
  <si>
    <t>B0BQPXF6CN</t>
  </si>
  <si>
    <t>SI-LABEL-FF-0406-1000</t>
  </si>
  <si>
    <t>B0GGNTCJTM</t>
  </si>
  <si>
    <t>SI-LABEL-FF-0406-1000-02</t>
  </si>
  <si>
    <t>B0GGN6K791</t>
  </si>
  <si>
    <t>SI-LABEL-FF-0406-2000-02</t>
  </si>
  <si>
    <t>B0GGNSJKKM</t>
  </si>
  <si>
    <t>Listing 66</t>
  </si>
  <si>
    <t>SI-LABEL-DK-BRO</t>
  </si>
  <si>
    <t>B0GS3FVXKQ</t>
  </si>
  <si>
    <t>Brother Labels</t>
  </si>
  <si>
    <t>SI-LABEL-DK-1201</t>
  </si>
  <si>
    <t>B0GGLNGM5V</t>
  </si>
  <si>
    <t>SI-LABEL-DK-1202</t>
  </si>
  <si>
    <t>B0GGNMP4JY</t>
  </si>
  <si>
    <t>SI-LABEL-DK-1209</t>
  </si>
  <si>
    <t>B0GGM9Q2S6</t>
  </si>
  <si>
    <t>SI-LABEL-DK-1241</t>
  </si>
  <si>
    <t>B0GGLTGGRW</t>
  </si>
  <si>
    <t>all bullet points</t>
  </si>
  <si>
    <t>SI-LABEL-DK-2205</t>
  </si>
  <si>
    <t>2.4"</t>
  </si>
  <si>
    <t>B0GGM8JYQX</t>
  </si>
  <si>
    <t>Listing 67</t>
  </si>
  <si>
    <t>SI-LABEL-LS-PARENT1</t>
  </si>
  <si>
    <t>B0FNY5YQPP</t>
  </si>
  <si>
    <t>Current Review Count: 663</t>
  </si>
  <si>
    <t>SI-LABEL-LS-0100F-100</t>
  </si>
  <si>
    <t>B0CKGBZQTP</t>
  </si>
  <si>
    <t>SI-LABEL-LS-0100F-250</t>
  </si>
  <si>
    <t>B0CKGMP22Z</t>
  </si>
  <si>
    <t>SI-LABEL-LS-0100F-30</t>
  </si>
  <si>
    <t>B0CKG66CHP</t>
  </si>
  <si>
    <t>SI-LABEL-LS-0100F-500</t>
  </si>
  <si>
    <t>B0CKG57GM8</t>
  </si>
  <si>
    <t>SI-LABEL-LS-01F00F2-100</t>
  </si>
  <si>
    <t>1 3/4" X 2/3"</t>
  </si>
  <si>
    <t>B0CHNB22CS</t>
  </si>
  <si>
    <t>SI-LABEL-LS-01F00F2-250</t>
  </si>
  <si>
    <t>B0CHNC6YLK</t>
  </si>
  <si>
    <t>810115974574</t>
  </si>
  <si>
    <t>SI-LABEL-LS-01F00F2-30</t>
  </si>
  <si>
    <t>B0CKGHYR6L</t>
  </si>
  <si>
    <t>810115975342</t>
  </si>
  <si>
    <t>SI-LABEL-LS-01F00F2-500</t>
  </si>
  <si>
    <t>B0CHNB4YMG</t>
  </si>
  <si>
    <t>SI-LABEL-LS-0205-100</t>
  </si>
  <si>
    <t>B0CKG85CLT</t>
  </si>
  <si>
    <t>SI-LABEL-LS-0205-250</t>
  </si>
  <si>
    <t>B0CKG6V5LB</t>
  </si>
  <si>
    <t>SI-LABEL-LS-0205-30</t>
  </si>
  <si>
    <t>B0CKG4Q1PL</t>
  </si>
  <si>
    <t>SI-LABEL-LS-0205-500</t>
  </si>
  <si>
    <t>B0CKG4KVLW</t>
  </si>
  <si>
    <t>SI-LABEL-LS-02F01-100</t>
  </si>
  <si>
    <t>2 5/8" X 1"</t>
  </si>
  <si>
    <t>B0CHNC1JN9</t>
  </si>
  <si>
    <t>SI-LABEL-LS-02F01-250</t>
  </si>
  <si>
    <t>B0CHNC9G83</t>
  </si>
  <si>
    <t>SI-LABEL-LS-02F01-30</t>
  </si>
  <si>
    <t>B0CKFNJ67D</t>
  </si>
  <si>
    <t>SI-LABEL-LS-02F01-500</t>
  </si>
  <si>
    <t>B0CHNB2T4H</t>
  </si>
  <si>
    <t>SI-LABEL-LS-03F04-100</t>
  </si>
  <si>
    <t>3 1/3" X 4"</t>
  </si>
  <si>
    <t>B0BQPYSS9Z</t>
  </si>
  <si>
    <t>SI-LABEL-LS-03F04-250</t>
  </si>
  <si>
    <t>B0BQRVXC6F</t>
  </si>
  <si>
    <t>SI-LABEL-LS-03F04-30A</t>
  </si>
  <si>
    <t>B0CSP8G53J</t>
  </si>
  <si>
    <t>SI-LABEL-LS-03F04-500</t>
  </si>
  <si>
    <t>B0BQRWNW4Y</t>
  </si>
  <si>
    <t>SI-LABEL-LS-0405-100</t>
  </si>
  <si>
    <t>B0BQPPPDB7</t>
  </si>
  <si>
    <t>SI-LABEL-LS-0405-250</t>
  </si>
  <si>
    <t>B0BQRWQ9MF</t>
  </si>
  <si>
    <t>SI-LABEL-LS-0405-30A</t>
  </si>
  <si>
    <t>B0CSP25R4S</t>
  </si>
  <si>
    <t>SI-LABEL-LS-0405-500</t>
  </si>
  <si>
    <t>B0BQRYKX66</t>
  </si>
  <si>
    <t>SI-LABEL-LS-08F05F-100</t>
  </si>
  <si>
    <t>8.5" X 5.5"</t>
  </si>
  <si>
    <t>B0CHN5G31G</t>
  </si>
  <si>
    <t>SI-LABEL-LS-08F05F-250</t>
  </si>
  <si>
    <t>B0CHN85FNZ</t>
  </si>
  <si>
    <t>SI-LABEL-LS-08F05F-30</t>
  </si>
  <si>
    <t>B0CKGCLFDL</t>
  </si>
  <si>
    <t>SI-LABEL-LS-08F05F-500</t>
  </si>
  <si>
    <t>B0CHN9DV7X</t>
  </si>
  <si>
    <t>SI-LABEL-LS-08F11-100</t>
  </si>
  <si>
    <t>8.5" X 11"</t>
  </si>
  <si>
    <t>B0BQPK25TY</t>
  </si>
  <si>
    <t>SI-LABEL-LS-08F11-250</t>
  </si>
  <si>
    <t>B0BQRWCLP5</t>
  </si>
  <si>
    <t>SI-LABEL-LS-08F11-30A</t>
  </si>
  <si>
    <t>B0CSPPG1FB</t>
  </si>
  <si>
    <t>SI-LABEL-LS-08F11-500</t>
  </si>
  <si>
    <t>B0BQRWQ2SF</t>
  </si>
  <si>
    <t>Listing 68</t>
  </si>
  <si>
    <t>SI-LABEL-LS-Parent2</t>
  </si>
  <si>
    <t>B0DWYPK4LB</t>
  </si>
  <si>
    <t>Current Review Count: 1005</t>
  </si>
  <si>
    <t>SI-LABEL-LS-0101-100</t>
  </si>
  <si>
    <t>B0BQPP3YFN</t>
  </si>
  <si>
    <t>SI-LABEL-LS-0101-250</t>
  </si>
  <si>
    <t>B0BQRVDLM4</t>
  </si>
  <si>
    <t>SI-LABEL-LS-0101-30A</t>
  </si>
  <si>
    <t>B0CSP5CYJM</t>
  </si>
  <si>
    <t>SI-LABEL-LS-0101-500</t>
  </si>
  <si>
    <t>B0BQRTYTVV</t>
  </si>
  <si>
    <t>SI-LABEL-LS-01F00F-100</t>
  </si>
  <si>
    <t>1 3/4" X 1/2"</t>
  </si>
  <si>
    <t>B0CHNCG8D7</t>
  </si>
  <si>
    <t>SI-LABEL-LS-01F00F-250</t>
  </si>
  <si>
    <t>B0CHNBHXN3</t>
  </si>
  <si>
    <t>SI-LABEL-LS-01F00F-30</t>
  </si>
  <si>
    <t>B0CKGCKS5Y</t>
  </si>
  <si>
    <t>SI-LABEL-LS-01F00F-500</t>
  </si>
  <si>
    <t>B0CHNC3QDQ</t>
  </si>
  <si>
    <t>SI-LABEL-LS-0202-100</t>
  </si>
  <si>
    <t>B0BQQ3674V</t>
  </si>
  <si>
    <t>SI-LABEL-LS-0202-250</t>
  </si>
  <si>
    <t>B0BQRV7QP3</t>
  </si>
  <si>
    <t>SI-LABEL-LS-0202-30A</t>
  </si>
  <si>
    <t>B0CSPLMJDJ</t>
  </si>
  <si>
    <t>SI-LABEL-LS-0202-500</t>
  </si>
  <si>
    <t>B0BQRWVT4D</t>
  </si>
  <si>
    <t>SI-LABEL-LS-0302-100</t>
  </si>
  <si>
    <t>B0BQPX5BRT</t>
  </si>
  <si>
    <t>Inactive</t>
  </si>
  <si>
    <t>SI-LABEL-LS-0302-250</t>
  </si>
  <si>
    <t>B0BQRY4ZYL</t>
  </si>
  <si>
    <t>SI-LABEL-LS-0302-30A</t>
  </si>
  <si>
    <t>B0CSPBLTLG</t>
  </si>
  <si>
    <t>SI-LABEL-LS-0302-500</t>
  </si>
  <si>
    <t>B0BQRSP873</t>
  </si>
  <si>
    <t>SI-LABEL-LS-03F00F-100</t>
  </si>
  <si>
    <t>B0CHNC6YGH</t>
  </si>
  <si>
    <t>SI-LABEL-LS-03F00F-250</t>
  </si>
  <si>
    <t>B0CHN8GPVV</t>
  </si>
  <si>
    <t>810115974512</t>
  </si>
  <si>
    <t>SI-LABEL-LS-03F00F-30</t>
  </si>
  <si>
    <t>B0CKG95ZP3</t>
  </si>
  <si>
    <t>810115975328</t>
  </si>
  <si>
    <t>SI-LABEL-LS-03F00F-500</t>
  </si>
  <si>
    <t>B0CHNB91B5</t>
  </si>
  <si>
    <t>SI-LABEL-LS-03F02F-100</t>
  </si>
  <si>
    <t>3 3/8" X 2 1/3"</t>
  </si>
  <si>
    <t>B0CHNBYL29</t>
  </si>
  <si>
    <t>SI-LABEL-LS-03F02F-250</t>
  </si>
  <si>
    <t>B0CHN9C7BK</t>
  </si>
  <si>
    <t>810115974758</t>
  </si>
  <si>
    <t>SI-LABEL-LS-03F02F-30</t>
  </si>
  <si>
    <t>B0CKGG6WYR</t>
  </si>
  <si>
    <t>810115975403</t>
  </si>
  <si>
    <t>SI-LABEL-LS-03F02F-500</t>
  </si>
  <si>
    <t>B0CHNDF936</t>
  </si>
  <si>
    <t>SI-LABEL-LS-03F05-100</t>
  </si>
  <si>
    <t>3 1/2" X 5"</t>
  </si>
  <si>
    <t>B0CHN8Z1TK</t>
  </si>
  <si>
    <t>SI-LABEL-LS-03F05-250</t>
  </si>
  <si>
    <t>B0CHNBMHKS</t>
  </si>
  <si>
    <t>810115974840</t>
  </si>
  <si>
    <t>SI-LABEL-LS-03F05-30</t>
  </si>
  <si>
    <t>B0CKGD1CWW</t>
  </si>
  <si>
    <t>810115975434</t>
  </si>
  <si>
    <t>SI-LABEL-LS-03F05-500</t>
  </si>
  <si>
    <t>B0CHNBMNZL</t>
  </si>
  <si>
    <t>SI-LABEL-LS-0401F-100</t>
  </si>
  <si>
    <t>4" X 1 1/3"</t>
  </si>
  <si>
    <t>B0CHN8PWGX</t>
  </si>
  <si>
    <t>SI-LABEL-LS-0401F-250</t>
  </si>
  <si>
    <t>B0CHNBCG43</t>
  </si>
  <si>
    <t>810115974901</t>
  </si>
  <si>
    <t>SI-LABEL-LS-0401F-30</t>
  </si>
  <si>
    <t>B0CKGKHWTZ</t>
  </si>
  <si>
    <t>810115975458</t>
  </si>
  <si>
    <t>SI-LABEL-LS-0401F-500</t>
  </si>
  <si>
    <t>B0CHNC3MY5</t>
  </si>
  <si>
    <t>Listing 69</t>
  </si>
  <si>
    <t>SI-Label-LS-Parent3</t>
  </si>
  <si>
    <t>B0DWYRSYYH</t>
  </si>
  <si>
    <t>Current Review Count: 159</t>
  </si>
  <si>
    <t>SI-LABEL-LS-02F02-100</t>
  </si>
  <si>
    <t>2.625" X 2"</t>
  </si>
  <si>
    <t>B0CKG8L87P</t>
  </si>
  <si>
    <t>SI-LABEL-LS-02F02-250</t>
  </si>
  <si>
    <t>B0CKG4Q1PF</t>
  </si>
  <si>
    <t>SI-LABEL-LS-02F02-30</t>
  </si>
  <si>
    <t>B0CKG1H5DH</t>
  </si>
  <si>
    <t>SI-LABEL-LS-02F02-500</t>
  </si>
  <si>
    <t>B0CKG838Y5</t>
  </si>
  <si>
    <t>SI-LABEL-LS-02F02F-100</t>
  </si>
  <si>
    <t>2 1/2" X 2 1/2"</t>
  </si>
  <si>
    <t>B0CHN9KL5F</t>
  </si>
  <si>
    <t>SI-LABEL-LS-02F02F-250</t>
  </si>
  <si>
    <t>B0CHNB4GW7</t>
  </si>
  <si>
    <t>SI-LABEL-LS-02F02F-30</t>
  </si>
  <si>
    <t>B0CKG7871Z</t>
  </si>
  <si>
    <t>SI-LABEL-LS-02F02F-500</t>
  </si>
  <si>
    <t>B0CHNBSWNQ</t>
  </si>
  <si>
    <t>SI-LABEL-LS-03F03-100</t>
  </si>
  <si>
    <t>3.75" X 3"</t>
  </si>
  <si>
    <t>B0CKGBWJ9Z</t>
  </si>
  <si>
    <t>SI-LABEL-LS-03F03-250</t>
  </si>
  <si>
    <t>B0CKG1GHYR</t>
  </si>
  <si>
    <t>SI-LABEL-LS-03F03-30</t>
  </si>
  <si>
    <t>B0CKGCKS5M</t>
  </si>
  <si>
    <t>SI-LABEL-LS-03F03-500</t>
  </si>
  <si>
    <t>B0CKGD3BY8</t>
  </si>
  <si>
    <t>Listing 70</t>
  </si>
  <si>
    <t>SI-LABEL-LS-0301F-PARENT</t>
  </si>
  <si>
    <t>B0FPSKWXYG</t>
  </si>
  <si>
    <t>Current Review Count: 131</t>
  </si>
  <si>
    <t>SI-LABEL-LS-0301F-100</t>
  </si>
  <si>
    <t>B0CKG79QR3</t>
  </si>
  <si>
    <t>SI-LABEL-LS-0301F-250</t>
  </si>
  <si>
    <t>B0CKG68Z6V</t>
  </si>
  <si>
    <t>810115975212</t>
  </si>
  <si>
    <t>SI-LABEL-LS-0301F-30</t>
  </si>
  <si>
    <t>B0CKG354XP</t>
  </si>
  <si>
    <t>810115975540</t>
  </si>
  <si>
    <t>SI-LABEL-LS-0301F-500</t>
  </si>
  <si>
    <t>B0CKG7Y4YY</t>
  </si>
  <si>
    <t>Listing 71</t>
  </si>
  <si>
    <t>SI-LABEL-LS-0401-PARENT</t>
  </si>
  <si>
    <t>B0FPS3RZRM</t>
  </si>
  <si>
    <t>Current Review Count: 93</t>
  </si>
  <si>
    <t>SI-LABEL-LS-0401-100</t>
  </si>
  <si>
    <t>B0CHN5G652</t>
  </si>
  <si>
    <t>SI-LABEL-LS-0401-250</t>
  </si>
  <si>
    <t>B0CHN9DD21</t>
  </si>
  <si>
    <t>SI-LABEL-LS-0401-30</t>
  </si>
  <si>
    <t>B0CKGBD59F</t>
  </si>
  <si>
    <t>SI-LABEL-LS-0401-500</t>
  </si>
  <si>
    <t>B0CHN8V8TG</t>
  </si>
  <si>
    <t>Listing 72</t>
  </si>
  <si>
    <t>SI-LABEL-LS-0403-PARENT</t>
  </si>
  <si>
    <t>B0FPSS1829</t>
  </si>
  <si>
    <t>SI-LABEL-LS-0403-100</t>
  </si>
  <si>
    <t>B0CHN8VLN4</t>
  </si>
  <si>
    <t>SI-LABEL-LS-0403-250</t>
  </si>
  <si>
    <t>B0CHN9NTLJ</t>
  </si>
  <si>
    <t>SI-LABEL-LS-0403-30</t>
  </si>
  <si>
    <t>B0CKG7581B</t>
  </si>
  <si>
    <t>SI-LABEL-LS-0403-500</t>
  </si>
  <si>
    <t>B0CHN9K2TQ</t>
  </si>
  <si>
    <t>Listing 73</t>
  </si>
  <si>
    <t>SI-LABEL-LS-04F05F-PARENT</t>
  </si>
  <si>
    <t>B0FPSCX8R9</t>
  </si>
  <si>
    <t>Current Review Count: 53</t>
  </si>
  <si>
    <t>SI-LABEL-LS-04F05F-30</t>
  </si>
  <si>
    <t>4.25" X 5.5"</t>
  </si>
  <si>
    <t>B0CKG5C2F9</t>
  </si>
  <si>
    <t>SI-LABEL-LS-04F05F-250</t>
  </si>
  <si>
    <t>B0CKGD7CK5</t>
  </si>
  <si>
    <t>810115975182</t>
  </si>
  <si>
    <t>SI-LABEL-LS-04F05F-100</t>
  </si>
  <si>
    <t>B0CKG7G1VY</t>
  </si>
  <si>
    <t>810115975175</t>
  </si>
  <si>
    <t>SI-LABEL-LS-04F05F-500</t>
  </si>
  <si>
    <t>B0CKG7ZNKY</t>
  </si>
  <si>
    <t>Listing 74</t>
  </si>
  <si>
    <t>SI-LABEL-LS-0802-PARENT</t>
  </si>
  <si>
    <t>B0FPSS18ZV</t>
  </si>
  <si>
    <t>Current Review Count: 160</t>
  </si>
  <si>
    <t>SI-LABEL-LS-0802-100</t>
  </si>
  <si>
    <t>8" X 2"</t>
  </si>
  <si>
    <t>B0CHN7BBBJ</t>
  </si>
  <si>
    <t>SI-LABEL-LS-0802-250</t>
  </si>
  <si>
    <t>B0CHN92YSS</t>
  </si>
  <si>
    <t>SI-LABEL-LS-0802-30</t>
  </si>
  <si>
    <t>B0CKGBV8P1</t>
  </si>
  <si>
    <t>SI-LABEL-LS-0802-500</t>
  </si>
  <si>
    <t>B0CHNC1R2K</t>
  </si>
  <si>
    <t>810115975007</t>
  </si>
  <si>
    <t>Listing 75</t>
  </si>
  <si>
    <t>SI-LABEL-LS-0201-PARENT</t>
  </si>
  <si>
    <t>B0FP4B6QGS</t>
  </si>
  <si>
    <t>Current Review Count: 124</t>
  </si>
  <si>
    <t>SI-LABEL-LS-0201-100</t>
  </si>
  <si>
    <t>B0CHN97WBH</t>
  </si>
  <si>
    <t>SI-LABEL-LS-0201-500</t>
  </si>
  <si>
    <t>B0CHNCW23G</t>
  </si>
  <si>
    <t>SI-LABEL-LS-0201-250</t>
  </si>
  <si>
    <t>B0CHN9RNVZ</t>
  </si>
  <si>
    <t>SI-LABEL-LS-0201-30</t>
  </si>
  <si>
    <t>B0CKG81JHG</t>
  </si>
  <si>
    <t>Listing 76</t>
  </si>
  <si>
    <t>SI-LABEL-LS-0303-PARENT</t>
  </si>
  <si>
    <t>B0FP7JG8NN</t>
  </si>
  <si>
    <t>Current Review Count: 118</t>
  </si>
  <si>
    <t>SI-LABEL-LS-0303-100</t>
  </si>
  <si>
    <t>B0CHN5MLT5</t>
  </si>
  <si>
    <t>SI-LABEL-LS-0303-250</t>
  </si>
  <si>
    <t>B0CHNC47N6</t>
  </si>
  <si>
    <t>810115974819</t>
  </si>
  <si>
    <t>SI-LABEL-LS-0303-30</t>
  </si>
  <si>
    <t>B0CKG75L57</t>
  </si>
  <si>
    <t>810115975427</t>
  </si>
  <si>
    <t>SI-LABEL-LS-0303-500</t>
  </si>
  <si>
    <t>B0CHNCYJYS</t>
  </si>
  <si>
    <t>Listing 77</t>
  </si>
  <si>
    <t>SI-LABEL-LS-0402-PARENT</t>
  </si>
  <si>
    <t>B0FP3Y4FJX</t>
  </si>
  <si>
    <t>SI-LABEL-LS-0402-100</t>
  </si>
  <si>
    <t>B0CHN8Y67H</t>
  </si>
  <si>
    <t>SI-LABEL-LS-0402-250</t>
  </si>
  <si>
    <t>B0CHN9D87D</t>
  </si>
  <si>
    <t>SI-LABEL-LS-0402-30</t>
  </si>
  <si>
    <t>B0CKGCN3GW</t>
  </si>
  <si>
    <t>SI-LABEL-LS-0402-500</t>
  </si>
  <si>
    <t>B0CHN9228D</t>
  </si>
  <si>
    <t>Listing 78</t>
  </si>
  <si>
    <t>SI-LABEL-LS-0402F-PARENT</t>
  </si>
  <si>
    <t>B0FP3ZLNHY</t>
  </si>
  <si>
    <t>Current Review Count: 73</t>
  </si>
  <si>
    <t>SI-LABEL-LS-0402F-100</t>
  </si>
  <si>
    <t xml:space="preserve">4" X 2 1/2" </t>
  </si>
  <si>
    <t>B0CHNBPQG5</t>
  </si>
  <si>
    <t>SI-LABEL-LS-0402F-250</t>
  </si>
  <si>
    <t>B0CHNB6DM6</t>
  </si>
  <si>
    <t>810115974963</t>
  </si>
  <si>
    <t>SI-LABEL-LS-0402F-30</t>
  </si>
  <si>
    <t>B0CKGHBC5G</t>
  </si>
  <si>
    <t>810115975472</t>
  </si>
  <si>
    <t>SI-LABEL-LS-0402F-500</t>
  </si>
  <si>
    <t>B0CHNCHZCS</t>
  </si>
  <si>
    <t>Listing 79</t>
  </si>
  <si>
    <t>SI-Label-LS-C-2</t>
  </si>
  <si>
    <t>B0DWZ4RCMS</t>
  </si>
  <si>
    <t>Current Review Count: 1104</t>
  </si>
  <si>
    <t>SI-LABEL-LS-C0F-100</t>
  </si>
  <si>
    <t>0.75"</t>
  </si>
  <si>
    <t>B0CHNCPPT9</t>
  </si>
  <si>
    <t>SI-LABEL-LS-C0F-250</t>
  </si>
  <si>
    <t>B0CHNBHDYB</t>
  </si>
  <si>
    <t>SI-LABEL-LS-C0F-30</t>
  </si>
  <si>
    <t>B0CKGD5WC9</t>
  </si>
  <si>
    <t>SI-LABEL-LS-C0F-500</t>
  </si>
  <si>
    <t>B0CHNC7YXR</t>
  </si>
  <si>
    <t>SI-LABEL-LS-C1-100</t>
  </si>
  <si>
    <t>1"</t>
  </si>
  <si>
    <t>B0BQPWBSP5</t>
  </si>
  <si>
    <t>810115978886</t>
  </si>
  <si>
    <t>SI-LABEL-LS-C1-250</t>
  </si>
  <si>
    <t>B0BQRTY6D8</t>
  </si>
  <si>
    <t>810115978879</t>
  </si>
  <si>
    <t>SI-LABEL-LS-C1-30A</t>
  </si>
  <si>
    <t>B0CSP32RF8</t>
  </si>
  <si>
    <t>810115977117</t>
  </si>
  <si>
    <t>SI-LABEL-LS-C1-500</t>
  </si>
  <si>
    <t>B0BQRWY9JL</t>
  </si>
  <si>
    <t>810115978862</t>
  </si>
  <si>
    <t>SI-LABEL-LS-C1F-100</t>
  </si>
  <si>
    <t>1.5"</t>
  </si>
  <si>
    <t>B0BQQ5HWKB</t>
  </si>
  <si>
    <t>810115978947</t>
  </si>
  <si>
    <t>SI-LABEL-LS-C1F-250</t>
  </si>
  <si>
    <t>B0BQRVQ8BY</t>
  </si>
  <si>
    <t>810115978923</t>
  </si>
  <si>
    <t>SI-LABEL-LS-C1F-30A</t>
  </si>
  <si>
    <t>B0CSPHX2V8</t>
  </si>
  <si>
    <t>810115977124</t>
  </si>
  <si>
    <t>SI-LABEL-LS-C1F-500</t>
  </si>
  <si>
    <t>B0BQRTDXTF</t>
  </si>
  <si>
    <t>810115978930</t>
  </si>
  <si>
    <t>SI-LABEL-LS-C2-100</t>
  </si>
  <si>
    <t>2"</t>
  </si>
  <si>
    <t>B0BQQ5L9VP</t>
  </si>
  <si>
    <t>SI-LABEL-LS-C2-250</t>
  </si>
  <si>
    <t>B0BQRW1L7M</t>
  </si>
  <si>
    <t>SI-LABEL-LS-C2-30A</t>
  </si>
  <si>
    <t>B0CSPC3W4P</t>
  </si>
  <si>
    <t>SI-LABEL-LS-C2-500</t>
  </si>
  <si>
    <t>B0BQRW7QJK</t>
  </si>
  <si>
    <t xml:space="preserve"> 810115978893</t>
  </si>
  <si>
    <t>SI-LABEL-LS-C2F-100</t>
  </si>
  <si>
    <t xml:space="preserve">2.5" </t>
  </si>
  <si>
    <t>B0BQPVYLM2</t>
  </si>
  <si>
    <t>SI-LABEL-LS-C2F-250</t>
  </si>
  <si>
    <t>B0BQRW4MH2</t>
  </si>
  <si>
    <t>SI-LABEL-LS-C2F-30A</t>
  </si>
  <si>
    <t>B0CSP61KHM</t>
  </si>
  <si>
    <t>SI-LABEL-LS-C2F-500</t>
  </si>
  <si>
    <t>B0BQRXB3PF</t>
  </si>
  <si>
    <t>SI-LABEL-LS-C3-100</t>
  </si>
  <si>
    <t xml:space="preserve">3" </t>
  </si>
  <si>
    <t>B0BQPMWFMJ</t>
  </si>
  <si>
    <t>SI-LABEL-LS-C3-250</t>
  </si>
  <si>
    <t>B0BQRY4898</t>
  </si>
  <si>
    <t>SI-LABEL-LS-C3-30A</t>
  </si>
  <si>
    <t>B0CSPXXKWW</t>
  </si>
  <si>
    <t>SI-LABEL-LS-C3-500</t>
  </si>
  <si>
    <t>B0BQRW9XMP</t>
  </si>
  <si>
    <t>Listing 80</t>
  </si>
  <si>
    <t>SI-LABEL-LS-01F01-GROUP94</t>
  </si>
  <si>
    <t>B0GQDRQQKN</t>
  </si>
  <si>
    <t>Current Review Count: 35</t>
  </si>
  <si>
    <t>SI-LABEL-LS-01F01-100A</t>
  </si>
  <si>
    <t>B0FWHB87CR</t>
  </si>
  <si>
    <t>SI-LABEL-LS-01F01-250A</t>
  </si>
  <si>
    <t>B0FWH7TZSH</t>
  </si>
  <si>
    <t>840472500277</t>
  </si>
  <si>
    <t>SI-LABEL-LS-01F01-30A</t>
  </si>
  <si>
    <t>B0FWH3JL4G</t>
  </si>
  <si>
    <t>840472500284</t>
  </si>
  <si>
    <t>SI-LABEL-LS-01F01-500A</t>
  </si>
  <si>
    <t>B0FWGQYXFG</t>
  </si>
  <si>
    <t>Listing 81</t>
  </si>
  <si>
    <t>SI-LABEL-LS-0203F-AV-GROUP95</t>
  </si>
  <si>
    <t>B0GQCRZQDZ</t>
  </si>
  <si>
    <t>Current Review Count: 43</t>
  </si>
  <si>
    <t>SI-LABEL-LS-0203F-AV-100</t>
  </si>
  <si>
    <t>2" X 3.5"</t>
  </si>
  <si>
    <t>B0FWGXGBSP</t>
  </si>
  <si>
    <t>SI-LABEL-LS-0203F-AV-250</t>
  </si>
  <si>
    <t>B0FWHT4HQT</t>
  </si>
  <si>
    <t>840472500475</t>
  </si>
  <si>
    <t>SI-LABEL-LS-0203F-AV-30</t>
  </si>
  <si>
    <t>B0FWGQMSFN</t>
  </si>
  <si>
    <t>SI-LABEL-LS-0203F-AV-500</t>
  </si>
  <si>
    <t>B0FWHDQLRM</t>
  </si>
  <si>
    <t>Listing 82</t>
  </si>
  <si>
    <t>SI-LABEL-LS-03F02-O-GROUP96</t>
  </si>
  <si>
    <t>B0GQCVFM1S</t>
  </si>
  <si>
    <t>Current Review Count: 26</t>
  </si>
  <si>
    <t>SI-LABEL-LS-03F02-O-100</t>
  </si>
  <si>
    <t>3.33" X 2"</t>
  </si>
  <si>
    <t>B0FWH7GX3L</t>
  </si>
  <si>
    <t>SI-LABEL-LS-03F02-O-250</t>
  </si>
  <si>
    <t>B0FWGQYDZN</t>
  </si>
  <si>
    <t>840472500352</t>
  </si>
  <si>
    <t>SI-LABEL-LS-03F02-O-30</t>
  </si>
  <si>
    <t>B0FWHJ6HD4</t>
  </si>
  <si>
    <t>SI-LABEL-LS-03F02-O-500</t>
  </si>
  <si>
    <t>B0FWHHV1YG</t>
  </si>
  <si>
    <t>Listing 83</t>
  </si>
  <si>
    <t>SI-LABEL-LS-0404-GROUP97</t>
  </si>
  <si>
    <t>B0GQCTS7YZ</t>
  </si>
  <si>
    <t>SI-LABEL-LS-0404-100</t>
  </si>
  <si>
    <t>B0FWH3HXK3</t>
  </si>
  <si>
    <t>SI-LABEL-LS-0404-250</t>
  </si>
  <si>
    <t>B0FWGTN23H</t>
  </si>
  <si>
    <t>840472500437</t>
  </si>
  <si>
    <t>SI-LABEL-LS-0404-30</t>
  </si>
  <si>
    <t>B0FWHF7LN8</t>
  </si>
  <si>
    <t>840472500451</t>
  </si>
  <si>
    <t>not visible on the front end</t>
  </si>
  <si>
    <t>SI-LABEL-LS-0404-500</t>
  </si>
  <si>
    <t>B0FWHF3P4V</t>
  </si>
  <si>
    <t>Listing 84</t>
  </si>
  <si>
    <t>SI-LABEL-LS-0202-AV</t>
  </si>
  <si>
    <t>B0GW9RG4BV</t>
  </si>
  <si>
    <t>SI-LABEL-LS-0202-AV-100</t>
  </si>
  <si>
    <t>B0FWGR5DLX</t>
  </si>
  <si>
    <t>SI-LABEL-LS-0202-AV-250</t>
  </si>
  <si>
    <t>B0FWHQ5JCM</t>
  </si>
  <si>
    <t>840472500550</t>
  </si>
  <si>
    <t>SI-LABEL-LS-0202-AV-500</t>
  </si>
  <si>
    <t>B0FWHPZBXS</t>
  </si>
  <si>
    <t>840472500567</t>
  </si>
  <si>
    <t>SI-LABEL-LS-0202-AV-30</t>
  </si>
  <si>
    <t>B0FWHT3HCG</t>
  </si>
  <si>
    <t>Listing 85</t>
  </si>
  <si>
    <t>SI-LABEL-LS-0303-AV</t>
  </si>
  <si>
    <t>B0GW9V26YC</t>
  </si>
  <si>
    <t>SI-LABEL-LS-0303-AV-100</t>
  </si>
  <si>
    <t>B0FWHPXP78</t>
  </si>
  <si>
    <t>SI-LABEL-LS-0303-AV-250</t>
  </si>
  <si>
    <t>B0FWHPZPSL</t>
  </si>
  <si>
    <t>840472500598</t>
  </si>
  <si>
    <t>SI-LABEL-LS-0303-AV-500</t>
  </si>
  <si>
    <t>B0FWGYGC6P</t>
  </si>
  <si>
    <t>840472500604</t>
  </si>
  <si>
    <t>SI-LABEL-LS-0303-AV-30</t>
  </si>
  <si>
    <t>B0FWH2QM9H</t>
  </si>
  <si>
    <t>Listing 86</t>
  </si>
  <si>
    <t>SI-LABEL-LS-02F01F</t>
  </si>
  <si>
    <t>B0GW9MYPNJ</t>
  </si>
  <si>
    <t>SI-LABEL-LS-02F01F-100A</t>
  </si>
  <si>
    <t>2.5" X 1.563"</t>
  </si>
  <si>
    <t>B0FWLWVN7R</t>
  </si>
  <si>
    <t>SI-LABEL-LS-02F01F-250A</t>
  </si>
  <si>
    <t>B0FWLGP6VX</t>
  </si>
  <si>
    <t>840472500673</t>
  </si>
  <si>
    <t>SI-LABEL-LS-02F01F-30A</t>
  </si>
  <si>
    <t>B0FWLGK8SH</t>
  </si>
  <si>
    <t>840472500680</t>
  </si>
  <si>
    <t>SI-LABEL-LS-02F01F-500A</t>
  </si>
  <si>
    <t>B0FWM4MPY1</t>
  </si>
  <si>
    <t>Listing 87</t>
  </si>
  <si>
    <t>SI-LABEL-LS-01F02F-O</t>
  </si>
  <si>
    <t>B0GW9M72DF</t>
  </si>
  <si>
    <t>SI-LABEL-LS-01F02F-O-100</t>
  </si>
  <si>
    <t>1 1/8" X 2 1/4"</t>
  </si>
  <si>
    <t>B0FWLNS5XL</t>
  </si>
  <si>
    <t>SI-LABEL-LS-01F02F-O-250</t>
  </si>
  <si>
    <t>B0FWM94DPZ</t>
  </si>
  <si>
    <t>840472500758</t>
  </si>
  <si>
    <t>SI-LABEL-LS-01F02F-O-500</t>
  </si>
  <si>
    <t>B0FWLTPHDJ</t>
  </si>
  <si>
    <t>840472500765</t>
  </si>
  <si>
    <t>SI-LABEL-LS-01F02F-O-30</t>
  </si>
  <si>
    <t>Listing 88</t>
  </si>
  <si>
    <t>SI-LABEL-LS-01F02F-AV</t>
  </si>
  <si>
    <t>B0GW9PX3B1</t>
  </si>
  <si>
    <t>SI-LABEL-LS-01F02F-AV-100</t>
  </si>
  <si>
    <t>1.5" X 2.75"</t>
  </si>
  <si>
    <t>B0FWMK9QR9</t>
  </si>
  <si>
    <t>SI-LABEL-LS-01F02F-AV-250</t>
  </si>
  <si>
    <t>B0FWLTTWGQ</t>
  </si>
  <si>
    <t>840472500833</t>
  </si>
  <si>
    <t>SI-LABEL-LS-01F02F-AV-500</t>
  </si>
  <si>
    <t>B0FWMP57TM</t>
  </si>
  <si>
    <t>840472500840</t>
  </si>
  <si>
    <t>SI-LABEL-LS-01F02F-AV-30</t>
  </si>
  <si>
    <t>B0FWMG9PHR</t>
  </si>
  <si>
    <t>Listing 89</t>
  </si>
  <si>
    <t>SI-LABEL-LS-0307-AV</t>
  </si>
  <si>
    <t>B0GW9HNQVY</t>
  </si>
  <si>
    <t>Current Review Count: 27</t>
  </si>
  <si>
    <t>SI-LABEL-LS-0307-AV-100</t>
  </si>
  <si>
    <t>3" X 7"</t>
  </si>
  <si>
    <t>B0FWMQ64MN</t>
  </si>
  <si>
    <t>SI-LABEL-LS-0307-AV-250</t>
  </si>
  <si>
    <t>B0FWMF8W8V</t>
  </si>
  <si>
    <t>840472500871</t>
  </si>
  <si>
    <t>SI-LABEL-LS-0307-AV-500</t>
  </si>
  <si>
    <t>B0FWMDQR78</t>
  </si>
  <si>
    <t>840472500888</t>
  </si>
  <si>
    <t>SI-LABEL-LS-0307-AV-30</t>
  </si>
  <si>
    <t>B0FWM669MM</t>
  </si>
  <si>
    <t>Listing 90</t>
  </si>
  <si>
    <t>SI-LABEL-LS-0305</t>
  </si>
  <si>
    <t>B0GW9KQ7HR</t>
  </si>
  <si>
    <t>SI-LABEL-LS-0305-100</t>
  </si>
  <si>
    <t>B0FWM6RZ2V</t>
  </si>
  <si>
    <t>SI-LABEL-LS-0305-250</t>
  </si>
  <si>
    <t>B0FWMLR15L</t>
  </si>
  <si>
    <t>840472500918</t>
  </si>
  <si>
    <t>SI-LABEL-LS-0305-500</t>
  </si>
  <si>
    <t>B0FWMVF7B1</t>
  </si>
  <si>
    <t>840472500925</t>
  </si>
  <si>
    <t>SI-LABEL-LS-0305-30</t>
  </si>
  <si>
    <t>B0FWMPHBM3</t>
  </si>
  <si>
    <t>Listing 91</t>
  </si>
  <si>
    <t>SI-LABEL-LS-02F01-KFT</t>
  </si>
  <si>
    <t>B0GW9Q31N3</t>
  </si>
  <si>
    <t>SI-LABEL-LS-02F01-KFT-100</t>
  </si>
  <si>
    <t>B0FWGY7JWS</t>
  </si>
  <si>
    <t>SI-LABEL-LS-02F01-KFT-250</t>
  </si>
  <si>
    <t>B0FWHBS9LG</t>
  </si>
  <si>
    <t>840472500314</t>
  </si>
  <si>
    <t>SI-LABEL-LS-02F01-KFT-30</t>
  </si>
  <si>
    <t>B0FWGX25J8</t>
  </si>
  <si>
    <t>840472500338</t>
  </si>
  <si>
    <t>SI-LABEL-LS-02F01-KFT-500</t>
  </si>
  <si>
    <t>B0FWH3KYZR</t>
  </si>
  <si>
    <t>Listing 92</t>
  </si>
  <si>
    <t>SI-LABEL-LS-01F00F-CLR</t>
  </si>
  <si>
    <t>B0GW9LP74R</t>
  </si>
  <si>
    <t>Current Review Count: 31</t>
  </si>
  <si>
    <t>SI-LABEL-LS-01F00F-CLR-100</t>
  </si>
  <si>
    <t>B0FWGXXLFT</t>
  </si>
  <si>
    <t>SI-LABEL-LS-01F00F-CLR-250</t>
  </si>
  <si>
    <t>B0FWGXK1BM</t>
  </si>
  <si>
    <t>840472500390</t>
  </si>
  <si>
    <t>SI-LABEL-LS-01F00F-CLR-30</t>
  </si>
  <si>
    <t>B0FWH39XTL</t>
  </si>
  <si>
    <t>840472500413</t>
  </si>
  <si>
    <t>SI-LABEL-LS-01F00F-CLR-500</t>
  </si>
  <si>
    <t>B0FWH8JSFG</t>
  </si>
  <si>
    <t>Listing 93</t>
  </si>
  <si>
    <t>SI-LABEL-LS-01F01-P</t>
  </si>
  <si>
    <t>B0DWZ8MX4Y</t>
  </si>
  <si>
    <t>Current Star Rating: 3.9</t>
  </si>
  <si>
    <t>SI-LABEL-LS-01F01-100</t>
  </si>
  <si>
    <t>1 1/2" X 1"</t>
  </si>
  <si>
    <t>B0CHN9774Y</t>
  </si>
  <si>
    <t>SI-LABEL-LS-01F01-500</t>
  </si>
  <si>
    <t>B0CHNBC1ZF</t>
  </si>
  <si>
    <t>SI-LABEL-LS-01F01-250</t>
  </si>
  <si>
    <t>B0CHNCL314</t>
  </si>
  <si>
    <t>SI-LABEL-LS-01F01-30</t>
  </si>
  <si>
    <t>B0CKGBVR62</t>
  </si>
  <si>
    <t>Listing 94</t>
  </si>
  <si>
    <t>SI-LABEL-LS-02F01F-PARENT</t>
  </si>
  <si>
    <t>B0FP46VMXC</t>
  </si>
  <si>
    <t>Current Review Count: 18</t>
  </si>
  <si>
    <t>SI-LABEL-LS-02F01F-100</t>
  </si>
  <si>
    <t>2 1/2" X 1 9/16"</t>
  </si>
  <si>
    <t>B0CHNB5QT4</t>
  </si>
  <si>
    <t>SI-LABEL-LS-02F01F-500</t>
  </si>
  <si>
    <t>B0CHN9JZQH</t>
  </si>
  <si>
    <t>SI-LABEL-LS-02F01F-250</t>
  </si>
  <si>
    <t>B0CHNCVSWL</t>
  </si>
  <si>
    <t>SI-LABEL-LS-02F01F-30</t>
  </si>
  <si>
    <t>B0CKG8K22T</t>
  </si>
  <si>
    <t>SI-LABEL-0401F3-30</t>
  </si>
  <si>
    <t>SI-LABEL-0401F3-100</t>
  </si>
  <si>
    <t>SI-LABEL-0401F3-500</t>
  </si>
  <si>
    <t>SI-LABEL-LS-0301-30</t>
  </si>
  <si>
    <t>SI-LABEL-LS-0301-100</t>
  </si>
  <si>
    <t>SI-LABEL-LS-0301-500</t>
  </si>
  <si>
    <t>SI-LABEL-0401F2-30</t>
  </si>
  <si>
    <t>SI-LABEL-0401F2-100</t>
  </si>
  <si>
    <t>SI-LABEL-0401F2-500</t>
  </si>
  <si>
    <t>SI-LABEL-0805-30</t>
  </si>
  <si>
    <t>SI-LABEL-0805-100</t>
  </si>
  <si>
    <t>SI-LABEL-0805-500</t>
  </si>
  <si>
    <t>SI-LABEL-LS-01F01F-30</t>
  </si>
  <si>
    <t>SI-LABEL-LS-01F01F-100</t>
  </si>
  <si>
    <t>SI-LABEL-LS-01F01F-500</t>
  </si>
  <si>
    <t>SI-LABEL-LS-01F00F3-30</t>
  </si>
  <si>
    <t>SI-LABEL-LS-01F00F3-100</t>
  </si>
  <si>
    <t>SI-LABEL-LS-01F00F3-500</t>
  </si>
  <si>
    <t>SI-LABEL-LS-0100F2-30</t>
  </si>
  <si>
    <t>SI-LABEL-LS-0100F2-100</t>
  </si>
  <si>
    <t>SI-LABEL-LS-0100F2-500</t>
  </si>
  <si>
    <t>SI-LABEL-LS-02F00F-30</t>
  </si>
  <si>
    <t>SI-LABEL-LS-02F00F-100</t>
  </si>
  <si>
    <t>SI-LABEL-LS-02F00F-500</t>
  </si>
  <si>
    <t>SI-LABEL-LS-01F00F-O-30</t>
  </si>
  <si>
    <t>SI-LABEL-LS-01F00F-O-100</t>
  </si>
  <si>
    <t>SI-LABEL-LS-01F00F-O-500</t>
  </si>
  <si>
    <t>SI-LABEL-LS-02F02F-AV-30</t>
  </si>
  <si>
    <t>SI-LABEL-LS-02F02F-AV-100</t>
  </si>
  <si>
    <t>SI-LABEL-LS-02F02F-AV-250</t>
  </si>
  <si>
    <t>SI-LABEL-LS-02F02F-AV-500</t>
  </si>
  <si>
    <t>SI-LABEL-LS-01F02F2-O-30</t>
  </si>
  <si>
    <t>SI-LABEL-LS-01F02F2-O-100</t>
  </si>
  <si>
    <t>SI-LABEL-LS-01F02F2-O-500</t>
  </si>
  <si>
    <t>SI-LABEL-LS-0507-30</t>
  </si>
  <si>
    <t>SI-LABEL-LS-0507-100</t>
  </si>
  <si>
    <t>SI-LABEL-LS-0507-500</t>
  </si>
  <si>
    <t>SI-LABEL-LS-0206-30</t>
  </si>
  <si>
    <t>SI-LABEL-LS-0206-100</t>
  </si>
  <si>
    <t>SI-LABEL-LS-0206-500</t>
  </si>
  <si>
    <t>SI-LABEL-LS-01F03F-30</t>
  </si>
  <si>
    <t>SI-LABEL-LS-01F03F-100</t>
  </si>
  <si>
    <t>SI-LABEL-LS-01F03F-500</t>
  </si>
  <si>
    <t>SI-LABEL-LS-0505-30</t>
  </si>
  <si>
    <t>SI-LABEL-LS-0505-100</t>
  </si>
  <si>
    <t>SI-LABEL-LS-0505-500</t>
  </si>
  <si>
    <t>Listing 95</t>
  </si>
  <si>
    <t>TP-CLR-HVD-1</t>
  </si>
  <si>
    <t>B0FLN6TC41</t>
  </si>
  <si>
    <t>Clear Tape</t>
  </si>
  <si>
    <t>Current Review Count: 46</t>
  </si>
  <si>
    <t>TP-CLR-2-HVD-06</t>
  </si>
  <si>
    <t>2" X 60 yd</t>
  </si>
  <si>
    <t>B0C7DXDNHT</t>
  </si>
  <si>
    <t>810115973348</t>
  </si>
  <si>
    <t>TP-CLR-2-HVD-12</t>
  </si>
  <si>
    <t>B0C7F6LNTX</t>
  </si>
  <si>
    <t>810115973355</t>
  </si>
  <si>
    <t>TP-CLR-2-HVD-18</t>
  </si>
  <si>
    <t>B0C7DXPR5Z</t>
  </si>
  <si>
    <t>810115973362</t>
  </si>
  <si>
    <t>TP-CLR-2-HVD-24</t>
  </si>
  <si>
    <t>B0C7DYLGFY</t>
  </si>
  <si>
    <t>810115973379</t>
  </si>
  <si>
    <t>TP-CLR-2-HVD-36</t>
  </si>
  <si>
    <t>B0C7DBY12P</t>
  </si>
  <si>
    <t>810115973386</t>
  </si>
  <si>
    <t>TP-CLR-3-HVD-06</t>
  </si>
  <si>
    <t>3" X 60 yd</t>
  </si>
  <si>
    <t>B0C7F31ZZ8</t>
  </si>
  <si>
    <t>810115973393</t>
  </si>
  <si>
    <t>TP-CLR-3-HVD-24</t>
  </si>
  <si>
    <t>B0C7F4S57D</t>
  </si>
  <si>
    <t>810115973416</t>
  </si>
  <si>
    <t>Listing 96</t>
  </si>
  <si>
    <t>TP-SAFE</t>
  </si>
  <si>
    <t>B0C6FD17B6</t>
  </si>
  <si>
    <t>TP-SAFE-BK-2</t>
  </si>
  <si>
    <t>2" X 65 ft</t>
  </si>
  <si>
    <t>B0C6FJXH6P</t>
  </si>
  <si>
    <t>810115972815</t>
  </si>
  <si>
    <t>TP-SAFE-BK-4</t>
  </si>
  <si>
    <t>4" X  36 ft</t>
  </si>
  <si>
    <t>B0C6FMBK8K</t>
  </si>
  <si>
    <t>810115972839</t>
  </si>
  <si>
    <t>TP-SAFE-BK-6</t>
  </si>
  <si>
    <t>6"  X 36 ft</t>
  </si>
  <si>
    <t>B0C6FLXTKC</t>
  </si>
  <si>
    <t>810115972853</t>
  </si>
  <si>
    <t>TP-SAFE-CL-2</t>
  </si>
  <si>
    <t>B0C6FMSQLJ</t>
  </si>
  <si>
    <t>810115972822</t>
  </si>
  <si>
    <t>TP-SAFE-CL-4</t>
  </si>
  <si>
    <t>4" X 36 ft</t>
  </si>
  <si>
    <t>B0C6FMDWPB</t>
  </si>
  <si>
    <t>810115972846</t>
  </si>
  <si>
    <t>Listing 97</t>
  </si>
  <si>
    <t>TL-ELC-24</t>
  </si>
  <si>
    <t>B0DWYFQ3H3</t>
  </si>
  <si>
    <t>Electrical tape</t>
  </si>
  <si>
    <t>Current Review Count: 226</t>
  </si>
  <si>
    <t>TP-ELC-BK-0F-12</t>
  </si>
  <si>
    <t>3/4 X 66'</t>
  </si>
  <si>
    <t>B0C6FMY76K</t>
  </si>
  <si>
    <t>810115972754</t>
  </si>
  <si>
    <t>TP-ELC-BK-0F-24</t>
  </si>
  <si>
    <t>B0C6FMGB27</t>
  </si>
  <si>
    <t>810115972785</t>
  </si>
  <si>
    <t>TP-ELC-RD-0F-12</t>
  </si>
  <si>
    <t>B0C6FLSFFX</t>
  </si>
  <si>
    <t>810115972761</t>
  </si>
  <si>
    <t>TP-ELC-RD-0F-24</t>
  </si>
  <si>
    <t>B0C6FJZS23</t>
  </si>
  <si>
    <t>810115972792</t>
  </si>
  <si>
    <t>TP-ELC-WT-0F-12</t>
  </si>
  <si>
    <t>B0C6FJ1MB8</t>
  </si>
  <si>
    <t>810115972778</t>
  </si>
  <si>
    <t>TP-ELC-WT-0F-24</t>
  </si>
  <si>
    <t>B0C6FKF51H</t>
  </si>
  <si>
    <t>810115972808</t>
  </si>
  <si>
    <t>Listing 98</t>
  </si>
  <si>
    <t>TP-FIL-6-GROUP70</t>
  </si>
  <si>
    <t>B0DW661L3M</t>
  </si>
  <si>
    <t>Filament tape</t>
  </si>
  <si>
    <t>Current Review Count: 70</t>
  </si>
  <si>
    <t>TP-FIL-6-1-12</t>
  </si>
  <si>
    <t>1" X 60yd</t>
  </si>
  <si>
    <t>B0D6SHNM7R</t>
  </si>
  <si>
    <t>810115977667</t>
  </si>
  <si>
    <t>TP-FIL-6-1-3</t>
  </si>
  <si>
    <t>B0D6SK9DSL</t>
  </si>
  <si>
    <t>810115977643</t>
  </si>
  <si>
    <t>TP-FIL-6-1-6</t>
  </si>
  <si>
    <t>B0D6SHCM22</t>
  </si>
  <si>
    <t>TP-FIL-6-2-12</t>
  </si>
  <si>
    <t>2" X 60yd</t>
  </si>
  <si>
    <t>B0D6SRWJX3</t>
  </si>
  <si>
    <t>TP-FIL-6-2-3</t>
  </si>
  <si>
    <t>B0D6SNJX1D</t>
  </si>
  <si>
    <t>810115977674</t>
  </si>
  <si>
    <t>TP-FIL-6-2-6</t>
  </si>
  <si>
    <t>B0D6SVWL52</t>
  </si>
  <si>
    <t>Listing 99</t>
  </si>
  <si>
    <t>TP-RUB-1</t>
  </si>
  <si>
    <t>B0DW64QPF1</t>
  </si>
  <si>
    <t>3,7</t>
  </si>
  <si>
    <t>TP-RUB-7-2-12</t>
  </si>
  <si>
    <t>B0D6PV137M</t>
  </si>
  <si>
    <t>810115977636</t>
  </si>
  <si>
    <t>TP-RUB-7-2-3</t>
  </si>
  <si>
    <t>B0D6PY68VV</t>
  </si>
  <si>
    <t>810115977612</t>
  </si>
  <si>
    <t>TP-RUB-7-2-6</t>
  </si>
  <si>
    <t>B0D6PPG9MB</t>
  </si>
  <si>
    <t>810115977629</t>
  </si>
  <si>
    <t>Listing 100</t>
  </si>
  <si>
    <t>TP-DUCT-1</t>
  </si>
  <si>
    <t>B0F7V13JPX</t>
  </si>
  <si>
    <t>Duct Wht, Blk, Silver</t>
  </si>
  <si>
    <t>Current Review Count: 334</t>
  </si>
  <si>
    <t>TP-DUCT-BK-2-12</t>
  </si>
  <si>
    <t>2 X 30 yd</t>
  </si>
  <si>
    <t>B0C6FJY6D1</t>
  </si>
  <si>
    <t>810115973591</t>
  </si>
  <si>
    <t>TP-DUCT-BK-2-3</t>
  </si>
  <si>
    <t>B0C6FKGZTX</t>
  </si>
  <si>
    <t>810115972693</t>
  </si>
  <si>
    <t>TP-DUCT-BK-2-6</t>
  </si>
  <si>
    <t>B0C6FJYZ9P</t>
  </si>
  <si>
    <t>810115972716</t>
  </si>
  <si>
    <t>TP-DUCT-BK-3-2</t>
  </si>
  <si>
    <t>3 X 30 yd</t>
  </si>
  <si>
    <t>B0D1KZDQQC</t>
  </si>
  <si>
    <t>TP-DUCT-BK-3-6</t>
  </si>
  <si>
    <t>B0D1LFQY3J</t>
  </si>
  <si>
    <t>TP-DUCT-BK-4-2</t>
  </si>
  <si>
    <t>4 X 30 yd</t>
  </si>
  <si>
    <t>B0D1L9TXHY</t>
  </si>
  <si>
    <t>810115977384</t>
  </si>
  <si>
    <t>TP-DUCT-BK-4-6</t>
  </si>
  <si>
    <t>B0D1LCF5L3</t>
  </si>
  <si>
    <t>TP-DUCT-SLV-2-12</t>
  </si>
  <si>
    <t>B0C6FKD18N</t>
  </si>
  <si>
    <t>810115972679</t>
  </si>
  <si>
    <t>TP-DUCT-SLV-2-3</t>
  </si>
  <si>
    <t>B0C6FJPVYP</t>
  </si>
  <si>
    <t>810115972662</t>
  </si>
  <si>
    <t>TP-DUCT-SLV-2-6</t>
  </si>
  <si>
    <t>B0C6FK5F47</t>
  </si>
  <si>
    <t>810115972686</t>
  </si>
  <si>
    <t>TP-DUCT-SLV-3-2</t>
  </si>
  <si>
    <t>B0D1KXH9TR</t>
  </si>
  <si>
    <t>810115977315</t>
  </si>
  <si>
    <t>TP-DUCT-SLV-3-6</t>
  </si>
  <si>
    <t>B0D1KXR8KK</t>
  </si>
  <si>
    <t>810115977346</t>
  </si>
  <si>
    <t>TP-DUCT-SLV-4-2</t>
  </si>
  <si>
    <t>B0D1LPZY59</t>
  </si>
  <si>
    <t>810115977377</t>
  </si>
  <si>
    <t>TP-DUCT-SLV-4-6</t>
  </si>
  <si>
    <t>B0D1LPY8NW</t>
  </si>
  <si>
    <t>TP-DUCT-WT-2-12</t>
  </si>
  <si>
    <t>B0C6G5K8SG</t>
  </si>
  <si>
    <t>810115972730</t>
  </si>
  <si>
    <t>TP-DUCT-WT-2-3</t>
  </si>
  <si>
    <t>B0C6FLLRMQ</t>
  </si>
  <si>
    <t>810115972723</t>
  </si>
  <si>
    <t>TP-DUCT-WT-2-6</t>
  </si>
  <si>
    <t>B0C6FS3FH1</t>
  </si>
  <si>
    <t>810115972747</t>
  </si>
  <si>
    <t>TP-DUCT-WT-3-2</t>
  </si>
  <si>
    <t>B0D1LFRR31</t>
  </si>
  <si>
    <t>TP-DUCT-WT-3-6</t>
  </si>
  <si>
    <t>B0D1KWKNTT</t>
  </si>
  <si>
    <t>810115977360</t>
  </si>
  <si>
    <t>TP-DUCT-WT-4-2</t>
  </si>
  <si>
    <t>B0D1LGBFTS</t>
  </si>
  <si>
    <t>TP-DUCT-WT-4-6</t>
  </si>
  <si>
    <t>B0D1LJRLYM</t>
  </si>
  <si>
    <t>810115977421</t>
  </si>
  <si>
    <t xml:space="preserve">Listing 101
</t>
  </si>
  <si>
    <t xml:space="preserve"> TP-DUCT-MC-2-6</t>
  </si>
  <si>
    <t>B0DW6VYV9T</t>
  </si>
  <si>
    <t>Color duct tape</t>
  </si>
  <si>
    <t>Current Review Count: 119</t>
  </si>
  <si>
    <t>TP-DUCT-BLU-2-2</t>
  </si>
  <si>
    <t>B0D1L7ZHYQ</t>
  </si>
  <si>
    <t>TP-DUCT-BLU-2-6</t>
  </si>
  <si>
    <t>B0D1KX21T6</t>
  </si>
  <si>
    <t>810115977230</t>
  </si>
  <si>
    <t>TP-DUCT-GRN-2-2</t>
  </si>
  <si>
    <t>B0D1LJ64YF</t>
  </si>
  <si>
    <t>TP-DUCT-GRN-2-6</t>
  </si>
  <si>
    <t>B0D1LBNRQL</t>
  </si>
  <si>
    <t>TP-DUCT-ORG-2-2</t>
  </si>
  <si>
    <t>B0D1L2813G</t>
  </si>
  <si>
    <t>810115977216</t>
  </si>
  <si>
    <t>TP-DUCT-ORG-2-6</t>
  </si>
  <si>
    <t>B0D1L9JKHZ</t>
  </si>
  <si>
    <t>810115977285</t>
  </si>
  <si>
    <t>TP-DUCT-PNK-2-2</t>
  </si>
  <si>
    <t>B0D1L81KRN</t>
  </si>
  <si>
    <t>810115977209</t>
  </si>
  <si>
    <t>TP-DUCT-PNK-2-6</t>
  </si>
  <si>
    <t>B0D1LD7JHR</t>
  </si>
  <si>
    <t>TP-DUCT-PRP-2-2</t>
  </si>
  <si>
    <t>B0D1KYGHD8</t>
  </si>
  <si>
    <t>TP-DUCT-PRP-2-6</t>
  </si>
  <si>
    <t>B0D1L21QFS</t>
  </si>
  <si>
    <t>810115977292</t>
  </si>
  <si>
    <t>TP-DUCT-RED-2-2</t>
  </si>
  <si>
    <t>B0D1LCXT8T</t>
  </si>
  <si>
    <t>810115977179</t>
  </si>
  <si>
    <t>TP-DUCT-RED-2-6</t>
  </si>
  <si>
    <t>B0D1KX4QPJ</t>
  </si>
  <si>
    <t>TP-DUCT-YLW-2-2</t>
  </si>
  <si>
    <t>B0D1KYWJDC</t>
  </si>
  <si>
    <t>TP-DUCT-YLW-2-6</t>
  </si>
  <si>
    <t>B0D1LLSWR8</t>
  </si>
  <si>
    <t>Not Parented</t>
  </si>
  <si>
    <t>B0D1L9HB28</t>
  </si>
  <si>
    <t>Duct MiX</t>
  </si>
  <si>
    <t>TP-DUCT-MIX-7-7</t>
  </si>
  <si>
    <t>2 X 1yd</t>
  </si>
  <si>
    <t>Listing 103</t>
  </si>
  <si>
    <t>TP-MASK-NAT-1</t>
  </si>
  <si>
    <t>B0DW71S2TV</t>
  </si>
  <si>
    <t>Beige Mask</t>
  </si>
  <si>
    <t>Current Review Count: 391</t>
  </si>
  <si>
    <t>TP-MASK-NAT-0F-12</t>
  </si>
  <si>
    <t>3/4 X 60 yd</t>
  </si>
  <si>
    <t>B0C6FM29C2</t>
  </si>
  <si>
    <t>810115972563</t>
  </si>
  <si>
    <t>TP-MASK-NAT-0F-24</t>
  </si>
  <si>
    <t>B0C6FTYW4P</t>
  </si>
  <si>
    <t>810115972556</t>
  </si>
  <si>
    <t>TP-MASK-NAT-0F-6</t>
  </si>
  <si>
    <t>3/4" X 60 yd</t>
  </si>
  <si>
    <t>B0C6FJR7N2</t>
  </si>
  <si>
    <t>810115972549</t>
  </si>
  <si>
    <t>TP-MASK-NAT-1-12</t>
  </si>
  <si>
    <t>1"  X 60 yd</t>
  </si>
  <si>
    <t>B0C6FHK9X9</t>
  </si>
  <si>
    <t>810115972594</t>
  </si>
  <si>
    <t>TP-MASK-NAT-1-24</t>
  </si>
  <si>
    <t>B0C6FVJ13M</t>
  </si>
  <si>
    <t>810115972587</t>
  </si>
  <si>
    <t>TP-MASK-NAT-1-6</t>
  </si>
  <si>
    <t>1" X 60 yd</t>
  </si>
  <si>
    <t>B0C6FLSQF9</t>
  </si>
  <si>
    <t>810115972570</t>
  </si>
  <si>
    <t>TP-MASK-NAT-1F-12</t>
  </si>
  <si>
    <t>1 1/2" X 60 yd</t>
  </si>
  <si>
    <t>B0C6FJWW5K</t>
  </si>
  <si>
    <t>810115972624</t>
  </si>
  <si>
    <t>TP-MASK-NAT-1F-24</t>
  </si>
  <si>
    <t>B0C6FMR2RY</t>
  </si>
  <si>
    <t>810115972617</t>
  </si>
  <si>
    <t>TP-MASK-NAT-1F-6</t>
  </si>
  <si>
    <t>1/1/2 X 60 yd</t>
  </si>
  <si>
    <t>B0C6FW84TN</t>
  </si>
  <si>
    <t>810115972600</t>
  </si>
  <si>
    <t>TP-MASK-NAT-2-12</t>
  </si>
  <si>
    <t>B0C6FH6FZZ</t>
  </si>
  <si>
    <t>810115972655</t>
  </si>
  <si>
    <t>TP-MASK-NAT-2-24</t>
  </si>
  <si>
    <t>B0C6FSX65C</t>
  </si>
  <si>
    <t>810115972648</t>
  </si>
  <si>
    <t>TP-MASK-NAT-2-6</t>
  </si>
  <si>
    <t>B0C6FKCJX3</t>
  </si>
  <si>
    <t>810115972631</t>
  </si>
  <si>
    <t>Listing 104</t>
  </si>
  <si>
    <t>TP-MASK-MC-3-12</t>
  </si>
  <si>
    <t>B0DW64ZJ3G</t>
  </si>
  <si>
    <t>Color Mask</t>
  </si>
  <si>
    <t>Current Review Count: 203</t>
  </si>
  <si>
    <t>TP-MASK-BK-1-12</t>
  </si>
  <si>
    <t>B0CYN3ZWFT</t>
  </si>
  <si>
    <t>810115977469</t>
  </si>
  <si>
    <t>TP-MASK-BK-1-3</t>
  </si>
  <si>
    <t>B0CYN3HQVJ</t>
  </si>
  <si>
    <t>810115977582</t>
  </si>
  <si>
    <t>TP-MASK-BK-1-6</t>
  </si>
  <si>
    <t>B0D1LG1KZG</t>
  </si>
  <si>
    <t>810115977520</t>
  </si>
  <si>
    <t>TP-MASK-BLU-1-12</t>
  </si>
  <si>
    <t>B0CYNFK7BW</t>
  </si>
  <si>
    <t>810115977452</t>
  </si>
  <si>
    <t>TP-MASK-BLU-1-3</t>
  </si>
  <si>
    <t>B0CYM9GJN9</t>
  </si>
  <si>
    <t>810115977575</t>
  </si>
  <si>
    <t>TP-MASK-BLUE-1-6</t>
  </si>
  <si>
    <t>B0D1LCFGL4</t>
  </si>
  <si>
    <t>810115977513</t>
  </si>
  <si>
    <t>TP-MASK-GRN-1-12</t>
  </si>
  <si>
    <t>B0CYNDBR5T</t>
  </si>
  <si>
    <t>810115977438</t>
  </si>
  <si>
    <t>TP-MASK-GRN-1-3</t>
  </si>
  <si>
    <t>B0CYNKT7XC</t>
  </si>
  <si>
    <t>0810115977551</t>
  </si>
  <si>
    <t>TP-MASK-GRN-1-6</t>
  </si>
  <si>
    <t>B0D1LSJMZT</t>
  </si>
  <si>
    <t>810115977490</t>
  </si>
  <si>
    <t>TP-MASK-ORG-1-12</t>
  </si>
  <si>
    <t>B0CYN9HTMD</t>
  </si>
  <si>
    <t xml:space="preserve"> 810115977483</t>
  </si>
  <si>
    <t>TP-MASK-ORG-1-3</t>
  </si>
  <si>
    <t>B0CYMZN32T</t>
  </si>
  <si>
    <t>0810115977605</t>
  </si>
  <si>
    <t>TP-MASK-ORG-1-6</t>
  </si>
  <si>
    <t>B0D1LF12VL</t>
  </si>
  <si>
    <t>810115977544</t>
  </si>
  <si>
    <t>TP-MASK-RED-1-12</t>
  </si>
  <si>
    <t>B0CYN6NBZH</t>
  </si>
  <si>
    <t xml:space="preserve"> 810115977445</t>
  </si>
  <si>
    <t>TP-MASK-RED-1-3</t>
  </si>
  <si>
    <t>B0CYN6H3M1</t>
  </si>
  <si>
    <t>TP-MASK-RED-1-6</t>
  </si>
  <si>
    <t>B0D1LDQWC3</t>
  </si>
  <si>
    <t>810115977506</t>
  </si>
  <si>
    <t>TP-MASK-YEL-1-12</t>
  </si>
  <si>
    <t>B0CYN45R6Q</t>
  </si>
  <si>
    <t>810115977476</t>
  </si>
  <si>
    <t>TP-MASK-YEL-1-3</t>
  </si>
  <si>
    <t>B0CYNMJ8PN</t>
  </si>
  <si>
    <t>0810115977599</t>
  </si>
  <si>
    <t>TP-MASK-YLW-1-6</t>
  </si>
  <si>
    <t>B0D1LK9VZX</t>
  </si>
  <si>
    <t>810115977537</t>
  </si>
  <si>
    <t>Listing 105</t>
  </si>
  <si>
    <t>POUCH-SUP-KFT-BLK</t>
  </si>
  <si>
    <t>B0FM1HHV3B</t>
  </si>
  <si>
    <t>Black Aluminum &amp; Kraft</t>
  </si>
  <si>
    <t>Current Review Count: 168</t>
  </si>
  <si>
    <t>POUCH-SUP-BLK-03F05F-100</t>
  </si>
  <si>
    <t>3.5" X 5.5"</t>
  </si>
  <si>
    <t>B0DJTHCNF9</t>
  </si>
  <si>
    <t xml:space="preserve"> 810115979937</t>
  </si>
  <si>
    <t>POUCH-SUP-BLK-03F05F-1000</t>
  </si>
  <si>
    <t>B0DJTHZV1S</t>
  </si>
  <si>
    <t>810115979944</t>
  </si>
  <si>
    <t>POUCH-SUP-BLK-0406-100</t>
  </si>
  <si>
    <t>B0DJTK3RZW</t>
  </si>
  <si>
    <t>810115979951</t>
  </si>
  <si>
    <t>POUCH-SUP-BLK-0406-1000</t>
  </si>
  <si>
    <t>B0DJTH29ZW</t>
  </si>
  <si>
    <t>810115979968</t>
  </si>
  <si>
    <t>POUCH-SUP-BLK-0508-100</t>
  </si>
  <si>
    <t>B0DJTJM9KV</t>
  </si>
  <si>
    <t xml:space="preserve"> 810115979975</t>
  </si>
  <si>
    <t>POUCH-SUP-BLK-0508-1000</t>
  </si>
  <si>
    <t>B0DJTK9S62</t>
  </si>
  <si>
    <t xml:space="preserve"> 810115979982</t>
  </si>
  <si>
    <t>POUCH-SUP-BLK-0609-100</t>
  </si>
  <si>
    <t>B0DJTJYSHY</t>
  </si>
  <si>
    <t>POUCH-SUP-BLK-0609-500</t>
  </si>
  <si>
    <t>B0DJWTK6JP</t>
  </si>
  <si>
    <t xml:space="preserve"> 840472500000</t>
  </si>
  <si>
    <t>POUCH-SUP-BLK-0710-100</t>
  </si>
  <si>
    <t>B0DJWTXQM1</t>
  </si>
  <si>
    <t xml:space="preserve"> 840472500017</t>
  </si>
  <si>
    <t>POUCH-SUP-BLK-0710-500</t>
  </si>
  <si>
    <t>B0DJWT58S8</t>
  </si>
  <si>
    <t>840472500024</t>
  </si>
  <si>
    <t>POUCH-SUP-KFT-03F05F-100</t>
  </si>
  <si>
    <t>B0C6FMHT6K</t>
  </si>
  <si>
    <t>810115972976</t>
  </si>
  <si>
    <t>POUCH-SUP-KFT-03F05F-1000</t>
  </si>
  <si>
    <t>B0C6FQCVPJ</t>
  </si>
  <si>
    <t>810115973027</t>
  </si>
  <si>
    <t>POUCH-SUP-KFT-0406-100</t>
  </si>
  <si>
    <t>B0C6FQMWZC</t>
  </si>
  <si>
    <t>810115972983</t>
  </si>
  <si>
    <t>POUCH-SUP-KFT-0406-1000</t>
  </si>
  <si>
    <t>B0C6FKJCSG</t>
  </si>
  <si>
    <t>810115973034</t>
  </si>
  <si>
    <t>POUCH-SUP-KFT-0508-100</t>
  </si>
  <si>
    <t>B0C6FLL6L9</t>
  </si>
  <si>
    <t>810115972990</t>
  </si>
  <si>
    <t>POUCH-SUP-KFT-0508-1000</t>
  </si>
  <si>
    <t>B0C9K2XDV1</t>
  </si>
  <si>
    <t>810115974185</t>
  </si>
  <si>
    <t>POUCH-SUP-KFT-0609-100</t>
  </si>
  <si>
    <t>B0C6FN532X</t>
  </si>
  <si>
    <t>810115973003</t>
  </si>
  <si>
    <t>POUCH-SUP-KFT-0609-500</t>
  </si>
  <si>
    <t>B0C6FLRJJD</t>
  </si>
  <si>
    <t>810115973058</t>
  </si>
  <si>
    <t>POUCH-SUP-KFT-0710-100</t>
  </si>
  <si>
    <t>B0C6FJWZCK</t>
  </si>
  <si>
    <t>810115973010</t>
  </si>
  <si>
    <t>POUCH-SUP-KFT-0710-500</t>
  </si>
  <si>
    <t>B0C6FKKJ3P</t>
  </si>
  <si>
    <t>810115973065</t>
  </si>
  <si>
    <t>Listing 106</t>
  </si>
  <si>
    <t>POUCH-SUP-WHT-AL</t>
  </si>
  <si>
    <t>B0FM1N6WWQ</t>
  </si>
  <si>
    <t>Aluminum &amp; White</t>
  </si>
  <si>
    <t>Current Review Count: 140</t>
  </si>
  <si>
    <t>POUCH-SUP-AL-03F05F-100</t>
  </si>
  <si>
    <t>B0C3T8RZHG</t>
  </si>
  <si>
    <t>810115974239</t>
  </si>
  <si>
    <t>POUCH-SUP-AL-03F05F-1000</t>
  </si>
  <si>
    <t>B0C3T5RJG6</t>
  </si>
  <si>
    <t>810115974246</t>
  </si>
  <si>
    <t>POUCH-SUP-AL-0406-100</t>
  </si>
  <si>
    <t>B0C3T6M464</t>
  </si>
  <si>
    <t>810115974253</t>
  </si>
  <si>
    <t>POUCH-SUP-AL-0406-1000</t>
  </si>
  <si>
    <t>B0C3TB5459</t>
  </si>
  <si>
    <t>810115974260</t>
  </si>
  <si>
    <t>POUCH-SUP-AL-0508-100</t>
  </si>
  <si>
    <t>B0C3TBBVWS</t>
  </si>
  <si>
    <t>810115974277</t>
  </si>
  <si>
    <t>POUCH-SUP-AL-0508-1000</t>
  </si>
  <si>
    <t>B0C3T7Z843</t>
  </si>
  <si>
    <t>810115974284</t>
  </si>
  <si>
    <t>POUCH-SUP-AL-0609-100</t>
  </si>
  <si>
    <t>B0C3SSP296</t>
  </si>
  <si>
    <t>810115974291</t>
  </si>
  <si>
    <t>POUCH-SUP-AL-0609-500</t>
  </si>
  <si>
    <t>B0C3TDBT3D</t>
  </si>
  <si>
    <t>810115974307</t>
  </si>
  <si>
    <t>POUCH-SUP-AL-0710-100</t>
  </si>
  <si>
    <t>B0C3T96QF9</t>
  </si>
  <si>
    <t>810115974314</t>
  </si>
  <si>
    <t>POUCH-SUP-AL-0710-500</t>
  </si>
  <si>
    <t>B0C3T6LD28</t>
  </si>
  <si>
    <t>810115974321</t>
  </si>
  <si>
    <t>POUCH-SUP-WHT-03F05F-100</t>
  </si>
  <si>
    <t>B0C6FQ5HQH</t>
  </si>
  <si>
    <t>POUCH-SUP-WHT-03F05F-1000</t>
  </si>
  <si>
    <t>B0C6FJ9VTL</t>
  </si>
  <si>
    <t>810115972921</t>
  </si>
  <si>
    <t>POUCH-SUP-WHT-0406-100</t>
  </si>
  <si>
    <t>B0C6FJZ8FW</t>
  </si>
  <si>
    <t>POUCH-SUP-WHT-0406-1000</t>
  </si>
  <si>
    <t>B0C6FKMX49</t>
  </si>
  <si>
    <t>810115972938</t>
  </si>
  <si>
    <t>POUCH-SUP-WHT-0508-100</t>
  </si>
  <si>
    <t>B0C6FMLT14</t>
  </si>
  <si>
    <t>POUCH-SUP-WHT-0508-1000</t>
  </si>
  <si>
    <t>B0C9JWY43N</t>
  </si>
  <si>
    <t>810115974086</t>
  </si>
  <si>
    <t>POUCH-SUP-WHT-0609-100</t>
  </si>
  <si>
    <t>B0C6FLTPZN</t>
  </si>
  <si>
    <t>POUCH-SUP-WHT-0609-500</t>
  </si>
  <si>
    <t>B0C6FJ9VV1</t>
  </si>
  <si>
    <t>810115972952</t>
  </si>
  <si>
    <t>POUCH-SUP-WHT-0710-100</t>
  </si>
  <si>
    <t>B0C6FPSRVT</t>
  </si>
  <si>
    <t>POUCH-SUP-WHT-0710-500</t>
  </si>
  <si>
    <t>B0C6FKJLGW</t>
  </si>
  <si>
    <t>810115972969</t>
  </si>
  <si>
    <t>Listing 107</t>
  </si>
  <si>
    <t>HQ-XY6C-RQRE</t>
  </si>
  <si>
    <t>B0C3SVRDYQ</t>
  </si>
  <si>
    <t>Holographic</t>
  </si>
  <si>
    <t>Current Review Count: 139</t>
  </si>
  <si>
    <t>POUCH-HOLO-0304-1000</t>
  </si>
  <si>
    <t>B0C3TCH6FW</t>
  </si>
  <si>
    <t>POUCH-HOLO-0304-200</t>
  </si>
  <si>
    <t>B0C3SZJS8P</t>
  </si>
  <si>
    <t>810115973911</t>
  </si>
  <si>
    <t>POUCH-HOLO-0305-1000</t>
  </si>
  <si>
    <t>B0C3T8MHNR</t>
  </si>
  <si>
    <t>POUCH-HOLO-0305-200</t>
  </si>
  <si>
    <t>B0C3TFV2VW</t>
  </si>
  <si>
    <t>810115973935</t>
  </si>
  <si>
    <t>POUCH-HOLO-0406-1000</t>
  </si>
  <si>
    <t>B0C3TD9CXL</t>
  </si>
  <si>
    <t>POUCH-HOLO-0406-200</t>
  </si>
  <si>
    <t>B0C3T51SBR</t>
  </si>
  <si>
    <t>810115973959</t>
  </si>
  <si>
    <t>POUCH-HOLO-0507-1000</t>
  </si>
  <si>
    <t>B0C3TB7HSG</t>
  </si>
  <si>
    <t>POUCH-HOLO-0507-200</t>
  </si>
  <si>
    <t>B0C3TDG68G</t>
  </si>
  <si>
    <t>810115973973</t>
  </si>
  <si>
    <t>POUCH-HOLO-0609-200</t>
  </si>
  <si>
    <t>B0C3TB7VFW</t>
  </si>
  <si>
    <t>810115973997</t>
  </si>
  <si>
    <t>POUCH-HOLO-0609-500</t>
  </si>
  <si>
    <t>B0CLVZ47NM</t>
  </si>
  <si>
    <t>POUCH-HOLO-0710-200</t>
  </si>
  <si>
    <t>7" X 9"</t>
  </si>
  <si>
    <t>B0C3T1D4SF</t>
  </si>
  <si>
    <t>810115974017</t>
  </si>
  <si>
    <t>POUCH-HOLO-0710-500</t>
  </si>
  <si>
    <t>B0C75VMDHK</t>
  </si>
  <si>
    <t>Listing 108</t>
  </si>
  <si>
    <t>SI-VAC-BLK</t>
  </si>
  <si>
    <t>B0DJTGV3QZ</t>
  </si>
  <si>
    <t>Black vac bag</t>
  </si>
  <si>
    <t>Current Review Count: 79</t>
  </si>
  <si>
    <t>VAC-0610-100-BLK</t>
  </si>
  <si>
    <t>B0DJTK7NLV</t>
  </si>
  <si>
    <t>VAC-0610-200-BLK</t>
  </si>
  <si>
    <t xml:space="preserve">6" X 10" </t>
  </si>
  <si>
    <t>B0DJTHZRJ7</t>
  </si>
  <si>
    <t>810115979883</t>
  </si>
  <si>
    <t>VAC-0610-500-BLK</t>
  </si>
  <si>
    <t>B0DJTJHCB2</t>
  </si>
  <si>
    <t>VAC-0812-100-BLK</t>
  </si>
  <si>
    <t>B0DJTT6KJS</t>
  </si>
  <si>
    <t>810115979906</t>
  </si>
  <si>
    <t>VAC-0812-200-BLK</t>
  </si>
  <si>
    <t>B0DJTHSYTT</t>
  </si>
  <si>
    <t>VAC-0812-500-BLK</t>
  </si>
  <si>
    <t>B0DJTJ8SBZ</t>
  </si>
  <si>
    <t>810115979920</t>
  </si>
  <si>
    <t>Listing 109</t>
  </si>
  <si>
    <t>BM-0H4M-FQDO</t>
  </si>
  <si>
    <t>B0FHLYHKGD</t>
  </si>
  <si>
    <t>Shrink wrap bag</t>
  </si>
  <si>
    <t>Current Review Count: 146</t>
  </si>
  <si>
    <t>SHRINK-PVC-0508-500</t>
  </si>
  <si>
    <t>B0C3T52FP9</t>
  </si>
  <si>
    <t>810115973805</t>
  </si>
  <si>
    <t>SHRINK-PVC-0606-500</t>
  </si>
  <si>
    <t>B0C3SPT42J</t>
  </si>
  <si>
    <t>810115973812</t>
  </si>
  <si>
    <t>SHRINK-PVC-0710-500</t>
  </si>
  <si>
    <t>B0C3T97KRG</t>
  </si>
  <si>
    <t>810115973829</t>
  </si>
  <si>
    <t>SHRINK-PVC-0812-100</t>
  </si>
  <si>
    <t>B0C3T1BMVV</t>
  </si>
  <si>
    <t>810115973843</t>
  </si>
  <si>
    <t>no specs</t>
  </si>
  <si>
    <t>SHRINK-PVC-0812-500</t>
  </si>
  <si>
    <t>B0C3TCLMH8</t>
  </si>
  <si>
    <t>810115973836</t>
  </si>
  <si>
    <t>SHRINK-PVC-1014-100</t>
  </si>
  <si>
    <t>10" X 14"</t>
  </si>
  <si>
    <t>B0C3T5YCLX</t>
  </si>
  <si>
    <t>810115973867</t>
  </si>
  <si>
    <t>SHRINK-PVC-1014-500</t>
  </si>
  <si>
    <t>B0C3T3N1BG</t>
  </si>
  <si>
    <t>810115973850</t>
  </si>
  <si>
    <t>SHRINK-PVC-1218-100</t>
  </si>
  <si>
    <t>B0C3T64MLN</t>
  </si>
  <si>
    <t>810115973881</t>
  </si>
  <si>
    <t>SHRINK-PVC-1218-500</t>
  </si>
  <si>
    <t>B0C3T9Q2Z1</t>
  </si>
  <si>
    <t>810115973874</t>
  </si>
  <si>
    <t>SHRINK-PVC-1420-100</t>
  </si>
  <si>
    <t>B0C3TFJKG4</t>
  </si>
  <si>
    <t>810115973904</t>
  </si>
  <si>
    <t>SHRINK-PVC-1420-500</t>
  </si>
  <si>
    <t>B0C3SXBFX9</t>
  </si>
  <si>
    <t>810115973898</t>
  </si>
  <si>
    <t>Listing 110</t>
  </si>
  <si>
    <t>HI-LERV-GAFM</t>
  </si>
  <si>
    <t>B0C3TFPCYD</t>
  </si>
  <si>
    <t>Shrink film roll</t>
  </si>
  <si>
    <t>SHRINK-POL-08</t>
  </si>
  <si>
    <t>8" X 550 ft</t>
  </si>
  <si>
    <t>B0C3T5S8G7</t>
  </si>
  <si>
    <t>810115973751</t>
  </si>
  <si>
    <t>SHRINK-POL-10</t>
  </si>
  <si>
    <t>10" X 550 ft</t>
  </si>
  <si>
    <t>B0C3T41H45</t>
  </si>
  <si>
    <t>810115973768</t>
  </si>
  <si>
    <t>SHRINK-POL-12</t>
  </si>
  <si>
    <t>12" X 550 ft</t>
  </si>
  <si>
    <t>B0C3T9R5F6</t>
  </si>
  <si>
    <t>810115973775</t>
  </si>
  <si>
    <t>SHRINK-POL-14</t>
  </si>
  <si>
    <t>14" X  550 ft</t>
  </si>
  <si>
    <t>B0C3SXPC6T</t>
  </si>
  <si>
    <t>810115973782</t>
  </si>
  <si>
    <t>SHRINK-POL-16</t>
  </si>
  <si>
    <t>15" X 550 ft</t>
  </si>
  <si>
    <t>B0C3TCW6C7</t>
  </si>
  <si>
    <t>810115973799</t>
  </si>
  <si>
    <t>Current Review Count: 8</t>
  </si>
  <si>
    <t>SI-LABEL-DT-0406-04</t>
  </si>
  <si>
    <t xml:space="preserve"> 4" X 6" </t>
  </si>
  <si>
    <t>B0CMFGS73Z</t>
  </si>
  <si>
    <t>810115976189</t>
  </si>
  <si>
    <r>
      <rPr>
        <rFont val="Open Sans"/>
        <i val="0"/>
        <color theme="1"/>
        <sz val="8.0"/>
      </rPr>
      <t>⬆️</t>
    </r>
    <r>
      <rPr>
        <rFont val="Open Sans"/>
        <i/>
        <color theme="1"/>
        <sz val="8.0"/>
      </rPr>
      <t xml:space="preserve"> Toggle +/- Button to Hide ASINs &amp; GS1 UPCs</t>
    </r>
  </si>
  <si>
    <t>Current Review Count: 394</t>
  </si>
  <si>
    <t>Current Review Count:37</t>
  </si>
  <si>
    <t>Current Review Count: 29, 485</t>
  </si>
  <si>
    <t>Current Review Count: 629</t>
  </si>
  <si>
    <t>Current Review Count: 32</t>
  </si>
  <si>
    <t>Current Review Count: 477</t>
  </si>
  <si>
    <t>oos</t>
  </si>
  <si>
    <t>Current Review Count: 609</t>
  </si>
  <si>
    <t>Current Review Count: 919</t>
  </si>
  <si>
    <t>Current Review Count:231</t>
  </si>
  <si>
    <t>Current Review Count:65</t>
  </si>
  <si>
    <t>Current Review Count: 126</t>
  </si>
  <si>
    <t>Current Review Count: 372</t>
  </si>
  <si>
    <t>Current Review Count: 1073</t>
  </si>
  <si>
    <t>no a+ content</t>
  </si>
  <si>
    <t>Current Review Count:226</t>
  </si>
  <si>
    <t>Current Review Count: 129</t>
  </si>
  <si>
    <t>Current Review Count: 660</t>
  </si>
  <si>
    <t>Current Review Count: 8545</t>
  </si>
  <si>
    <t>Current Star Rating:5</t>
  </si>
  <si>
    <t>parent has wrong A+</t>
  </si>
  <si>
    <t>Current Review Count: 3112</t>
  </si>
  <si>
    <t>B0GQTP3ZVD</t>
  </si>
  <si>
    <t>Current Review Count: 1087</t>
  </si>
  <si>
    <t>Current Review Count: 9282</t>
  </si>
  <si>
    <t>Buy Box Issue/Unauthorized Seller</t>
  </si>
  <si>
    <t>no buy box</t>
  </si>
  <si>
    <t>Current Review Count:7</t>
  </si>
  <si>
    <t>Current Review Count: 4235</t>
  </si>
  <si>
    <t>Current Review Count: 5080</t>
  </si>
  <si>
    <t>Current Review Count: 404</t>
  </si>
  <si>
    <t>Current Review Count:6</t>
  </si>
  <si>
    <t>LB-DT0406-450-020</t>
  </si>
  <si>
    <t>B0GGM9Q2S5</t>
  </si>
  <si>
    <t>Bags pt 5, oos</t>
  </si>
  <si>
    <t>Current Review Count: 1686</t>
  </si>
  <si>
    <t>LB-DT0406-FF-500-08</t>
  </si>
  <si>
    <t>B0GGLGFQJC</t>
  </si>
  <si>
    <t>LB-DT0406-FF-1000-04</t>
  </si>
  <si>
    <t>B0GGNXPF7C</t>
  </si>
  <si>
    <t>Current Review Count: 759</t>
  </si>
  <si>
    <t>Current Review Count: 5888</t>
  </si>
  <si>
    <t>Current Review Count: 494</t>
  </si>
  <si>
    <t>LB-DM1744907-20</t>
  </si>
  <si>
    <t>B0GGM2KQPB</t>
  </si>
  <si>
    <t>BAG-ZIP_GROUP8</t>
  </si>
  <si>
    <t>Current Review Count: 622</t>
  </si>
  <si>
    <t>BAG-ZIP_GROUP9</t>
  </si>
  <si>
    <t>BAG-ZIP_GROUP10</t>
  </si>
  <si>
    <t>BAG-ZIP_GROUP11</t>
  </si>
  <si>
    <t>BAG-ZIP_GROUP12</t>
  </si>
  <si>
    <t>Current Review Count: 4993</t>
  </si>
  <si>
    <t>Current Review Count: 307</t>
  </si>
  <si>
    <t>LB-DM1744907-15</t>
  </si>
  <si>
    <t>B0GGL74CFW</t>
  </si>
  <si>
    <t>LB-DM1744907-30</t>
  </si>
  <si>
    <t>B0GGL68MT3</t>
  </si>
  <si>
    <t>Current Review Count: 2121</t>
  </si>
  <si>
    <t>Current Review Count: 3873</t>
  </si>
  <si>
    <t>Current Review Count: 505</t>
  </si>
  <si>
    <t>Current Review Count: 2283</t>
  </si>
  <si>
    <t>BAG-ZIPLOCK-1824-100</t>
  </si>
  <si>
    <t>B0H1T5YY37</t>
  </si>
  <si>
    <t>B0GTF4TVRX</t>
  </si>
  <si>
    <t>Current Review Count: 1110</t>
  </si>
  <si>
    <t>PSKU: BAG-ZIP_GROUP8</t>
  </si>
  <si>
    <t>Current Review Count:75</t>
  </si>
  <si>
    <t>Current Review Count: 386</t>
  </si>
  <si>
    <t>Current Review Count: 688</t>
  </si>
  <si>
    <t>Current Review Count: 111</t>
  </si>
  <si>
    <t>Current Star Rating:  4.8</t>
  </si>
  <si>
    <t>Current Review Count: 535</t>
  </si>
  <si>
    <t>Current Review Count: 410</t>
  </si>
  <si>
    <t>Current Review Count: 5</t>
  </si>
  <si>
    <t>Red (Do Not Bend)</t>
  </si>
  <si>
    <t>not available</t>
  </si>
  <si>
    <t>Red (Fragile 1" X 3")</t>
  </si>
  <si>
    <t>Red (Glass 1" X 3")</t>
  </si>
  <si>
    <t>Red (Glass 2" X 3")</t>
  </si>
  <si>
    <t>Red (Fragile 2" X 3")</t>
  </si>
  <si>
    <t>Multicolor (Moving Labels)</t>
  </si>
  <si>
    <t>Current Review Count: 22</t>
  </si>
  <si>
    <t>Current Star Rating:  4.0</t>
  </si>
  <si>
    <t>no reviews</t>
  </si>
  <si>
    <t>Current Review Count: 1142</t>
  </si>
  <si>
    <t>Current Review Count: 130</t>
  </si>
  <si>
    <t>Current Review Count: 268</t>
  </si>
  <si>
    <t>36" X 52"</t>
  </si>
  <si>
    <t>Current Review Count: 116</t>
  </si>
  <si>
    <t>PSKU: BAG-FLAT-2M-GROUP91</t>
  </si>
  <si>
    <t>PSKU: BAG-FLAT-GROUP20</t>
  </si>
  <si>
    <t>Current Review Count: 163</t>
  </si>
  <si>
    <t>46" X 68"</t>
  </si>
  <si>
    <t>46" X 66"</t>
  </si>
  <si>
    <t>Current Review Count: 180</t>
  </si>
  <si>
    <t>Current Review Count: 13,169</t>
  </si>
  <si>
    <t>Current Review Count: 597</t>
  </si>
  <si>
    <t>Current Review Count: 1523</t>
  </si>
  <si>
    <t>Current Review Count: 1831</t>
  </si>
  <si>
    <t>Current Star Rating:  4.7</t>
  </si>
  <si>
    <t>Current Review Count: 5506</t>
  </si>
  <si>
    <t>Current Review Count: 5848</t>
  </si>
  <si>
    <t>Current Review Count: 192</t>
  </si>
  <si>
    <t>BAG-SUF-200-PARENT1</t>
  </si>
  <si>
    <t>B0GGT284JS</t>
  </si>
  <si>
    <t>Current Review Count: 2340</t>
  </si>
  <si>
    <t>Current Review Count: 5788</t>
  </si>
  <si>
    <t>Current Review Count: 5344</t>
  </si>
  <si>
    <t>SFW-BAG-1000-PARENT</t>
  </si>
  <si>
    <t>B0GGLL11Z2</t>
  </si>
  <si>
    <t>Current Review Count: 2621</t>
  </si>
  <si>
    <t>Current Review Count: 906</t>
  </si>
  <si>
    <t>BAG-SUF-200-PARENT2</t>
  </si>
  <si>
    <t>B0GGSM8KB9</t>
  </si>
  <si>
    <t>Current Review Count: 6493</t>
  </si>
  <si>
    <t>Current Review Count: 218</t>
  </si>
  <si>
    <t>Current Review Count: 107</t>
  </si>
  <si>
    <t>Current Review Count: 181</t>
  </si>
  <si>
    <t>Current Review Count: 40</t>
  </si>
  <si>
    <t>no A+ content</t>
  </si>
  <si>
    <t>Current Review Count: 41</t>
  </si>
  <si>
    <t>parent has no A+ content</t>
  </si>
  <si>
    <t>Current Review Count: 1138</t>
  </si>
  <si>
    <t>SI-LABEL-DT-09-20</t>
  </si>
  <si>
    <t>B0GGP1VDNP</t>
  </si>
  <si>
    <t>SI-LABEL-DT-09-15</t>
  </si>
  <si>
    <t>B0GGL9N8DJ</t>
  </si>
  <si>
    <t>SI-LABEL-DT-09-40</t>
  </si>
  <si>
    <t>B0GGL9XQQ8</t>
  </si>
  <si>
    <t>SI-LABEL-DT-09-30</t>
  </si>
  <si>
    <t>B0GGKX222P</t>
  </si>
  <si>
    <t>Current Star Rating: 3.7</t>
  </si>
  <si>
    <t>Current Review Count: 636</t>
  </si>
  <si>
    <t>Current Review Count: 945</t>
  </si>
  <si>
    <t>Current Star Rating: 4,4</t>
  </si>
  <si>
    <t>Current Review Count: 153</t>
  </si>
  <si>
    <t>Current Review Count: 128</t>
  </si>
  <si>
    <t>Current Review Count: 77</t>
  </si>
  <si>
    <t>Current Review Count: 158</t>
  </si>
  <si>
    <t>Current Review Count: 108</t>
  </si>
  <si>
    <t>Current Review Count: 109</t>
  </si>
  <si>
    <t>Current Review Count: 88</t>
  </si>
  <si>
    <t>Current Review Count: 69</t>
  </si>
  <si>
    <t>Current Review Count:1056</t>
  </si>
  <si>
    <t>Current Review Count: 34</t>
  </si>
  <si>
    <t>Current Review Count: 122</t>
  </si>
  <si>
    <t>Current Review Count: 142</t>
  </si>
  <si>
    <t>Current Review Count: 67</t>
  </si>
  <si>
    <t>Current Review Count: 303</t>
  </si>
  <si>
    <t>Current Review Count: 60</t>
  </si>
  <si>
    <t>Current Star Rating: 3.8</t>
  </si>
  <si>
    <t>Current Review Count: 380</t>
  </si>
  <si>
    <t>Current Review Count: 157</t>
  </si>
  <si>
    <t>Current Star Rating:  4.2</t>
  </si>
  <si>
    <t>Current Review Count: 197</t>
  </si>
  <si>
    <t>Current Review Count: 76</t>
  </si>
  <si>
    <t>Current Review Count: 143</t>
  </si>
  <si>
    <t>Current Review Count: 86</t>
  </si>
  <si>
    <t>Current Review Count: 7</t>
  </si>
  <si>
    <r>
      <rPr>
        <rFont val="Open Sans"/>
        <i val="0"/>
        <color theme="1"/>
        <sz val="8.0"/>
      </rPr>
      <t>⬆️</t>
    </r>
    <r>
      <rPr>
        <rFont val="Open Sans"/>
        <i/>
        <color theme="1"/>
        <sz val="8.0"/>
      </rPr>
      <t xml:space="preserve"> Toggle +/- Button to Hide ASINs &amp; GS1 UPCs</t>
    </r>
  </si>
  <si>
    <r>
      <rPr>
        <rFont val="Open Sans"/>
        <i/>
        <color theme="1"/>
        <sz val="8.0"/>
      </rPr>
      <t>Toggle +/- Button to Hide Additional Checks</t>
    </r>
    <r>
      <rPr>
        <rFont val="Open Sans"/>
        <i val="0"/>
        <color theme="1"/>
        <sz val="8.0"/>
      </rPr>
      <t xml:space="preserve"> ⬆️</t>
    </r>
  </si>
  <si>
    <r>
      <rPr>
        <rFont val="Open Sans"/>
        <i val="0"/>
        <color theme="1"/>
        <sz val="8.0"/>
      </rPr>
      <t>⬆️</t>
    </r>
    <r>
      <rPr>
        <rFont val="Open Sans"/>
        <i/>
        <color theme="1"/>
        <sz val="8.0"/>
      </rPr>
      <t xml:space="preserve"> Toggle +/- Button to Hide ASINs &amp; GS1 UPCs</t>
    </r>
  </si>
  <si>
    <r>
      <rPr>
        <rFont val="Open Sans"/>
        <i/>
        <color theme="1"/>
        <sz val="8.0"/>
      </rPr>
      <t>Toggle +/- Button to Hide Additional Checks</t>
    </r>
    <r>
      <rPr>
        <rFont val="Open Sans"/>
        <i val="0"/>
        <color theme="1"/>
        <sz val="8.0"/>
      </rPr>
      <t xml:space="preserve"> ⬆️</t>
    </r>
  </si>
  <si>
    <r>
      <rPr>
        <rFont val="Open Sans"/>
        <i val="0"/>
        <color theme="1"/>
        <sz val="8.0"/>
      </rPr>
      <t>⬆️</t>
    </r>
    <r>
      <rPr>
        <rFont val="Open Sans"/>
        <i/>
        <color theme="1"/>
        <sz val="8.0"/>
      </rPr>
      <t xml:space="preserve"> Toggle +/- Button to Hide ASINs &amp; GS1 UPCs</t>
    </r>
  </si>
  <si>
    <r>
      <rPr>
        <rFont val="Open Sans"/>
        <i/>
        <color theme="1"/>
        <sz val="8.0"/>
      </rPr>
      <t>Toggle +/- Button to Hide Additional Checks</t>
    </r>
    <r>
      <rPr>
        <rFont val="Open Sans"/>
        <i val="0"/>
        <color theme="1"/>
        <sz val="8.0"/>
      </rPr>
      <t xml:space="preserve"> ⬆️</t>
    </r>
  </si>
  <si>
    <t>Addt'l Listing Notes</t>
  </si>
  <si>
    <t>Addt'l Status</t>
  </si>
  <si>
    <t>Current Review Count: 392</t>
  </si>
  <si>
    <t>Current Review Count: 37</t>
  </si>
  <si>
    <t>Current Review Count: 29,494</t>
  </si>
  <si>
    <t>2" x 3"</t>
  </si>
  <si>
    <t>3" x 3"</t>
  </si>
  <si>
    <t>3" x 4"</t>
  </si>
  <si>
    <t>3" x 5"</t>
  </si>
  <si>
    <t>4" x 6"</t>
  </si>
  <si>
    <t>4" x 8"</t>
  </si>
  <si>
    <t>5" x 7"</t>
  </si>
  <si>
    <t>6" x 9"</t>
  </si>
  <si>
    <t>8" x 10"</t>
  </si>
  <si>
    <t>9" x 12"</t>
  </si>
  <si>
    <t>10" x 12"</t>
  </si>
  <si>
    <t>Rollo/Zebra</t>
  </si>
  <si>
    <t>Current Review Count: 630</t>
  </si>
  <si>
    <t>10" x 13"</t>
  </si>
  <si>
    <t>12" x 15"</t>
  </si>
  <si>
    <t>12" x 12"</t>
  </si>
  <si>
    <t>12" x 18"</t>
  </si>
  <si>
    <t>13" x 15"</t>
  </si>
  <si>
    <t>Print Cellos</t>
  </si>
  <si>
    <t>13" x 18"</t>
  </si>
  <si>
    <t>3.25" X 5.125"</t>
  </si>
  <si>
    <t>14" x 20"</t>
  </si>
  <si>
    <t>5.25” X 7.125”</t>
  </si>
  <si>
    <t>8.25” X 10.125”</t>
  </si>
  <si>
    <t>Current Review Count: 469</t>
  </si>
  <si>
    <t>6.25” X 9.125”</t>
  </si>
  <si>
    <t>Current Review Count: 607</t>
  </si>
  <si>
    <t>4.25” X 6.125”</t>
  </si>
  <si>
    <t xml:space="preserve">3" x 5" </t>
  </si>
  <si>
    <t xml:space="preserve">8" x 10" </t>
  </si>
  <si>
    <t>Current Review Count: 913</t>
  </si>
  <si>
    <t>16" x 24"</t>
  </si>
  <si>
    <t>only 1 bullet</t>
  </si>
  <si>
    <t>1 bullet point only</t>
  </si>
  <si>
    <t>2" x 2"</t>
  </si>
  <si>
    <t>2" x 4"</t>
  </si>
  <si>
    <t>3" x 6"</t>
  </si>
  <si>
    <t>wrong dimension</t>
  </si>
  <si>
    <t>4" x 4"</t>
  </si>
  <si>
    <t>4" x 7"</t>
  </si>
  <si>
    <t>5" x 8"</t>
  </si>
  <si>
    <t>6" x 6"</t>
  </si>
  <si>
    <t>6" x 8"</t>
  </si>
  <si>
    <t>Current Review Count:63</t>
  </si>
  <si>
    <t>Current Review Count: 364</t>
  </si>
  <si>
    <t>Current Review Count: 1069</t>
  </si>
  <si>
    <t>2" x 5"</t>
  </si>
  <si>
    <t>Bags pt 4</t>
  </si>
  <si>
    <t>2" x 6"</t>
  </si>
  <si>
    <t>2" x 8"</t>
  </si>
  <si>
    <t>3" x 8"</t>
  </si>
  <si>
    <t>2" x 12"</t>
  </si>
  <si>
    <t>3" x 12"</t>
  </si>
  <si>
    <t>5" x 6"</t>
  </si>
  <si>
    <t>6" x 18"</t>
  </si>
  <si>
    <t>1" x 1"</t>
  </si>
  <si>
    <t>1.25" x 1.25"</t>
  </si>
  <si>
    <t>B0GSBYB8G6</t>
  </si>
  <si>
    <t>1.5" x 1.5"</t>
  </si>
  <si>
    <t>1.5" x 2"</t>
  </si>
  <si>
    <t>PSKU: BAG_ZIP-1000_GROUP15</t>
  </si>
  <si>
    <t>2.5" x 3"</t>
  </si>
  <si>
    <t>LB-DYMO-Parent2</t>
  </si>
  <si>
    <t>B0GSBYGTVY</t>
  </si>
  <si>
    <t>Current Review Count: 1082</t>
  </si>
  <si>
    <t>8" x 12"</t>
  </si>
  <si>
    <t>10" x 10"</t>
  </si>
  <si>
    <t>11" x 14"</t>
  </si>
  <si>
    <t>14" x 14"</t>
  </si>
  <si>
    <t>16" x 16"</t>
  </si>
  <si>
    <t>16" x 18"</t>
  </si>
  <si>
    <t>Current Review Count: 326</t>
  </si>
  <si>
    <t>Missing Images</t>
  </si>
  <si>
    <t>13" x 13"</t>
  </si>
  <si>
    <t>14" x 24"</t>
  </si>
  <si>
    <t>16" x 20"</t>
  </si>
  <si>
    <t>BAG-ZIP-1824-250</t>
  </si>
  <si>
    <t>18" x 24"</t>
  </si>
  <si>
    <t>Current Review Count: 1684</t>
  </si>
  <si>
    <t>24" x 24"</t>
  </si>
  <si>
    <t>Current Review Count: 5873</t>
  </si>
  <si>
    <t>Current Review Count: 677</t>
  </si>
  <si>
    <t>5" x 12"</t>
  </si>
  <si>
    <t>6" x 12"</t>
  </si>
  <si>
    <t>7" x 8"</t>
  </si>
  <si>
    <t>Current Review Count: 202</t>
  </si>
  <si>
    <t>7" x 10"</t>
  </si>
  <si>
    <t>4" x 5"</t>
  </si>
  <si>
    <t>4" x 10"</t>
  </si>
  <si>
    <t>Current Review Count: 5379</t>
  </si>
  <si>
    <t>LB-CLR-500RLLS</t>
  </si>
  <si>
    <t>B0GT66453F</t>
  </si>
  <si>
    <t>Current Review Count: 2</t>
  </si>
  <si>
    <t xml:space="preserve">2" x 3" </t>
  </si>
  <si>
    <t>Current Review Count: 3857</t>
  </si>
  <si>
    <t>Current Review Count:11</t>
  </si>
  <si>
    <t>Current Review Count: 514</t>
  </si>
  <si>
    <t>Current Review Count: 530</t>
  </si>
  <si>
    <t>7" x 7"</t>
  </si>
  <si>
    <t>8" x 8"</t>
  </si>
  <si>
    <t>5" x 5"</t>
  </si>
  <si>
    <t>5" x 10"</t>
  </si>
  <si>
    <t>6" x 10"</t>
  </si>
  <si>
    <t>Current Review Count: 383</t>
  </si>
  <si>
    <t>Current Review Count: 405</t>
  </si>
  <si>
    <t>Mixed Merchandise</t>
  </si>
  <si>
    <t>Current Review Count: 686</t>
  </si>
  <si>
    <t>1" X 4.5"</t>
  </si>
  <si>
    <t>Zip white block</t>
  </si>
  <si>
    <t>Current Review Count:16</t>
  </si>
  <si>
    <t>B0G4ZXXDSK</t>
  </si>
  <si>
    <t>840472502646</t>
  </si>
  <si>
    <t>B0G4ZMZ3TX</t>
  </si>
  <si>
    <t>840472502653</t>
  </si>
  <si>
    <t>Current Review Count:1</t>
  </si>
  <si>
    <t>Current Review Count: 1139</t>
  </si>
  <si>
    <t>wrong size</t>
  </si>
  <si>
    <t>missing carousel images, wrong size in bullet</t>
  </si>
  <si>
    <t xml:space="preserve">Current Star Rating: 4 </t>
  </si>
  <si>
    <t>Current Review Count: 127</t>
  </si>
  <si>
    <t>Current Review Count:42</t>
  </si>
  <si>
    <t>DT Labels</t>
  </si>
  <si>
    <t>Current Review Count: 265</t>
  </si>
  <si>
    <t>BAG-FLAT-GROUP20</t>
  </si>
  <si>
    <t>B0GPG74KRR</t>
  </si>
  <si>
    <t>Current Review Count: 115</t>
  </si>
  <si>
    <t>BAG-FLAT-2M-GROUP91</t>
  </si>
  <si>
    <t>B0GPG3Y4T8</t>
  </si>
  <si>
    <t>BAG-FLAT-2M-0630-500</t>
  </si>
  <si>
    <t>6" X 30"</t>
  </si>
  <si>
    <t>B0G4XX56TN</t>
  </si>
  <si>
    <t>BAG-FLAT-2M-0650-250</t>
  </si>
  <si>
    <t>6" X 50"</t>
  </si>
  <si>
    <t>B0G4XZJV91</t>
  </si>
  <si>
    <t>BAG-FLAT-2M-0840-250</t>
  </si>
  <si>
    <t>8" X 40"</t>
  </si>
  <si>
    <t>B0G4XWP2ZN</t>
  </si>
  <si>
    <t>1000 bags</t>
  </si>
  <si>
    <t>wrong size and counts</t>
  </si>
  <si>
    <t>BAG-FLAT-2M-0650-100</t>
  </si>
  <si>
    <t>B0G4ZGT3KF</t>
  </si>
  <si>
    <t>Current Review Count: 179</t>
  </si>
  <si>
    <t>Current Review Count: 13,182</t>
  </si>
  <si>
    <t>PSKU: BAG-CELLO-O-3</t>
  </si>
  <si>
    <t>Current Review Count: 595</t>
  </si>
  <si>
    <t>Current Review Count: 1511</t>
  </si>
  <si>
    <t>Current Review Count: 1819</t>
  </si>
  <si>
    <t>Current Review Count: 5513</t>
  </si>
  <si>
    <t>Current Review Count: 5846</t>
  </si>
  <si>
    <t>Incorrect Images</t>
  </si>
  <si>
    <t>wrong default (count)</t>
  </si>
  <si>
    <t>Current Review Count: 190</t>
  </si>
  <si>
    <t>Current Review Count: 209</t>
  </si>
  <si>
    <t>Current Review Count: 2335</t>
  </si>
  <si>
    <t xml:space="preserve">Current Star Rating: 4.8 </t>
  </si>
  <si>
    <t>Current Review Count: 5782</t>
  </si>
  <si>
    <t>BAG-SUF-100-GROUP33</t>
  </si>
  <si>
    <t>Current Review Count: 5353</t>
  </si>
  <si>
    <t>Current Review Count: 2626</t>
  </si>
  <si>
    <t>Current Review Count: 6500</t>
  </si>
  <si>
    <t>Current Review Count: 152</t>
  </si>
  <si>
    <t>Current Review Count: 82</t>
  </si>
  <si>
    <t>Current Review Count: 213</t>
  </si>
  <si>
    <t>Current Review Count: 1329</t>
  </si>
  <si>
    <t>Current Review Count: 177</t>
  </si>
  <si>
    <t>Current Star Rating:  4.9</t>
  </si>
  <si>
    <t>SI-LABEL-DT-Parent-03</t>
  </si>
  <si>
    <t>B0GJG8Z2NP</t>
  </si>
  <si>
    <t>Where?</t>
  </si>
  <si>
    <t>SI-LABEL-DT-Parent-04</t>
  </si>
  <si>
    <t>B0GRC3WPLD</t>
  </si>
  <si>
    <t>SI-LABEL-DT-Parent-05</t>
  </si>
  <si>
    <t>B0GJG9D2TV</t>
  </si>
  <si>
    <t>SI-LABEL-DT-Parent-06</t>
  </si>
  <si>
    <t>B0GJFVM2W5</t>
  </si>
  <si>
    <t>Current Review Count: 20</t>
  </si>
  <si>
    <t>SP-LDT-XXV10</t>
  </si>
  <si>
    <t>B0GS3H1LGR</t>
  </si>
  <si>
    <t>Current Review Count: 104</t>
  </si>
  <si>
    <t>PSKU: SI-LABEL-DT-Parent-05</t>
  </si>
  <si>
    <t>SI-LABEL-DT-2040</t>
  </si>
  <si>
    <t>B0GS3CCK2X</t>
  </si>
  <si>
    <t>Currently unavailable</t>
  </si>
  <si>
    <t>SI-LABEL-DT-Parent_01</t>
  </si>
  <si>
    <t>B0GS41QZZ7</t>
  </si>
  <si>
    <t>Current Review Count: 1085</t>
  </si>
  <si>
    <t xml:space="preserve">
B0BQPXVKF9</t>
  </si>
  <si>
    <t>Current Review Count: 15</t>
  </si>
  <si>
    <t>Current Review Count: 621</t>
  </si>
  <si>
    <t>Current Review Count: 918</t>
  </si>
  <si>
    <t>Current Review Count: 150</t>
  </si>
  <si>
    <t>Current Review Count: 91</t>
  </si>
  <si>
    <t>Current Review Count: 54</t>
  </si>
  <si>
    <t xml:space="preserve"> SI-LABEL-LS-04F05F-100</t>
  </si>
  <si>
    <t xml:space="preserve"> SI-LABEL-LS-04F05F-500</t>
  </si>
  <si>
    <t>Current Review Count: 155</t>
  </si>
  <si>
    <t>Current Review Count: 105</t>
  </si>
  <si>
    <t>Current Review Count: 1016</t>
  </si>
  <si>
    <t>1 bullet only</t>
  </si>
  <si>
    <t>1 bullet only, shop all</t>
  </si>
  <si>
    <t>no reviews, wrong number of sheet in bullet 1</t>
  </si>
  <si>
    <t>Currently unavailable.</t>
  </si>
  <si>
    <t>Listing closed, Currently unavailable.</t>
  </si>
  <si>
    <t>TP-FIL-1</t>
  </si>
  <si>
    <t>Current Review Count: 64</t>
  </si>
  <si>
    <t>PSKU: TP-FIL-6-GROUP70</t>
  </si>
  <si>
    <t>Current Review Count: 295</t>
  </si>
  <si>
    <t>Listing 101</t>
  </si>
  <si>
    <t>TP-DUCT-MC-2-6</t>
  </si>
  <si>
    <t xml:space="preserve">
B0DW6VYV9T</t>
  </si>
  <si>
    <t>Duct Mix</t>
  </si>
  <si>
    <t>currently unavailable</t>
  </si>
  <si>
    <t>Current Review Count: 381</t>
  </si>
  <si>
    <t>Current Review Count: 174</t>
  </si>
  <si>
    <t>Current Star Rating:  no reviews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</si>
</sst>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mmm yyyy"/>
    <numFmt numFmtId="166" formatCode="#,##0_);(#,##0)"/>
    <numFmt numFmtId="167" formatCode="&quot;$&quot;#,##0"/>
  </numFmts>
  <fonts count="5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FFFF00"/>
      <name val="Arial"/>
      <scheme val="minor"/>
    </font>
    <font>
      <color rgb="FFFFFFFF"/>
      <name val="Roboto"/>
    </font>
    <font>
      <b/>
      <color rgb="FF434343"/>
      <name val="Roboto"/>
    </font>
    <font>
      <color theme="1"/>
      <name val="Arial"/>
    </font>
    <font>
      <i/>
      <sz val="10.0"/>
      <color theme="1"/>
      <name val="Arial"/>
      <scheme val="minor"/>
    </font>
    <font>
      <b/>
      <u/>
      <color rgb="FF0000FF"/>
    </font>
    <font>
      <i/>
      <color theme="1"/>
      <name val="Arial"/>
      <scheme val="minor"/>
    </font>
    <font>
      <u/>
      <color rgb="FF0000FF"/>
      <name val="Roboto"/>
    </font>
    <font>
      <strike/>
      <sz val="10.0"/>
      <color theme="1"/>
      <name val="Arial"/>
      <scheme val="minor"/>
    </font>
    <font>
      <i/>
      <strike/>
      <sz val="10.0"/>
      <color theme="1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Arial"/>
    </font>
    <font>
      <b/>
      <color theme="1"/>
      <name val="Open Sans"/>
    </font>
    <font>
      <i/>
      <sz val="8.0"/>
      <color theme="1"/>
      <name val="Open Sans"/>
    </font>
    <font>
      <b/>
      <sz val="14.0"/>
      <color rgb="FFFFFFFF"/>
      <name val="Open Sans"/>
    </font>
    <font/>
    <font>
      <b/>
      <sz val="14.0"/>
      <color theme="1"/>
      <name val="Open Sans"/>
    </font>
    <font>
      <b/>
      <sz val="12.0"/>
      <color theme="1"/>
      <name val="Open Sans"/>
    </font>
    <font>
      <sz val="12.0"/>
      <color theme="1"/>
      <name val="Open Sans"/>
    </font>
    <font>
      <b/>
      <sz val="12.0"/>
      <color rgb="FFFFFFFF"/>
      <name val="Open Sans"/>
    </font>
    <font>
      <b/>
      <u/>
      <sz val="11.0"/>
      <color rgb="FF1155CC"/>
      <name val="Open Sans"/>
    </font>
    <font>
      <color theme="1"/>
      <name val="Open Sans"/>
    </font>
    <font>
      <b/>
      <sz val="11.0"/>
      <color theme="1"/>
      <name val="Open Sans"/>
    </font>
    <font>
      <b/>
      <color rgb="FF990000"/>
      <name val="Open Sans"/>
    </font>
    <font>
      <sz val="8.0"/>
      <color theme="1"/>
      <name val="Open Sans"/>
    </font>
    <font>
      <b/>
      <u/>
      <color rgb="FF1155CC"/>
      <name val="Open Sans"/>
    </font>
    <font>
      <b/>
      <u/>
      <color rgb="FF1155CC"/>
      <name val="Open Sans"/>
    </font>
    <font>
      <b/>
      <u/>
      <color rgb="FF1155CC"/>
      <name val="Open Sans"/>
    </font>
    <font>
      <strike/>
      <color theme="1"/>
      <name val="Open Sans"/>
    </font>
    <font>
      <b/>
      <u/>
      <color rgb="FF1155CC"/>
      <name val="Open Sans"/>
    </font>
    <font>
      <i/>
      <color rgb="FFFF0000"/>
      <name val="Open Sans"/>
    </font>
    <font>
      <b/>
      <u/>
      <color rgb="FF1155CC"/>
      <name val="Open Sans"/>
    </font>
    <font>
      <u/>
      <color rgb="FF1155CC"/>
      <name val="Open Sans"/>
    </font>
    <font>
      <color rgb="FF002F36"/>
      <name val="Open Sans"/>
    </font>
    <font>
      <i/>
      <color theme="1"/>
      <name val="Open Sans"/>
    </font>
    <font>
      <u/>
      <color rgb="FF1155CC"/>
      <name val="Open Sans"/>
    </font>
    <font>
      <u/>
      <color rgb="FF1155CC"/>
      <name val="Open Sans"/>
    </font>
    <font>
      <u/>
      <color rgb="FF1155CC"/>
      <name val="Open Sans"/>
    </font>
    <font>
      <u/>
      <color rgb="FF1155CC"/>
      <name val="Open Sans"/>
    </font>
    <font>
      <color rgb="FF0F1111"/>
      <name val="Open Sans"/>
    </font>
    <font>
      <color rgb="FF222222"/>
      <name val="Open Sans"/>
    </font>
    <font>
      <u/>
      <color rgb="FF1155CC"/>
      <name val="Open Sans"/>
    </font>
    <font>
      <u/>
      <color rgb="FF1155CC"/>
      <name val="Open Sans"/>
    </font>
    <font>
      <u/>
      <color rgb="FF1155CC"/>
      <name val="Open Sans"/>
    </font>
    <font>
      <b/>
      <u/>
      <color rgb="FF1155CC"/>
      <name val="Open Sans"/>
    </font>
    <font>
      <u/>
      <color rgb="FF1155CC"/>
      <name val="Open Sans"/>
    </font>
    <font>
      <b/>
      <u/>
      <color rgb="FF1155CC"/>
      <name val="Open Sans"/>
    </font>
    <font>
      <sz val="8.0"/>
      <color theme="1"/>
      <name val="Arial"/>
    </font>
    <font>
      <color rgb="FF0F1111"/>
      <name val="Amazon Ember"/>
    </font>
    <font>
      <b/>
      <u/>
      <color rgb="FF1155CC"/>
      <name val="Arial"/>
    </font>
    <font>
      <b/>
      <color rgb="FFFFFFFF"/>
      <name val="Open Sans"/>
    </font>
    <font>
      <b/>
      <u/>
      <color rgb="FF1155CC"/>
      <name val="Arial"/>
    </font>
    <font>
      <b/>
      <u/>
      <color rgb="FF1155CC"/>
      <name val="Open Sans"/>
    </font>
  </fonts>
  <fills count="2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1F4E66"/>
        <bgColor rgb="FF1F4E66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EDFF"/>
        <bgColor rgb="FFD9EDFF"/>
      </patternFill>
    </fill>
    <fill>
      <patternFill patternType="solid">
        <fgColor rgb="FFFFDBDB"/>
        <bgColor rgb="FFFFDBDB"/>
      </patternFill>
    </fill>
    <fill>
      <patternFill patternType="solid">
        <fgColor rgb="FFFDDBDB"/>
        <bgColor rgb="FFFDDBDB"/>
      </patternFill>
    </fill>
    <fill>
      <patternFill patternType="solid">
        <fgColor rgb="FFFCEAE9"/>
        <bgColor rgb="FFFCEAE9"/>
      </patternFill>
    </fill>
    <fill>
      <patternFill patternType="solid">
        <fgColor rgb="FF0C5394"/>
        <bgColor rgb="FF0C5394"/>
      </patternFill>
    </fill>
    <fill>
      <patternFill patternType="solid">
        <fgColor rgb="FFCC0000"/>
        <bgColor rgb="FFCC0000"/>
      </patternFill>
    </fill>
    <fill>
      <patternFill patternType="solid">
        <fgColor rgb="FFF4C7C3"/>
        <bgColor rgb="FFF4C7C3"/>
      </patternFill>
    </fill>
    <fill>
      <patternFill patternType="solid">
        <fgColor rgb="FF0B5394"/>
        <bgColor rgb="FF0B5394"/>
      </patternFill>
    </fill>
    <fill>
      <patternFill patternType="solid">
        <fgColor rgb="FFFFCFC9"/>
        <bgColor rgb="FFFFCFC9"/>
      </patternFill>
    </fill>
  </fills>
  <borders count="46">
    <border/>
    <border>
      <left style="thin">
        <color rgb="FF000000"/>
      </left>
    </border>
    <border>
      <left style="thin">
        <color rgb="FF000000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284E3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6F8F9"/>
      </top>
      <bottom style="thin">
        <color rgb="FFF6F8F9"/>
      </bottom>
    </border>
    <border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thin">
        <color rgb="FF284E3F"/>
      </right>
    </border>
    <border>
      <right style="thin">
        <color rgb="FF284E3F"/>
      </right>
      <top style="thin">
        <color rgb="FFFFFFFF"/>
      </top>
    </border>
    <border>
      <right style="thin">
        <color rgb="FF000000"/>
      </right>
    </border>
    <border>
      <right style="thin">
        <color rgb="FF284E3F"/>
      </right>
      <bottom style="thin">
        <color rgb="FFFFFFF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right style="thin">
        <color rgb="FF284E3F"/>
      </right>
      <top style="thin">
        <color rgb="FFEFEFEF"/>
      </top>
      <bottom style="thin">
        <color rgb="FFEFEFE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5" numFmtId="49" xfId="0" applyAlignment="1" applyBorder="1" applyFont="1" applyNumberForma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0" fillId="3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3" numFmtId="49" xfId="0" applyAlignment="1" applyFont="1" applyNumberFormat="1">
      <alignment horizontal="right" readingOrder="0" shrinkToFit="0" vertical="center" wrapText="1"/>
    </xf>
    <xf borderId="0" fillId="0" fontId="3" numFmtId="49" xfId="0" applyAlignment="1" applyFont="1" applyNumberFormat="1">
      <alignment horizontal="right"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6" fillId="0" fontId="1" numFmtId="49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0"/>
    </xf>
    <xf borderId="6" fillId="0" fontId="1" numFmtId="165" xfId="0" applyAlignment="1" applyBorder="1" applyFont="1" applyNumberFormat="1">
      <alignment horizontal="left" readingOrder="0" shrinkToFit="0" vertical="center" wrapText="0"/>
    </xf>
    <xf borderId="5" fillId="0" fontId="3" numFmtId="49" xfId="0" applyAlignment="1" applyBorder="1" applyFont="1" applyNumberForma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2" xfId="0" applyAlignment="1" applyBorder="1" applyFont="1" applyNumberFormat="1">
      <alignment shrinkToFit="0" vertical="center" wrapText="0"/>
    </xf>
    <xf borderId="7" fillId="5" fontId="6" numFmtId="165" xfId="0" applyAlignment="1" applyBorder="1" applyFill="1" applyFont="1" applyNumberFormat="1">
      <alignment horizontal="center" readingOrder="0" shrinkToFit="0" vertical="center" wrapText="0"/>
    </xf>
    <xf borderId="8" fillId="5" fontId="7" numFmtId="49" xfId="0" applyAlignment="1" applyBorder="1" applyFont="1" applyNumberFormat="1">
      <alignment horizontal="center" shrinkToFit="0" vertical="center" wrapText="0"/>
    </xf>
    <xf borderId="8" fillId="5" fontId="7" numFmtId="164" xfId="0" applyAlignment="1" applyBorder="1" applyFont="1" applyNumberFormat="1">
      <alignment horizontal="center" shrinkToFit="0" vertical="center" wrapText="0"/>
    </xf>
    <xf borderId="9" fillId="5" fontId="7" numFmtId="0" xfId="0" applyAlignment="1" applyBorder="1" applyFont="1">
      <alignment horizontal="center" shrinkToFit="0" vertical="center" wrapText="0"/>
    </xf>
    <xf borderId="7" fillId="5" fontId="6" numFmtId="165" xfId="0" applyAlignment="1" applyBorder="1" applyFont="1" applyNumberFormat="1">
      <alignment readingOrder="0" shrinkToFit="0" vertical="center" wrapText="0"/>
    </xf>
    <xf borderId="8" fillId="5" fontId="7" numFmtId="0" xfId="0" applyAlignment="1" applyBorder="1" applyFont="1">
      <alignment shrinkToFit="0" vertical="center" wrapText="0"/>
    </xf>
    <xf borderId="8" fillId="5" fontId="7" numFmtId="164" xfId="0" applyAlignment="1" applyBorder="1" applyFont="1" applyNumberFormat="1">
      <alignment shrinkToFit="0" vertical="center" wrapText="0"/>
    </xf>
    <xf borderId="9" fillId="5" fontId="7" numFmtId="0" xfId="0" applyAlignment="1" applyBorder="1" applyFont="1">
      <alignment shrinkToFit="0" vertical="center" wrapText="0"/>
    </xf>
    <xf borderId="0" fillId="4" fontId="3" numFmtId="10" xfId="0" applyAlignment="1" applyFont="1" applyNumberFormat="1">
      <alignment readingOrder="0" shrinkToFit="0" vertical="center" wrapText="1"/>
    </xf>
    <xf borderId="0" fillId="6" fontId="3" numFmtId="49" xfId="0" applyAlignment="1" applyFill="1" applyFont="1" applyNumberFormat="1">
      <alignment horizontal="right" readingOrder="0" shrinkToFit="0" vertical="center" wrapText="1"/>
    </xf>
    <xf borderId="0" fillId="7" fontId="2" numFmtId="0" xfId="0" applyAlignment="1" applyFill="1" applyFont="1">
      <alignment readingOrder="0" shrinkToFit="0" vertical="center" wrapText="0"/>
    </xf>
    <xf borderId="1" fillId="7" fontId="3" numFmtId="3" xfId="0" applyAlignment="1" applyBorder="1" applyFont="1" applyNumberFormat="1">
      <alignment shrinkToFit="0" vertical="center" wrapText="0"/>
    </xf>
    <xf borderId="0" fillId="7" fontId="3" numFmtId="0" xfId="0" applyAlignment="1" applyFont="1">
      <alignment horizontal="center" shrinkToFit="0" vertical="center" wrapText="0"/>
    </xf>
    <xf borderId="0" fillId="7" fontId="3" numFmtId="164" xfId="0" applyAlignment="1" applyFont="1" applyNumberFormat="1">
      <alignment horizontal="center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shrinkToFit="0" vertical="center" wrapText="0"/>
    </xf>
    <xf borderId="0" fillId="7" fontId="3" numFmtId="49" xfId="0" applyAlignment="1" applyFont="1" applyNumberFormat="1">
      <alignment shrinkToFit="0" vertical="center" wrapText="0"/>
    </xf>
    <xf borderId="0" fillId="7" fontId="3" numFmtId="164" xfId="0" applyAlignment="1" applyFont="1" applyNumberFormat="1">
      <alignment shrinkToFit="0" vertical="center" wrapText="0"/>
    </xf>
    <xf borderId="0" fillId="7" fontId="3" numFmtId="2" xfId="0" applyAlignment="1" applyFont="1" applyNumberFormat="1">
      <alignment shrinkToFit="0" vertical="center" wrapText="0"/>
    </xf>
    <xf borderId="10" fillId="7" fontId="7" numFmtId="0" xfId="0" applyAlignment="1" applyBorder="1" applyFont="1">
      <alignment horizontal="center" shrinkToFit="0" vertical="center" wrapText="0"/>
    </xf>
    <xf borderId="11" fillId="7" fontId="7" numFmtId="49" xfId="0" applyAlignment="1" applyBorder="1" applyFont="1" applyNumberFormat="1">
      <alignment horizontal="center" shrinkToFit="0" vertical="center" wrapText="0"/>
    </xf>
    <xf borderId="11" fillId="7" fontId="7" numFmtId="164" xfId="0" applyAlignment="1" applyBorder="1" applyFont="1" applyNumberFormat="1">
      <alignment horizontal="center" shrinkToFit="0" vertical="center" wrapText="0"/>
    </xf>
    <xf borderId="12" fillId="7" fontId="7" numFmtId="0" xfId="0" applyAlignment="1" applyBorder="1" applyFont="1">
      <alignment horizontal="center" shrinkToFit="0" vertical="center" wrapText="0"/>
    </xf>
    <xf borderId="10" fillId="7" fontId="7" numFmtId="0" xfId="0" applyAlignment="1" applyBorder="1" applyFont="1">
      <alignment shrinkToFit="0" vertical="center" wrapText="0"/>
    </xf>
    <xf borderId="13" fillId="7" fontId="7" numFmtId="0" xfId="0" applyAlignment="1" applyBorder="1" applyFont="1">
      <alignment shrinkToFit="0" vertical="center" wrapText="0"/>
    </xf>
    <xf borderId="13" fillId="7" fontId="7" numFmtId="164" xfId="0" applyAlignment="1" applyBorder="1" applyFont="1" applyNumberFormat="1">
      <alignment shrinkToFit="0" vertical="center" wrapText="0"/>
    </xf>
    <xf borderId="12" fillId="7" fontId="7" numFmtId="0" xfId="0" applyAlignment="1" applyBorder="1" applyFont="1">
      <alignment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3" numFmtId="49" xfId="0" applyAlignment="1" applyFont="1" applyNumberFormat="1">
      <alignment horizontal="right" readingOrder="0" shrinkToFit="0" vertical="center" wrapText="0"/>
    </xf>
    <xf borderId="0" fillId="6" fontId="3" numFmtId="49" xfId="0" applyAlignment="1" applyFont="1" applyNumberFormat="1">
      <alignment horizontal="right" readingOrder="0" shrinkToFit="0" vertical="center" wrapText="0"/>
    </xf>
    <xf borderId="0" fillId="0" fontId="3" numFmtId="49" xfId="0" applyAlignment="1" applyFont="1" applyNumberFormat="1">
      <alignment horizontal="right"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1" fillId="0" fontId="3" numFmtId="3" xfId="0" applyAlignment="1" applyBorder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6" fontId="3" numFmtId="164" xfId="0" applyAlignment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4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6" fontId="3" numFmtId="164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  <xf borderId="14" fillId="5" fontId="7" numFmtId="0" xfId="0" applyAlignment="1" applyBorder="1" applyFont="1">
      <alignment horizontal="center" readingOrder="0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4" fontId="7" numFmtId="164" xfId="0" applyAlignment="1" applyFont="1" applyNumberFormat="1">
      <alignment horizontal="center" readingOrder="0" shrinkToFit="0" vertical="center" wrapText="0"/>
    </xf>
    <xf borderId="15" fillId="4" fontId="7" numFmtId="0" xfId="0" applyAlignment="1" applyBorder="1" applyFont="1">
      <alignment horizontal="center" readingOrder="0" shrinkToFit="0" vertical="center" wrapText="0"/>
    </xf>
    <xf borderId="16" fillId="5" fontId="7" numFmtId="0" xfId="0" applyAlignment="1" applyBorder="1" applyFont="1">
      <alignment shrinkToFit="0" vertical="center" wrapText="0"/>
    </xf>
    <xf borderId="17" fillId="5" fontId="7" numFmtId="0" xfId="0" applyAlignment="1" applyBorder="1" applyFont="1">
      <alignment shrinkToFit="0" vertical="center" wrapText="0"/>
    </xf>
    <xf borderId="17" fillId="5" fontId="7" numFmtId="164" xfId="0" applyAlignment="1" applyBorder="1" applyFont="1" applyNumberFormat="1">
      <alignment shrinkToFit="0" vertical="center" wrapText="0"/>
    </xf>
    <xf borderId="18" fillId="5" fontId="7" numFmtId="0" xfId="0" applyAlignment="1" applyBorder="1" applyFont="1">
      <alignment shrinkToFit="0" vertical="center" wrapText="0"/>
    </xf>
    <xf borderId="0" fillId="4" fontId="3" numFmtId="164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6" fontId="3" numFmtId="164" xfId="0" applyAlignment="1" applyFont="1" applyNumberFormat="1">
      <alignment horizontal="center" readingOrder="0" shrinkToFit="0" vertical="center" wrapText="0"/>
    </xf>
    <xf borderId="19" fillId="8" fontId="7" numFmtId="0" xfId="0" applyAlignment="1" applyBorder="1" applyFill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6" fontId="7" numFmtId="164" xfId="0" applyAlignment="1" applyFont="1" applyNumberFormat="1">
      <alignment horizontal="center" readingOrder="0" shrinkToFit="0" vertical="center" wrapText="0"/>
    </xf>
    <xf borderId="20" fillId="8" fontId="7" numFmtId="0" xfId="0" applyAlignment="1" applyBorder="1" applyFont="1">
      <alignment horizontal="center" readingOrder="0" shrinkToFit="0" vertical="center" wrapText="0"/>
    </xf>
    <xf borderId="21" fillId="8" fontId="7" numFmtId="0" xfId="0" applyAlignment="1" applyBorder="1" applyFont="1">
      <alignment shrinkToFit="0" vertical="center" wrapText="0"/>
    </xf>
    <xf borderId="22" fillId="8" fontId="7" numFmtId="0" xfId="0" applyAlignment="1" applyBorder="1" applyFont="1">
      <alignment shrinkToFit="0" vertical="center" wrapText="0"/>
    </xf>
    <xf borderId="22" fillId="8" fontId="7" numFmtId="164" xfId="0" applyAlignment="1" applyBorder="1" applyFont="1" applyNumberFormat="1">
      <alignment shrinkToFit="0" vertical="center" wrapText="0"/>
    </xf>
    <xf borderId="23" fillId="8" fontId="7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4" fontId="3" numFmtId="9" xfId="0" applyAlignment="1" applyFont="1" applyNumberFormat="1">
      <alignment readingOrder="0" shrinkToFit="0" vertical="center" wrapText="1"/>
    </xf>
    <xf borderId="0" fillId="4" fontId="3" numFmtId="10" xfId="0" applyAlignment="1" applyFont="1" applyNumberFormat="1">
      <alignment horizontal="right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1" fillId="5" fontId="7" numFmtId="0" xfId="0" applyAlignment="1" applyBorder="1" applyFont="1">
      <alignment horizontal="center" readingOrder="0" shrinkToFit="0" vertical="center" wrapText="0"/>
    </xf>
    <xf borderId="0" fillId="5" fontId="7" numFmtId="164" xfId="0" applyAlignment="1" applyFont="1" applyNumberFormat="1">
      <alignment horizontal="center" readingOrder="0" shrinkToFit="0" vertical="center" wrapText="0"/>
    </xf>
    <xf borderId="24" fillId="5" fontId="7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ont="1">
      <alignment shrinkToFit="0" vertical="center" wrapText="0"/>
    </xf>
    <xf borderId="0" fillId="5" fontId="7" numFmtId="0" xfId="0" applyAlignment="1" applyFont="1">
      <alignment shrinkToFit="0" vertical="center" wrapText="0"/>
    </xf>
    <xf borderId="0" fillId="5" fontId="7" numFmtId="164" xfId="0" applyAlignment="1" applyFont="1" applyNumberFormat="1">
      <alignment shrinkToFit="0" vertical="center" wrapText="0"/>
    </xf>
    <xf borderId="24" fillId="5" fontId="7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wrapText="1"/>
    </xf>
    <xf borderId="0" fillId="6" fontId="3" numFmtId="2" xfId="0" applyAlignment="1" applyFont="1" applyNumberFormat="1">
      <alignment readingOrder="0" shrinkToFit="0" vertical="center" wrapText="0"/>
    </xf>
    <xf borderId="0" fillId="5" fontId="7" numFmtId="49" xfId="0" applyAlignment="1" applyFont="1" applyNumberFormat="1">
      <alignment horizontal="center" readingOrder="0" shrinkToFit="0" vertical="center" wrapText="0"/>
    </xf>
    <xf borderId="1" fillId="8" fontId="7" numFmtId="0" xfId="0" applyAlignment="1" applyBorder="1" applyFont="1">
      <alignment horizontal="center" readingOrder="0" shrinkToFit="0" vertical="center" wrapText="0"/>
    </xf>
    <xf borderId="0" fillId="8" fontId="7" numFmtId="164" xfId="0" applyAlignment="1" applyFont="1" applyNumberFormat="1">
      <alignment horizontal="center" readingOrder="0" shrinkToFit="0" vertical="center" wrapText="0"/>
    </xf>
    <xf borderId="15" fillId="5" fontId="7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ont="1">
      <alignment shrinkToFit="0" vertical="center" wrapText="0"/>
    </xf>
    <xf borderId="0" fillId="8" fontId="7" numFmtId="0" xfId="0" applyAlignment="1" applyFont="1">
      <alignment shrinkToFit="0" vertical="center" wrapText="0"/>
    </xf>
    <xf borderId="0" fillId="8" fontId="7" numFmtId="164" xfId="0" applyAlignment="1" applyFont="1" applyNumberFormat="1">
      <alignment shrinkToFit="0" vertical="center" wrapText="0"/>
    </xf>
    <xf borderId="24" fillId="8" fontId="7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/>
    </xf>
    <xf borderId="25" fillId="5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26" fillId="0" fontId="7" numFmtId="0" xfId="0" applyAlignment="1" applyBorder="1" applyFont="1">
      <alignment horizontal="center" readingOrder="0" shrinkToFit="0" vertical="center" wrapText="0"/>
    </xf>
    <xf borderId="0" fillId="0" fontId="3" numFmtId="46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4" fontId="3" numFmtId="164" xfId="0" applyAlignment="1" applyFont="1" applyNumberFormat="1">
      <alignment readingOrder="0" shrinkToFit="0" vertical="center" wrapText="0"/>
    </xf>
    <xf borderId="27" fillId="5" fontId="7" numFmtId="0" xfId="0" applyAlignment="1" applyBorder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1" fillId="7" fontId="3" numFmtId="3" xfId="0" applyAlignment="1" applyBorder="1" applyFont="1" applyNumberFormat="1">
      <alignment horizontal="left" shrinkToFit="0" vertical="center" wrapText="0"/>
    </xf>
    <xf borderId="0" fillId="7" fontId="3" numFmtId="49" xfId="0" applyAlignment="1" applyFont="1" applyNumberFormat="1">
      <alignment horizontal="center" shrinkToFit="0" vertical="center" wrapText="0"/>
    </xf>
    <xf borderId="0" fillId="7" fontId="3" numFmtId="164" xfId="0" applyAlignment="1" applyFont="1" applyNumberFormat="1">
      <alignment horizontal="center" shrinkToFit="0" vertical="center" wrapText="0"/>
    </xf>
    <xf borderId="28" fillId="7" fontId="7" numFmtId="0" xfId="0" applyAlignment="1" applyBorder="1" applyFont="1">
      <alignment horizontal="center" shrinkToFit="0" vertical="center" wrapText="0"/>
    </xf>
    <xf borderId="0" fillId="7" fontId="7" numFmtId="49" xfId="0" applyAlignment="1" applyFont="1" applyNumberFormat="1">
      <alignment horizontal="center" shrinkToFit="0" vertical="center" wrapText="0"/>
    </xf>
    <xf borderId="0" fillId="7" fontId="7" numFmtId="164" xfId="0" applyAlignment="1" applyFont="1" applyNumberFormat="1">
      <alignment horizontal="center" shrinkToFit="0" vertical="center" wrapText="0"/>
    </xf>
    <xf borderId="29" fillId="7" fontId="7" numFmtId="0" xfId="0" applyAlignment="1" applyBorder="1" applyFont="1">
      <alignment horizontal="center" shrinkToFit="0" vertical="center" wrapText="0"/>
    </xf>
    <xf borderId="0" fillId="4" fontId="3" numFmtId="2" xfId="0" applyAlignment="1" applyFont="1" applyNumberFormat="1">
      <alignment readingOrder="0" shrinkToFit="0" vertical="center" wrapText="0"/>
    </xf>
    <xf borderId="16" fillId="5" fontId="7" numFmtId="0" xfId="0" applyAlignment="1" applyBorder="1" applyFont="1">
      <alignment horizontal="center" readingOrder="0" shrinkToFit="0" vertical="center" wrapText="0"/>
    </xf>
    <xf borderId="30" fillId="5" fontId="7" numFmtId="0" xfId="0" applyAlignment="1" applyBorder="1" applyFont="1">
      <alignment horizontal="center" readingOrder="0" shrinkToFit="0" vertical="center" wrapText="0"/>
    </xf>
    <xf borderId="30" fillId="4" fontId="7" numFmtId="164" xfId="0" applyAlignment="1" applyBorder="1" applyFont="1" applyNumberFormat="1">
      <alignment horizontal="center" readingOrder="0" shrinkToFit="0" vertical="center" wrapText="0"/>
    </xf>
    <xf borderId="18" fillId="5" fontId="7" numFmtId="0" xfId="0" applyAlignment="1" applyBorder="1" applyFont="1">
      <alignment horizontal="center" readingOrder="0" shrinkToFit="0" vertical="center" wrapText="0"/>
    </xf>
    <xf borderId="21" fillId="8" fontId="7" numFmtId="0" xfId="0" applyAlignment="1" applyBorder="1" applyFont="1">
      <alignment horizontal="center" readingOrder="0" shrinkToFit="0" vertical="center" wrapText="0"/>
    </xf>
    <xf borderId="22" fillId="8" fontId="7" numFmtId="49" xfId="0" applyAlignment="1" applyBorder="1" applyFont="1" applyNumberFormat="1">
      <alignment horizontal="center" readingOrder="0" shrinkToFit="0" vertical="center" wrapText="0"/>
    </xf>
    <xf borderId="22" fillId="8" fontId="7" numFmtId="164" xfId="0" applyAlignment="1" applyBorder="1" applyFont="1" applyNumberFormat="1">
      <alignment horizontal="center" readingOrder="0" shrinkToFit="0" vertical="center" wrapText="0"/>
    </xf>
    <xf borderId="23" fillId="8" fontId="7" numFmtId="0" xfId="0" applyAlignment="1" applyBorder="1" applyFont="1">
      <alignment horizontal="center" readingOrder="0" shrinkToFit="0" vertical="center" wrapText="0"/>
    </xf>
    <xf borderId="17" fillId="5" fontId="7" numFmtId="0" xfId="0" applyAlignment="1" applyBorder="1" applyFont="1">
      <alignment horizontal="center" readingOrder="0" shrinkToFit="0" vertical="center" wrapText="0"/>
    </xf>
    <xf borderId="17" fillId="6" fontId="7" numFmtId="164" xfId="0" applyAlignment="1" applyBorder="1" applyFont="1" applyNumberFormat="1">
      <alignment horizontal="center" readingOrder="0" shrinkToFit="0" vertical="center" wrapText="0"/>
    </xf>
    <xf borderId="18" fillId="6" fontId="7" numFmtId="0" xfId="0" applyAlignment="1" applyBorder="1" applyFont="1">
      <alignment horizontal="center" readingOrder="0" shrinkToFit="0" vertical="center" wrapText="0"/>
    </xf>
    <xf borderId="22" fillId="8" fontId="7" numFmtId="0" xfId="0" applyAlignment="1" applyBorder="1" applyFont="1">
      <alignment horizontal="center" readingOrder="0" shrinkToFit="0" vertical="center" wrapText="0"/>
    </xf>
    <xf borderId="22" fillId="4" fontId="7" numFmtId="164" xfId="0" applyAlignment="1" applyBorder="1" applyFont="1" applyNumberFormat="1">
      <alignment horizontal="center" readingOrder="0" shrinkToFit="0" vertical="center" wrapText="0"/>
    </xf>
    <xf borderId="31" fillId="5" fontId="7" numFmtId="0" xfId="0" applyAlignment="1" applyBorder="1" applyFont="1">
      <alignment horizontal="center" readingOrder="0" shrinkToFit="0" vertical="center" wrapText="0"/>
    </xf>
    <xf borderId="32" fillId="5" fontId="7" numFmtId="0" xfId="0" applyAlignment="1" applyBorder="1" applyFont="1">
      <alignment horizontal="center" readingOrder="0" shrinkToFit="0" vertical="center" wrapText="0"/>
    </xf>
    <xf borderId="32" fillId="4" fontId="7" numFmtId="164" xfId="0" applyAlignment="1" applyBorder="1" applyFont="1" applyNumberFormat="1">
      <alignment horizontal="center" readingOrder="0" shrinkToFit="0" vertical="center" wrapText="0"/>
    </xf>
    <xf borderId="33" fillId="5" fontId="7" numFmtId="0" xfId="0" applyAlignment="1" applyBorder="1" applyFont="1">
      <alignment horizontal="center" readingOrder="0" shrinkToFit="0" vertical="center" wrapText="0"/>
    </xf>
    <xf borderId="31" fillId="5" fontId="7" numFmtId="0" xfId="0" applyAlignment="1" applyBorder="1" applyFont="1">
      <alignment shrinkToFit="0" vertical="center" wrapText="0"/>
    </xf>
    <xf borderId="32" fillId="5" fontId="7" numFmtId="0" xfId="0" applyAlignment="1" applyBorder="1" applyFont="1">
      <alignment shrinkToFit="0" vertical="center" wrapText="0"/>
    </xf>
    <xf borderId="32" fillId="5" fontId="7" numFmtId="164" xfId="0" applyAlignment="1" applyBorder="1" applyFont="1" applyNumberFormat="1">
      <alignment shrinkToFit="0" vertical="center" wrapText="0"/>
    </xf>
    <xf borderId="33" fillId="5" fontId="7" numFmtId="0" xfId="0" applyAlignment="1" applyBorder="1" applyFont="1">
      <alignment shrinkToFit="0" vertical="center" wrapText="0"/>
    </xf>
    <xf borderId="0" fillId="0" fontId="3" numFmtId="0" xfId="0" applyAlignment="1" applyFont="1">
      <alignment horizontal="right" readingOrder="0" shrinkToFit="0" vertical="center" wrapText="1"/>
    </xf>
    <xf borderId="6" fillId="0" fontId="1" numFmtId="165" xfId="0" applyAlignment="1" applyBorder="1" applyFont="1" applyNumberFormat="1">
      <alignment horizontal="center" readingOrder="0"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0" fillId="0" fontId="3" numFmtId="10" xfId="0" applyAlignment="1" applyFont="1" applyNumberFormat="1">
      <alignment horizontal="right" readingOrder="0" shrinkToFit="0" vertical="center" wrapText="1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1"/>
    </xf>
    <xf borderId="5" fillId="9" fontId="10" numFmtId="0" xfId="0" applyAlignment="1" applyBorder="1" applyFill="1" applyFont="1">
      <alignment readingOrder="0" shrinkToFit="0" vertical="center" wrapText="1"/>
    </xf>
    <xf borderId="5" fillId="9" fontId="3" numFmtId="49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horizontal="right" shrinkToFit="0" vertical="center" wrapText="0"/>
    </xf>
    <xf borderId="0" fillId="9" fontId="10" numFmtId="0" xfId="0" applyAlignment="1" applyFont="1">
      <alignment readingOrder="0" shrinkToFit="0" vertical="center" wrapText="1"/>
    </xf>
    <xf borderId="0" fillId="9" fontId="3" numFmtId="49" xfId="0" applyAlignment="1" applyFont="1" applyNumberForma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49" xfId="0" applyAlignment="1" applyBorder="1" applyFont="1" applyNumberFormat="1">
      <alignment readingOrder="0" shrinkToFit="0" vertical="center" wrapText="1"/>
    </xf>
    <xf borderId="5" fillId="0" fontId="3" numFmtId="49" xfId="0" applyAlignment="1" applyBorder="1" applyFont="1" applyNumberFormat="1">
      <alignment horizontal="right" readingOrder="0" shrinkToFit="0" vertical="center" wrapText="1"/>
    </xf>
    <xf borderId="34" fillId="9" fontId="10" numFmtId="0" xfId="0" applyAlignment="1" applyBorder="1" applyFont="1">
      <alignment readingOrder="0" shrinkToFit="0" vertical="center" wrapText="1"/>
    </xf>
    <xf borderId="0" fillId="9" fontId="3" numFmtId="49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horizontal="right" readingOrder="0" shrinkToFit="0" vertical="center" wrapText="1"/>
    </xf>
    <xf borderId="0" fillId="0" fontId="3" numFmtId="20" xfId="0" applyAlignment="1" applyFont="1" applyNumberFormat="1">
      <alignment horizontal="center" readingOrder="0" shrinkToFit="0" vertical="center" wrapText="0"/>
    </xf>
    <xf borderId="0" fillId="9" fontId="12" numFmtId="0" xfId="0" applyAlignment="1" applyFont="1">
      <alignment readingOrder="0" shrinkToFit="0" vertical="center" wrapText="0"/>
    </xf>
    <xf borderId="1" fillId="9" fontId="3" numFmtId="0" xfId="0" applyAlignment="1" applyBorder="1" applyFont="1">
      <alignment horizontal="center" shrinkToFit="0" vertical="center" wrapText="0"/>
    </xf>
    <xf borderId="0" fillId="9" fontId="3" numFmtId="0" xfId="0" applyAlignment="1" applyFont="1">
      <alignment horizontal="center" readingOrder="0" shrinkToFit="0" vertical="center" wrapText="0"/>
    </xf>
    <xf borderId="0" fillId="9" fontId="3" numFmtId="164" xfId="0" applyAlignment="1" applyFont="1" applyNumberFormat="1">
      <alignment horizontal="center" readingOrder="0" shrinkToFit="0" vertical="center" wrapText="0"/>
    </xf>
    <xf borderId="0" fillId="9" fontId="3" numFmtId="0" xfId="0" applyAlignment="1" applyFont="1">
      <alignment horizontal="center" shrinkToFit="0" vertical="center" wrapText="0"/>
    </xf>
    <xf borderId="0" fillId="9" fontId="3" numFmtId="164" xfId="0" applyAlignment="1" applyFont="1" applyNumberFormat="1">
      <alignment horizontal="center" shrinkToFit="0" vertical="center" wrapText="0"/>
    </xf>
    <xf borderId="0" fillId="9" fontId="3" numFmtId="164" xfId="0" applyAlignment="1" applyFont="1" applyNumberFormat="1">
      <alignment shrinkToFit="0" vertical="center" wrapText="0"/>
    </xf>
    <xf borderId="0" fillId="9" fontId="13" numFmtId="0" xfId="0" applyAlignment="1" applyFont="1">
      <alignment horizontal="right" readingOrder="0" shrinkToFit="0" vertical="center" wrapText="0"/>
    </xf>
    <xf borderId="1" fillId="9" fontId="3" numFmtId="0" xfId="0" applyAlignment="1" applyBorder="1" applyFont="1">
      <alignment horizontal="center" readingOrder="0" shrinkToFit="0" vertical="center" wrapText="0"/>
    </xf>
    <xf borderId="0" fillId="9" fontId="3" numFmtId="16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34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35" fillId="10" fontId="14" numFmtId="0" xfId="0" applyBorder="1" applyFill="1" applyFont="1"/>
    <xf borderId="0" fillId="0" fontId="15" numFmtId="0" xfId="0" applyAlignment="1" applyFont="1">
      <alignment vertical="bottom"/>
    </xf>
    <xf borderId="0" fillId="0" fontId="15" numFmtId="165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36" fillId="11" fontId="16" numFmtId="0" xfId="0" applyAlignment="1" applyBorder="1" applyFill="1" applyFont="1">
      <alignment shrinkToFit="0" vertical="bottom" wrapText="1"/>
    </xf>
    <xf borderId="37" fillId="11" fontId="16" numFmtId="0" xfId="0" applyAlignment="1" applyBorder="1" applyFont="1">
      <alignment shrinkToFit="0" vertical="bottom" wrapText="1"/>
    </xf>
    <xf borderId="37" fillId="6" fontId="16" numFmtId="0" xfId="0" applyAlignment="1" applyBorder="1" applyFont="1">
      <alignment shrinkToFit="0" vertical="bottom" wrapText="1"/>
    </xf>
    <xf borderId="37" fillId="12" fontId="16" numFmtId="0" xfId="0" applyAlignment="1" applyBorder="1" applyFill="1" applyFont="1">
      <alignment horizontal="center" readingOrder="0" shrinkToFit="0" vertical="bottom" wrapText="1"/>
    </xf>
    <xf borderId="37" fillId="0" fontId="16" numFmtId="0" xfId="0" applyAlignment="1" applyBorder="1" applyFont="1">
      <alignment horizontal="center" readingOrder="0" shrinkToFit="0" vertical="bottom" wrapText="1"/>
    </xf>
    <xf borderId="37" fillId="4" fontId="16" numFmtId="0" xfId="0" applyAlignment="1" applyBorder="1" applyFont="1">
      <alignment horizontal="right" readingOrder="0" shrinkToFit="0" vertical="bottom" wrapText="1"/>
    </xf>
    <xf borderId="36" fillId="0" fontId="16" numFmtId="0" xfId="0" applyAlignment="1" applyBorder="1" applyFont="1">
      <alignment horizontal="center" readingOrder="0" shrinkToFit="0" vertical="bottom" wrapText="1"/>
    </xf>
    <xf borderId="38" fillId="4" fontId="16" numFmtId="0" xfId="0" applyAlignment="1" applyBorder="1" applyFont="1">
      <alignment shrinkToFit="0" vertical="bottom" wrapText="1"/>
    </xf>
    <xf borderId="38" fillId="4" fontId="16" numFmtId="10" xfId="0" applyAlignment="1" applyBorder="1" applyFont="1" applyNumberFormat="1">
      <alignment shrinkToFit="0" vertical="bottom" wrapText="1"/>
    </xf>
    <xf borderId="37" fillId="0" fontId="3" numFmtId="0" xfId="0" applyAlignment="1" applyBorder="1" applyFont="1">
      <alignment shrinkToFit="0" wrapText="1"/>
    </xf>
    <xf borderId="38" fillId="0" fontId="3" numFmtId="0" xfId="0" applyAlignment="1" applyBorder="1" applyFont="1">
      <alignment shrinkToFit="0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4" fontId="7" numFmtId="0" xfId="0" applyAlignment="1" applyFont="1">
      <alignment horizontal="right" vertical="bottom"/>
    </xf>
    <xf borderId="0" fillId="12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10" xfId="0" applyAlignment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6" fillId="0" fontId="7" numFmtId="10" xfId="0" applyAlignment="1" applyBorder="1" applyFont="1" applyNumberFormat="1">
      <alignment horizontal="right" vertical="bottom"/>
    </xf>
    <xf borderId="26" fillId="0" fontId="3" numFmtId="10" xfId="0" applyBorder="1" applyFont="1" applyNumberFormat="1"/>
    <xf borderId="26" fillId="4" fontId="3" numFmtId="10" xfId="0" applyBorder="1" applyFont="1" applyNumberFormat="1"/>
    <xf borderId="0" fillId="6" fontId="3" numFmtId="0" xfId="0" applyAlignment="1" applyFont="1">
      <alignment readingOrder="0"/>
    </xf>
    <xf borderId="26" fillId="0" fontId="3" numFmtId="10" xfId="0" applyAlignment="1" applyBorder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3" fontId="7" numFmtId="0" xfId="0" applyAlignment="1" applyFont="1">
      <alignment horizontal="right" vertical="bottom"/>
    </xf>
    <xf borderId="0" fillId="12" fontId="7" numFmtId="0" xfId="0" applyAlignment="1" applyFont="1">
      <alignment horizontal="center" readingOrder="0" vertical="bottom"/>
    </xf>
    <xf borderId="1" fillId="0" fontId="3" numFmtId="0" xfId="0" applyBorder="1" applyFont="1"/>
    <xf borderId="26" fillId="0" fontId="3" numFmtId="0" xfId="0" applyBorder="1" applyFont="1"/>
    <xf borderId="0" fillId="0" fontId="7" numFmtId="0" xfId="0" applyAlignment="1" applyFont="1">
      <alignment horizontal="center" readingOrder="0" vertical="bottom"/>
    </xf>
    <xf borderId="26" fillId="6" fontId="3" numFmtId="10" xfId="0" applyBorder="1" applyFont="1" applyNumberFormat="1"/>
    <xf borderId="0" fillId="6" fontId="7" numFmtId="0" xfId="0" applyAlignment="1" applyFont="1">
      <alignment vertical="bottom"/>
    </xf>
    <xf borderId="0" fillId="13" fontId="7" numFmtId="0" xfId="0" applyAlignment="1" applyFill="1" applyFont="1">
      <alignment horizontal="right" vertical="bottom"/>
    </xf>
    <xf borderId="0" fillId="14" fontId="7" numFmtId="0" xfId="0" applyAlignment="1" applyFill="1" applyFont="1">
      <alignment horizontal="right" vertical="bottom"/>
    </xf>
    <xf borderId="0" fillId="15" fontId="16" numFmtId="0" xfId="0" applyAlignment="1" applyFill="1" applyFont="1">
      <alignment vertical="bottom"/>
    </xf>
    <xf borderId="0" fillId="15" fontId="7" numFmtId="0" xfId="0" applyAlignment="1" applyFont="1">
      <alignment vertical="bottom"/>
    </xf>
    <xf borderId="0" fillId="15" fontId="7" numFmtId="0" xfId="0" applyAlignment="1" applyFont="1">
      <alignment horizontal="center" vertical="bottom"/>
    </xf>
    <xf borderId="0" fillId="15" fontId="16" numFmtId="0" xfId="0" applyAlignment="1" applyFont="1">
      <alignment horizontal="center" vertical="bottom"/>
    </xf>
    <xf borderId="0" fillId="15" fontId="16" numFmtId="10" xfId="0" applyAlignment="1" applyFont="1" applyNumberFormat="1">
      <alignment horizontal="right" vertical="bottom"/>
    </xf>
    <xf borderId="6" fillId="0" fontId="3" numFmtId="0" xfId="0" applyBorder="1" applyFont="1"/>
    <xf borderId="5" fillId="0" fontId="3" numFmtId="0" xfId="0" applyBorder="1" applyFont="1"/>
    <xf borderId="39" fillId="0" fontId="3" numFmtId="10" xfId="0" applyBorder="1" applyFont="1" applyNumberFormat="1"/>
    <xf borderId="0" fillId="12" fontId="7" numFmtId="10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right"/>
    </xf>
    <xf borderId="0" fillId="0" fontId="3" numFmtId="4" xfId="0" applyFont="1" applyNumberFormat="1"/>
    <xf borderId="0" fillId="0" fontId="3" numFmtId="0" xfId="0" applyFont="1"/>
    <xf borderId="0" fillId="0" fontId="3" numFmtId="10" xfId="0" applyFont="1" applyNumberFormat="1"/>
    <xf borderId="0" fillId="0" fontId="3" numFmtId="0" xfId="0" applyAlignment="1" applyFont="1">
      <alignment horizontal="right"/>
    </xf>
    <xf borderId="37" fillId="16" fontId="17" numFmtId="0" xfId="0" applyAlignment="1" applyBorder="1" applyFill="1" applyFont="1">
      <alignment horizontal="center" vertical="bottom"/>
    </xf>
    <xf borderId="37" fillId="3" fontId="18" numFmtId="0" xfId="0" applyAlignment="1" applyBorder="1" applyFont="1">
      <alignment vertical="bottom"/>
    </xf>
    <xf borderId="37" fillId="16" fontId="7" numFmtId="0" xfId="0" applyAlignment="1" applyBorder="1" applyFont="1">
      <alignment vertical="bottom"/>
    </xf>
    <xf borderId="0" fillId="16" fontId="7" numFmtId="0" xfId="0" applyAlignment="1" applyFont="1">
      <alignment vertical="bottom"/>
    </xf>
    <xf borderId="38" fillId="16" fontId="7" numFmtId="0" xfId="0" applyAlignment="1" applyBorder="1" applyFont="1">
      <alignment vertical="bottom"/>
    </xf>
    <xf borderId="0" fillId="17" fontId="7" numFmtId="0" xfId="0" applyAlignment="1" applyFill="1" applyFont="1">
      <alignment vertical="bottom"/>
    </xf>
    <xf borderId="0" fillId="18" fontId="7" numFmtId="0" xfId="0" applyAlignment="1" applyFill="1" applyFont="1">
      <alignment vertical="bottom"/>
    </xf>
    <xf borderId="37" fillId="18" fontId="7" numFmtId="0" xfId="0" applyAlignment="1" applyBorder="1" applyFont="1">
      <alignment vertical="bottom"/>
    </xf>
    <xf borderId="26" fillId="17" fontId="7" numFmtId="0" xfId="0" applyAlignment="1" applyBorder="1" applyFont="1">
      <alignment vertical="bottom"/>
    </xf>
    <xf borderId="0" fillId="19" fontId="7" numFmtId="0" xfId="0" applyAlignment="1" applyFill="1" applyFont="1">
      <alignment vertical="bottom"/>
    </xf>
    <xf borderId="0" fillId="19" fontId="18" numFmtId="0" xfId="0" applyAlignment="1" applyFont="1">
      <alignment vertical="bottom"/>
    </xf>
    <xf borderId="37" fillId="19" fontId="7" numFmtId="0" xfId="0" applyAlignment="1" applyBorder="1" applyFont="1">
      <alignment vertical="bottom"/>
    </xf>
    <xf borderId="40" fillId="20" fontId="19" numFmtId="0" xfId="0" applyAlignment="1" applyBorder="1" applyFill="1" applyFont="1">
      <alignment horizontal="center" vertical="bottom"/>
    </xf>
    <xf borderId="34" fillId="0" fontId="20" numFmtId="0" xfId="0" applyBorder="1" applyFont="1"/>
    <xf borderId="40" fillId="21" fontId="19" numFmtId="0" xfId="0" applyAlignment="1" applyBorder="1" applyFill="1" applyFont="1">
      <alignment horizontal="center" vertical="bottom"/>
    </xf>
    <xf borderId="40" fillId="22" fontId="21" numFmtId="0" xfId="0" applyAlignment="1" applyBorder="1" applyFill="1" applyFont="1">
      <alignment horizontal="center" vertical="bottom"/>
    </xf>
    <xf borderId="6" fillId="0" fontId="20" numFmtId="0" xfId="0" applyBorder="1" applyFont="1"/>
    <xf borderId="5" fillId="0" fontId="20" numFmtId="0" xfId="0" applyBorder="1" applyFont="1"/>
    <xf borderId="6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23" numFmtId="0" xfId="0" applyAlignment="1" applyBorder="1" applyFont="1">
      <alignment shrinkToFit="0" vertical="bottom" wrapText="0"/>
    </xf>
    <xf borderId="5" fillId="0" fontId="22" numFmtId="0" xfId="0" applyAlignment="1" applyBorder="1" applyFont="1">
      <alignment horizontal="center" shrinkToFit="0" vertical="bottom" wrapText="0"/>
    </xf>
    <xf borderId="39" fillId="0" fontId="22" numFmtId="0" xfId="0" applyAlignment="1" applyBorder="1" applyFont="1">
      <alignment horizontal="center" vertical="bottom"/>
    </xf>
    <xf borderId="5" fillId="0" fontId="23" numFmtId="0" xfId="0" applyAlignment="1" applyBorder="1" applyFont="1">
      <alignment horizontal="center" shrinkToFit="0" vertical="bottom" wrapText="0"/>
    </xf>
    <xf borderId="41" fillId="23" fontId="24" numFmtId="0" xfId="0" applyAlignment="1" applyBorder="1" applyFill="1" applyFont="1">
      <alignment horizontal="center" textRotation="90" vertical="bottom"/>
    </xf>
    <xf borderId="40" fillId="12" fontId="25" numFmtId="0" xfId="0" applyAlignment="1" applyBorder="1" applyFont="1">
      <alignment horizontal="center" vertical="bottom"/>
    </xf>
    <xf borderId="34" fillId="12" fontId="7" numFmtId="0" xfId="0" applyAlignment="1" applyBorder="1" applyFont="1">
      <alignment vertical="bottom"/>
    </xf>
    <xf borderId="34" fillId="12" fontId="17" numFmtId="0" xfId="0" applyAlignment="1" applyBorder="1" applyFont="1">
      <alignment vertical="bottom"/>
    </xf>
    <xf borderId="34" fillId="12" fontId="26" numFmtId="0" xfId="0" applyAlignment="1" applyBorder="1" applyFont="1">
      <alignment vertical="bottom"/>
    </xf>
    <xf borderId="34" fillId="12" fontId="17" numFmtId="0" xfId="0" applyAlignment="1" applyBorder="1" applyFont="1">
      <alignment horizontal="right" shrinkToFit="0" vertical="bottom" wrapText="0"/>
    </xf>
    <xf borderId="34" fillId="12" fontId="27" numFmtId="0" xfId="0" applyAlignment="1" applyBorder="1" applyFont="1">
      <alignment horizontal="right" shrinkToFit="0" vertical="bottom" wrapText="0"/>
    </xf>
    <xf borderId="34" fillId="12" fontId="28" numFmtId="0" xfId="0" applyAlignment="1" applyBorder="1" applyFont="1">
      <alignment horizontal="center" vertical="bottom"/>
    </xf>
    <xf borderId="42" fillId="12" fontId="7" numFmtId="0" xfId="0" applyAlignment="1" applyBorder="1" applyFont="1">
      <alignment vertical="bottom"/>
    </xf>
    <xf borderId="0" fillId="0" fontId="29" numFmtId="0" xfId="0" applyAlignment="1" applyFont="1">
      <alignment horizontal="right" vertical="bottom"/>
    </xf>
    <xf borderId="43" fillId="21" fontId="24" numFmtId="0" xfId="0" applyAlignment="1" applyBorder="1" applyFont="1">
      <alignment horizontal="center" textRotation="90" vertical="bottom"/>
    </xf>
    <xf borderId="40" fillId="12" fontId="30" numFmtId="0" xfId="0" applyAlignment="1" applyBorder="1" applyFont="1">
      <alignment horizontal="center" vertical="bottom"/>
    </xf>
    <xf borderId="37" fillId="12" fontId="17" numFmtId="0" xfId="0" applyAlignment="1" applyBorder="1" applyFont="1">
      <alignment vertical="bottom"/>
    </xf>
    <xf borderId="34" fillId="12" fontId="26" numFmtId="0" xfId="0" applyAlignment="1" applyBorder="1" applyFont="1">
      <alignment horizontal="center" shrinkToFit="0" vertical="bottom" wrapText="0"/>
    </xf>
    <xf borderId="37" fillId="12" fontId="17" numFmtId="0" xfId="0" applyAlignment="1" applyBorder="1" applyFont="1">
      <alignment horizontal="right" shrinkToFit="0" vertical="bottom" wrapText="0"/>
    </xf>
    <xf borderId="43" fillId="24" fontId="17" numFmtId="0" xfId="0" applyAlignment="1" applyBorder="1" applyFill="1" applyFont="1">
      <alignment horizontal="center" textRotation="90" vertical="bottom"/>
    </xf>
    <xf borderId="1" fillId="12" fontId="31" numFmtId="0" xfId="0" applyAlignment="1" applyBorder="1" applyFont="1">
      <alignment horizontal="center" vertical="bottom"/>
    </xf>
    <xf borderId="0" fillId="12" fontId="7" numFmtId="0" xfId="0" applyAlignment="1" applyFont="1">
      <alignment vertical="bottom"/>
    </xf>
    <xf borderId="0" fillId="12" fontId="26" numFmtId="0" xfId="0" applyAlignment="1" applyFont="1">
      <alignment horizontal="center" vertical="bottom"/>
    </xf>
    <xf borderId="0" fillId="12" fontId="26" numFmtId="0" xfId="0" applyAlignment="1" applyFont="1">
      <alignment vertical="bottom"/>
    </xf>
    <xf borderId="41" fillId="0" fontId="20" numFmtId="0" xfId="0" applyBorder="1" applyFont="1"/>
    <xf borderId="40" fillId="0" fontId="26" numFmtId="0" xfId="0" applyAlignment="1" applyBorder="1" applyFont="1">
      <alignment vertical="bottom"/>
    </xf>
    <xf borderId="34" fillId="0" fontId="26" numFmtId="0" xfId="0" applyAlignment="1" applyBorder="1" applyFont="1">
      <alignment vertical="bottom"/>
    </xf>
    <xf borderId="34" fillId="0" fontId="26" numFmtId="0" xfId="0" applyAlignment="1" applyBorder="1" applyFont="1">
      <alignment horizontal="right" vertical="bottom"/>
    </xf>
    <xf borderId="34" fillId="0" fontId="7" numFmtId="0" xfId="0" applyAlignment="1" applyBorder="1" applyFont="1">
      <alignment vertical="bottom"/>
    </xf>
    <xf borderId="34" fillId="0" fontId="26" numFmtId="0" xfId="0" applyAlignment="1" applyBorder="1" applyFont="1">
      <alignment horizontal="center"/>
    </xf>
    <xf borderId="42" fillId="0" fontId="26" numFmtId="0" xfId="0" applyAlignment="1" applyBorder="1" applyFont="1">
      <alignment horizontal="center"/>
    </xf>
    <xf borderId="34" fillId="0" fontId="26" numFmtId="0" xfId="0" applyAlignment="1" applyBorder="1" applyFont="1">
      <alignment shrinkToFit="0" vertical="bottom" wrapText="0"/>
    </xf>
    <xf borderId="34" fillId="0" fontId="26" numFmtId="0" xfId="0" applyAlignment="1" applyBorder="1" applyFont="1">
      <alignment horizontal="center" vertical="bottom"/>
    </xf>
    <xf borderId="0" fillId="0" fontId="26" numFmtId="0" xfId="0" applyAlignment="1" applyFont="1">
      <alignment horizontal="center"/>
    </xf>
    <xf borderId="26" fillId="0" fontId="26" numFmtId="0" xfId="0" applyAlignment="1" applyBorder="1" applyFont="1">
      <alignment horizontal="center"/>
    </xf>
    <xf borderId="34" fillId="0" fontId="26" numFmtId="49" xfId="0" applyAlignment="1" applyBorder="1" applyFont="1" applyNumberFormat="1">
      <alignment horizontal="center" vertical="bottom"/>
    </xf>
    <xf borderId="1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0" fillId="0" fontId="26" numFmtId="0" xfId="0" applyAlignment="1" applyFont="1">
      <alignment shrinkToFit="0" vertical="bottom" wrapText="0"/>
    </xf>
    <xf borderId="0" fillId="0" fontId="26" numFmtId="0" xfId="0" applyAlignment="1" applyFont="1">
      <alignment horizontal="center" vertical="bottom"/>
    </xf>
    <xf borderId="0" fillId="0" fontId="26" numFmtId="49" xfId="0" applyAlignment="1" applyFont="1" applyNumberFormat="1">
      <alignment horizontal="center" vertical="bottom"/>
    </xf>
    <xf borderId="44" fillId="0" fontId="20" numFmtId="0" xfId="0" applyBorder="1" applyFont="1"/>
    <xf borderId="6" fillId="0" fontId="26" numFmtId="0" xfId="0" applyAlignment="1" applyBorder="1" applyFont="1">
      <alignment vertical="bottom"/>
    </xf>
    <xf borderId="5" fillId="0" fontId="26" numFmtId="0" xfId="0" applyAlignment="1" applyBorder="1" applyFont="1">
      <alignment vertical="bottom"/>
    </xf>
    <xf borderId="5" fillId="0" fontId="26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39" fillId="0" fontId="26" numFmtId="0" xfId="0" applyAlignment="1" applyBorder="1" applyFont="1">
      <alignment horizontal="center"/>
    </xf>
    <xf borderId="5" fillId="5" fontId="7" numFmtId="0" xfId="0" applyAlignment="1" applyBorder="1" applyFont="1">
      <alignment vertical="bottom"/>
    </xf>
    <xf borderId="43" fillId="23" fontId="24" numFmtId="0" xfId="0" applyAlignment="1" applyBorder="1" applyFont="1">
      <alignment horizontal="center" textRotation="90" vertical="bottom"/>
    </xf>
    <xf borderId="5" fillId="0" fontId="26" numFmtId="0" xfId="0" applyAlignment="1" applyBorder="1" applyFont="1">
      <alignment shrinkToFit="0" vertical="bottom" wrapText="0"/>
    </xf>
    <xf borderId="5" fillId="0" fontId="26" numFmtId="0" xfId="0" applyAlignment="1" applyBorder="1" applyFont="1">
      <alignment horizontal="center" vertical="bottom"/>
    </xf>
    <xf borderId="36" fillId="12" fontId="32" numFmtId="0" xfId="0" applyAlignment="1" applyBorder="1" applyFont="1">
      <alignment horizontal="center" vertical="bottom"/>
    </xf>
    <xf borderId="37" fillId="12" fontId="7" numFmtId="0" xfId="0" applyAlignment="1" applyBorder="1" applyFont="1">
      <alignment vertical="bottom"/>
    </xf>
    <xf borderId="34" fillId="12" fontId="26" numFmtId="49" xfId="0" applyAlignment="1" applyBorder="1" applyFont="1" applyNumberFormat="1">
      <alignment horizontal="center" vertical="bottom"/>
    </xf>
    <xf borderId="37" fillId="12" fontId="26" numFmtId="0" xfId="0" applyAlignment="1" applyBorder="1" applyFont="1">
      <alignment vertical="bottom"/>
    </xf>
    <xf borderId="37" fillId="12" fontId="27" numFmtId="0" xfId="0" applyAlignment="1" applyBorder="1" applyFont="1">
      <alignment horizontal="right" shrinkToFit="0" vertical="bottom" wrapText="0"/>
    </xf>
    <xf borderId="26" fillId="0" fontId="33" numFmtId="0" xfId="0" applyAlignment="1" applyBorder="1" applyFont="1">
      <alignment horizontal="center"/>
    </xf>
    <xf borderId="0" fillId="0" fontId="7" numFmtId="166" xfId="0" applyAlignment="1" applyFont="1" applyNumberFormat="1">
      <alignment vertical="bottom"/>
    </xf>
    <xf borderId="43" fillId="24" fontId="22" numFmtId="0" xfId="0" applyAlignment="1" applyBorder="1" applyFont="1">
      <alignment horizontal="center" textRotation="90" vertical="bottom"/>
    </xf>
    <xf borderId="0" fillId="21" fontId="24" numFmtId="0" xfId="0" applyAlignment="1" applyFont="1">
      <alignment horizontal="center" textRotation="90" vertical="bottom"/>
    </xf>
    <xf borderId="34" fillId="0" fontId="7" numFmtId="166" xfId="0" applyAlignment="1" applyBorder="1" applyFont="1" applyNumberFormat="1">
      <alignment vertical="bottom"/>
    </xf>
    <xf borderId="34" fillId="12" fontId="34" numFmtId="0" xfId="0" applyAlignment="1" applyBorder="1" applyFont="1">
      <alignment horizontal="center" vertical="bottom"/>
    </xf>
    <xf borderId="34" fillId="12" fontId="35" numFmtId="0" xfId="0" applyAlignment="1" applyBorder="1" applyFont="1">
      <alignment vertical="bottom"/>
    </xf>
    <xf borderId="5" fillId="0" fontId="7" numFmtId="166" xfId="0" applyAlignment="1" applyBorder="1" applyFont="1" applyNumberFormat="1">
      <alignment vertical="bottom"/>
    </xf>
    <xf borderId="37" fillId="12" fontId="26" numFmtId="49" xfId="0" applyAlignment="1" applyBorder="1" applyFont="1" applyNumberFormat="1">
      <alignment horizontal="center" vertical="bottom"/>
    </xf>
    <xf borderId="37" fillId="12" fontId="28" numFmtId="0" xfId="0" applyAlignment="1" applyBorder="1" applyFont="1">
      <alignment horizontal="center" vertical="bottom"/>
    </xf>
    <xf borderId="38" fillId="12" fontId="7" numFmtId="0" xfId="0" applyAlignment="1" applyBorder="1" applyFont="1">
      <alignment vertical="bottom"/>
    </xf>
    <xf borderId="5" fillId="0" fontId="26" numFmtId="49" xfId="0" applyAlignment="1" applyBorder="1" applyFont="1" applyNumberFormat="1">
      <alignment horizontal="center" vertical="bottom"/>
    </xf>
    <xf borderId="37" fillId="12" fontId="26" numFmtId="0" xfId="0" applyAlignment="1" applyBorder="1" applyFont="1">
      <alignment horizontal="center" vertical="bottom"/>
    </xf>
    <xf borderId="40" fillId="23" fontId="24" numFmtId="0" xfId="0" applyAlignment="1" applyBorder="1" applyFont="1">
      <alignment horizontal="center" textRotation="90" vertical="bottom"/>
    </xf>
    <xf borderId="1" fillId="0" fontId="20" numFmtId="0" xfId="0" applyBorder="1" applyFont="1"/>
    <xf borderId="37" fillId="12" fontId="36" numFmtId="0" xfId="0" applyAlignment="1" applyBorder="1" applyFont="1">
      <alignment horizontal="center" vertical="bottom"/>
    </xf>
    <xf borderId="0" fillId="5" fontId="29" numFmtId="0" xfId="0" applyAlignment="1" applyFont="1">
      <alignment horizontal="right" vertical="bottom"/>
    </xf>
    <xf borderId="34" fillId="5" fontId="26" numFmtId="0" xfId="0" applyAlignment="1" applyBorder="1" applyFont="1">
      <alignment shrinkToFit="0" vertical="bottom" wrapText="0"/>
    </xf>
    <xf borderId="34" fillId="5" fontId="26" numFmtId="0" xfId="0" applyAlignment="1" applyBorder="1" applyFont="1">
      <alignment vertical="bottom"/>
    </xf>
    <xf borderId="34" fillId="5" fontId="26" numFmtId="0" xfId="0" applyAlignment="1" applyBorder="1" applyFont="1">
      <alignment horizontal="center" vertical="bottom"/>
    </xf>
    <xf borderId="0" fillId="5" fontId="7" numFmtId="0" xfId="0" applyAlignment="1" applyFont="1">
      <alignment vertical="bottom"/>
    </xf>
    <xf borderId="1" fillId="5" fontId="26" numFmtId="0" xfId="0" applyAlignment="1" applyBorder="1" applyFont="1">
      <alignment vertical="bottom"/>
    </xf>
    <xf borderId="6" fillId="5" fontId="37" numFmtId="0" xfId="0" applyAlignment="1" applyBorder="1" applyFont="1">
      <alignment vertical="bottom"/>
    </xf>
    <xf borderId="0" fillId="0" fontId="38" numFmtId="0" xfId="0" applyAlignment="1" applyFont="1">
      <alignment vertical="bottom"/>
    </xf>
    <xf borderId="37" fillId="0" fontId="26" numFmtId="0" xfId="0" applyAlignment="1" applyBorder="1" applyFont="1">
      <alignment vertical="bottom"/>
    </xf>
    <xf borderId="37" fillId="6" fontId="39" numFmtId="0" xfId="0" applyAlignment="1" applyBorder="1" applyFont="1">
      <alignment vertical="bottom"/>
    </xf>
    <xf borderId="5" fillId="0" fontId="26" numFmtId="0" xfId="0" applyAlignment="1" applyBorder="1" applyFont="1">
      <alignment horizontal="center"/>
    </xf>
    <xf borderId="34" fillId="0" fontId="26" numFmtId="166" xfId="0" applyAlignment="1" applyBorder="1" applyFont="1" applyNumberFormat="1">
      <alignment vertical="bottom"/>
    </xf>
    <xf borderId="5" fillId="0" fontId="26" numFmtId="166" xfId="0" applyAlignment="1" applyBorder="1" applyFont="1" applyNumberFormat="1">
      <alignment vertical="bottom"/>
    </xf>
    <xf borderId="0" fillId="0" fontId="7" numFmtId="49" xfId="0" applyAlignment="1" applyFont="1" applyNumberFormat="1">
      <alignment vertical="bottom"/>
    </xf>
    <xf borderId="1" fillId="0" fontId="40" numFmtId="0" xfId="0" applyAlignment="1" applyBorder="1" applyFont="1">
      <alignment vertical="bottom"/>
    </xf>
    <xf borderId="26" fillId="21" fontId="24" numFmtId="0" xfId="0" applyAlignment="1" applyBorder="1" applyFont="1">
      <alignment horizontal="center" textRotation="90" vertical="bottom"/>
    </xf>
    <xf borderId="26" fillId="0" fontId="20" numFmtId="0" xfId="0" applyBorder="1" applyFont="1"/>
    <xf borderId="34" fillId="0" fontId="26" numFmtId="0" xfId="0" applyAlignment="1" applyBorder="1" applyFont="1">
      <alignment horizontal="center"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26" numFmtId="49" xfId="0" applyAlignment="1" applyFont="1" applyNumberFormat="1">
      <alignment horizontal="center" shrinkToFit="0" vertical="bottom" wrapText="0"/>
    </xf>
    <xf borderId="5" fillId="0" fontId="26" numFmtId="49" xfId="0" applyAlignment="1" applyBorder="1" applyFont="1" applyNumberFormat="1">
      <alignment horizontal="center" shrinkToFit="0" vertical="bottom" wrapText="0"/>
    </xf>
    <xf borderId="5" fillId="0" fontId="38" numFmtId="0" xfId="0" applyAlignment="1" applyBorder="1" applyFont="1">
      <alignment vertical="bottom"/>
    </xf>
    <xf borderId="37" fillId="12" fontId="26" numFmtId="0" xfId="0" applyAlignment="1" applyBorder="1" applyFont="1">
      <alignment horizontal="center" shrinkToFit="0" vertical="bottom" wrapText="0"/>
    </xf>
    <xf borderId="34" fillId="12" fontId="17" numFmtId="166" xfId="0" applyAlignment="1" applyBorder="1" applyFont="1" applyNumberFormat="1">
      <alignment horizontal="right" shrinkToFit="0" vertical="bottom" wrapText="0"/>
    </xf>
    <xf borderId="5" fillId="0" fontId="26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vertical="bottom"/>
    </xf>
    <xf borderId="39" fillId="0" fontId="7" numFmtId="0" xfId="0" applyAlignment="1" applyBorder="1" applyFont="1">
      <alignment vertical="bottom"/>
    </xf>
    <xf borderId="37" fillId="12" fontId="17" numFmtId="166" xfId="0" applyAlignment="1" applyBorder="1" applyFont="1" applyNumberFormat="1">
      <alignment horizontal="right" shrinkToFit="0" vertical="bottom" wrapText="0"/>
    </xf>
    <xf borderId="43" fillId="0" fontId="26" numFmtId="0" xfId="0" applyAlignment="1" applyBorder="1" applyFont="1">
      <alignment horizontal="center"/>
    </xf>
    <xf borderId="41" fillId="0" fontId="26" numFmtId="0" xfId="0" applyAlignment="1" applyBorder="1" applyFont="1">
      <alignment horizontal="center"/>
    </xf>
    <xf borderId="44" fillId="0" fontId="26" numFmtId="0" xfId="0" applyAlignment="1" applyBorder="1" applyFont="1">
      <alignment horizontal="center"/>
    </xf>
    <xf borderId="37" fillId="0" fontId="26" numFmtId="0" xfId="0" applyAlignment="1" applyBorder="1" applyFont="1">
      <alignment horizontal="center"/>
    </xf>
    <xf borderId="37" fillId="12" fontId="17" numFmtId="166" xfId="0" applyAlignment="1" applyBorder="1" applyFont="1" applyNumberFormat="1">
      <alignment vertical="bottom"/>
    </xf>
    <xf borderId="38" fillId="0" fontId="26" numFmtId="0" xfId="0" applyAlignment="1" applyBorder="1" applyFont="1">
      <alignment horizontal="center"/>
    </xf>
    <xf borderId="34" fillId="0" fontId="26" numFmtId="49" xfId="0" applyAlignment="1" applyBorder="1" applyFont="1" applyNumberFormat="1">
      <alignment vertical="bottom"/>
    </xf>
    <xf borderId="0" fillId="0" fontId="26" numFmtId="49" xfId="0" applyAlignment="1" applyFont="1" applyNumberFormat="1">
      <alignment vertical="bottom"/>
    </xf>
    <xf borderId="1" fillId="0" fontId="26" numFmtId="0" xfId="0" applyAlignment="1" applyBorder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6" fillId="0" fontId="26" numFmtId="0" xfId="0" applyAlignment="1" applyBorder="1" applyFont="1">
      <alignment shrinkToFit="0" vertical="bottom" wrapText="1"/>
    </xf>
    <xf borderId="5" fillId="0" fontId="26" numFmtId="0" xfId="0" applyAlignment="1" applyBorder="1" applyFont="1">
      <alignment shrinkToFit="0" vertical="bottom" wrapText="1"/>
    </xf>
    <xf borderId="5" fillId="0" fontId="26" numFmtId="49" xfId="0" applyAlignment="1" applyBorder="1" applyFont="1" applyNumberFormat="1">
      <alignment vertical="bottom"/>
    </xf>
    <xf borderId="39" fillId="0" fontId="26" numFmtId="0" xfId="0" applyAlignment="1" applyBorder="1" applyFont="1">
      <alignment horizontal="center" vertical="bottom"/>
    </xf>
    <xf borderId="40" fillId="5" fontId="26" numFmtId="0" xfId="0" applyAlignment="1" applyBorder="1" applyFont="1">
      <alignment vertical="bottom"/>
    </xf>
    <xf borderId="34" fillId="5" fontId="26" numFmtId="0" xfId="0" applyAlignment="1" applyBorder="1" applyFont="1">
      <alignment horizontal="right" vertical="bottom"/>
    </xf>
    <xf borderId="0" fillId="5" fontId="26" numFmtId="0" xfId="0" applyAlignment="1" applyFont="1">
      <alignment vertical="bottom"/>
    </xf>
    <xf borderId="0" fillId="5" fontId="26" numFmtId="0" xfId="0" applyAlignment="1" applyFont="1">
      <alignment horizontal="right" vertical="bottom"/>
    </xf>
    <xf borderId="40" fillId="12" fontId="17" numFmtId="0" xfId="0" applyAlignment="1" applyBorder="1" applyFont="1">
      <alignment horizontal="center" vertical="bottom"/>
    </xf>
    <xf borderId="34" fillId="12" fontId="26" numFmtId="0" xfId="0" applyAlignment="1" applyBorder="1" applyFont="1">
      <alignment horizontal="center" vertical="bottom"/>
    </xf>
    <xf borderId="37" fillId="12" fontId="17" numFmtId="0" xfId="0" applyAlignment="1" applyBorder="1" applyFont="1">
      <alignment horizontal="center" vertical="bottom"/>
    </xf>
    <xf borderId="40" fillId="0" fontId="41" numFmtId="0" xfId="0" applyAlignment="1" applyBorder="1" applyFont="1">
      <alignment vertical="bottom"/>
    </xf>
    <xf borderId="26" fillId="0" fontId="7" numFmtId="0" xfId="0" applyAlignment="1" applyBorder="1" applyFont="1">
      <alignment vertical="bottom"/>
    </xf>
    <xf borderId="40" fillId="3" fontId="26" numFmtId="0" xfId="0" applyAlignment="1" applyBorder="1" applyFont="1">
      <alignment vertical="bottom"/>
    </xf>
    <xf borderId="1" fillId="3" fontId="26" numFmtId="0" xfId="0" applyAlignment="1" applyBorder="1" applyFont="1">
      <alignment vertical="bottom"/>
    </xf>
    <xf borderId="6" fillId="3" fontId="26" numFmtId="0" xfId="0" applyAlignment="1" applyBorder="1" applyFont="1">
      <alignment vertical="bottom"/>
    </xf>
    <xf borderId="6" fillId="0" fontId="42" numFmtId="0" xfId="0" applyAlignment="1" applyBorder="1" applyFont="1">
      <alignment vertical="bottom"/>
    </xf>
    <xf borderId="0" fillId="0" fontId="26" numFmtId="0" xfId="0" applyAlignment="1" applyFont="1">
      <alignment horizontal="right" shrinkToFit="0" vertical="bottom" wrapText="1"/>
    </xf>
    <xf borderId="1" fillId="0" fontId="43" numFmtId="0" xfId="0" applyAlignment="1" applyBorder="1" applyFont="1">
      <alignment shrinkToFit="0" vertical="bottom" wrapText="1"/>
    </xf>
    <xf borderId="6" fillId="12" fontId="26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37" fillId="0" fontId="7" numFmtId="0" xfId="0" applyAlignment="1" applyBorder="1" applyFont="1">
      <alignment vertical="bottom"/>
    </xf>
    <xf borderId="37" fillId="0" fontId="17" numFmtId="0" xfId="0" applyAlignment="1" applyBorder="1" applyFont="1">
      <alignment horizontal="right" shrinkToFit="0" vertical="bottom" wrapText="0"/>
    </xf>
    <xf borderId="0" fillId="0" fontId="7" numFmtId="167" xfId="0" applyAlignment="1" applyFont="1" applyNumberFormat="1">
      <alignment vertical="bottom"/>
    </xf>
    <xf borderId="37" fillId="12" fontId="26" numFmtId="49" xfId="0" applyAlignment="1" applyBorder="1" applyFont="1" applyNumberFormat="1">
      <alignment vertical="bottom"/>
    </xf>
    <xf borderId="37" fillId="0" fontId="17" numFmtId="0" xfId="0" applyAlignment="1" applyBorder="1" applyFont="1">
      <alignment vertical="bottom"/>
    </xf>
    <xf borderId="5" fillId="5" fontId="26" numFmtId="49" xfId="0" applyAlignment="1" applyBorder="1" applyFont="1" applyNumberFormat="1">
      <alignment vertical="bottom"/>
    </xf>
    <xf borderId="0" fillId="0" fontId="26" numFmtId="167" xfId="0" applyAlignment="1" applyFont="1" applyNumberFormat="1">
      <alignment vertical="bottom"/>
    </xf>
    <xf borderId="0" fillId="0" fontId="26" numFmtId="49" xfId="0" applyAlignment="1" applyFont="1" applyNumberFormat="1">
      <alignment shrinkToFit="0" vertical="bottom" wrapText="1"/>
    </xf>
    <xf borderId="5" fillId="0" fontId="26" numFmtId="49" xfId="0" applyAlignment="1" applyBorder="1" applyFont="1" applyNumberFormat="1">
      <alignment shrinkToFit="0" vertical="bottom" wrapText="1"/>
    </xf>
    <xf borderId="40" fillId="0" fontId="26" numFmtId="0" xfId="0" applyAlignment="1" applyBorder="1" applyFont="1">
      <alignment shrinkToFit="0" vertical="bottom" wrapText="1"/>
    </xf>
    <xf borderId="34" fillId="0" fontId="26" numFmtId="0" xfId="0" applyAlignment="1" applyBorder="1" applyFont="1">
      <alignment shrinkToFit="0" vertical="bottom" wrapText="1"/>
    </xf>
    <xf borderId="0" fillId="5" fontId="44" numFmtId="0" xfId="0" applyAlignment="1" applyFont="1">
      <alignment vertical="bottom"/>
    </xf>
    <xf borderId="34" fillId="12" fontId="26" numFmtId="49" xfId="0" applyAlignment="1" applyBorder="1" applyFont="1" applyNumberFormat="1">
      <alignment vertical="bottom"/>
    </xf>
    <xf borderId="34" fillId="12" fontId="7" numFmtId="166" xfId="0" applyAlignment="1" applyBorder="1" applyFont="1" applyNumberFormat="1">
      <alignment vertical="bottom"/>
    </xf>
    <xf borderId="0" fillId="0" fontId="26" numFmtId="166" xfId="0" applyAlignment="1" applyFont="1" applyNumberFormat="1">
      <alignment vertical="bottom"/>
    </xf>
    <xf borderId="43" fillId="0" fontId="7" numFmtId="0" xfId="0" applyAlignment="1" applyBorder="1" applyFont="1">
      <alignment vertical="bottom"/>
    </xf>
    <xf borderId="34" fillId="12" fontId="7" numFmtId="49" xfId="0" applyAlignment="1" applyBorder="1" applyFont="1" applyNumberFormat="1">
      <alignment vertical="bottom"/>
    </xf>
    <xf borderId="34" fillId="0" fontId="7" numFmtId="49" xfId="0" applyAlignment="1" applyBorder="1" applyFont="1" applyNumberFormat="1">
      <alignment vertical="bottom"/>
    </xf>
    <xf borderId="1" fillId="0" fontId="45" numFmtId="0" xfId="0" applyAlignment="1" applyBorder="1" applyFont="1">
      <alignment vertical="bottom"/>
    </xf>
    <xf borderId="4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37" fillId="12" fontId="26" numFmtId="0" xfId="0" applyAlignment="1" applyBorder="1" applyFont="1">
      <alignment horizontal="right" vertical="bottom"/>
    </xf>
    <xf borderId="34" fillId="0" fontId="26" numFmtId="0" xfId="0" applyAlignment="1" applyBorder="1" applyFont="1">
      <alignment horizontal="right" shrinkToFit="0" vertical="bottom" wrapText="1"/>
    </xf>
    <xf borderId="0" fillId="0" fontId="46" numFmtId="0" xfId="0" applyAlignment="1" applyFont="1">
      <alignment vertical="bottom"/>
    </xf>
    <xf borderId="5" fillId="5" fontId="44" numFmtId="0" xfId="0" applyAlignment="1" applyBorder="1" applyFont="1">
      <alignment vertical="bottom"/>
    </xf>
    <xf borderId="0" fillId="0" fontId="47" numFmtId="0" xfId="0" applyAlignment="1" applyFont="1">
      <alignment shrinkToFit="0" vertical="bottom" wrapText="1"/>
    </xf>
    <xf borderId="5" fillId="0" fontId="26" numFmtId="0" xfId="0" applyAlignment="1" applyBorder="1" applyFont="1">
      <alignment horizontal="right" shrinkToFit="0" vertical="bottom" wrapText="1"/>
    </xf>
    <xf borderId="5" fillId="0" fontId="48" numFmtId="0" xfId="0" applyAlignment="1" applyBorder="1" applyFont="1">
      <alignment vertical="bottom"/>
    </xf>
    <xf borderId="0" fillId="5" fontId="26" numFmtId="49" xfId="0" applyAlignment="1" applyFont="1" applyNumberFormat="1">
      <alignment vertical="bottom"/>
    </xf>
    <xf borderId="5" fillId="12" fontId="49" numFmtId="0" xfId="0" applyAlignment="1" applyBorder="1" applyFont="1">
      <alignment horizontal="center" vertical="bottom"/>
    </xf>
    <xf borderId="5" fillId="12" fontId="7" numFmtId="0" xfId="0" applyAlignment="1" applyBorder="1" applyFont="1">
      <alignment vertical="bottom"/>
    </xf>
    <xf borderId="5" fillId="12" fontId="17" numFmtId="0" xfId="0" applyAlignment="1" applyBorder="1" applyFont="1">
      <alignment vertical="bottom"/>
    </xf>
    <xf borderId="5" fillId="12" fontId="26" numFmtId="49" xfId="0" applyAlignment="1" applyBorder="1" applyFont="1" applyNumberFormat="1">
      <alignment vertical="bottom"/>
    </xf>
    <xf borderId="5" fillId="12" fontId="17" numFmtId="0" xfId="0" applyAlignment="1" applyBorder="1" applyFont="1">
      <alignment horizontal="right" shrinkToFit="0" vertical="bottom" wrapText="0"/>
    </xf>
    <xf borderId="5" fillId="0" fontId="50" numFmtId="0" xfId="0" applyAlignment="1" applyBorder="1" applyFont="1">
      <alignment shrinkToFit="0" vertical="bottom" wrapText="1"/>
    </xf>
    <xf borderId="0" fillId="23" fontId="7" numFmtId="0" xfId="0" applyAlignment="1" applyFont="1">
      <alignment vertical="bottom"/>
    </xf>
    <xf borderId="41" fillId="23" fontId="7" numFmtId="0" xfId="0" applyAlignment="1" applyBorder="1" applyFont="1">
      <alignment vertical="bottom"/>
    </xf>
    <xf borderId="37" fillId="12" fontId="7" numFmtId="49" xfId="0" applyAlignment="1" applyBorder="1" applyFont="1" applyNumberFormat="1">
      <alignment vertical="bottom"/>
    </xf>
    <xf borderId="44" fillId="0" fontId="7" numFmtId="0" xfId="0" applyAlignment="1" applyBorder="1" applyFont="1">
      <alignment vertical="bottom"/>
    </xf>
    <xf borderId="5" fillId="12" fontId="28" numFmtId="0" xfId="0" applyAlignment="1" applyBorder="1" applyFont="1">
      <alignment horizontal="center" vertical="bottom"/>
    </xf>
    <xf borderId="36" fillId="0" fontId="26" numFmtId="0" xfId="0" applyAlignment="1" applyBorder="1" applyFont="1">
      <alignment vertical="bottom"/>
    </xf>
    <xf borderId="37" fillId="0" fontId="26" numFmtId="49" xfId="0" applyAlignment="1" applyBorder="1" applyFont="1" applyNumberFormat="1">
      <alignment vertical="bottom"/>
    </xf>
    <xf borderId="40" fillId="12" fontId="7" numFmtId="0" xfId="0" applyAlignment="1" applyBorder="1" applyFont="1">
      <alignment vertical="bottom"/>
    </xf>
    <xf borderId="34" fillId="5" fontId="7" numFmtId="0" xfId="0" applyAlignment="1" applyBorder="1" applyFont="1">
      <alignment vertical="bottom"/>
    </xf>
    <xf borderId="40" fillId="12" fontId="51" numFmtId="0" xfId="0" applyAlignment="1" applyBorder="1" applyFont="1">
      <alignment vertical="bottom"/>
    </xf>
    <xf borderId="36" fillId="12" fontId="7" numFmtId="0" xfId="0" applyAlignment="1" applyBorder="1" applyFont="1">
      <alignment vertical="bottom"/>
    </xf>
    <xf borderId="37" fillId="16" fontId="18" numFmtId="0" xfId="0" applyAlignment="1" applyBorder="1" applyFont="1">
      <alignment vertical="bottom"/>
    </xf>
    <xf borderId="38" fillId="16" fontId="18" numFmtId="0" xfId="0" applyAlignment="1" applyBorder="1" applyFont="1">
      <alignment horizontal="right" vertical="bottom"/>
    </xf>
    <xf borderId="36" fillId="16" fontId="7" numFmtId="0" xfId="0" applyAlignment="1" applyBorder="1" applyFont="1">
      <alignment vertical="bottom"/>
    </xf>
    <xf borderId="38" fillId="0" fontId="20" numFmtId="0" xfId="0" applyBorder="1" applyFont="1"/>
    <xf borderId="0" fillId="17" fontId="18" numFmtId="0" xfId="0" applyAlignment="1" applyFont="1">
      <alignment vertical="bottom"/>
    </xf>
    <xf borderId="26" fillId="17" fontId="18" numFmtId="0" xfId="0" applyAlignment="1" applyBorder="1" applyFont="1">
      <alignment horizontal="right" vertical="bottom"/>
    </xf>
    <xf borderId="0" fillId="19" fontId="18" numFmtId="0" xfId="0" applyAlignment="1" applyFont="1">
      <alignment horizontal="right" vertical="bottom"/>
    </xf>
    <xf borderId="0" fillId="20" fontId="7" numFmtId="0" xfId="0" applyAlignment="1" applyFont="1">
      <alignment vertical="bottom"/>
    </xf>
    <xf borderId="34" fillId="22" fontId="7" numFmtId="0" xfId="0" applyAlignment="1" applyBorder="1" applyFont="1">
      <alignment vertical="bottom"/>
    </xf>
    <xf borderId="42" fillId="22" fontId="7" numFmtId="0" xfId="0" applyAlignment="1" applyBorder="1" applyFont="1">
      <alignment vertical="bottom"/>
    </xf>
    <xf borderId="5" fillId="22" fontId="7" numFmtId="0" xfId="0" applyAlignment="1" applyBorder="1" applyFont="1">
      <alignment vertical="bottom"/>
    </xf>
    <xf borderId="39" fillId="22" fontId="7" numFmtId="0" xfId="0" applyAlignment="1" applyBorder="1" applyFont="1">
      <alignment vertical="bottom"/>
    </xf>
    <xf borderId="36" fillId="16" fontId="22" numFmtId="0" xfId="0" applyAlignment="1" applyBorder="1" applyFont="1">
      <alignment horizontal="center" shrinkToFit="0" vertical="bottom" wrapText="0"/>
    </xf>
    <xf borderId="38" fillId="16" fontId="22" numFmtId="0" xfId="0" applyAlignment="1" applyBorder="1" applyFont="1">
      <alignment horizontal="center" vertical="bottom"/>
    </xf>
    <xf borderId="5" fillId="17" fontId="22" numFmtId="0" xfId="0" applyAlignment="1" applyBorder="1" applyFont="1">
      <alignment horizontal="center" shrinkToFit="0" vertical="bottom" wrapText="0"/>
    </xf>
    <xf borderId="39" fillId="17" fontId="22" numFmtId="0" xfId="0" applyAlignment="1" applyBorder="1" applyFont="1">
      <alignment horizontal="center" vertical="bottom"/>
    </xf>
    <xf borderId="5" fillId="19" fontId="22" numFmtId="0" xfId="0" applyAlignment="1" applyBorder="1" applyFont="1">
      <alignment horizontal="center" shrinkToFit="0" vertical="bottom" wrapText="0"/>
    </xf>
    <xf borderId="39" fillId="19" fontId="22" numFmtId="0" xfId="0" applyAlignment="1" applyBorder="1" applyFont="1">
      <alignment horizontal="center" vertical="bottom"/>
    </xf>
    <xf borderId="34" fillId="12" fontId="17" numFmtId="0" xfId="0" applyAlignment="1" applyBorder="1" applyFont="1">
      <alignment horizontal="center" vertical="bottom"/>
    </xf>
    <xf borderId="36" fillId="12" fontId="17" numFmtId="0" xfId="0" applyAlignment="1" applyBorder="1" applyFont="1">
      <alignment horizontal="right" shrinkToFit="0" vertical="bottom" wrapText="0"/>
    </xf>
    <xf borderId="38" fillId="12" fontId="28" numFmtId="0" xfId="0" applyAlignment="1" applyBorder="1" applyFont="1">
      <alignment horizontal="center" vertical="bottom"/>
    </xf>
    <xf borderId="39" fillId="12" fontId="28" numFmtId="0" xfId="0" applyAlignment="1" applyBorder="1" applyFont="1">
      <alignment horizontal="center" vertical="bottom"/>
    </xf>
    <xf borderId="39" fillId="0" fontId="26" numFmtId="166" xfId="0" applyAlignment="1" applyBorder="1" applyFont="1" applyNumberFormat="1">
      <alignment horizontal="center"/>
    </xf>
    <xf borderId="0" fillId="12" fontId="28" numFmtId="0" xfId="0" applyAlignment="1" applyFont="1">
      <alignment horizontal="center" vertical="bottom"/>
    </xf>
    <xf borderId="26" fillId="0" fontId="26" numFmtId="166" xfId="0" applyAlignment="1" applyBorder="1" applyFont="1" applyNumberFormat="1">
      <alignment horizontal="center"/>
    </xf>
    <xf borderId="45" fillId="12" fontId="28" numFmtId="0" xfId="0" applyAlignment="1" applyBorder="1" applyFont="1">
      <alignment horizontal="center" vertical="bottom"/>
    </xf>
    <xf borderId="43" fillId="12" fontId="28" numFmtId="0" xfId="0" applyAlignment="1" applyBorder="1" applyFont="1">
      <alignment horizontal="center" vertical="bottom"/>
    </xf>
    <xf borderId="0" fillId="0" fontId="52" numFmtId="0" xfId="0" applyAlignment="1" applyFont="1">
      <alignment horizontal="right" vertical="bottom"/>
    </xf>
    <xf borderId="26" fillId="12" fontId="7" numFmtId="0" xfId="0" applyAlignment="1" applyBorder="1" applyFont="1">
      <alignment vertical="bottom"/>
    </xf>
    <xf borderId="0" fillId="5" fontId="53" numFmtId="0" xfId="0" applyAlignment="1" applyFont="1">
      <alignment vertical="bottom"/>
    </xf>
    <xf borderId="36" fillId="12" fontId="54" numFmtId="0" xfId="0" applyAlignment="1" applyBorder="1" applyFont="1">
      <alignment horizontal="center" vertical="bottom"/>
    </xf>
    <xf borderId="37" fillId="12" fontId="16" numFmtId="0" xfId="0" applyAlignment="1" applyBorder="1" applyFont="1">
      <alignment vertical="bottom"/>
    </xf>
    <xf borderId="34" fillId="6" fontId="17" numFmtId="0" xfId="0" applyAlignment="1" applyBorder="1" applyFont="1">
      <alignment horizontal="right" shrinkToFit="0" vertical="bottom" wrapText="0"/>
    </xf>
    <xf borderId="45" fillId="21" fontId="55" numFmtId="0" xfId="0" applyAlignment="1" applyBorder="1" applyFont="1">
      <alignment horizontal="center" textRotation="90" vertical="bottom"/>
    </xf>
    <xf borderId="37" fillId="0" fontId="26" numFmtId="0" xfId="0" applyAlignment="1" applyBorder="1" applyFont="1">
      <alignment shrinkToFit="0" vertical="bottom" wrapText="0"/>
    </xf>
    <xf borderId="45" fillId="0" fontId="26" numFmtId="0" xfId="0" applyAlignment="1" applyBorder="1" applyFont="1">
      <alignment vertical="bottom"/>
    </xf>
    <xf borderId="37" fillId="0" fontId="26" numFmtId="0" xfId="0" applyAlignment="1" applyBorder="1" applyFont="1">
      <alignment horizontal="center" shrinkToFit="0" vertical="bottom" wrapText="0"/>
    </xf>
    <xf borderId="37" fillId="12" fontId="17" numFmtId="0" xfId="0" applyAlignment="1" applyBorder="1" applyFont="1">
      <alignment horizontal="right" vertical="bottom"/>
    </xf>
    <xf borderId="40" fillId="12" fontId="56" numFmtId="0" xfId="0" applyAlignment="1" applyBorder="1" applyFont="1">
      <alignment horizontal="center" vertical="bottom"/>
    </xf>
    <xf borderId="40" fillId="0" fontId="7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0"/>
    </xf>
    <xf borderId="6" fillId="5" fontId="26" numFmtId="0" xfId="0" applyAlignment="1" applyBorder="1" applyFont="1">
      <alignment vertical="bottom"/>
    </xf>
    <xf borderId="34" fillId="12" fontId="17" numFmtId="0" xfId="0" applyAlignment="1" applyBorder="1" applyFont="1">
      <alignment horizontal="right" vertical="bottom"/>
    </xf>
    <xf borderId="0" fillId="0" fontId="26" numFmtId="0" xfId="0" applyAlignment="1" applyFont="1">
      <alignment horizontal="center" shrinkToFit="0" vertical="bottom" wrapText="1"/>
    </xf>
    <xf borderId="1" fillId="7" fontId="26" numFmtId="0" xfId="0" applyAlignment="1" applyBorder="1" applyFont="1">
      <alignment vertical="bottom"/>
    </xf>
    <xf borderId="36" fillId="0" fontId="57" numFmtId="0" xfId="0" applyAlignment="1" applyBorder="1" applyFont="1">
      <alignment horizontal="center" vertical="bottom"/>
    </xf>
    <xf borderId="1" fillId="0" fontId="7" numFmtId="167" xfId="0" applyAlignment="1" applyBorder="1" applyFont="1" applyNumberFormat="1">
      <alignment vertical="bottom"/>
    </xf>
    <xf borderId="5" fillId="5" fontId="26" numFmtId="0" xfId="0" applyAlignment="1" applyBorder="1" applyFont="1">
      <alignment horizontal="center" vertical="bottom"/>
    </xf>
    <xf borderId="5" fillId="0" fontId="26" numFmtId="0" xfId="0" applyAlignment="1" applyBorder="1" applyFont="1">
      <alignment horizontal="center" shrinkToFit="0" vertical="bottom" wrapText="1"/>
    </xf>
    <xf borderId="1" fillId="0" fontId="7" numFmtId="166" xfId="0" applyAlignment="1" applyBorder="1" applyFont="1" applyNumberFormat="1">
      <alignment vertical="bottom"/>
    </xf>
    <xf borderId="6" fillId="0" fontId="7" numFmtId="166" xfId="0" applyAlignment="1" applyBorder="1" applyFont="1" applyNumberFormat="1">
      <alignment vertical="bottom"/>
    </xf>
    <xf borderId="0" fillId="3" fontId="26" numFmtId="0" xfId="0" applyAlignment="1" applyFont="1">
      <alignment vertical="bottom"/>
    </xf>
    <xf borderId="34" fillId="0" fontId="26" numFmtId="0" xfId="0" applyAlignment="1" applyBorder="1" applyFont="1">
      <alignment horizontal="center" shrinkToFit="0" vertical="bottom" wrapText="1"/>
    </xf>
    <xf borderId="0" fillId="0" fontId="26" numFmtId="49" xfId="0" applyAlignment="1" applyFont="1" applyNumberFormat="1">
      <alignment horizontal="center" shrinkToFit="0" vertical="bottom" wrapText="1"/>
    </xf>
    <xf borderId="0" fillId="5" fontId="26" numFmtId="0" xfId="0" applyAlignment="1" applyFont="1">
      <alignment horizontal="center" vertical="bottom"/>
    </xf>
    <xf borderId="6" fillId="12" fontId="17" numFmtId="0" xfId="0" applyAlignment="1" applyBorder="1" applyFont="1">
      <alignment horizontal="right" shrinkToFit="0" vertical="bottom" wrapText="0"/>
    </xf>
    <xf borderId="39" fillId="12" fontId="7" numFmtId="0" xfId="0" applyAlignment="1" applyBorder="1" applyFont="1">
      <alignment vertical="bottom"/>
    </xf>
    <xf borderId="42" fillId="12" fontId="28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2026 KP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KP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 KP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 KP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ding Resolu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cey Jolley" id="{a5064b33-39a9-4bd0-8fbb-99cb4e31ff3f}" providerId="google-sheets"/>
</x18tc:personList>
</file>

<file path=xl/tables/table1.xml><?xml version="1.0" encoding="utf-8"?>
<table xmlns="http://schemas.openxmlformats.org/spreadsheetml/2006/main" ref="A1:H6" displayName="Broad_KPIs" name="Broad_KPIs" id="1">
  <tableColumns count="8">
    <tableColumn name="KPI" id="1"/>
    <tableColumn name="What Does It Measure?" id="2"/>
    <tableColumn name="Jan 2026" id="3"/>
    <tableColumn name="Feb 2026" id="4"/>
    <tableColumn name="March 2026" id="5"/>
    <tableColumn name="April 2026" id="6"/>
    <tableColumn name="May 2026" id="7"/>
    <tableColumn name="June 2026" id="8"/>
  </tableColumns>
  <tableStyleInfo name="2026 KPIs-style" showColumnStripes="0" showFirstColumn="1" showLastColumn="1" showRowStripes="1"/>
</table>
</file>

<file path=xl/tables/table2.xml><?xml version="1.0" encoding="utf-8"?>
<table xmlns="http://schemas.openxmlformats.org/spreadsheetml/2006/main" ref="J1:AH22" displayName="Product_Line_KPIs" name="Product_Line_KPIs" id="2">
  <tableColumns count="25">
    <tableColumn name="Product Line" id="1"/>
    <tableColumn name="Reviews Received" id="2"/>
    <tableColumn name="Positive to Negative Review Ratio" id="3"/>
    <tableColumn name="Ratio Trend" id="4"/>
    <tableColumn name="Average Star Rating" id="5"/>
    <tableColumn name="Reviews Received 2" id="6"/>
    <tableColumn name="Positive to Negative Review Ratio 2" id="7"/>
    <tableColumn name="Ratio Trend 2" id="8"/>
    <tableColumn name="Average Star Rating 2" id="9"/>
    <tableColumn name="Reviews Received 3" id="10"/>
    <tableColumn name="Positive to Negative Review Ratio 3" id="11"/>
    <tableColumn name="Ratio Trend 3" id="12"/>
    <tableColumn name="Average Star Rating 3" id="13"/>
    <tableColumn name="Reviews Received 4" id="14"/>
    <tableColumn name="Positive to Negative Review Ratio 4" id="15"/>
    <tableColumn name="Ratio Trend 4" id="16"/>
    <tableColumn name="Average Star Rating 4" id="17"/>
    <tableColumn name="Reviews Received 5" id="18"/>
    <tableColumn name="Positive to Negative Review Ratio 5" id="19"/>
    <tableColumn name="Ratio Trend 5" id="20"/>
    <tableColumn name="Average Star Rating 5" id="21"/>
    <tableColumn name="Reviews Received 6" id="22"/>
    <tableColumn name="Positive to Negative Review Ratio 6" id="23"/>
    <tableColumn name="Ratio Trend 6" id="24"/>
    <tableColumn name="Average Star Rating 6" id="25"/>
  </tableColumns>
  <tableStyleInfo name="2026 KPIs-style 2" showColumnStripes="0" showFirstColumn="1" showLastColumn="1" showRowStripes="1"/>
</table>
</file>

<file path=xl/tables/table3.xml><?xml version="1.0" encoding="utf-8"?>
<table xmlns="http://schemas.openxmlformats.org/spreadsheetml/2006/main" ref="A1:E12" displayName="Table1" name="Table1" id="3">
  <tableColumns count="5">
    <tableColumn name="KPI" id="1"/>
    <tableColumn name="What Does It Measure?" id="2"/>
    <tableColumn name="Oct 2025" id="3"/>
    <tableColumn name="Nov 2025" id="4"/>
    <tableColumn name="Dec 2025" id="5"/>
  </tableColumns>
  <tableStyleInfo name="2025 KPIs-style" showColumnStripes="0" showFirstColumn="1" showLastColumn="1" showRowStripes="1"/>
</table>
</file>

<file path=xl/tables/table4.xml><?xml version="1.0" encoding="utf-8"?>
<table xmlns="http://schemas.openxmlformats.org/spreadsheetml/2006/main" ref="G1:S28" displayName="Table2" name="Table2" id="4">
  <tableColumns count="13">
    <tableColumn name="Product Line" id="1"/>
    <tableColumn name="Reviews Received" id="2"/>
    <tableColumn name="Positive to Negative Review Ratio" id="3"/>
    <tableColumn name="Ratio Whole Number" id="4"/>
    <tableColumn name="Average Star Rating" id="5"/>
    <tableColumn name="Reviews Received 2" id="6"/>
    <tableColumn name="Positive to Negative Review Ratio 2" id="7"/>
    <tableColumn name="Ratio Whole Number 2" id="8"/>
    <tableColumn name="Average Star Rating 2" id="9"/>
    <tableColumn name="Reviews Received 3" id="10"/>
    <tableColumn name="Positive to Negative Review Ratio 3" id="11"/>
    <tableColumn name="Ratio Whole Number 3" id="12"/>
    <tableColumn name="Average Star Rating 3" id="13"/>
  </tableColumns>
  <tableStyleInfo name="2025 KPIs-style 2" showColumnStripes="0" showFirstColumn="1" showLastColumn="1" showRowStripes="1"/>
</table>
</file>

<file path=xl/tables/table5.xml><?xml version="1.0" encoding="utf-8"?>
<table xmlns="http://schemas.openxmlformats.org/spreadsheetml/2006/main" ref="A1:C4" displayName="Table3" name="Table3" id="5">
  <tableColumns count="3">
    <tableColumn name="Product Line" id="1"/>
    <tableColumn name="Issue" id="2"/>
    <tableColumn name="Month Moved" id="3"/>
  </tableColumns>
  <tableStyleInfo name="Pending Resolu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22" dT="2026-06-08T20:58:21.00" personId="{a5064b33-39a9-4bd0-8fbb-99cb4e31ff3f}" id="{06c7d5e1-1385-4379-8616-24378c8b51b8}" done="1">
    <x18tc:text xml:space="preserve">Sellervate report says 4.6</x18tc:text>
  </x18tc:threadedComment>
  <x18tc:threadedComment ref="Z7" dT="2026-06-08T20:45:43.00" personId="{a5064b33-39a9-4bd0-8fbb-99cb4e31ff3f}" id="{b97e67c5-ebd4-4588-b831-f95296edd24c}" done="1">
    <x18tc:text xml:space="preserve">Sellervate report says 4.5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9cNohZTuVSa5KjWVNIwIE5aJsFcHbsGLsZeA9tKcFZw/edit?gid=0" TargetMode="Externa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_O6TSKZq37qU0Pw7iUgBu-bzh_OOxUlIiXNS0BeEAo/edit?gid=769626108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sellercentral.amazon.com/myinventory/inventory?fulfilledBy=all&amp;page=1&amp;pageSize=25&amp;searchField=all&amp;searchTerm=JA-AGQN_BUUQ&amp;sort=date_created_desc&amp;status=all&amp;ref_=xx_invmgr_dnav_xx" TargetMode="External"/><Relationship Id="rId190" Type="http://schemas.openxmlformats.org/officeDocument/2006/relationships/hyperlink" Target="https://sellercentral.amazon.com/myinventory/inventory?fulfilledBy=all&amp;page=1&amp;pageSize=25&amp;searchField=all&amp;searchTerm=B0GW9PX3B1&amp;sort=sku_asc&amp;status=all&amp;ref_=xx_invmgr_favb_xx" TargetMode="External"/><Relationship Id="rId42" Type="http://schemas.openxmlformats.org/officeDocument/2006/relationships/hyperlink" Target="https://sellercentral.amazon.com/myinventory/inventory/variations/TEItRFlNT1NaRQ==?fulfilledBy=all&amp;page=1&amp;pageSize=25&amp;sort=date_created_desc&amp;status=all" TargetMode="External"/><Relationship Id="rId41" Type="http://schemas.openxmlformats.org/officeDocument/2006/relationships/hyperlink" Target="https://sellercentral.amazon.com/myinventory/inventory?fulfilledBy=all&amp;page=1&amp;pageSize=25&amp;searchField=all&amp;searchTerm=LB-DT-CLR&amp;sort=sku_asc&amp;status=all" TargetMode="External"/><Relationship Id="rId44" Type="http://schemas.openxmlformats.org/officeDocument/2006/relationships/hyperlink" Target="https://sellercentral.amazon.com/myinventory/inventory?fulfilledBy=all&amp;page=1&amp;pageSize=25&amp;searchField=all&amp;searchTerm=LB-DM1744907-4X6&amp;sort=sku_asc&amp;status=all" TargetMode="External"/><Relationship Id="rId194" Type="http://schemas.openxmlformats.org/officeDocument/2006/relationships/hyperlink" Target="https://sellercentral.amazon.com/myinventory/inventory?fulfilledBy=all&amp;page=1&amp;pageSize=25&amp;searchField=all&amp;searchTerm=B0GW9LP74R&amp;sort=sku_asc&amp;status=all&amp;ref_=xx_invmgr_favb_xx" TargetMode="External"/><Relationship Id="rId43" Type="http://schemas.openxmlformats.org/officeDocument/2006/relationships/hyperlink" Target="https://sellercentral.amazon.com/myinventory/inventory?fulfilledBy=all&amp;page=1&amp;pageSize=25&amp;searchField=all&amp;searchTerm=BAG-ZIP-200-GROUP12&amp;sort=date_created_desc&amp;status=all&amp;ref_=xx_invmgr_dnav_xx" TargetMode="External"/><Relationship Id="rId193" Type="http://schemas.openxmlformats.org/officeDocument/2006/relationships/hyperlink" Target="https://sellercentral.amazon.com/myinventory/inventory?fulfilledBy=all&amp;page=1&amp;pageSize=25&amp;searchField=all&amp;searchTerm=B0GW9Q31N3&amp;sort=sku_asc&amp;status=all&amp;ref_=xx_invmgr_favb_xx" TargetMode="External"/><Relationship Id="rId46" Type="http://schemas.openxmlformats.org/officeDocument/2006/relationships/hyperlink" Target="https://sellercentral.amazon.com/myinventory/inventory?fulfilledBy=all&amp;page=1&amp;pageSize=25&amp;searchField=all&amp;searchTerm=BAG-ZIP-100-GROUP103&amp;sort=sku_asc&amp;status=all" TargetMode="External"/><Relationship Id="rId192" Type="http://schemas.openxmlformats.org/officeDocument/2006/relationships/hyperlink" Target="https://sellercentral.amazon.com/myinventory/inventory?fulfilledBy=all&amp;page=1&amp;pageSize=25&amp;searchField=all&amp;searchTerm=B0GW9KQ7HR&amp;sort=sku_asc&amp;status=all&amp;ref_=xx_invmgr_favb_xx" TargetMode="External"/><Relationship Id="rId45" Type="http://schemas.openxmlformats.org/officeDocument/2006/relationships/hyperlink" Target="https://sellercentral.amazon.com/myinventory/inventory?fulfilledBy=all&amp;page=1&amp;pageSize=25&amp;searchField=all&amp;searchTerm=HQ-7ROB-2B2T&amp;sort=sku_asc&amp;status=all&amp;ref_=xx_invmgr_favb_xx" TargetMode="External"/><Relationship Id="rId191" Type="http://schemas.openxmlformats.org/officeDocument/2006/relationships/hyperlink" Target="https://sellercentral.amazon.com/myinventory/inventory?fulfilledBy=all&amp;page=1&amp;pageSize=25&amp;searchField=all&amp;searchTerm=B0GW9HNQVY&amp;sort=sku_asc&amp;status=all&amp;ref_=xx_invmgr_favb_xx" TargetMode="External"/><Relationship Id="rId48" Type="http://schemas.openxmlformats.org/officeDocument/2006/relationships/hyperlink" Target="https://sellercentral.amazon.com/myinventory/inventory?fulfilledBy=all&amp;page=1&amp;pageSize=25&amp;searchField=all&amp;searchTerm=BAG-ZIPLOCK-GROUP104&amp;sort=sku_asc&amp;status=all" TargetMode="External"/><Relationship Id="rId187" Type="http://schemas.openxmlformats.org/officeDocument/2006/relationships/hyperlink" Target="https://sellercentral.amazon.com/myinventory/inventory?fulfilledBy=all&amp;page=1&amp;pageSize=25&amp;searchField=all&amp;searchTerm=B0GW9V26YC&amp;sort=sku_asc&amp;status=all&amp;ref_=xx_invmgr_favb_xx" TargetMode="External"/><Relationship Id="rId47" Type="http://schemas.openxmlformats.org/officeDocument/2006/relationships/hyperlink" Target="https://sellercentral.amazon.com/myinventory/inventory?fulfilledBy=all&amp;page=1&amp;pageSize=25&amp;searchField=all&amp;searchTerm=NM-8NRT-SLRZ&amp;sort=sku_asc&amp;status=all" TargetMode="External"/><Relationship Id="rId186" Type="http://schemas.openxmlformats.org/officeDocument/2006/relationships/hyperlink" Target="https://sellercentral.amazon.com/myinventory/inventory?fulfilledBy=all&amp;page=1&amp;pageSize=25&amp;searchField=all&amp;searchTerm=B0GW9RG4BV&amp;sort=sku_asc&amp;status=all&amp;ref_=xx_invmgr_favb_xx" TargetMode="External"/><Relationship Id="rId185" Type="http://schemas.openxmlformats.org/officeDocument/2006/relationships/hyperlink" Target="https://sellercentral.amazon.com/myinventory/inventory?fulfilledBy=all&amp;page=1&amp;pageSize=25&amp;searchField=all&amp;searchTerm=SI-LABEL-LS-0404-GROUP97&amp;sort=date_created_desc&amp;status=all&amp;ref_=xx_invmgr_favb_xx" TargetMode="External"/><Relationship Id="rId49" Type="http://schemas.openxmlformats.org/officeDocument/2006/relationships/hyperlink" Target="https://sellercentral.amazon.com/myinventory/inventory?fulfilledBy=all&amp;page=1&amp;pageSize=25&amp;searchField=all&amp;searchTerm=DK-BRO-COM&amp;sort=sku_asc&amp;status=all" TargetMode="External"/><Relationship Id="rId184" Type="http://schemas.openxmlformats.org/officeDocument/2006/relationships/hyperlink" Target="https://sellercentral.amazon.com/myinventory/inventory?fulfilledBy=all&amp;page=1&amp;pageSize=25&amp;searchField=all&amp;searchTerm=SI-LABEL-LS-03F02-O-GROUP96&amp;sort=date_created_desc&amp;status=all&amp;ref_=xx_invmgr_favb_xx" TargetMode="External"/><Relationship Id="rId189" Type="http://schemas.openxmlformats.org/officeDocument/2006/relationships/hyperlink" Target="https://sellercentral.amazon.com/myinventory/inventory?fulfilledBy=all&amp;page=1&amp;pageSize=25&amp;searchField=all&amp;searchTerm=B0GW9M72DF&amp;sort=sku_asc&amp;status=all&amp;ref_=xx_invmgr_favb_xx" TargetMode="External"/><Relationship Id="rId188" Type="http://schemas.openxmlformats.org/officeDocument/2006/relationships/hyperlink" Target="https://sellercentral.amazon.com/myinventory/inventory?fulfilledBy=all&amp;page=1&amp;pageSize=25&amp;searchField=all&amp;searchTerm=B0GW9MYPNJ&amp;sort=sku_asc&amp;status=all&amp;ref_=xx_invmgr_favb_xx" TargetMode="External"/><Relationship Id="rId31" Type="http://schemas.openxmlformats.org/officeDocument/2006/relationships/hyperlink" Target="https://sellercentral.amazon.com/myinventory/inventory?fulfilledBy=all&amp;page=1&amp;pageSize=25&amp;searchField=all&amp;searchTerm=BAG-ZIP-GROUP10&amp;sort=sku_asc&amp;status=all" TargetMode="External"/><Relationship Id="rId30" Type="http://schemas.openxmlformats.org/officeDocument/2006/relationships/hyperlink" Target="https://sellercentral.amazon.com/myinventory/inventory?fulfilledBy=all&amp;page=1&amp;pageSize=25&amp;searchField=all&amp;searchTerm=LB-DT0SZE&amp;sort=date_created_desc&amp;status=all&amp;ref_=xx_invmgr_favb_xx" TargetMode="External"/><Relationship Id="rId33" Type="http://schemas.openxmlformats.org/officeDocument/2006/relationships/hyperlink" Target="https://sellercentral.amazon.com/myinventory/inventory?fulfilledBy=all&amp;page=1&amp;pageSize=25&amp;searchField=all&amp;searchTerm=B0GS3Q5GV2&amp;sort=available_desc&amp;status=all" TargetMode="External"/><Relationship Id="rId183" Type="http://schemas.openxmlformats.org/officeDocument/2006/relationships/hyperlink" Target="https://sellercentral.amazon.com/myinventory/inventory?fulfilledBy=all&amp;page=1&amp;pageSize=25&amp;searchField=all&amp;searchTerm=SI-LABEL-LS-0203F-AV-GROUP95&amp;sort=date_created_desc&amp;status=all&amp;ref_=xx_invmgr_favb_xx" TargetMode="External"/><Relationship Id="rId32" Type="http://schemas.openxmlformats.org/officeDocument/2006/relationships/hyperlink" Target="https://sellercentral.amazon.com/myinventory/inventory?fulfilledBy=all&amp;page=1&amp;pageSize=25&amp;searchField=all&amp;searchTerm=LB-DT0406-450&amp;sort=date_created_desc&amp;status=all&amp;ref_=xx_invmgr_favb_xx" TargetMode="External"/><Relationship Id="rId182" Type="http://schemas.openxmlformats.org/officeDocument/2006/relationships/hyperlink" Target="https://sellercentral.amazon.com/myinventory/inventory?fulfilledBy=all&amp;page=1&amp;pageSize=25&amp;searchField=all&amp;searchTerm=SI-Label-LS-C-2&amp;sort=sku_asc&amp;status=all&amp;ref_=xx_invmgr_favb_xx" TargetMode="External"/><Relationship Id="rId35" Type="http://schemas.openxmlformats.org/officeDocument/2006/relationships/hyperlink" Target="https://sellercentral.amazon.com/myinventory/inventory/variations/TEItRFQtUGFyZW50LTA3?fulfilledBy=all&amp;page=1&amp;pageSize=25&amp;sort=available_desc&amp;status=all" TargetMode="External"/><Relationship Id="rId181" Type="http://schemas.openxmlformats.org/officeDocument/2006/relationships/hyperlink" Target="https://sellercentral.amazon.com/myinventory/inventory?fulfilledBy=all&amp;page=1&amp;pageSize=25&amp;searchField=all&amp;searchTerm=SI-LABEL-LS-01F01-GROUP94&amp;sort=date_created_desc&amp;status=all&amp;ref_=xx_invmgr_favb_xx" TargetMode="External"/><Relationship Id="rId34" Type="http://schemas.openxmlformats.org/officeDocument/2006/relationships/hyperlink" Target="https://sellercentral.amazon.com/myinventory/inventory?fulfilledBy=all&amp;page=1&amp;pageSize=25&amp;searchField=all&amp;searchTerm=UI-DIXL-D8W7&amp;sort=date_created_desc&amp;status=all&amp;ref_=xx_invmgr_dnav_xx" TargetMode="External"/><Relationship Id="rId180" Type="http://schemas.openxmlformats.org/officeDocument/2006/relationships/hyperlink" Target="https://sellercentral.amazon.com/myinventory/inventory?fulfilledBy=all&amp;page=1&amp;pageSize=25&amp;searchField=all&amp;searchTerm=SI-LABEL-LS-0402F-PARENT&amp;sort=sku_asc&amp;status=all" TargetMode="External"/><Relationship Id="rId37" Type="http://schemas.openxmlformats.org/officeDocument/2006/relationships/hyperlink" Target="https://sellercentral.amazon.com/myinventory/inventory?fulfilledBy=all&amp;page=1&amp;pageSize=25&amp;searchField=all&amp;searchTerm=B0H12MR1BP&amp;sort=available_desc&amp;status=all&amp;ref_=xx_invmgr_dnav_xx" TargetMode="External"/><Relationship Id="rId176" Type="http://schemas.openxmlformats.org/officeDocument/2006/relationships/hyperlink" Target="https://sellercentral.amazon.com/myinventory/inventory?fulfilledBy=all&amp;page=1&amp;pageSize=25&amp;searchField=all&amp;searchTerm=SI-Label-LS-C-2&amp;sort=sku_asc&amp;status=all&amp;ref_=xx_invmgr_favb_xx" TargetMode="External"/><Relationship Id="rId36" Type="http://schemas.openxmlformats.org/officeDocument/2006/relationships/hyperlink" Target="https://sellercentral.amazon.com/myinventory/inventory?fulfilledBy=all&amp;page=1&amp;pageSize=25&amp;searchField=all&amp;searchTerm=NM-8NRT-SLRZ&amp;sort=sku_asc&amp;status=all" TargetMode="External"/><Relationship Id="rId175" Type="http://schemas.openxmlformats.org/officeDocument/2006/relationships/hyperlink" Target="https://sellercentral.amazon.com/myinventory/inventory?fulfilledBy=all&amp;page=1&amp;pageSize=25&amp;searchField=all&amp;searchTerm=SI-LABEL-LS-0201-PARENT&amp;sort=sku_asc&amp;status=all" TargetMode="External"/><Relationship Id="rId39" Type="http://schemas.openxmlformats.org/officeDocument/2006/relationships/hyperlink" Target="https://sellercentral.amazon.com/myinventory/inventory?fulfilledBy=all&amp;page=1&amp;pageSize=25&amp;searchField=all&amp;searchTerm=MT-B743-NEPX&amp;sort=sku_asc&amp;status=all" TargetMode="External"/><Relationship Id="rId174" Type="http://schemas.openxmlformats.org/officeDocument/2006/relationships/hyperlink" Target="https://sellercentral.amazon.com/myinventory/inventory?fulfilledBy=all&amp;page=1&amp;pageSize=25&amp;searchField=all&amp;searchTerm=SI-LABEL-LS-0402F-PARENT&amp;sort=sku_asc&amp;status=all" TargetMode="External"/><Relationship Id="rId38" Type="http://schemas.openxmlformats.org/officeDocument/2006/relationships/hyperlink" Target="https://sellercentral.amazon.com/myinventory/inventory?fulfilledBy=all&amp;page=1&amp;pageSize=25&amp;searchField=all&amp;searchTerm=B0GRMZ5FV4&amp;sort=date_created_desc&amp;status=all&amp;ref_=xx_invmgr_dnav_xx" TargetMode="External"/><Relationship Id="rId173" Type="http://schemas.openxmlformats.org/officeDocument/2006/relationships/hyperlink" Target="https://sellercentral.amazon.com/myinventory/inventory?fulfilledBy=all&amp;page=1&amp;pageSize=25&amp;searchField=all&amp;searchTerm=SI-LABEL-LS-01F01-P&amp;sort=sku_asc&amp;status=all&amp;ref_=xx_invmgr_favb_xx" TargetMode="External"/><Relationship Id="rId179" Type="http://schemas.openxmlformats.org/officeDocument/2006/relationships/hyperlink" Target="https://sellercentral.amazon.com/myinventory/inventory?fulfilledBy=all&amp;page=1&amp;pageSize=25&amp;searchField=all&amp;searchTerm=SI-LABEL-LS-0402-PARENT&amp;sort=sku_asc&amp;status=all" TargetMode="External"/><Relationship Id="rId178" Type="http://schemas.openxmlformats.org/officeDocument/2006/relationships/hyperlink" Target="https://sellercentral.amazon.com/myinventory/inventory?fulfilledBy=all&amp;page=1&amp;pageSize=25&amp;searchField=all&amp;searchTerm=SI-LABEL-LS-0303-PARENT&amp;sort=sku_asc&amp;status=all" TargetMode="External"/><Relationship Id="rId177" Type="http://schemas.openxmlformats.org/officeDocument/2006/relationships/hyperlink" Target="https://sellercentral.amazon.com/myinventory/inventory?fulfilledBy=all&amp;page=1&amp;pageSize=25&amp;searchField=all&amp;searchTerm=SI-LABEL-LS-02F01F-PARENT&amp;sort=sku_asc&amp;status=all" TargetMode="External"/><Relationship Id="rId20" Type="http://schemas.openxmlformats.org/officeDocument/2006/relationships/hyperlink" Target="https://sellercentral.amazon.com/myinventory/inventory?fulfilledBy=all&amp;page=1&amp;pageSize=25&amp;searchField=all&amp;searchTerm=BAG-ZIP-1000-GROUP47&amp;sort=sku_asc&amp;status=all" TargetMode="External"/><Relationship Id="rId22" Type="http://schemas.openxmlformats.org/officeDocument/2006/relationships/hyperlink" Target="https://sellercentral.amazon.com/myinventory/inventory?fulfilledBy=all&amp;page=1&amp;pageSize=25&amp;searchField=all&amp;searchTerm=LB-DTSZSY-001&amp;sort=date_created_desc&amp;status=all&amp;ref_=xx_invmgr_favb_xx" TargetMode="External"/><Relationship Id="rId21" Type="http://schemas.openxmlformats.org/officeDocument/2006/relationships/hyperlink" Target="https://sellercentral.amazon.com/myinventory/inventory?fulfilledBy=all&amp;page=1&amp;pageSize=25&amp;searchField=all&amp;searchTerm=CL-X712-XMZZ&amp;sort=sku_asc&amp;status=all" TargetMode="External"/><Relationship Id="rId24" Type="http://schemas.openxmlformats.org/officeDocument/2006/relationships/hyperlink" Target="https://sellercentral.amazon.com/myinventory/inventory?fulfilledBy=all&amp;page=1&amp;pageSize=25&amp;searchField=all&amp;searchTerm=BAG-ZIP-GROUP9&amp;sort=sku_asc&amp;status=all" TargetMode="External"/><Relationship Id="rId23" Type="http://schemas.openxmlformats.org/officeDocument/2006/relationships/hyperlink" Target="https://sellercentral.amazon.com/myinventory/inventory?fulfilledBy=all&amp;page=1&amp;pageSize=25&amp;searchField=all&amp;searchTerm=QS-BB2G-TA2A&amp;sort=sku_asc&amp;status=all" TargetMode="External"/><Relationship Id="rId26" Type="http://schemas.openxmlformats.org/officeDocument/2006/relationships/hyperlink" Target="https://sellercentral.amazon.com/myinventory/inventory?fulfilledBy=all&amp;page=1&amp;pageSize=25&amp;searchField=all&amp;searchTerm=02-W7IX-BNKW&amp;sort=sku_asc&amp;status=all" TargetMode="External"/><Relationship Id="rId25" Type="http://schemas.openxmlformats.org/officeDocument/2006/relationships/hyperlink" Target="https://sellercentral.amazon.com/myinventory/inventory?fulfilledBy=all&amp;page=1&amp;pageSize=25&amp;searchField=all&amp;searchTerm=MT-B743-NEPX&amp;sort=sku_asc&amp;status=all" TargetMode="External"/><Relationship Id="rId28" Type="http://schemas.openxmlformats.org/officeDocument/2006/relationships/hyperlink" Target="https://sellercentral.amazon.com/myinventory/inventory?fulfilledBy=all&amp;page=1&amp;pageSize=25&amp;searchField=all&amp;searchTerm=AH-3OVD-YBTO&amp;sort=sku_asc&amp;status=all" TargetMode="External"/><Relationship Id="rId27" Type="http://schemas.openxmlformats.org/officeDocument/2006/relationships/hyperlink" Target="https://sellercentral.amazon.com/myinventory/inventory?fulfilledBy=all&amp;page=1&amp;pageSize=25&amp;searchField=all&amp;searchTerm=LB-DT1ROLL&amp;sort=date_created_desc&amp;status=all&amp;ref_=xx_invmgr_favb_xx" TargetMode="External"/><Relationship Id="rId29" Type="http://schemas.openxmlformats.org/officeDocument/2006/relationships/hyperlink" Target="https://sellercentral.amazon.com/myinventory/inventory?fulfilledBy=all&amp;page=1&amp;pageSize=25&amp;searchField=all&amp;searchTerm=W4-H2M5-POEL&amp;sort=sku_asc&amp;status=all" TargetMode="External"/><Relationship Id="rId11" Type="http://schemas.openxmlformats.org/officeDocument/2006/relationships/hyperlink" Target="https://sellercentral.amazon.com/myinventory/inventory?fulfilledBy=all&amp;page=1&amp;pageSize=25&amp;searchField=all&amp;searchTerm=LB-DT-Parent-04&amp;sort=date_created_desc&amp;status=all&amp;ref_=xx_invmgr_favb_xx" TargetMode="External"/><Relationship Id="rId10" Type="http://schemas.openxmlformats.org/officeDocument/2006/relationships/hyperlink" Target="https://sellercentral.amazon.com/myinventory/inventory?fulfilledBy=all&amp;page=1&amp;pageSize=25&amp;searchField=all&amp;searchTerm=BAG-CELLO-A_GROUP+3&amp;sort=sku_asc&amp;status=all" TargetMode="External"/><Relationship Id="rId13" Type="http://schemas.openxmlformats.org/officeDocument/2006/relationships/hyperlink" Target="https://sellercentral.amazon.com/myinventory/inventory?fulfilledBy=all&amp;page=1&amp;pageSize=25&amp;searchField=all&amp;searchTerm=LB-DT-Parent-05&amp;sort=date_created_desc&amp;status=all&amp;ref_=xx_invmgr_favb_xx" TargetMode="External"/><Relationship Id="rId12" Type="http://schemas.openxmlformats.org/officeDocument/2006/relationships/hyperlink" Target="https://sellercentral.amazon.com/myinventory/inventory?fulfilledBy=all&amp;page=1&amp;pageSize=25&amp;searchField=all&amp;searchTerm=BAG-ZIP-HD-GROUP4&amp;sort=date_created_desc&amp;status=all" TargetMode="External"/><Relationship Id="rId15" Type="http://schemas.openxmlformats.org/officeDocument/2006/relationships/hyperlink" Target="https://sellercentral.amazon.com/myinventory/inventory?fulfilledBy=all&amp;page=1&amp;pageSize=25&amp;searchField=all&amp;searchTerm=BAG-ZIP-HD-GROUP5&amp;sort=date_created_desc&amp;status=all&amp;ref_=xx_invmgr_favb_xx" TargetMode="External"/><Relationship Id="rId198" Type="http://schemas.openxmlformats.org/officeDocument/2006/relationships/hyperlink" Target="https://sellercentral.amazon.com/myinventory/inventory?fulfilledBy=all&amp;page=1&amp;pageSize=25&amp;searchField=all&amp;searchTerm=TP-SAFE&amp;sort=sku_asc&amp;status=all" TargetMode="External"/><Relationship Id="rId14" Type="http://schemas.openxmlformats.org/officeDocument/2006/relationships/hyperlink" Target="https://sellercentral.amazon.com/myinventory/inventory?fulfilledBy=all&amp;page=1&amp;pageSize=25&amp;searchField=all&amp;searchTerm=V2-QVNE-TJQF&amp;sort=sku_asc&amp;status=all" TargetMode="External"/><Relationship Id="rId197" Type="http://schemas.openxmlformats.org/officeDocument/2006/relationships/hyperlink" Target="https://sellercentral.amazon.com/myinventory/inventory?fulfilledBy=all&amp;page=1&amp;pageSize=25&amp;searchField=all&amp;searchTerm=TP-CLR-HVD-1&amp;sort=sku_asc&amp;status=all" TargetMode="External"/><Relationship Id="rId17" Type="http://schemas.openxmlformats.org/officeDocument/2006/relationships/hyperlink" Target="https://sellercentral.amazon.com/myinventory/inventory?fulfilledBy=all&amp;page=1&amp;pageSize=25&amp;searchField=all&amp;searchTerm=BAG-ZIP-GROUP99&amp;sort=sku_asc&amp;status=all" TargetMode="External"/><Relationship Id="rId196" Type="http://schemas.openxmlformats.org/officeDocument/2006/relationships/hyperlink" Target="https://sellercentral.amazon.com/myinventory/inventory?fulfilledBy=all&amp;page=1&amp;pageSize=25&amp;searchField=all&amp;searchTerm=SI-LABEL-LS-02F01F-PARENT&amp;sort=sku_asc&amp;status=all" TargetMode="External"/><Relationship Id="rId16" Type="http://schemas.openxmlformats.org/officeDocument/2006/relationships/hyperlink" Target="https://sellercentral.amazon.com/myinventory/inventory?fulfilledBy=all&amp;page=1&amp;pageSize=25&amp;searchField=all&amp;searchTerm=EB-PQ2A-K1D8&amp;sort=sku_asc&amp;status=all" TargetMode="External"/><Relationship Id="rId195" Type="http://schemas.openxmlformats.org/officeDocument/2006/relationships/hyperlink" Target="https://sellercentral.amazon.com/myinventory/inventory?fulfilledBy=all&amp;page=1&amp;pageSize=25&amp;searchField=all&amp;searchTerm=SI-LABEL-LS-01F01-P&amp;sort=sku_asc&amp;status=all&amp;ref_=xx_invmgr_favb_xx" TargetMode="External"/><Relationship Id="rId19" Type="http://schemas.openxmlformats.org/officeDocument/2006/relationships/hyperlink" Target="https://sellercentral.amazon.com/myinventory/inventory?fulfilledBy=all&amp;page=1&amp;pageSize=25&amp;searchField=all&amp;searchTerm=2N-528Q-Q2ZO&amp;sort=sku_asc&amp;status=all" TargetMode="External"/><Relationship Id="rId18" Type="http://schemas.openxmlformats.org/officeDocument/2006/relationships/hyperlink" Target="https://sellercentral.amazon.com/myinventory/inventory?fulfilledBy=all&amp;page=1&amp;pageSize=25&amp;searchField=all&amp;searchTerm=LB-DT-Parent-06&amp;sort=date_created_desc&amp;status=all&amp;ref_=xx_invmgr_favb_xx" TargetMode="External"/><Relationship Id="rId199" Type="http://schemas.openxmlformats.org/officeDocument/2006/relationships/hyperlink" Target="https://sellercentral.amazon.com/myinventory/inventory?fulfilledBy=all&amp;page=1&amp;pageSize=25&amp;searchField=all&amp;searchTerm=TL-ELC-24&amp;sort=sku_asc&amp;status=all" TargetMode="External"/><Relationship Id="rId84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83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86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85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88" Type="http://schemas.openxmlformats.org/officeDocument/2006/relationships/hyperlink" Target="https://sellercentral.amazon.com/myinventory/inventory?fulfilledBy=all&amp;page=1&amp;pageSize=25&amp;searchField=all&amp;searchTerm=BAG-FLAT-100-GROUP17&amp;sort=sku_asc&amp;status=all" TargetMode="External"/><Relationship Id="rId150" Type="http://schemas.openxmlformats.org/officeDocument/2006/relationships/hyperlink" Target="https://sellercentral.amazon.com/myinventory/inventory?fulfilledBy=all&amp;page=1&amp;pageSize=25&amp;searchField=all&amp;searchTerm=16-YV2B-4HC1&amp;sort=sku_asc&amp;status=all" TargetMode="External"/><Relationship Id="rId87" Type="http://schemas.openxmlformats.org/officeDocument/2006/relationships/hyperlink" Target="https://sellercentral.amazon.com/myinventory/inventory?fulfilledBy=all&amp;page=1&amp;pageSize=25&amp;searchField=all&amp;searchTerm=LB-LABEL-LS-01F00F-GROUP3&amp;sort=available_desc&amp;status=all&amp;ref_=xx_invmgr_dnav_xx" TargetMode="External"/><Relationship Id="rId89" Type="http://schemas.openxmlformats.org/officeDocument/2006/relationships/hyperlink" Target="https://sellercentral.amazon.com/myinventory/inventory?fulfilledBy=all&amp;page=1&amp;pageSize=25&amp;searchField=all&amp;searchTerm=LB-LABEL-LS-01F01-GROUP8&amp;sort=available_desc&amp;status=all&amp;ref_=xx_invmgr_dnav_xx" TargetMode="External"/><Relationship Id="rId80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82" Type="http://schemas.openxmlformats.org/officeDocument/2006/relationships/hyperlink" Target="https://sellercentral.amazon.com/myinventory/inventory?fulfilledBy=all&amp;page=1&amp;pageSize=25&amp;searchField=all&amp;searchTerm=BAG-ZIP-HH-HD-GROUP100&amp;sort=sku_asc&amp;status=all" TargetMode="External"/><Relationship Id="rId81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sellercentral.amazon.com/myinventory/inventory?fulfilledBy=all&amp;page=1&amp;pageSize=25&amp;searchField=all&amp;searchTerm=BAG-ZIP-HD-GROUP1&amp;sort=date_created_desc&amp;status=all&amp;ref_=xx_invmgr_favb_xx" TargetMode="External"/><Relationship Id="rId3" Type="http://schemas.openxmlformats.org/officeDocument/2006/relationships/hyperlink" Target="https://sellercentral.amazon.com/myinventory/inventory?fulfilledBy=all&amp;page=1&amp;pageSize=25&amp;searchField=all&amp;searchTerm=LB-DT-Parent-01&amp;sort=date_created_desc&amp;status=all&amp;ref_=xx_invmgr_favb_xx" TargetMode="External"/><Relationship Id="rId149" Type="http://schemas.openxmlformats.org/officeDocument/2006/relationships/hyperlink" Target="https://sellercentral.amazon.com/myinventory/inventory?fulfilledBy=all&amp;page=1&amp;pageSize=25&amp;searchField=all&amp;searchTerm=LASER-FF-1&amp;sort=sku_asc&amp;status=all" TargetMode="External"/><Relationship Id="rId4" Type="http://schemas.openxmlformats.org/officeDocument/2006/relationships/hyperlink" Target="https://sellercentral.amazon.com/myinventory/inventory?fulfilledBy=all&amp;page=1&amp;pageSize=25&amp;searchField=all&amp;searchTerm=BAG-CELLO-A_GROUP+1&amp;sort=sku_asc&amp;status=all" TargetMode="External"/><Relationship Id="rId148" Type="http://schemas.openxmlformats.org/officeDocument/2006/relationships/hyperlink" Target="https://sellercentral.amazon.com/myinventory/inventory?fulfilledBy=all&amp;page=1&amp;pageSize=25&amp;searchField=all&amp;searchTerm=SI-LABEL-DT-Parent_62&amp;sort=sku_asc&amp;status=all" TargetMode="External"/><Relationship Id="rId9" Type="http://schemas.openxmlformats.org/officeDocument/2006/relationships/hyperlink" Target="https://sellercentral.amazon.com/myinventory/inventory?fulfilledBy=all&amp;page=1&amp;pageSize=25&amp;searchField=all&amp;searchTerm=LB-DT-Parent-03&amp;sort=date_created_desc&amp;status=all&amp;ref_=xx_invmgr_favb_xx" TargetMode="External"/><Relationship Id="rId143" Type="http://schemas.openxmlformats.org/officeDocument/2006/relationships/hyperlink" Target="https://sellercentral.amazon.com/myinventory/inventory?fulfilledBy=all&amp;page=1&amp;pageSize=25&amp;searchField=all&amp;searchTerm=SI-LABEL-DT-Parent-57&amp;sort=sku_asc&amp;status=all" TargetMode="External"/><Relationship Id="rId142" Type="http://schemas.openxmlformats.org/officeDocument/2006/relationships/hyperlink" Target="https://sellercentral.amazon.com/myinventory/inventory?fulfilledBy=all&amp;page=1&amp;pageSize=25&amp;searchField=all&amp;searchTerm=8J-65RB-P2H3&amp;sort=sku_asc&amp;status=all" TargetMode="External"/><Relationship Id="rId141" Type="http://schemas.openxmlformats.org/officeDocument/2006/relationships/hyperlink" Target="https://sellercentral.amazon.com/myinventory/inventory?fulfilledBy=all&amp;page=1&amp;pageSize=25&amp;searchField=all&amp;searchTerm=SI-LABEL-DT-Parent_02&amp;sort=date_created_desc&amp;status=all&amp;ref_=xx_invmgr_favb_xx" TargetMode="External"/><Relationship Id="rId140" Type="http://schemas.openxmlformats.org/officeDocument/2006/relationships/hyperlink" Target="https://sellercentral.amazon.com/myinventory/inventory?fulfilledBy=all&amp;page=1&amp;pageSize=25&amp;searchField=all&amp;searchTerm=2U-NY2U-L29R&amp;sort=sku_asc&amp;status=all" TargetMode="External"/><Relationship Id="rId5" Type="http://schemas.openxmlformats.org/officeDocument/2006/relationships/hyperlink" Target="https://sellercentral.amazon.com/myinventory/inventory?fulfilledBy=all&amp;page=1&amp;pageSize=25&amp;searchField=all&amp;searchTerm=BAG-ZIP-HD-GROUP2&amp;sort=date_created_desc&amp;status=all&amp;ref_=xx_invmgr_dnav_xx" TargetMode="External"/><Relationship Id="rId147" Type="http://schemas.openxmlformats.org/officeDocument/2006/relationships/hyperlink" Target="https://sellercentral.amazon.com/myinventory/inventory?fulfilledBy=all&amp;page=1&amp;pageSize=25&amp;searchField=all&amp;searchTerm=SI-LABEL-DT-Parent_61&amp;sort=sku_asc&amp;status=all" TargetMode="External"/><Relationship Id="rId6" Type="http://schemas.openxmlformats.org/officeDocument/2006/relationships/hyperlink" Target="https://sellercentral.amazon.com/myinventory/inventory?fulfilledBy=all&amp;page=1&amp;pageSize=25&amp;searchField=all&amp;searchTerm=LB-DT-Parent-02&amp;sort=date_created_desc&amp;status=all&amp;ref_=xx_invmgr_favb_xx" TargetMode="External"/><Relationship Id="rId146" Type="http://schemas.openxmlformats.org/officeDocument/2006/relationships/hyperlink" Target="https://sellercentral.amazon.com/myinventory/inventory?fulfilledBy=all&amp;page=1&amp;pageSize=25&amp;searchField=all&amp;searchTerm=SI-LABEL-DT-Parent-60&amp;sort=sku_asc&amp;status=all" TargetMode="External"/><Relationship Id="rId7" Type="http://schemas.openxmlformats.org/officeDocument/2006/relationships/hyperlink" Target="https://sellercentral.amazon.com/myinventory/inventory?fulfilledBy=all&amp;page=1&amp;pageSize=25&amp;searchField=all&amp;searchTerm=BAG-CELLO-A_GROUP+2&amp;sort=sku_asc&amp;status=all" TargetMode="External"/><Relationship Id="rId145" Type="http://schemas.openxmlformats.org/officeDocument/2006/relationships/hyperlink" Target="https://sellercentral.amazon.com/myinventory/inventory?fulfilledBy=all&amp;page=1&amp;pageSize=25&amp;searchField=all&amp;searchTerm=SI-LABEL-DT-Parent-59&amp;sort=sku_asc&amp;status=all" TargetMode="External"/><Relationship Id="rId8" Type="http://schemas.openxmlformats.org/officeDocument/2006/relationships/hyperlink" Target="https://sellercentral.amazon.com/myinventory/inventory?fulfilledBy=all&amp;page=1&amp;pageSize=25&amp;searchField=all&amp;searchTerm=BAG-ZIP-HD-1&amp;sort=sku_asc&amp;status=all" TargetMode="External"/><Relationship Id="rId144" Type="http://schemas.openxmlformats.org/officeDocument/2006/relationships/hyperlink" Target="https://sellercentral.amazon.com/myinventory/inventory?fulfilledBy=all&amp;page=1&amp;pageSize=25&amp;searchField=all&amp;searchTerm=SI-LABEL-DT-Parent-58&amp;sort=sku_asc&amp;status=all" TargetMode="External"/><Relationship Id="rId73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72" Type="http://schemas.openxmlformats.org/officeDocument/2006/relationships/hyperlink" Target="https://sellercentral.amazon.com/myinventory/inventory?fulfilledBy=all&amp;page=1&amp;pageSize=25&amp;searchField=all&amp;searchTerm=BAG-ZIP-HH-GROUP82&amp;sort=date_created_desc&amp;status=all&amp;ref_=xx_invmgr_favb_xx" TargetMode="External"/><Relationship Id="rId75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74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77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76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79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78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71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70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139" Type="http://schemas.openxmlformats.org/officeDocument/2006/relationships/hyperlink" Target="https://sellercentral.amazon.com/myinventory/inventory?fulfilledBy=all&amp;page=1&amp;pageSize=25&amp;searchField=all&amp;searchTerm=8J-65RB-P2H3&amp;sort=sku_asc&amp;status=all" TargetMode="External"/><Relationship Id="rId138" Type="http://schemas.openxmlformats.org/officeDocument/2006/relationships/hyperlink" Target="https://sellercentral.amazon.com/myinventory/inventory?fulfilledBy=all&amp;page=1&amp;pageSize=25&amp;searchField=all&amp;searchTerm=2U-NY2U-L29R&amp;sort=sku_asc&amp;status=all" TargetMode="External"/><Relationship Id="rId137" Type="http://schemas.openxmlformats.org/officeDocument/2006/relationships/hyperlink" Target="https://sellercentral.amazon.com/myinventory/inventory?fulfilledBy=all&amp;page=1&amp;pageSize=25&amp;searchField=all&amp;searchTerm=SP-YEX42P48AEVPVE9E&amp;sort=sku_asc&amp;status=all&amp;ref_=xx_invmgr_favb_xx" TargetMode="External"/><Relationship Id="rId132" Type="http://schemas.openxmlformats.org/officeDocument/2006/relationships/hyperlink" Target="https://sellercentral.amazon.com/myinventory/inventory/variations/U0ZXLUJhZy1QQVJFTlQx?fulfilledBy=all&amp;page=1&amp;pageSize=25&amp;sort=date_created_desc&amp;status=all" TargetMode="External"/><Relationship Id="rId131" Type="http://schemas.openxmlformats.org/officeDocument/2006/relationships/hyperlink" Target="https://sellercentral.amazon.com/myinventory/inventory?fulfilledBy=all&amp;page=1&amp;pageSize=25&amp;searchField=all&amp;searchTerm=HQ-XY6C-RQRE&amp;sort=sku_asc&amp;status=all" TargetMode="External"/><Relationship Id="rId130" Type="http://schemas.openxmlformats.org/officeDocument/2006/relationships/hyperlink" Target="https://sellercentral.amazon.com/myinventory/inventory?fulfilledBy=all&amp;page=1&amp;pageSize=25&amp;searchField=all&amp;searchTerm=SFW-BAG-1000-GROUP34&amp;sort=available_desc&amp;status=all" TargetMode="External"/><Relationship Id="rId136" Type="http://schemas.openxmlformats.org/officeDocument/2006/relationships/hyperlink" Target="https://sellercentral.amazon.com/myinventory/inventory?fulfilledBy=all&amp;page=1&amp;pageSize=25&amp;searchField=all&amp;searchTerm=IW-ILKW-W2KK&amp;sort=sku_asc&amp;status=all" TargetMode="External"/><Relationship Id="rId135" Type="http://schemas.openxmlformats.org/officeDocument/2006/relationships/hyperlink" Target="https://sellercentral.amazon.com/myinventory/inventory?fulfilledBy=all&amp;page=1&amp;pageSize=25&amp;searchField=all&amp;searchTerm=BM-0H4M-FQDO&amp;sort=sku_asc&amp;status=all&amp;ref_=xx_invmgr_favb_xx" TargetMode="External"/><Relationship Id="rId134" Type="http://schemas.openxmlformats.org/officeDocument/2006/relationships/hyperlink" Target="https://sellercentral.amazon.com/myinventory/inventory?fulfilledBy=all&amp;page=1&amp;pageSize=25&amp;searchField=all&amp;searchTerm=BAG-SUF-200-GROUP36&amp;sort=available_desc&amp;status=all" TargetMode="External"/><Relationship Id="rId133" Type="http://schemas.openxmlformats.org/officeDocument/2006/relationships/hyperlink" Target="https://sellercentral.amazon.com/myinventory/inventory?fulfilledBy=all&amp;page=1&amp;pageSize=25&amp;searchField=all&amp;searchTerm=SI-VAC-BLK&amp;sort=sku_asc&amp;status=all&amp;ref_=xx_invmgr_favb_xx" TargetMode="External"/><Relationship Id="rId62" Type="http://schemas.openxmlformats.org/officeDocument/2006/relationships/hyperlink" Target="https://sellercentral.amazon.com/myinventory/inventory?fulfilledBy=all&amp;page=1&amp;pageSize=25&amp;searchField=all&amp;searchTerm=BAG-ZIP-UHD-GROUP89&amp;sort=date_created_desc&amp;status=all&amp;ref_=xx_invmgr_favb_xx" TargetMode="External"/><Relationship Id="rId61" Type="http://schemas.openxmlformats.org/officeDocument/2006/relationships/hyperlink" Target="https://sellercentral.amazon.com/myinventory/inventory?fulfilledBy=all&amp;page=1&amp;pageSize=25&amp;searchField=all&amp;searchTerm=LB-WARN-02&amp;sort=sku_asc&amp;status=all" TargetMode="External"/><Relationship Id="rId64" Type="http://schemas.openxmlformats.org/officeDocument/2006/relationships/hyperlink" Target="https://sellercentral.amazon.com/myinventory/inventory?fulfilledBy=all&amp;page=1&amp;pageSize=25&amp;searchField=all&amp;searchTerm=LB-WARN-GRP12&amp;sort=sku_asc&amp;status=all" TargetMode="External"/><Relationship Id="rId63" Type="http://schemas.openxmlformats.org/officeDocument/2006/relationships/hyperlink" Target="https://sellercentral.amazon.com/myinventory/inventory?fulfilledBy=all&amp;page=1&amp;pageSize=25&amp;searchField=all&amp;searchTerm=LB-WARN-GRP12&amp;sort=sku_asc&amp;status=all" TargetMode="External"/><Relationship Id="rId66" Type="http://schemas.openxmlformats.org/officeDocument/2006/relationships/hyperlink" Target="https://sellercentral.amazon.com/myinventory/inventory?fulfilledBy=all&amp;page=1&amp;pageSize=25&amp;searchField=all&amp;searchTerm=BAG-ZIP-BLK-HD-GROUP87&amp;sort=date_created_desc&amp;status=all&amp;ref_=xx_invmgr_favb_xx" TargetMode="External"/><Relationship Id="rId172" Type="http://schemas.openxmlformats.org/officeDocument/2006/relationships/hyperlink" Target="https://sellercentral.amazon.com/myinventory/inventory?fulfilledBy=all&amp;page=1&amp;pageSize=25&amp;searchField=all&amp;searchTerm=SI-LABEL-LS-0402-PARENT&amp;sort=sku_asc&amp;status=all" TargetMode="External"/><Relationship Id="rId65" Type="http://schemas.openxmlformats.org/officeDocument/2006/relationships/hyperlink" Target="https://sellercentral.amazon.com/myinventory/inventory?fulfilledBy=all&amp;page=1&amp;pageSize=25&amp;searchField=all&amp;searchTerm=BAG-ZIP-UHD-GROUP90&amp;sort=date_created_desc&amp;status=all&amp;ref_=xx_invmgr_favb_xx" TargetMode="External"/><Relationship Id="rId171" Type="http://schemas.openxmlformats.org/officeDocument/2006/relationships/hyperlink" Target="https://sellercentral.amazon.com/myinventory/inventory?fulfilledBy=all&amp;page=1&amp;pageSize=25&amp;searchField=all&amp;searchTerm=SI-LABEL-LS-0802-PARENT&amp;sort=sku_asc&amp;status=all&amp;ref_=xx_invmgr_favb_xx" TargetMode="External"/><Relationship Id="rId68" Type="http://schemas.openxmlformats.org/officeDocument/2006/relationships/hyperlink" Target="https://sellercentral.amazon.com/myinventory/inventory?fulfilledBy=all&amp;page=1&amp;pageSize=25&amp;searchField=all&amp;searchTerm=LB-LABEL-LS-0202-A-GROUP15&amp;sort=date_created_desc&amp;status=all&amp;ref_=xx_invmgr_favb_xx" TargetMode="External"/><Relationship Id="rId170" Type="http://schemas.openxmlformats.org/officeDocument/2006/relationships/hyperlink" Target="https://sellercentral.amazon.com/myinventory/inventory?fulfilledBy=all&amp;page=1&amp;pageSize=25&amp;searchField=all&amp;searchTerm=SI-LABEL-LS-0303-PARENT&amp;sort=sku_asc&amp;status=all" TargetMode="External"/><Relationship Id="rId67" Type="http://schemas.openxmlformats.org/officeDocument/2006/relationships/hyperlink" Target="https://sellercentral.amazon.com/myinventory/inventory?fulfilledBy=all&amp;page=1&amp;pageSize=25&amp;searchField=all&amp;searchTerm=BAG-ZIP-BLK-HD-GROUP88&amp;sort=date_created_desc&amp;status=all&amp;ref_=xx_invmgr_favb_xx" TargetMode="External"/><Relationship Id="rId60" Type="http://schemas.openxmlformats.org/officeDocument/2006/relationships/hyperlink" Target="https://sellercentral.amazon.com/myinventory/inventory?fulfilledBy=all&amp;page=1&amp;pageSize=25&amp;searchField=all&amp;searchTerm=LB-WARN-02&amp;sort=sku_asc&amp;status=all" TargetMode="External"/><Relationship Id="rId165" Type="http://schemas.openxmlformats.org/officeDocument/2006/relationships/hyperlink" Target="https://sellercentral.amazon.com/myinventory/inventory?fulfilledBy=all&amp;page=1&amp;pageSize=25&amp;searchField=all&amp;searchTerm=SI-LABEL-LS-0401-PARENT&amp;sort=sku_asc&amp;status=all&amp;ref_=xx_invmgr_favb_xx" TargetMode="External"/><Relationship Id="rId69" Type="http://schemas.openxmlformats.org/officeDocument/2006/relationships/hyperlink" Target="https://sellercentral.amazon.com/myinventory/inventory?fulfilledBy=all&amp;page=1&amp;pageSize=25&amp;searchField=all&amp;searchTerm=LB-LABEL-LS-0202-A-GROUP15&amp;sort=date_created_desc&amp;status=all&amp;ref_=xx_invmgr_favb_xx" TargetMode="External"/><Relationship Id="rId164" Type="http://schemas.openxmlformats.org/officeDocument/2006/relationships/hyperlink" Target="https://sellercentral.amazon.com/myinventory/inventory?fulfilledBy=all&amp;page=1&amp;pageSize=25&amp;searchField=all&amp;searchTerm=SI-LABEL-LS-04F05F-PARENT&amp;sort=sku_asc&amp;status=all&amp;ref_=xx_invmgr_favb_xx" TargetMode="External"/><Relationship Id="rId163" Type="http://schemas.openxmlformats.org/officeDocument/2006/relationships/hyperlink" Target="https://sellercentral.amazon.com/myinventory/inventory?fulfilledBy=all&amp;page=1&amp;pageSize=25&amp;searchField=all&amp;searchTerm=SI-LABEL-LS-0301F-PARENT&amp;sort=sku_asc&amp;status=all&amp;ref_=xx_invmgr_favb_xx" TargetMode="External"/><Relationship Id="rId162" Type="http://schemas.openxmlformats.org/officeDocument/2006/relationships/hyperlink" Target="https://sellercentral.amazon.com/myinventory/inventory?fulfilledBy=all&amp;page=1&amp;pageSize=25&amp;searchField=all&amp;searchTerm=SI-LABEL-LS-0403-PARENT&amp;sort=sku_asc&amp;status=all&amp;ref_=xx_invmgr_favb_xx" TargetMode="External"/><Relationship Id="rId169" Type="http://schemas.openxmlformats.org/officeDocument/2006/relationships/hyperlink" Target="https://sellercentral.amazon.com/myinventory/inventory?fulfilledBy=all&amp;page=1&amp;pageSize=25&amp;searchField=all&amp;searchTerm=SI-LABEL-LS-04F05F-PARENT&amp;sort=sku_asc&amp;status=all&amp;ref_=xx_invmgr_favb_xx" TargetMode="External"/><Relationship Id="rId168" Type="http://schemas.openxmlformats.org/officeDocument/2006/relationships/hyperlink" Target="https://sellercentral.amazon.com/myinventory/inventory?fulfilledBy=all&amp;page=1&amp;pageSize=25&amp;searchField=all&amp;searchTerm=SI-LABEL-LS-0201-PARENT&amp;sort=sku_asc&amp;status=all" TargetMode="External"/><Relationship Id="rId167" Type="http://schemas.openxmlformats.org/officeDocument/2006/relationships/hyperlink" Target="https://sellercentral.amazon.com/myinventory/inventory?fulfilledBy=all&amp;page=1&amp;pageSize=25&amp;searchField=all&amp;searchTerm=SI-LABEL-LS-0403-PARENT&amp;sort=sku_asc&amp;status=all&amp;ref_=xx_invmgr_favb_xx" TargetMode="External"/><Relationship Id="rId166" Type="http://schemas.openxmlformats.org/officeDocument/2006/relationships/hyperlink" Target="https://sellercentral.amazon.com/myinventory/inventory?fulfilledBy=all&amp;page=1&amp;pageSize=25&amp;searchField=all&amp;searchTerm=SI-LABEL-LS-0802-PARENT&amp;sort=sku_asc&amp;status=all&amp;ref_=xx_invmgr_favb_xx" TargetMode="External"/><Relationship Id="rId51" Type="http://schemas.openxmlformats.org/officeDocument/2006/relationships/hyperlink" Target="https://sellercentral.amazon.com/myinventory/inventory?fulfilledBy=all&amp;page=1&amp;pageSize=25&amp;searchField=all&amp;searchTerm=BAG_ZIP-1000_GROUP15&amp;sort=date_created_desc&amp;status=all&amp;ref_=xx_invmgr_favb_xx" TargetMode="External"/><Relationship Id="rId50" Type="http://schemas.openxmlformats.org/officeDocument/2006/relationships/hyperlink" Target="https://sellercentral.amazon.com/myinventory/inventory?fulfilledBy=all&amp;page=1&amp;pageSize=25&amp;searchField=all&amp;searchTerm=LB-DT-CLR&amp;sort=sku_asc&amp;status=all" TargetMode="External"/><Relationship Id="rId53" Type="http://schemas.openxmlformats.org/officeDocument/2006/relationships/hyperlink" Target="https://sellercentral.amazon.com/myinventory/inventory?fulfilledBy=all&amp;page=1&amp;pageSize=25&amp;searchField=all&amp;searchTerm=LB-3X5WARN&amp;sort=sku_asc&amp;status=all" TargetMode="External"/><Relationship Id="rId52" Type="http://schemas.openxmlformats.org/officeDocument/2006/relationships/hyperlink" Target="https://sellercentral.amazon.com/myinventory/inventory?fulfilledBy=all&amp;page=1&amp;pageSize=25&amp;searchField=all&amp;searchTerm=LB-CLR-500RLLS&amp;sort=sku_asc&amp;status=all" TargetMode="External"/><Relationship Id="rId55" Type="http://schemas.openxmlformats.org/officeDocument/2006/relationships/hyperlink" Target="https://sellercentral.amazon.com/myinventory/inventory?fulfilledBy=all&amp;page=1&amp;pageSize=25&amp;searchField=all&amp;searchTerm=LB-3X5WARN&amp;sort=sku_asc&amp;status=all" TargetMode="External"/><Relationship Id="rId161" Type="http://schemas.openxmlformats.org/officeDocument/2006/relationships/hyperlink" Target="https://sellercentral.amazon.com/myinventory/inventory?fulfilledBy=all&amp;page=1&amp;pageSize=25&amp;searchField=all&amp;searchTerm=SI-LABEL-LS-0401-PARENT&amp;sort=sku_asc&amp;status=all&amp;ref_=xx_invmgr_favb_xx" TargetMode="External"/><Relationship Id="rId54" Type="http://schemas.openxmlformats.org/officeDocument/2006/relationships/hyperlink" Target="https://sellercentral.amazon.com/myinventory/inventory?fulfilledBy=all&amp;page=1&amp;pageSize=25&amp;searchField=all&amp;searchTerm=BAG-ZIPLOCK-GRP101&amp;sort=date_created_desc&amp;status=all&amp;ref_=xx_invmgr_dnav_xx" TargetMode="External"/><Relationship Id="rId160" Type="http://schemas.openxmlformats.org/officeDocument/2006/relationships/hyperlink" Target="https://sellercentral.amazon.com/myinventory/inventory?fulfilledBy=all&amp;page=1&amp;pageSize=25&amp;searchField=all&amp;searchTerm=SI-Label-LS-Parent3&amp;sort=sku_asc&amp;status=all" TargetMode="External"/><Relationship Id="rId57" Type="http://schemas.openxmlformats.org/officeDocument/2006/relationships/hyperlink" Target="https://sellercentral.amazon.com/myinventory/inventory?fulfilledBy=all&amp;page=1&amp;pageSize=25&amp;searchField=all&amp;searchTerm=LB-WARN-P02&amp;sort=sku_asc&amp;status=all" TargetMode="External"/><Relationship Id="rId56" Type="http://schemas.openxmlformats.org/officeDocument/2006/relationships/hyperlink" Target="https://sellercentral.amazon.com/myinventory/inventory?fulfilledBy=all&amp;page=1&amp;pageSize=25&amp;searchField=all&amp;searchTerm=BAG-ZIP_GROUP102&amp;sort=date_created_desc&amp;status=all&amp;ref_=xx_invmgr_favb_xx" TargetMode="External"/><Relationship Id="rId159" Type="http://schemas.openxmlformats.org/officeDocument/2006/relationships/hyperlink" Target="https://sellercentral.amazon.com/myinventory/inventory?fulfilledBy=all&amp;page=1&amp;pageSize=25&amp;searchField=all&amp;searchTerm=SI-LABEL-LS-0301F-PARENT&amp;sort=sku_asc&amp;status=all&amp;ref_=xx_invmgr_favb_xx" TargetMode="External"/><Relationship Id="rId59" Type="http://schemas.openxmlformats.org/officeDocument/2006/relationships/hyperlink" Target="https://sellercentral.amazon.com/myinventory/inventory?fulfilledBy=all&amp;page=1&amp;pageSize=25&amp;searchField=all&amp;searchTerm=43-RRQZ-HRVK&amp;sort=sku_asc&amp;status=all" TargetMode="External"/><Relationship Id="rId154" Type="http://schemas.openxmlformats.org/officeDocument/2006/relationships/hyperlink" Target="https://sellercentral.amazon.com/myinventory/inventory?fulfilledBy=all&amp;page=1&amp;pageSize=25&amp;searchField=all&amp;searchTerm=SI-LABEL-LS-PARENT1&amp;sort=sku_asc&amp;status=all" TargetMode="External"/><Relationship Id="rId58" Type="http://schemas.openxmlformats.org/officeDocument/2006/relationships/hyperlink" Target="https://sellercentral.amazon.com/myinventory/inventory?fulfilledBy=all&amp;page=1&amp;pageSize=25&amp;searchField=all&amp;searchTerm=LB-WARN-P02&amp;sort=sku_asc&amp;status=all" TargetMode="External"/><Relationship Id="rId153" Type="http://schemas.openxmlformats.org/officeDocument/2006/relationships/hyperlink" Target="https://sellercentral.amazon.com/myinventory/inventory?fulfilledBy=all&amp;page=1&amp;pageSize=25&amp;searchField=all&amp;searchTerm=SI-LABEL-DK-BRO&amp;sort=sku_asc&amp;status=all" TargetMode="External"/><Relationship Id="rId152" Type="http://schemas.openxmlformats.org/officeDocument/2006/relationships/hyperlink" Target="https://sellercentral.amazon.com/myinventory/inventory?fulfilledBy=all&amp;page=1&amp;pageSize=25&amp;searchField=all&amp;searchTerm=LASER-FF-1&amp;sort=sku_asc&amp;status=all" TargetMode="External"/><Relationship Id="rId151" Type="http://schemas.openxmlformats.org/officeDocument/2006/relationships/hyperlink" Target="https://sellercentral.amazon.com/myinventory/inventory?fulfilledBy=all&amp;page=1&amp;pageSize=25&amp;searchField=all&amp;searchTerm=SPAR-FFLD-406&amp;sort=available_desc&amp;status=all" TargetMode="External"/><Relationship Id="rId158" Type="http://schemas.openxmlformats.org/officeDocument/2006/relationships/hyperlink" Target="https://sellercentral.amazon.com/myinventory/inventory?fulfilledBy=all&amp;page=1&amp;pageSize=25&amp;searchField=all&amp;searchTerm=SI-Label-LS-Parent3&amp;sort=sku_asc&amp;status=all" TargetMode="External"/><Relationship Id="rId157" Type="http://schemas.openxmlformats.org/officeDocument/2006/relationships/hyperlink" Target="https://sellercentral.amazon.com/myinventory/inventory?fulfilledBy=all&amp;page=1&amp;pageSize=25&amp;searchField=all&amp;searchTerm=SI-LABEL-LS-Parent2&amp;sort=sku_asc&amp;status=all&amp;ref_=xx_invmgr_favb_xx" TargetMode="External"/><Relationship Id="rId156" Type="http://schemas.openxmlformats.org/officeDocument/2006/relationships/hyperlink" Target="https://sellercentral.amazon.com/myinventory/inventory?fulfilledBy=all&amp;page=1&amp;pageSize=25&amp;searchField=all&amp;searchTerm=SI-LABEL-LS-Parent2&amp;sort=sku_asc&amp;status=all&amp;ref_=xx_invmgr_favb_xx" TargetMode="External"/><Relationship Id="rId155" Type="http://schemas.openxmlformats.org/officeDocument/2006/relationships/hyperlink" Target="https://sellercentral.amazon.com/myinventory/inventory?fulfilledBy=all&amp;page=1&amp;pageSize=25&amp;searchField=all&amp;searchTerm=SI-LABEL-LS-PARENT1&amp;sort=sku_asc&amp;status=all" TargetMode="External"/><Relationship Id="rId107" Type="http://schemas.openxmlformats.org/officeDocument/2006/relationships/hyperlink" Target="https://sellercentral.amazon.com/myinventory/inventory?fulfilledBy=all&amp;page=1&amp;pageSize=25&amp;searchField=all&amp;searchTerm=BAG-FLAT-2M-GROUP93&amp;sort=sku_asc&amp;status=all" TargetMode="External"/><Relationship Id="rId106" Type="http://schemas.openxmlformats.org/officeDocument/2006/relationships/hyperlink" Target="https://sellercentral.amazon.com/myinventory/inventory?fulfilledBy=all&amp;page=1&amp;pageSize=25&amp;searchField=all&amp;searchTerm=BAG-FLAT-2M-100-GROUP21&amp;sort=sku_asc&amp;status=all" TargetMode="External"/><Relationship Id="rId105" Type="http://schemas.openxmlformats.org/officeDocument/2006/relationships/hyperlink" Target="https://sellercentral.amazon.com/myinventory/inventory?fulfilledBy=all&amp;page=1&amp;pageSize=25&amp;searchField=all&amp;searchTerm=AD-MSVG-ZICJ&amp;sort=sku_asc&amp;status=all" TargetMode="External"/><Relationship Id="rId104" Type="http://schemas.openxmlformats.org/officeDocument/2006/relationships/hyperlink" Target="https://sellercentral.amazon.com/myinventory/inventory?fulfilledBy=all&amp;page=1&amp;pageSize=25&amp;searchField=all&amp;searchTerm=BAG-FLAT-2M-GROUP32&amp;sort=date_created_desc&amp;status=all&amp;ref_=xx_invmgr_dnav_xx" TargetMode="External"/><Relationship Id="rId109" Type="http://schemas.openxmlformats.org/officeDocument/2006/relationships/hyperlink" Target="https://sellercentral.amazon.com/myinventory/inventory?fulfilledBy=all&amp;page=1&amp;pageSize=25&amp;searchField=all&amp;searchTerm=BAG-CELLO-O-3&amp;sort=sku_asc&amp;status=all" TargetMode="External"/><Relationship Id="rId108" Type="http://schemas.openxmlformats.org/officeDocument/2006/relationships/hyperlink" Target="https://sellercentral.amazon.com/myinventory/inventory?fulfilledBy=all&amp;page=1&amp;pageSize=25&amp;searchField=all&amp;searchTerm=SPAR-2M-FOBT&amp;sort=date_created_desc&amp;status=all&amp;ref_=xx_invmgr_dnav_xx" TargetMode="External"/><Relationship Id="rId220" Type="http://schemas.openxmlformats.org/officeDocument/2006/relationships/vmlDrawing" Target="../drawings/vmlDrawing3.vml"/><Relationship Id="rId103" Type="http://schemas.openxmlformats.org/officeDocument/2006/relationships/hyperlink" Target="https://sellercentral.amazon.com/myinventory/inventory?fulfilledBy=all&amp;page=1&amp;pageSize=25&amp;searchField=all&amp;searchTerm=BAG-FLAT-GROUP31&amp;sort=date_created_desc&amp;status=all&amp;ref_=xx_invmgr_dnav_xx" TargetMode="External"/><Relationship Id="rId102" Type="http://schemas.openxmlformats.org/officeDocument/2006/relationships/hyperlink" Target="https://sellercentral.amazon.com/myinventory/inventory?fulfilledBy=all&amp;page=1&amp;pageSize=25&amp;searchField=all&amp;searchTerm=CELLO-BAG-O-1&amp;sort=sku_asc&amp;status=all" TargetMode="External"/><Relationship Id="rId101" Type="http://schemas.openxmlformats.org/officeDocument/2006/relationships/hyperlink" Target="https://sellercentral.amazon.com/myinventory/inventory?fulfilledBy=all&amp;page=1&amp;pageSize=25&amp;searchField=all&amp;searchTerm=LB-LABEL-LS-0405-GROUP1&amp;sort=available_desc&amp;status=all&amp;ref_=xx_invmgr_dnav_xx" TargetMode="External"/><Relationship Id="rId100" Type="http://schemas.openxmlformats.org/officeDocument/2006/relationships/hyperlink" Target="https://sellercentral.amazon.com/myinventory/inventory?fulfilledBy=all&amp;page=1&amp;pageSize=25&amp;searchField=all&amp;searchTerm=SPAR-16M-FOB&amp;sort=date_created_desc&amp;status=all&amp;ref_=xx_invmgr_dnav_xx" TargetMode="External"/><Relationship Id="rId217" Type="http://schemas.openxmlformats.org/officeDocument/2006/relationships/hyperlink" Target="https://sellercentral.amazon.com/myinventory/inventory?fulfilledBy=all&amp;page=1&amp;pageSize=25&amp;searchField=all&amp;searchTerm=BM-0H4M-FQDO&amp;sort=sku_asc&amp;status=all&amp;ref_=xx_invmgr_favb_xx" TargetMode="External"/><Relationship Id="rId216" Type="http://schemas.openxmlformats.org/officeDocument/2006/relationships/hyperlink" Target="https://sellercentral.amazon.com/myinventory/inventory?fulfilledBy=all&amp;page=1&amp;pageSize=25&amp;searchField=all&amp;searchTerm=SI-VAC-BLK&amp;sort=sku_asc&amp;status=all&amp;ref_=xx_invmgr_favb_xx" TargetMode="External"/><Relationship Id="rId215" Type="http://schemas.openxmlformats.org/officeDocument/2006/relationships/hyperlink" Target="https://sellercentral.amazon.com/myinventory/inventory?fulfilledBy=all&amp;page=1&amp;pageSize=25&amp;searchField=all&amp;searchTerm=HQ-XY6C-RQRE&amp;sort=sku_asc&amp;status=all" TargetMode="External"/><Relationship Id="rId214" Type="http://schemas.openxmlformats.org/officeDocument/2006/relationships/hyperlink" Target="https://sellercentral.amazon.com/myinventory/inventory?fulfilledBy=all&amp;page=1&amp;pageSize=25&amp;searchField=all&amp;searchTerm=POUCH-SUP-WHT-AL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219" Type="http://schemas.openxmlformats.org/officeDocument/2006/relationships/drawing" Target="../drawings/drawing6.xml"/><Relationship Id="rId218" Type="http://schemas.openxmlformats.org/officeDocument/2006/relationships/hyperlink" Target="https://sellercentral.amazon.com/myinventory/inventory?fulfilledBy=all&amp;page=1&amp;pageSize=25&amp;searchField=all&amp;searchTerm=HI-LERV-GAFM&amp;sort=sku_asc&amp;status=all" TargetMode="External"/><Relationship Id="rId213" Type="http://schemas.openxmlformats.org/officeDocument/2006/relationships/hyperlink" Target="https://sellercentral.amazon.com/myinventory/inventory?fulfilledBy=all&amp;page=1&amp;pageSize=25&amp;searchField=all&amp;searchTerm=POUCH-SUP-KFT-BLK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212" Type="http://schemas.openxmlformats.org/officeDocument/2006/relationships/hyperlink" Target="https://sellercentral.amazon.com/myinventory/inventory?fulfilledBy=all&amp;page=1&amp;pageSize=25&amp;searchField=all&amp;searchTerm=TP-MASK-MC-3-12&amp;sort=sku_asc&amp;status=all&amp;ref_=xx_invmgr_favb_xx" TargetMode="External"/><Relationship Id="rId211" Type="http://schemas.openxmlformats.org/officeDocument/2006/relationships/hyperlink" Target="https://sellercentral.amazon.com/myinventory/inventory?fulfilledBy=all&amp;page=1&amp;pageSize=25&amp;searchField=all&amp;searchTerm=TP-MASK-NAT-1&amp;sort=sku_asc&amp;status=all" TargetMode="External"/><Relationship Id="rId210" Type="http://schemas.openxmlformats.org/officeDocument/2006/relationships/hyperlink" Target="https://sellercentral.amazon.com/myinventory/inventory?fulfilledBy=all&amp;page=1&amp;pageSize=25&amp;searchField=all&amp;searchTerm=TP-MASK-MC-3-12&amp;sort=sku_asc&amp;status=all&amp;ref_=xx_invmgr_favb_xx" TargetMode="External"/><Relationship Id="rId129" Type="http://schemas.openxmlformats.org/officeDocument/2006/relationships/hyperlink" Target="https://sellercentral.amazon.com/myinventory/inventory?fulfilledBy=all&amp;page=1&amp;pageSize=25&amp;searchField=all&amp;searchTerm=BAG-SUF-2&amp;sort=sku_asc&amp;status=all" TargetMode="External"/><Relationship Id="rId128" Type="http://schemas.openxmlformats.org/officeDocument/2006/relationships/hyperlink" Target="https://sellercentral.amazon.com/myinventory/inventory/variations/QkFHLVNVRi0xMDAtUEFSRU5U?fulfilledBy=all&amp;page=1&amp;pageSize=25&amp;sort=date_created_desc&amp;status=all" TargetMode="External"/><Relationship Id="rId127" Type="http://schemas.openxmlformats.org/officeDocument/2006/relationships/hyperlink" Target="https://sellercentral.amazon.com/myinventory/inventory?fulfilledBy=all&amp;page=1&amp;pageSize=25&amp;searchField=all&amp;searchTerm=BAG-SUF-200-GROUP31&amp;sort=sku_asc&amp;status=all" TargetMode="External"/><Relationship Id="rId126" Type="http://schemas.openxmlformats.org/officeDocument/2006/relationships/hyperlink" Target="https://sellercentral.amazon.com/myinventory/inventory?fulfilledBy=all&amp;page=1&amp;pageSize=25&amp;searchField=all&amp;searchTerm=X8-2I86-DN7G&amp;sort=sku_asc&amp;status=all" TargetMode="External"/><Relationship Id="rId121" Type="http://schemas.openxmlformats.org/officeDocument/2006/relationships/hyperlink" Target="https://sellercentral.amazon.com/myinventory/inventory?fulfilledBy=all&amp;page=1&amp;pageSize=25&amp;searchField=all&amp;searchTerm=BAG-CELLO-O-3&amp;sort=sku_asc&amp;status=all" TargetMode="External"/><Relationship Id="rId120" Type="http://schemas.openxmlformats.org/officeDocument/2006/relationships/hyperlink" Target="https://sellercentral.amazon.com/myinventory/inventory/variations/U0ZXLUJhZy0xMDAwLVBBUkVOVA==?fulfilledBy=all&amp;page=1&amp;pageSize=25&amp;sort=date_created_desc&amp;status=all" TargetMode="External"/><Relationship Id="rId125" Type="http://schemas.openxmlformats.org/officeDocument/2006/relationships/hyperlink" Target="https://sellercentral.amazon.com/myinventory/inventory?fulfilledBy=all&amp;page=1&amp;pageSize=25&amp;searchField=all&amp;searchTerm=POUCH-SUP-KFT-BLK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124" Type="http://schemas.openxmlformats.org/officeDocument/2006/relationships/hyperlink" Target="https://sellercentral.amazon.com/myinventory/inventory?fulfilledBy=all&amp;page=1&amp;pageSize=25&amp;searchField=all&amp;searchTerm=SFW-BAG-RS-P1-100&amp;sort=date_created_desc&amp;status=all&amp;ref_=xx_invmgr_favb_xx" TargetMode="External"/><Relationship Id="rId123" Type="http://schemas.openxmlformats.org/officeDocument/2006/relationships/hyperlink" Target="https://sellercentral.amazon.com/myinventory/inventory/variations/QkFHLVNVRi0yMDAtUEFSRU5UMg==?fulfilledBy=all&amp;page=1&amp;pageSize=25&amp;sort=date_created_desc&amp;status=all" TargetMode="External"/><Relationship Id="rId122" Type="http://schemas.openxmlformats.org/officeDocument/2006/relationships/hyperlink" Target="https://sellercentral.amazon.com/myinventory/inventory?fulfilledBy=all&amp;page=1&amp;pageSize=25&amp;searchField=all&amp;searchTerm=SFW-BAG-RS-P1&amp;sort=sku_asc&amp;status=all&amp;ref_=xx_invmgr_favb_xx" TargetMode="External"/><Relationship Id="rId95" Type="http://schemas.openxmlformats.org/officeDocument/2006/relationships/hyperlink" Target="https://sellercentral.amazon.com/myinventory/inventory?fulfilledBy=all&amp;page=1&amp;pageSize=25&amp;searchField=all&amp;searchTerm=LB-LABEL-LS-03F00F-GROUP9&amp;sort=available_desc&amp;status=all&amp;ref_=xx_invmgr_dnav_xx" TargetMode="External"/><Relationship Id="rId94" Type="http://schemas.openxmlformats.org/officeDocument/2006/relationships/hyperlink" Target="https://sellercentral.amazon.com/myinventory/inventory?fulfilledBy=all&amp;page=1&amp;pageSize=25&amp;searchField=all&amp;searchTerm=LB-LABEL-LS-0302-GROUP5&amp;sort=available_desc&amp;status=all&amp;ref_=xx_invmgr_dnav_xx" TargetMode="External"/><Relationship Id="rId97" Type="http://schemas.openxmlformats.org/officeDocument/2006/relationships/hyperlink" Target="https://sellercentral.amazon.com/myinventory/inventory?fulfilledBy=all&amp;page=1&amp;pageSize=25&amp;searchField=all&amp;searchTerm=BAG-FLAT_GROUP92&amp;sort=date_created_desc&amp;status=all&amp;ref_=xx_invmgr_dnav_xx" TargetMode="External"/><Relationship Id="rId96" Type="http://schemas.openxmlformats.org/officeDocument/2006/relationships/hyperlink" Target="https://sellercentral.amazon.com/myinventory/inventory?fulfilledBy=all&amp;page=1&amp;pageSize=25&amp;searchField=all&amp;searchTerm=04-RFYA-CPVH&amp;sort=sku_asc&amp;status=all&amp;ref_=xx_invmgr_favb_xx" TargetMode="External"/><Relationship Id="rId99" Type="http://schemas.openxmlformats.org/officeDocument/2006/relationships/hyperlink" Target="https://sellercentral.amazon.com/myinventory/inventory?fulfilledBy=all&amp;page=1&amp;pageSize=25&amp;searchField=all&amp;searchTerm=LB-LABEL-LS-0404-GROUP10&amp;sort=available_desc&amp;status=all&amp;ref_=xx_invmgr_dnav_xx" TargetMode="External"/><Relationship Id="rId98" Type="http://schemas.openxmlformats.org/officeDocument/2006/relationships/hyperlink" Target="https://sellercentral.amazon.com/myinventory/inventory?fulfilledBy=all&amp;page=1&amp;pageSize=25&amp;searchField=all&amp;searchTerm=LB-LABEL-LS-0402F-GROUP7&amp;sort=available_desc&amp;status=all&amp;ref_=xx_invmgr_dnav_xx" TargetMode="External"/><Relationship Id="rId91" Type="http://schemas.openxmlformats.org/officeDocument/2006/relationships/hyperlink" Target="https://sellercentral.amazon.com/myinventory/inventory?fulfilledBy=all&amp;page=1&amp;pageSize=25&amp;searchField=all&amp;searchTerm=BAG-FLAT-200-GROUP18&amp;sort=date_created_desc&amp;status=all&amp;ref_=xx_invmgr_dnav_xx" TargetMode="External"/><Relationship Id="rId90" Type="http://schemas.openxmlformats.org/officeDocument/2006/relationships/hyperlink" Target="https://sellercentral.amazon.com/myinventory/inventory?fulfilledBy=all&amp;page=1&amp;pageSize=25&amp;searchField=all&amp;searchTerm=LB-LABEL-LS-0202-GROUP6&amp;sort=available_desc&amp;status=all&amp;ref_=xx_invmgr_dnav_xx" TargetMode="External"/><Relationship Id="rId93" Type="http://schemas.openxmlformats.org/officeDocument/2006/relationships/hyperlink" Target="https://sellercentral.amazon.com/myinventory/inventory?fulfilledBy=all&amp;page=1&amp;pageSize=25&amp;searchField=all&amp;searchTerm=BAG-FLAT-1000-GROUP19&amp;sort=sku_asc&amp;status=all" TargetMode="External"/><Relationship Id="rId92" Type="http://schemas.openxmlformats.org/officeDocument/2006/relationships/hyperlink" Target="https://sellercentral.amazon.com/myinventory/inventory?fulfilledBy=all&amp;page=1&amp;pageSize=25&amp;searchField=all&amp;searchTerm=LB-LABEL-LS-02F03FGROUP2&amp;sort=available_desc&amp;status=all&amp;ref_=xx_invmgr_dnav_xx" TargetMode="External"/><Relationship Id="rId118" Type="http://schemas.openxmlformats.org/officeDocument/2006/relationships/hyperlink" Target="https://sellercentral.amazon.com/myinventory/inventory?fulfilledBy=all&amp;page=1&amp;pageSize=25&amp;searchField=all&amp;searchTerm=BAG-SUF-2&amp;sort=sku_asc&amp;status=all" TargetMode="External"/><Relationship Id="rId117" Type="http://schemas.openxmlformats.org/officeDocument/2006/relationships/hyperlink" Target="https://sellercentral.amazon.com/myinventory/inventory?fulfilledBy=all&amp;page=1&amp;pageSize=25&amp;searchField=all&amp;searchTerm=BAG-CELLO-O-5&amp;sort=sku_asc&amp;status=all" TargetMode="External"/><Relationship Id="rId116" Type="http://schemas.openxmlformats.org/officeDocument/2006/relationships/hyperlink" Target="https://sellercentral.amazon.com/myinventory/inventory/variations/QkFHLVNVRi0xMDAtUEFSRU5U?fulfilledBy=all&amp;page=1&amp;pageSize=25&amp;sort=date_created_desc&amp;status=all" TargetMode="External"/><Relationship Id="rId115" Type="http://schemas.openxmlformats.org/officeDocument/2006/relationships/hyperlink" Target="https://sellercentral.amazon.com/myinventory/inventory?fulfilledBy=all&amp;page=1&amp;pageSize=25&amp;searchField=all&amp;searchTerm=AD-MSVG-ZICJ&amp;sort=sku_asc&amp;status=all" TargetMode="External"/><Relationship Id="rId119" Type="http://schemas.openxmlformats.org/officeDocument/2006/relationships/hyperlink" Target="https://sellercentral.amazon.com/myinventory/inventory?fulfilledBy=all&amp;page=1&amp;pageSize=25&amp;searchField=all&amp;searchTerm=BAGCELLOPIC-1&amp;sort=sku_asc&amp;status=all" TargetMode="External"/><Relationship Id="rId110" Type="http://schemas.openxmlformats.org/officeDocument/2006/relationships/hyperlink" Target="https://sellercentral.amazon.com/myinventory/inventory?fulfilledBy=all&amp;page=1&amp;pageSize=25&amp;searchField=all&amp;searchTerm=04-RFYA-CPVH&amp;sort=sku_asc&amp;status=all&amp;ref_=xx_invmgr_favb_xx" TargetMode="External"/><Relationship Id="rId114" Type="http://schemas.openxmlformats.org/officeDocument/2006/relationships/hyperlink" Target="https://sellercentral.amazon.com/myinventory/inventory?fulfilledBy=all&amp;page=1&amp;pageSize=25&amp;searchField=all&amp;searchTerm=BAG-CELLO-O-1&amp;sort=sku_asc&amp;status=all" TargetMode="External"/><Relationship Id="rId113" Type="http://schemas.openxmlformats.org/officeDocument/2006/relationships/hyperlink" Target="https://sellercentral.amazon.com/myinventory/inventory?fulfilledBy=all&amp;page=1&amp;pageSize=25&amp;searchField=all&amp;searchTerm=X8-2I86-DN7G&amp;sort=sku_asc&amp;status=all" TargetMode="External"/><Relationship Id="rId112" Type="http://schemas.openxmlformats.org/officeDocument/2006/relationships/hyperlink" Target="https://sellercentral.amazon.com/myinventory/inventory?fulfilledBy=all&amp;page=1&amp;pageSize=25&amp;searchField=all&amp;searchTerm=CELLO-BAG-O-1&amp;sort=sku_asc&amp;status=all" TargetMode="External"/><Relationship Id="rId111" Type="http://schemas.openxmlformats.org/officeDocument/2006/relationships/hyperlink" Target="https://sellercentral.amazon.com/myinventory/inventory?fulfilledBy=all&amp;page=1&amp;pageSize=25&amp;searchField=all&amp;searchTerm=SFW-BAG-RS-P1&amp;sort=sku_asc&amp;status=all&amp;ref_=xx_invmgr_favb_xx" TargetMode="External"/><Relationship Id="rId206" Type="http://schemas.openxmlformats.org/officeDocument/2006/relationships/hyperlink" Target="https://sellercentral.amazon.com/myinventory/inventory?fulfilledBy=all&amp;page=1&amp;pageSize=25&amp;searchField=all&amp;searchTerm=TP-DUCT-MC-2-6&amp;sort=sku_asc&amp;status=all" TargetMode="External"/><Relationship Id="rId205" Type="http://schemas.openxmlformats.org/officeDocument/2006/relationships/hyperlink" Target="https://sellercentral.amazon.com/myinventory/inventory?fulfilledBy=all&amp;page=1&amp;pageSize=25&amp;searchField=all&amp;searchTerm=TP-DUCT-1&amp;sort=sku_asc&amp;status=all" TargetMode="External"/><Relationship Id="rId204" Type="http://schemas.openxmlformats.org/officeDocument/2006/relationships/hyperlink" Target="https://sellercentral.amazon.com/myinventory/inventory?fulfilledBy=all&amp;page=1&amp;pageSize=25&amp;searchField=all&amp;searchTerm=TP-RUB-1&amp;sort=sku_asc&amp;status=all&amp;ref_=xx_invmgr_favb_xx" TargetMode="External"/><Relationship Id="rId203" Type="http://schemas.openxmlformats.org/officeDocument/2006/relationships/hyperlink" Target="https://sellercentral.amazon.com/myinventory/inventory?fulfilledBy=all&amp;page=1&amp;pageSize=25&amp;searchField=all&amp;searchTerm=TP-DUCT-1&amp;sort=sku_asc&amp;status=all" TargetMode="External"/><Relationship Id="rId209" Type="http://schemas.openxmlformats.org/officeDocument/2006/relationships/hyperlink" Target="https://sellercentral.amazon.com/myinventory/inventory?fulfilledBy=all&amp;page=1&amp;pageSize=25&amp;searchField=all&amp;searchTerm=TP-MASK-NAT-1&amp;sort=sku_asc&amp;status=all" TargetMode="External"/><Relationship Id="rId208" Type="http://schemas.openxmlformats.org/officeDocument/2006/relationships/hyperlink" Target="https://sellercentral.amazon.com/myinventory/inventory?fulfilledBy=all&amp;page=1&amp;pageSize=25&amp;searchField=all&amp;searchTerm=TP-DUCT-MIX-7-7&amp;sort=sku_asc&amp;status=all" TargetMode="External"/><Relationship Id="rId207" Type="http://schemas.openxmlformats.org/officeDocument/2006/relationships/hyperlink" Target="https://sellercentral.amazon.com/myinventory/inventory?fulfilledBy=all&amp;page=1&amp;pageSize=25&amp;searchField=all&amp;searchTerm=TP-DUCT-MC-2-6&amp;sort=sku_asc&amp;status=all" TargetMode="External"/><Relationship Id="rId202" Type="http://schemas.openxmlformats.org/officeDocument/2006/relationships/hyperlink" Target="https://sellercentral.amazon.com/myinventory/inventory?fulfilledBy=all&amp;page=1&amp;pageSize=25&amp;searchField=all&amp;searchTerm=TP-RUB-1&amp;sort=sku_asc&amp;status=all&amp;ref_=xx_invmgr_favb_xx" TargetMode="External"/><Relationship Id="rId201" Type="http://schemas.openxmlformats.org/officeDocument/2006/relationships/hyperlink" Target="https://sellercentral.amazon.com/myinventory/inventory?fulfilledBy=all&amp;page=1&amp;pageSize=25&amp;searchField=all&amp;searchTerm=TP-SAFE&amp;sort=sku_asc&amp;status=all" TargetMode="External"/><Relationship Id="rId200" Type="http://schemas.openxmlformats.org/officeDocument/2006/relationships/hyperlink" Target="https://sellercentral.amazon.com/myinventory/inventory?fulfilledBy=all&amp;page=1&amp;pageSize=25&amp;searchField=all&amp;searchTerm=TP-FIL-6-GROUP70&amp;sort=sku_asc&amp;status=all&amp;ref_=xx_invmgr_favb_xx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ellercentral.amazon.com/myinventory/inventory?fulfilledBy=all&amp;page=1&amp;pageSize=25&amp;searchField=all&amp;searchTerm=MT-B743-NEPX&amp;sort=sku_asc&amp;status=all" TargetMode="External"/><Relationship Id="rId190" Type="http://schemas.openxmlformats.org/officeDocument/2006/relationships/hyperlink" Target="https://sellercentral.amazon.com/myinventory/inventory?fulfilledBy=all&amp;page=1&amp;pageSize=25&amp;searchField=all&amp;searchTerm=TL-ELC-24&amp;sort=sku_asc&amp;status=all" TargetMode="External"/><Relationship Id="rId42" Type="http://schemas.openxmlformats.org/officeDocument/2006/relationships/hyperlink" Target="https://sellercentral.amazon.com/myinventory/inventory?fulfilledBy=all&amp;page=1&amp;pageSize=25&amp;searchField=all&amp;searchTerm=LB-DT-CLR&amp;sort=sku_asc&amp;status=all" TargetMode="External"/><Relationship Id="rId41" Type="http://schemas.openxmlformats.org/officeDocument/2006/relationships/hyperlink" Target="https://sellercentral.amazon.com/myinventory/inventory?fulfilledBy=all&amp;page=1&amp;pageSize=25&amp;searchField=all&amp;searchTerm=JA-AGQN_BUUQ&amp;sort=date_created_desc&amp;status=all&amp;ref_=xx_invmgr_dnav_xx" TargetMode="External"/><Relationship Id="rId44" Type="http://schemas.openxmlformats.org/officeDocument/2006/relationships/hyperlink" Target="https://sellercentral.amazon.com/myinventory/inventory?fulfilledBy=all&amp;page=1&amp;pageSize=25&amp;searchField=all&amp;searchTerm=LB-DM1744907-4X6&amp;sort=sku_asc&amp;status=all" TargetMode="External"/><Relationship Id="rId194" Type="http://schemas.openxmlformats.org/officeDocument/2006/relationships/hyperlink" Target="https://sellercentral.amazon.com/myinventory/inventory?fulfilledBy=all&amp;page=1&amp;pageSize=25&amp;searchField=all&amp;searchTerm=TP-DUCT-1&amp;sort=sku_asc&amp;status=all" TargetMode="External"/><Relationship Id="rId43" Type="http://schemas.openxmlformats.org/officeDocument/2006/relationships/hyperlink" Target="https://sellercentral.amazon.com/myinventory/inventory?fulfilledBy=all&amp;page=1&amp;pageSize=25&amp;searchField=all&amp;searchTerm=BAG-ZIP-200-GROUP12&amp;sort=date_created_desc&amp;status=all&amp;ref_=xx_invmgr_dnav_xx" TargetMode="External"/><Relationship Id="rId193" Type="http://schemas.openxmlformats.org/officeDocument/2006/relationships/hyperlink" Target="https://sellercentral.amazon.com/myinventory/inventory?fulfilledBy=all&amp;page=1&amp;pageSize=25&amp;searchField=all&amp;searchTerm=TP-RUB-1&amp;sort=sku_asc&amp;status=all&amp;ref_=xx_invmgr_favb_xx" TargetMode="External"/><Relationship Id="rId46" Type="http://schemas.openxmlformats.org/officeDocument/2006/relationships/hyperlink" Target="https://sellercentral.amazon.com/myinventory/inventory?fulfilledBy=all&amp;page=1&amp;pageSize=25&amp;searchField=all&amp;searchTerm=BAG-ZIP-100-GROUP103&amp;sort=sku_asc&amp;status=all" TargetMode="External"/><Relationship Id="rId192" Type="http://schemas.openxmlformats.org/officeDocument/2006/relationships/hyperlink" Target="https://sellercentral.amazon.com/myinventory/inventory?fulfilledBy=all&amp;page=1&amp;pageSize=25&amp;searchField=all&amp;searchTerm=TP-SAFE&amp;sort=sku_asc&amp;status=all" TargetMode="External"/><Relationship Id="rId45" Type="http://schemas.openxmlformats.org/officeDocument/2006/relationships/hyperlink" Target="https://sellercentral.amazon.com/myinventory/inventory?fulfilledBy=all&amp;page=1&amp;pageSize=25&amp;searchField=all&amp;searchTerm=HQ-7ROB-2B2T&amp;sort=sku_asc&amp;status=all&amp;ref_=xx_invmgr_favb_xx" TargetMode="External"/><Relationship Id="rId191" Type="http://schemas.openxmlformats.org/officeDocument/2006/relationships/hyperlink" Target="https://sellercentral.amazon.com/myinventory/inventory?fulfilledBy=all&amp;page=1&amp;pageSize=25&amp;searchField=all&amp;searchTerm=TP-FIL-6-GROUP70&amp;sort=sku_asc&amp;status=all&amp;ref_=xx_invmgr_favb_xx" TargetMode="External"/><Relationship Id="rId48" Type="http://schemas.openxmlformats.org/officeDocument/2006/relationships/hyperlink" Target="https://sellercentral.amazon.com/myinventory/inventory?fulfilledBy=all&amp;page=1&amp;pageSize=25&amp;searchField=all&amp;searchTerm=BAG-ZIPLOCK-GROUP104&amp;sort=sku_asc&amp;status=all" TargetMode="External"/><Relationship Id="rId187" Type="http://schemas.openxmlformats.org/officeDocument/2006/relationships/hyperlink" Target="https://sellercentral.amazon.com/myinventory/inventory?fulfilledBy=all&amp;page=1&amp;pageSize=25&amp;searchField=all&amp;searchTerm=SI-LABEL-LS-02F01F-PARENT&amp;sort=sku_asc&amp;status=all" TargetMode="External"/><Relationship Id="rId47" Type="http://schemas.openxmlformats.org/officeDocument/2006/relationships/hyperlink" Target="https://sellercentral.amazon.com/myinventory/inventory?fulfilledBy=all&amp;page=1&amp;pageSize=25&amp;searchField=all&amp;searchTerm=NM-8NRT-SLRZ&amp;sort=sku_asc&amp;status=all" TargetMode="External"/><Relationship Id="rId186" Type="http://schemas.openxmlformats.org/officeDocument/2006/relationships/hyperlink" Target="https://sellercentral.amazon.com/myinventory/inventory?fulfilledBy=all&amp;page=1&amp;pageSize=25&amp;searchField=all&amp;searchTerm=SI-LABEL-LS-01F01-P&amp;sort=sku_asc&amp;status=all&amp;ref_=xx_invmgr_favb_xx" TargetMode="External"/><Relationship Id="rId185" Type="http://schemas.openxmlformats.org/officeDocument/2006/relationships/hyperlink" Target="https://sellercentral.amazon.com/myinventory/inventory?fulfilledBy=all&amp;page=1&amp;pageSize=25&amp;searchField=all&amp;searchTerm=B0GW9LP74R&amp;sort=sku_asc&amp;status=all&amp;ref_=xx_invmgr_favb_xx" TargetMode="External"/><Relationship Id="rId49" Type="http://schemas.openxmlformats.org/officeDocument/2006/relationships/hyperlink" Target="https://sellercentral.amazon.com/myinventory/inventory?fulfilledBy=all&amp;page=1&amp;pageSize=25&amp;searchField=all&amp;searchTerm=DK-BRO-COM&amp;sort=sku_asc&amp;status=all" TargetMode="External"/><Relationship Id="rId184" Type="http://schemas.openxmlformats.org/officeDocument/2006/relationships/hyperlink" Target="https://sellercentral.amazon.com/myinventory/inventory?fulfilledBy=all&amp;page=1&amp;pageSize=25&amp;searchField=all&amp;searchTerm=B0GW9Q31N3&amp;sort=sku_asc&amp;status=all&amp;ref_=xx_invmgr_favb_xx" TargetMode="External"/><Relationship Id="rId189" Type="http://schemas.openxmlformats.org/officeDocument/2006/relationships/hyperlink" Target="https://sellercentral.amazon.com/myinventory/inventory?fulfilledBy=all&amp;page=1&amp;pageSize=25&amp;searchField=all&amp;searchTerm=TP-SAFE&amp;sort=sku_asc&amp;status=all" TargetMode="External"/><Relationship Id="rId188" Type="http://schemas.openxmlformats.org/officeDocument/2006/relationships/hyperlink" Target="https://sellercentral.amazon.com/myinventory/inventory?fulfilledBy=all&amp;page=1&amp;pageSize=25&amp;searchField=all&amp;searchTerm=TP-CLR-HVD-1&amp;sort=sku_asc&amp;status=all" TargetMode="External"/><Relationship Id="rId31" Type="http://schemas.openxmlformats.org/officeDocument/2006/relationships/hyperlink" Target="https://sellercentral.amazon.com/myinventory/inventory?fulfilledBy=all&amp;page=1&amp;pageSize=25&amp;searchField=all&amp;searchTerm=LB-DT0SZE&amp;sort=date_created_desc&amp;status=all&amp;ref_=xx_invmgr_favb_xx" TargetMode="External"/><Relationship Id="rId30" Type="http://schemas.openxmlformats.org/officeDocument/2006/relationships/hyperlink" Target="https://sellercentral.amazon.com/myinventory/inventory?fulfilledBy=all&amp;page=1&amp;pageSize=25&amp;searchField=all&amp;searchTerm=W4-H2M5-POEL&amp;sort=sku_asc&amp;status=all" TargetMode="External"/><Relationship Id="rId33" Type="http://schemas.openxmlformats.org/officeDocument/2006/relationships/hyperlink" Target="https://sellercentral.amazon.com/myinventory/inventory?fulfilledBy=all&amp;page=1&amp;pageSize=25&amp;searchField=all&amp;searchTerm=LB-DT0406-450&amp;sort=date_created_desc&amp;status=all&amp;ref_=xx_invmgr_favb_xx" TargetMode="External"/><Relationship Id="rId183" Type="http://schemas.openxmlformats.org/officeDocument/2006/relationships/hyperlink" Target="https://sellercentral.amazon.com/myinventory/inventory?fulfilledBy=all&amp;page=1&amp;pageSize=25&amp;searchField=all&amp;searchTerm=B0GW9KQ7HR&amp;sort=sku_asc&amp;status=all&amp;ref_=xx_invmgr_favb_xx" TargetMode="External"/><Relationship Id="rId32" Type="http://schemas.openxmlformats.org/officeDocument/2006/relationships/hyperlink" Target="https://sellercentral.amazon.com/myinventory/inventory?fulfilledBy=all&amp;page=1&amp;pageSize=25&amp;searchField=all&amp;searchTerm=BAG-ZIP-GROUP10&amp;sort=sku_asc&amp;status=all" TargetMode="External"/><Relationship Id="rId182" Type="http://schemas.openxmlformats.org/officeDocument/2006/relationships/hyperlink" Target="https://sellercentral.amazon.com/myinventory/inventory?fulfilledBy=all&amp;page=1&amp;pageSize=25&amp;searchField=all&amp;searchTerm=B0GW9HNQVY&amp;sort=sku_asc&amp;status=all&amp;ref_=xx_invmgr_favb_xx" TargetMode="External"/><Relationship Id="rId35" Type="http://schemas.openxmlformats.org/officeDocument/2006/relationships/hyperlink" Target="https://sellercentral.amazon.com/myinventory/inventory?fulfilledBy=all&amp;page=1&amp;pageSize=25&amp;searchField=all&amp;searchTerm=UI-DIXL-D8W7&amp;sort=date_created_desc&amp;status=all&amp;ref_=xx_invmgr_dnav_xx" TargetMode="External"/><Relationship Id="rId181" Type="http://schemas.openxmlformats.org/officeDocument/2006/relationships/hyperlink" Target="https://sellercentral.amazon.com/myinventory/inventory?fulfilledBy=all&amp;page=1&amp;pageSize=25&amp;searchField=all&amp;searchTerm=B0GW9PX3B1&amp;sort=sku_asc&amp;status=all&amp;ref_=xx_invmgr_favb_xx" TargetMode="External"/><Relationship Id="rId34" Type="http://schemas.openxmlformats.org/officeDocument/2006/relationships/hyperlink" Target="https://sellercentral.amazon.com/myinventory/inventory?fulfilledBy=all&amp;page=1&amp;pageSize=25&amp;searchField=all&amp;searchTerm=B0GS3Q5GV2&amp;sort=available_desc&amp;status=all" TargetMode="External"/><Relationship Id="rId180" Type="http://schemas.openxmlformats.org/officeDocument/2006/relationships/hyperlink" Target="https://sellercentral.amazon.com/myinventory/inventory?fulfilledBy=all&amp;page=1&amp;pageSize=25&amp;searchField=all&amp;searchTerm=B0GW9M72DF&amp;sort=sku_asc&amp;status=all&amp;ref_=xx_invmgr_favb_xx" TargetMode="External"/><Relationship Id="rId37" Type="http://schemas.openxmlformats.org/officeDocument/2006/relationships/hyperlink" Target="https://sellercentral.amazon.com/myinventory/inventory?fulfilledBy=all&amp;page=1&amp;pageSize=25&amp;searchField=all&amp;searchTerm=NM-8NRT-SLRZ&amp;sort=sku_asc&amp;status=all" TargetMode="External"/><Relationship Id="rId176" Type="http://schemas.openxmlformats.org/officeDocument/2006/relationships/hyperlink" Target="https://sellercentral.amazon.com/myinventory/inventory?fulfilledBy=all&amp;page=1&amp;pageSize=25&amp;searchField=all&amp;searchTerm=SI-LABEL-LS-0404-GROUP97&amp;sort=date_created_desc&amp;status=all&amp;ref_=xx_invmgr_favb_xx" TargetMode="External"/><Relationship Id="rId36" Type="http://schemas.openxmlformats.org/officeDocument/2006/relationships/hyperlink" Target="https://sellercentral.amazon.com/myinventory/inventory/variations/TEItRFQtUGFyZW50LTA3?fulfilledBy=all&amp;page=1&amp;pageSize=25&amp;sort=available_desc&amp;status=all" TargetMode="External"/><Relationship Id="rId175" Type="http://schemas.openxmlformats.org/officeDocument/2006/relationships/hyperlink" Target="https://sellercentral.amazon.com/myinventory/inventory?fulfilledBy=all&amp;page=1&amp;pageSize=25&amp;searchField=all&amp;searchTerm=SI-LABEL-LS-03F02-O-GROUP96&amp;sort=date_created_desc&amp;status=all&amp;ref_=xx_invmgr_favb_xx" TargetMode="External"/><Relationship Id="rId39" Type="http://schemas.openxmlformats.org/officeDocument/2006/relationships/hyperlink" Target="https://sellercentral.amazon.com/myinventory/inventory?fulfilledBy=all&amp;page=1&amp;pageSize=25&amp;searchField=all&amp;searchTerm=B0GRMZ5FV4&amp;sort=date_created_desc&amp;status=all&amp;ref_=xx_invmgr_dnav_xx" TargetMode="External"/><Relationship Id="rId174" Type="http://schemas.openxmlformats.org/officeDocument/2006/relationships/hyperlink" Target="https://sellercentral.amazon.com/myinventory/inventory?fulfilledBy=all&amp;page=1&amp;pageSize=25&amp;searchField=all&amp;searchTerm=SI-LABEL-LS-0203F-AV-GROUP95&amp;sort=date_created_desc&amp;status=all&amp;ref_=xx_invmgr_favb_xx" TargetMode="External"/><Relationship Id="rId38" Type="http://schemas.openxmlformats.org/officeDocument/2006/relationships/hyperlink" Target="https://sellercentral.amazon.com/myinventory/inventory?fulfilledBy=all&amp;page=1&amp;pageSize=25&amp;searchField=all&amp;searchTerm=LB-DM-12RLLS&amp;sort=date_created_desc&amp;status=all&amp;ref_=xx_invmgr_favb_xx" TargetMode="External"/><Relationship Id="rId173" Type="http://schemas.openxmlformats.org/officeDocument/2006/relationships/hyperlink" Target="https://sellercentral.amazon.com/myinventory/inventory?fulfilledBy=all&amp;page=1&amp;pageSize=25&amp;searchField=all&amp;searchTerm=SI-Label-LS-C-2&amp;sort=sku_asc&amp;status=all&amp;ref_=xx_invmgr_favb_xx" TargetMode="External"/><Relationship Id="rId179" Type="http://schemas.openxmlformats.org/officeDocument/2006/relationships/hyperlink" Target="https://sellercentral.amazon.com/myinventory/inventory?fulfilledBy=all&amp;page=1&amp;pageSize=25&amp;searchField=all&amp;searchTerm=B0GW9MYPNJ&amp;sort=sku_asc&amp;status=all&amp;ref_=xx_invmgr_favb_xx" TargetMode="External"/><Relationship Id="rId178" Type="http://schemas.openxmlformats.org/officeDocument/2006/relationships/hyperlink" Target="https://sellercentral.amazon.com/myinventory/inventory?fulfilledBy=all&amp;page=1&amp;pageSize=25&amp;searchField=all&amp;searchTerm=B0GW9V26YC&amp;sort=sku_asc&amp;status=all&amp;ref_=xx_invmgr_favb_xx" TargetMode="External"/><Relationship Id="rId177" Type="http://schemas.openxmlformats.org/officeDocument/2006/relationships/hyperlink" Target="https://sellercentral.amazon.com/myinventory/inventory?fulfilledBy=all&amp;page=1&amp;pageSize=25&amp;searchField=all&amp;searchTerm=B0GW9RG4BV&amp;sort=sku_asc&amp;status=all&amp;ref_=xx_invmgr_favb_xx" TargetMode="External"/><Relationship Id="rId20" Type="http://schemas.openxmlformats.org/officeDocument/2006/relationships/hyperlink" Target="https://sellercentral.amazon.com/myinventory/inventory?fulfilledBy=all&amp;page=1&amp;pageSize=25&amp;searchField=all&amp;searchTerm=2N-528Q-Q2ZO&amp;sort=sku_asc&amp;status=all" TargetMode="External"/><Relationship Id="rId22" Type="http://schemas.openxmlformats.org/officeDocument/2006/relationships/hyperlink" Target="https://sellercentral.amazon.com/myinventory/inventory?fulfilledBy=all&amp;page=1&amp;pageSize=25&amp;searchField=all&amp;searchTerm=CL-X712-XMZZ&amp;sort=sku_asc&amp;status=all" TargetMode="External"/><Relationship Id="rId21" Type="http://schemas.openxmlformats.org/officeDocument/2006/relationships/hyperlink" Target="https://sellercentral.amazon.com/myinventory/inventory?fulfilledBy=all&amp;page=1&amp;pageSize=25&amp;searchField=all&amp;searchTerm=BAG-ZIP-1000-GROUP47&amp;sort=sku_asc&amp;status=all" TargetMode="External"/><Relationship Id="rId24" Type="http://schemas.openxmlformats.org/officeDocument/2006/relationships/hyperlink" Target="https://sellercentral.amazon.com/myinventory/inventory?fulfilledBy=all&amp;page=1&amp;pageSize=25&amp;searchField=all&amp;searchTerm=QS-BB2G-TA2A&amp;sort=sku_asc&amp;status=all" TargetMode="External"/><Relationship Id="rId23" Type="http://schemas.openxmlformats.org/officeDocument/2006/relationships/hyperlink" Target="https://sellercentral.amazon.com/myinventory/inventory?fulfilledBy=all&amp;page=1&amp;pageSize=25&amp;searchField=all&amp;searchTerm=LB-DTSZSY-001&amp;sort=date_created_desc&amp;status=all&amp;ref_=xx_invmgr_favb_xx" TargetMode="External"/><Relationship Id="rId26" Type="http://schemas.openxmlformats.org/officeDocument/2006/relationships/hyperlink" Target="https://sellercentral.amazon.com/myinventory/inventory?fulfilledBy=all&amp;page=1&amp;pageSize=25&amp;searchField=all&amp;searchTerm=MT-B743-NEPX&amp;sort=sku_asc&amp;status=all" TargetMode="External"/><Relationship Id="rId25" Type="http://schemas.openxmlformats.org/officeDocument/2006/relationships/hyperlink" Target="https://sellercentral.amazon.com/myinventory/inventory?fulfilledBy=all&amp;page=1&amp;pageSize=25&amp;searchField=all&amp;searchTerm=BAG-ZIP-GROUP9&amp;sort=sku_asc&amp;status=all" TargetMode="External"/><Relationship Id="rId28" Type="http://schemas.openxmlformats.org/officeDocument/2006/relationships/hyperlink" Target="https://sellercentral.amazon.com/myinventory/inventory?fulfilledBy=all&amp;page=1&amp;pageSize=25&amp;searchField=all&amp;searchTerm=LB-DT1ROLL&amp;sort=date_created_desc&amp;status=all&amp;ref_=xx_invmgr_favb_xx" TargetMode="External"/><Relationship Id="rId27" Type="http://schemas.openxmlformats.org/officeDocument/2006/relationships/hyperlink" Target="https://sellercentral.amazon.com/myinventory/inventory?fulfilledBy=all&amp;page=1&amp;pageSize=25&amp;searchField=all&amp;searchTerm=02-W7IX-BNKW&amp;sort=sku_asc&amp;status=all" TargetMode="External"/><Relationship Id="rId29" Type="http://schemas.openxmlformats.org/officeDocument/2006/relationships/hyperlink" Target="https://sellercentral.amazon.com/myinventory/inventory?fulfilledBy=all&amp;page=1&amp;pageSize=25&amp;searchField=all&amp;searchTerm=AH-3OVD-YBTO&amp;sort=sku_asc&amp;status=all" TargetMode="External"/><Relationship Id="rId11" Type="http://schemas.openxmlformats.org/officeDocument/2006/relationships/hyperlink" Target="https://sellercentral.amazon.com/myinventory/inventory?fulfilledBy=all&amp;page=1&amp;pageSize=25&amp;searchField=all&amp;searchTerm=LB-DT-Parent-04&amp;sort=date_created_desc&amp;status=all&amp;ref_=xx_invmgr_favb_xx" TargetMode="External"/><Relationship Id="rId10" Type="http://schemas.openxmlformats.org/officeDocument/2006/relationships/hyperlink" Target="https://sellercentral.amazon.com/myinventory/inventory?fulfilledBy=all&amp;page=1&amp;pageSize=25&amp;searchField=all&amp;searchTerm=BAG-CELLO-A_GROUP+3&amp;sort=sku_asc&amp;status=all" TargetMode="External"/><Relationship Id="rId13" Type="http://schemas.openxmlformats.org/officeDocument/2006/relationships/hyperlink" Target="https://sellercentral.amazon.com/myinventory/inventory?fulfilledBy=all&amp;page=1&amp;pageSize=25&amp;searchField=all&amp;searchTerm=V2-QVNE-TJQF&amp;sort=sku_asc&amp;status=all" TargetMode="External"/><Relationship Id="rId12" Type="http://schemas.openxmlformats.org/officeDocument/2006/relationships/hyperlink" Target="https://sellercentral.amazon.com/myinventory/inventory?fulfilledBy=all&amp;page=1&amp;pageSize=25&amp;searchField=all&amp;searchTerm=BAG-ZIP-HD-GROUP4&amp;sort=date_created_desc&amp;status=all" TargetMode="External"/><Relationship Id="rId15" Type="http://schemas.openxmlformats.org/officeDocument/2006/relationships/hyperlink" Target="https://sellercentral.amazon.com/myinventory/inventory?fulfilledBy=all&amp;page=1&amp;pageSize=25&amp;searchField=all&amp;searchTerm=V2-QVNE-TJQF&amp;sort=sku_asc&amp;status=all" TargetMode="External"/><Relationship Id="rId198" Type="http://schemas.openxmlformats.org/officeDocument/2006/relationships/hyperlink" Target="https://sellercentral.amazon.com/myinventory/inventory?fulfilledBy=all&amp;page=1&amp;pageSize=25&amp;searchField=all&amp;searchTerm=TP-DUCT-MC-2-6&amp;sort=sku_asc&amp;status=all" TargetMode="External"/><Relationship Id="rId14" Type="http://schemas.openxmlformats.org/officeDocument/2006/relationships/hyperlink" Target="https://sellercentral.amazon.com/myinventory/inventory?fulfilledBy=all&amp;page=1&amp;pageSize=25&amp;searchField=all&amp;searchTerm=LB-DT-Parent-05&amp;sort=date_created_desc&amp;status=all&amp;ref_=xx_invmgr_favb_xx" TargetMode="External"/><Relationship Id="rId197" Type="http://schemas.openxmlformats.org/officeDocument/2006/relationships/hyperlink" Target="https://sellercentral.amazon.com/myinventory/inventory?fulfilledBy=all&amp;page=1&amp;pageSize=25&amp;searchField=all&amp;searchTerm=TP-DUCT-MC-2-6&amp;sort=sku_asc&amp;status=all" TargetMode="External"/><Relationship Id="rId17" Type="http://schemas.openxmlformats.org/officeDocument/2006/relationships/hyperlink" Target="https://sellercentral.amazon.com/myinventory/inventory?fulfilledBy=all&amp;page=1&amp;pageSize=25&amp;searchField=all&amp;searchTerm=EB-PQ2A-K1D8&amp;sort=sku_asc&amp;status=all" TargetMode="External"/><Relationship Id="rId196" Type="http://schemas.openxmlformats.org/officeDocument/2006/relationships/hyperlink" Target="https://sellercentral.amazon.com/myinventory/inventory?fulfilledBy=all&amp;page=1&amp;pageSize=25&amp;searchField=all&amp;searchTerm=TP-DUCT-1&amp;sort=sku_asc&amp;status=all" TargetMode="External"/><Relationship Id="rId16" Type="http://schemas.openxmlformats.org/officeDocument/2006/relationships/hyperlink" Target="https://sellercentral.amazon.com/myinventory/inventory?fulfilledBy=all&amp;page=1&amp;pageSize=25&amp;searchField=all&amp;searchTerm=BAG-ZIP-HD-GROUP5&amp;sort=date_created_desc&amp;status=all&amp;ref_=xx_invmgr_favb_xx" TargetMode="External"/><Relationship Id="rId195" Type="http://schemas.openxmlformats.org/officeDocument/2006/relationships/hyperlink" Target="https://sellercentral.amazon.com/myinventory/inventory?fulfilledBy=all&amp;page=1&amp;pageSize=25&amp;searchField=all&amp;searchTerm=TP-RUB-1&amp;sort=sku_asc&amp;status=all&amp;ref_=xx_invmgr_favb_xx" TargetMode="External"/><Relationship Id="rId19" Type="http://schemas.openxmlformats.org/officeDocument/2006/relationships/hyperlink" Target="https://sellercentral.amazon.com/myinventory/inventory?fulfilledBy=all&amp;page=1&amp;pageSize=25&amp;searchField=all&amp;searchTerm=LB-DT-Parent-06&amp;sort=date_created_desc&amp;status=all&amp;ref_=xx_invmgr_favb_xx" TargetMode="External"/><Relationship Id="rId18" Type="http://schemas.openxmlformats.org/officeDocument/2006/relationships/hyperlink" Target="https://sellercentral.amazon.com/myinventory/inventory?fulfilledBy=all&amp;page=1&amp;pageSize=25&amp;searchField=all&amp;searchTerm=BAG-ZIP-GROUP99&amp;sort=sku_asc&amp;status=all" TargetMode="External"/><Relationship Id="rId199" Type="http://schemas.openxmlformats.org/officeDocument/2006/relationships/hyperlink" Target="https://sellercentral.amazon.com/myinventory/inventory?fulfilledBy=all&amp;page=1&amp;pageSize=25&amp;searchField=all&amp;searchTerm=TP-DUCT-MIX-7-7&amp;sort=sku_asc&amp;status=all" TargetMode="External"/><Relationship Id="rId84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83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86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85" Type="http://schemas.openxmlformats.org/officeDocument/2006/relationships/hyperlink" Target="https://sellercentral.amazon.com/myinventory/inventory?fulfilledBy=all&amp;page=1&amp;pageSize=25&amp;searchField=all&amp;searchTerm=BAG-ZIP-HH-HD-GROUP100&amp;sort=sku_asc&amp;status=all" TargetMode="External"/><Relationship Id="rId88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150" Type="http://schemas.openxmlformats.org/officeDocument/2006/relationships/hyperlink" Target="https://sellercentral.amazon.com/myinventory/inventory?fulfilledBy=all&amp;page=1&amp;pageSize=25&amp;searchField=all&amp;searchTerm=SI-LABEL-LS-0301F-PARENT&amp;sort=sku_asc&amp;status=all&amp;ref_=xx_invmgr_favb_xx" TargetMode="External"/><Relationship Id="rId87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89" Type="http://schemas.openxmlformats.org/officeDocument/2006/relationships/hyperlink" Target="https://sellercentral.amazon.com/myinventory/inventory?fulfilledBy=all&amp;page=1&amp;pageSize=25&amp;searchField=all&amp;searchTerm=BAG-FLAT-100-GROUP17&amp;sort=sku_asc&amp;status=all" TargetMode="External"/><Relationship Id="rId80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82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81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sellercentral.amazon.com/myinventory/inventory?fulfilledBy=all&amp;page=1&amp;pageSize=25&amp;searchField=all&amp;searchTerm=BAG-ZIP-HD-GROUP1&amp;sort=date_created_desc&amp;status=all&amp;ref_=xx_invmgr_favb_xx" TargetMode="External"/><Relationship Id="rId3" Type="http://schemas.openxmlformats.org/officeDocument/2006/relationships/hyperlink" Target="https://sellercentral.amazon.com/myinventory/inventory?fulfilledBy=all&amp;page=1&amp;pageSize=25&amp;searchField=all&amp;searchTerm=LB-DT-Parent-01&amp;sort=date_created_desc&amp;status=all&amp;ref_=xx_invmgr_favb_xx" TargetMode="External"/><Relationship Id="rId149" Type="http://schemas.openxmlformats.org/officeDocument/2006/relationships/hyperlink" Target="https://sellercentral.amazon.com/myinventory/inventory?fulfilledBy=all&amp;page=1&amp;pageSize=25&amp;searchField=all&amp;searchTerm=SI-Label-LS-Parent3&amp;sort=sku_asc&amp;status=all" TargetMode="External"/><Relationship Id="rId4" Type="http://schemas.openxmlformats.org/officeDocument/2006/relationships/hyperlink" Target="https://sellercentral.amazon.com/myinventory/inventory?fulfilledBy=all&amp;page=1&amp;pageSize=25&amp;searchField=all&amp;searchTerm=BAG-CELLO-A_GROUP+1&amp;sort=sku_asc&amp;status=all" TargetMode="External"/><Relationship Id="rId148" Type="http://schemas.openxmlformats.org/officeDocument/2006/relationships/hyperlink" Target="https://sellercentral.amazon.com/myinventory/inventory?fulfilledBy=all&amp;page=1&amp;pageSize=25&amp;searchField=all&amp;searchTerm=SI-LABEL-LS-Parent2&amp;sort=sku_asc&amp;status=all&amp;ref_=xx_invmgr_favb_xx" TargetMode="External"/><Relationship Id="rId9" Type="http://schemas.openxmlformats.org/officeDocument/2006/relationships/hyperlink" Target="https://sellercentral.amazon.com/myinventory/inventory?fulfilledBy=all&amp;page=1&amp;pageSize=25&amp;searchField=all&amp;searchTerm=LB-DT-Parent-03&amp;sort=date_created_desc&amp;status=all&amp;ref_=xx_invmgr_favb_xx" TargetMode="External"/><Relationship Id="rId143" Type="http://schemas.openxmlformats.org/officeDocument/2006/relationships/hyperlink" Target="https://sellercentral.amazon.com/myinventory/inventory?fulfilledBy=all&amp;page=1&amp;pageSize=25&amp;searchField=all&amp;searchTerm=LASER-FF-1&amp;sort=sku_asc&amp;status=all" TargetMode="External"/><Relationship Id="rId142" Type="http://schemas.openxmlformats.org/officeDocument/2006/relationships/hyperlink" Target="https://sellercentral.amazon.com/myinventory/inventory?fulfilledBy=all&amp;page=1&amp;pageSize=25&amp;searchField=all&amp;searchTerm=SPAR-FFLD-406&amp;sort=available_desc&amp;status=all" TargetMode="External"/><Relationship Id="rId141" Type="http://schemas.openxmlformats.org/officeDocument/2006/relationships/hyperlink" Target="https://sellercentral.amazon.com/myinventory/inventory?fulfilledBy=all&amp;page=1&amp;pageSize=25&amp;searchField=all&amp;searchTerm=16-YV2B-4HC1&amp;sort=sku_asc&amp;status=all" TargetMode="External"/><Relationship Id="rId140" Type="http://schemas.openxmlformats.org/officeDocument/2006/relationships/hyperlink" Target="https://sellercentral.amazon.com/myinventory/inventory?fulfilledBy=all&amp;page=1&amp;pageSize=25&amp;searchField=all&amp;searchTerm=LASER-FF-1&amp;sort=sku_asc&amp;status=all" TargetMode="External"/><Relationship Id="rId5" Type="http://schemas.openxmlformats.org/officeDocument/2006/relationships/hyperlink" Target="https://sellercentral.amazon.com/myinventory/inventory?fulfilledBy=all&amp;page=1&amp;pageSize=25&amp;searchField=all&amp;searchTerm=BAG-ZIP-HD-GROUP2&amp;sort=date_created_desc&amp;status=all&amp;ref_=xx_invmgr_dnav_xx" TargetMode="External"/><Relationship Id="rId147" Type="http://schemas.openxmlformats.org/officeDocument/2006/relationships/hyperlink" Target="https://sellercentral.amazon.com/myinventory/inventory?fulfilledBy=all&amp;page=1&amp;pageSize=25&amp;searchField=all&amp;searchTerm=SI-LABEL-LS-Parent2&amp;sort=sku_asc&amp;status=all&amp;ref_=xx_invmgr_favb_xx" TargetMode="External"/><Relationship Id="rId6" Type="http://schemas.openxmlformats.org/officeDocument/2006/relationships/hyperlink" Target="https://sellercentral.amazon.com/myinventory/inventory?fulfilledBy=all&amp;page=1&amp;pageSize=25&amp;searchField=all&amp;searchTerm=LB-DT-Parent-02&amp;sort=date_created_desc&amp;status=all&amp;ref_=xx_invmgr_favb_xx" TargetMode="External"/><Relationship Id="rId146" Type="http://schemas.openxmlformats.org/officeDocument/2006/relationships/hyperlink" Target="https://sellercentral.amazon.com/myinventory/inventory?fulfilledBy=all&amp;page=1&amp;pageSize=25&amp;searchField=all&amp;searchTerm=SI-LABEL-LS-PARENT1&amp;sort=sku_asc&amp;status=all" TargetMode="External"/><Relationship Id="rId7" Type="http://schemas.openxmlformats.org/officeDocument/2006/relationships/hyperlink" Target="https://sellercentral.amazon.com/myinventory/inventory?fulfilledBy=all&amp;page=1&amp;pageSize=25&amp;searchField=all&amp;searchTerm=BAG-CELLO-A_GROUP+2&amp;sort=sku_asc&amp;status=all" TargetMode="External"/><Relationship Id="rId145" Type="http://schemas.openxmlformats.org/officeDocument/2006/relationships/hyperlink" Target="https://sellercentral.amazon.com/myinventory/inventory?fulfilledBy=all&amp;page=1&amp;pageSize=25&amp;searchField=all&amp;searchTerm=SI-LABEL-LS-PARENT1&amp;sort=sku_asc&amp;status=all" TargetMode="External"/><Relationship Id="rId8" Type="http://schemas.openxmlformats.org/officeDocument/2006/relationships/hyperlink" Target="https://sellercentral.amazon.com/myinventory/inventory?fulfilledBy=all&amp;page=1&amp;pageSize=25&amp;searchField=all&amp;searchTerm=BAG-ZIP-HD-1&amp;sort=sku_asc&amp;status=all" TargetMode="External"/><Relationship Id="rId144" Type="http://schemas.openxmlformats.org/officeDocument/2006/relationships/hyperlink" Target="https://sellercentral.amazon.com/myinventory/inventory?fulfilledBy=all&amp;page=1&amp;pageSize=25&amp;searchField=all&amp;searchTerm=SI-LABEL-DK-BRO&amp;sort=sku_asc&amp;status=all" TargetMode="External"/><Relationship Id="rId73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72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75" Type="http://schemas.openxmlformats.org/officeDocument/2006/relationships/hyperlink" Target="https://sellercentral.amazon.com/myinventory/inventory?fulfilledBy=all&amp;page=1&amp;pageSize=25&amp;searchField=all&amp;searchTerm=BAG-ZIP-HH-GROUP82&amp;sort=date_created_desc&amp;status=all&amp;ref_=xx_invmgr_favb_xx" TargetMode="External"/><Relationship Id="rId74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77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76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79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78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71" Type="http://schemas.openxmlformats.org/officeDocument/2006/relationships/hyperlink" Target="https://sellercentral.amazon.com/myinventory/inventory?fulfilledBy=all&amp;page=1&amp;pageSize=25&amp;searchField=all&amp;searchTerm=LB-LABEL-LS-0202-A-GROUP15&amp;sort=date_created_desc&amp;status=all&amp;ref_=xx_invmgr_favb_xx" TargetMode="External"/><Relationship Id="rId70" Type="http://schemas.openxmlformats.org/officeDocument/2006/relationships/hyperlink" Target="https://sellercentral.amazon.com/myinventory/inventory?fulfilledBy=all&amp;page=1&amp;pageSize=25&amp;searchField=all&amp;searchTerm=LB-LABEL-LS-0202-A-GROUP15&amp;sort=date_created_desc&amp;status=all&amp;ref_=xx_invmgr_favb_xx" TargetMode="External"/><Relationship Id="rId139" Type="http://schemas.openxmlformats.org/officeDocument/2006/relationships/hyperlink" Target="https://sellercentral.amazon.com/myinventory/inventory?fulfilledBy=all&amp;page=1&amp;pageSize=25&amp;searchField=all&amp;searchTerm=SI-LABEL-DT-Parent_62&amp;sort=date_created_desc&amp;status=all&amp;ref_=xx_invmgr_favb_xx" TargetMode="External"/><Relationship Id="rId138" Type="http://schemas.openxmlformats.org/officeDocument/2006/relationships/hyperlink" Target="https://sellercentral.amazon.com/myinventory/inventory?fulfilledBy=all&amp;page=1&amp;pageSize=25&amp;searchField=all&amp;searchTerm=SI-LABEL-DT-Parent_61&amp;sort=date_created_desc&amp;status=all&amp;ref_=xx_invmgr_favb_xx" TargetMode="External"/><Relationship Id="rId137" Type="http://schemas.openxmlformats.org/officeDocument/2006/relationships/hyperlink" Target="https://sellercentral.amazon.com/myinventory/inventory?fulfilledBy=all&amp;page=1&amp;pageSize=25&amp;searchField=all&amp;searchTerm=SI-LABEL-DT-Parent-60&amp;sort=date_created_desc&amp;status=all&amp;ref_=xx_invmgr_favb_xx" TargetMode="External"/><Relationship Id="rId132" Type="http://schemas.openxmlformats.org/officeDocument/2006/relationships/hyperlink" Target="https://sellercentral.amazon.com/myinventory/inventory?fulfilledBy=all&amp;page=1&amp;pageSize=25&amp;searchField=all&amp;searchTerm=SI-LABEL-DT-Parent_02&amp;sort=date_created_desc&amp;status=all&amp;ref_=xx_invmgr_favb_xx" TargetMode="External"/><Relationship Id="rId131" Type="http://schemas.openxmlformats.org/officeDocument/2006/relationships/hyperlink" Target="https://sellercentral.amazon.com/myinventory/inventory?fulfilledBy=all&amp;page=1&amp;pageSize=25&amp;searchField=all&amp;searchTerm=2U-NY2U-L29R&amp;sort=sku_asc&amp;status=all" TargetMode="External"/><Relationship Id="rId130" Type="http://schemas.openxmlformats.org/officeDocument/2006/relationships/hyperlink" Target="https://sellercentral.amazon.com/myinventory/inventory?fulfilledBy=all&amp;page=1&amp;pageSize=25&amp;searchField=all&amp;searchTerm=8J-65RB-P2H3&amp;sort=sku_asc&amp;status=all" TargetMode="External"/><Relationship Id="rId136" Type="http://schemas.openxmlformats.org/officeDocument/2006/relationships/hyperlink" Target="https://sellercentral.amazon.com/myinventory/inventory?fulfilledBy=all&amp;page=1&amp;pageSize=25&amp;searchField=all&amp;searchTerm=SI-LABEL-DT-Parent-59&amp;sort=date_created_desc&amp;status=all&amp;ref_=xx_invmgr_favb_xx" TargetMode="External"/><Relationship Id="rId135" Type="http://schemas.openxmlformats.org/officeDocument/2006/relationships/hyperlink" Target="https://sellercentral.amazon.com/myinventory/inventory?fulfilledBy=all&amp;page=1&amp;pageSize=25&amp;searchField=all&amp;searchTerm=SI-LABEL-DT-Parent-58&amp;sort=date_created_desc&amp;status=all&amp;ref_=xx_invmgr_favb_xx" TargetMode="External"/><Relationship Id="rId134" Type="http://schemas.openxmlformats.org/officeDocument/2006/relationships/hyperlink" Target="https://sellercentral.amazon.com/myinventory/inventory?fulfilledBy=all&amp;page=1&amp;pageSize=25&amp;searchField=all&amp;searchTerm=SI-LABEL-DT-Parent-57&amp;sort=date_created_desc&amp;status=all&amp;ref_=xx_invmgr_favb_xx" TargetMode="External"/><Relationship Id="rId133" Type="http://schemas.openxmlformats.org/officeDocument/2006/relationships/hyperlink" Target="https://sellercentral.amazon.com/myinventory/inventory?fulfilledBy=all&amp;page=1&amp;pageSize=25&amp;searchField=all&amp;searchTerm=8J-65RB-P2H3&amp;sort=sku_asc&amp;status=all" TargetMode="External"/><Relationship Id="rId62" Type="http://schemas.openxmlformats.org/officeDocument/2006/relationships/hyperlink" Target="https://sellercentral.amazon.com/myinventory/inventory?fulfilledBy=all&amp;page=1&amp;pageSize=25&amp;searchField=all&amp;searchTerm=BAG-ZIP-UHD-GROUP89&amp;sort=date_created_desc&amp;status=all&amp;ref_=xx_invmgr_favb_xx" TargetMode="External"/><Relationship Id="rId61" Type="http://schemas.openxmlformats.org/officeDocument/2006/relationships/hyperlink" Target="https://sellercentral.amazon.com/myinventory/inventory?fulfilledBy=all&amp;page=1&amp;pageSize=25&amp;searchField=all&amp;searchTerm=LB-WARN-02&amp;sort=sku_asc&amp;status=all" TargetMode="External"/><Relationship Id="rId64" Type="http://schemas.openxmlformats.org/officeDocument/2006/relationships/hyperlink" Target="https://sellercentral.amazon.com/myinventory/inventory?fulfilledBy=all&amp;page=1&amp;pageSize=25&amp;searchField=all&amp;searchTerm=LB-WARN-GRP12&amp;sort=sku_asc&amp;status=all" TargetMode="External"/><Relationship Id="rId63" Type="http://schemas.openxmlformats.org/officeDocument/2006/relationships/hyperlink" Target="https://sellercentral.amazon.com/myinventory/inventory?fulfilledBy=all&amp;page=1&amp;pageSize=25&amp;searchField=all&amp;searchTerm=LB-WARN-GRP12&amp;sort=sku_asc&amp;status=all" TargetMode="External"/><Relationship Id="rId66" Type="http://schemas.openxmlformats.org/officeDocument/2006/relationships/hyperlink" Target="https://sellercentral.amazon.com/myinventory/inventory?fulfilledBy=all&amp;page=1&amp;pageSize=25&amp;searchField=all&amp;searchTerm=WARN1000-LB&amp;sort=date_created_desc&amp;status=all&amp;ref_=xx_invmgr_dnav_xx" TargetMode="External"/><Relationship Id="rId172" Type="http://schemas.openxmlformats.org/officeDocument/2006/relationships/hyperlink" Target="https://sellercentral.amazon.com/myinventory/inventory?fulfilledBy=all&amp;page=1&amp;pageSize=25&amp;searchField=all&amp;searchTerm=SI-LABEL-LS-01F01-GROUP94&amp;sort=date_created_desc&amp;status=all&amp;ref_=xx_invmgr_favb_xx" TargetMode="External"/><Relationship Id="rId65" Type="http://schemas.openxmlformats.org/officeDocument/2006/relationships/hyperlink" Target="https://sellercentral.amazon.com/myinventory/inventory?fulfilledBy=all&amp;page=1&amp;pageSize=25&amp;searchField=all&amp;searchTerm=BAG-ZIP-UHD-GROUP90&amp;sort=date_created_desc&amp;status=all&amp;ref_=xx_invmgr_favb_xx" TargetMode="External"/><Relationship Id="rId171" Type="http://schemas.openxmlformats.org/officeDocument/2006/relationships/hyperlink" Target="https://sellercentral.amazon.com/myinventory/inventory?fulfilledBy=all&amp;page=1&amp;pageSize=25&amp;searchField=all&amp;searchTerm=SI-LABEL-LS-0402F-PARENT&amp;sort=sku_asc&amp;status=all" TargetMode="External"/><Relationship Id="rId68" Type="http://schemas.openxmlformats.org/officeDocument/2006/relationships/hyperlink" Target="https://sellercentral.amazon.com/myinventory/inventory?fulfilledBy=all&amp;page=1&amp;pageSize=25&amp;searchField=all&amp;searchTerm=WARN1000-LB&amp;sort=date_created_desc&amp;status=all&amp;ref_=xx_invmgr_dnav_xx" TargetMode="External"/><Relationship Id="rId170" Type="http://schemas.openxmlformats.org/officeDocument/2006/relationships/hyperlink" Target="https://sellercentral.amazon.com/myinventory/inventory?fulfilledBy=all&amp;page=1&amp;pageSize=25&amp;searchField=all&amp;searchTerm=SI-LABEL-LS-0402-PARENT&amp;sort=sku_asc&amp;status=all" TargetMode="External"/><Relationship Id="rId67" Type="http://schemas.openxmlformats.org/officeDocument/2006/relationships/hyperlink" Target="https://sellercentral.amazon.com/myinventory/inventory?fulfilledBy=all&amp;page=1&amp;pageSize=25&amp;searchField=all&amp;searchTerm=BAG-ZIP-BLK-HD-GROUP87&amp;sort=date_created_desc&amp;status=all&amp;ref_=xx_invmgr_favb_xx" TargetMode="External"/><Relationship Id="rId60" Type="http://schemas.openxmlformats.org/officeDocument/2006/relationships/hyperlink" Target="https://sellercentral.amazon.com/myinventory/inventory?fulfilledBy=all&amp;page=1&amp;pageSize=25&amp;searchField=all&amp;searchTerm=LB-WARN-02&amp;sort=sku_asc&amp;status=all" TargetMode="External"/><Relationship Id="rId165" Type="http://schemas.openxmlformats.org/officeDocument/2006/relationships/hyperlink" Target="https://sellercentral.amazon.com/myinventory/inventory?fulfilledBy=all&amp;page=1&amp;pageSize=25&amp;searchField=all&amp;searchTerm=SI-LABEL-LS-0402F-PARENT&amp;sort=sku_asc&amp;status=all" TargetMode="External"/><Relationship Id="rId69" Type="http://schemas.openxmlformats.org/officeDocument/2006/relationships/hyperlink" Target="https://sellercentral.amazon.com/myinventory/inventory?fulfilledBy=all&amp;page=1&amp;pageSize=25&amp;searchField=all&amp;searchTerm=BAG-ZIP-BLK-HD-GROUP88&amp;sort=date_created_desc&amp;status=all&amp;ref_=xx_invmgr_favb_xx" TargetMode="External"/><Relationship Id="rId164" Type="http://schemas.openxmlformats.org/officeDocument/2006/relationships/hyperlink" Target="https://sellercentral.amazon.com/myinventory/inventory?fulfilledBy=all&amp;page=1&amp;pageSize=25&amp;searchField=all&amp;searchTerm=SI-LABEL-LS-01F01-P&amp;sort=sku_asc&amp;status=all&amp;ref_=xx_invmgr_favb_xx" TargetMode="External"/><Relationship Id="rId163" Type="http://schemas.openxmlformats.org/officeDocument/2006/relationships/hyperlink" Target="https://sellercentral.amazon.com/myinventory/inventory?fulfilledBy=all&amp;page=1&amp;pageSize=25&amp;searchField=all&amp;searchTerm=SI-LABEL-LS-0402-PARENT&amp;sort=sku_asc&amp;status=all" TargetMode="External"/><Relationship Id="rId162" Type="http://schemas.openxmlformats.org/officeDocument/2006/relationships/hyperlink" Target="https://sellercentral.amazon.com/myinventory/inventory?fulfilledBy=all&amp;page=1&amp;pageSize=25&amp;searchField=all&amp;searchTerm=SI-LABEL-LS-0802-PARENT&amp;sort=sku_asc&amp;status=all&amp;ref_=xx_invmgr_favb_xx" TargetMode="External"/><Relationship Id="rId169" Type="http://schemas.openxmlformats.org/officeDocument/2006/relationships/hyperlink" Target="https://sellercentral.amazon.com/myinventory/inventory?fulfilledBy=all&amp;page=1&amp;pageSize=25&amp;searchField=all&amp;searchTerm=SI-LABEL-LS-0303-PARENT&amp;sort=sku_asc&amp;status=all" TargetMode="External"/><Relationship Id="rId168" Type="http://schemas.openxmlformats.org/officeDocument/2006/relationships/hyperlink" Target="https://sellercentral.amazon.com/myinventory/inventory?fulfilledBy=all&amp;page=1&amp;pageSize=25&amp;searchField=all&amp;searchTerm=SI-LABEL-LS-02F01F-PARENT&amp;sort=sku_asc&amp;status=all" TargetMode="External"/><Relationship Id="rId167" Type="http://schemas.openxmlformats.org/officeDocument/2006/relationships/hyperlink" Target="https://sellercentral.amazon.com/myinventory/inventory?fulfilledBy=all&amp;page=1&amp;pageSize=25&amp;searchField=all&amp;searchTerm=SI-Label-LS-C-2&amp;sort=sku_asc&amp;status=all&amp;ref_=xx_invmgr_favb_xx" TargetMode="External"/><Relationship Id="rId166" Type="http://schemas.openxmlformats.org/officeDocument/2006/relationships/hyperlink" Target="https://sellercentral.amazon.com/myinventory/inventory?fulfilledBy=all&amp;page=1&amp;pageSize=25&amp;searchField=all&amp;searchTerm=SI-LABEL-LS-0201-PARENT&amp;sort=sku_asc&amp;status=all" TargetMode="External"/><Relationship Id="rId51" Type="http://schemas.openxmlformats.org/officeDocument/2006/relationships/hyperlink" Target="https://sellercentral.amazon.com/myinventory/inventory?fulfilledBy=all&amp;page=1&amp;pageSize=25&amp;searchField=all&amp;searchTerm=BAG_ZIP-1000_GROUP15&amp;sort=date_created_desc&amp;status=all&amp;ref_=xx_invmgr_favb_xx" TargetMode="External"/><Relationship Id="rId50" Type="http://schemas.openxmlformats.org/officeDocument/2006/relationships/hyperlink" Target="https://sellercentral.amazon.com/myinventory/inventory?fulfilledBy=all&amp;page=1&amp;pageSize=25&amp;searchField=all&amp;searchTerm=LB-DT-CLR&amp;sort=sku_asc&amp;status=all" TargetMode="External"/><Relationship Id="rId53" Type="http://schemas.openxmlformats.org/officeDocument/2006/relationships/hyperlink" Target="https://sellercentral.amazon.com/myinventory/inventory?fulfilledBy=all&amp;page=1&amp;pageSize=25&amp;searchField=all&amp;searchTerm=LB-3X5WARN&amp;sort=sku_asc&amp;status=all" TargetMode="External"/><Relationship Id="rId52" Type="http://schemas.openxmlformats.org/officeDocument/2006/relationships/hyperlink" Target="https://sellercentral.amazon.com/myinventory/inventory?fulfilledBy=all&amp;page=1&amp;pageSize=25&amp;searchField=all&amp;searchTerm=LB-CLR-500RLLS&amp;sort=sku_asc&amp;status=all" TargetMode="External"/><Relationship Id="rId55" Type="http://schemas.openxmlformats.org/officeDocument/2006/relationships/hyperlink" Target="https://sellercentral.amazon.com/myinventory/inventory?fulfilledBy=all&amp;page=1&amp;pageSize=25&amp;searchField=all&amp;searchTerm=LB-3X5WARN&amp;sort=sku_asc&amp;status=all" TargetMode="External"/><Relationship Id="rId161" Type="http://schemas.openxmlformats.org/officeDocument/2006/relationships/hyperlink" Target="https://sellercentral.amazon.com/myinventory/inventory?fulfilledBy=all&amp;page=1&amp;pageSize=25&amp;searchField=all&amp;searchTerm=SI-LABEL-LS-0303-PARENT&amp;sort=sku_asc&amp;status=all" TargetMode="External"/><Relationship Id="rId54" Type="http://schemas.openxmlformats.org/officeDocument/2006/relationships/hyperlink" Target="https://sellercentral.amazon.com/myinventory/inventory?fulfilledBy=all&amp;page=1&amp;pageSize=25&amp;searchField=all&amp;searchTerm=BAG-ZIPLOCK-GRP101&amp;sort=date_created_desc&amp;status=all&amp;ref_=xx_invmgr_dnav_xx" TargetMode="External"/><Relationship Id="rId160" Type="http://schemas.openxmlformats.org/officeDocument/2006/relationships/hyperlink" Target="https://sellercentral.amazon.com/myinventory/inventory?fulfilledBy=all&amp;page=1&amp;pageSize=25&amp;searchField=all&amp;searchTerm=SI-LABEL-LS-04F05F-PARENT&amp;sort=sku_asc&amp;status=all&amp;ref_=xx_invmgr_favb_xx" TargetMode="External"/><Relationship Id="rId57" Type="http://schemas.openxmlformats.org/officeDocument/2006/relationships/hyperlink" Target="https://sellercentral.amazon.com/myinventory/inventory?fulfilledBy=all&amp;page=1&amp;pageSize=25&amp;searchField=all&amp;searchTerm=LB-WARN-P02&amp;sort=sku_asc&amp;status=all" TargetMode="External"/><Relationship Id="rId56" Type="http://schemas.openxmlformats.org/officeDocument/2006/relationships/hyperlink" Target="https://sellercentral.amazon.com/myinventory/inventory?fulfilledBy=all&amp;page=1&amp;pageSize=25&amp;searchField=all&amp;searchTerm=BAG-ZIP_GROUP102&amp;sort=date_created_desc&amp;status=all&amp;ref_=xx_invmgr_favb_xx" TargetMode="External"/><Relationship Id="rId159" Type="http://schemas.openxmlformats.org/officeDocument/2006/relationships/hyperlink" Target="https://sellercentral.amazon.com/myinventory/inventory?fulfilledBy=all&amp;page=1&amp;pageSize=25&amp;searchField=all&amp;searchTerm=SI-LABEL-LS-0201-PARENT&amp;sort=sku_asc&amp;status=all" TargetMode="External"/><Relationship Id="rId59" Type="http://schemas.openxmlformats.org/officeDocument/2006/relationships/hyperlink" Target="https://sellercentral.amazon.com/myinventory/inventory?fulfilledBy=all&amp;page=1&amp;pageSize=25&amp;searchField=all&amp;searchTerm=43-RRQZ-HRVK&amp;sort=sku_asc&amp;status=all" TargetMode="External"/><Relationship Id="rId154" Type="http://schemas.openxmlformats.org/officeDocument/2006/relationships/hyperlink" Target="https://sellercentral.amazon.com/myinventory/inventory?fulfilledBy=all&amp;page=1&amp;pageSize=25&amp;searchField=all&amp;searchTerm=SI-LABEL-LS-0301F-PARENT&amp;sort=sku_asc&amp;status=all&amp;ref_=xx_invmgr_favb_xx" TargetMode="External"/><Relationship Id="rId58" Type="http://schemas.openxmlformats.org/officeDocument/2006/relationships/hyperlink" Target="https://sellercentral.amazon.com/myinventory/inventory?fulfilledBy=all&amp;page=1&amp;pageSize=25&amp;searchField=all&amp;searchTerm=LB-WARN-P02&amp;sort=sku_asc&amp;status=all" TargetMode="External"/><Relationship Id="rId153" Type="http://schemas.openxmlformats.org/officeDocument/2006/relationships/hyperlink" Target="https://sellercentral.amazon.com/myinventory/inventory?fulfilledBy=all&amp;page=1&amp;pageSize=25&amp;searchField=all&amp;searchTerm=SI-LABEL-LS-0403-PARENT&amp;sort=sku_asc&amp;status=all&amp;ref_=xx_invmgr_favb_xx" TargetMode="External"/><Relationship Id="rId152" Type="http://schemas.openxmlformats.org/officeDocument/2006/relationships/hyperlink" Target="https://sellercentral.amazon.com/myinventory/inventory?fulfilledBy=all&amp;page=1&amp;pageSize=25&amp;searchField=all&amp;searchTerm=SI-LABEL-LS-0401-PARENT&amp;sort=sku_asc&amp;status=all&amp;ref_=xx_invmgr_favb_xx" TargetMode="External"/><Relationship Id="rId151" Type="http://schemas.openxmlformats.org/officeDocument/2006/relationships/hyperlink" Target="https://sellercentral.amazon.com/myinventory/inventory?fulfilledBy=all&amp;page=1&amp;pageSize=25&amp;searchField=all&amp;searchTerm=SI-Label-LS-Parent3&amp;sort=sku_asc&amp;status=all" TargetMode="External"/><Relationship Id="rId158" Type="http://schemas.openxmlformats.org/officeDocument/2006/relationships/hyperlink" Target="https://sellercentral.amazon.com/myinventory/inventory?fulfilledBy=all&amp;page=1&amp;pageSize=25&amp;searchField=all&amp;searchTerm=SI-LABEL-LS-0403-PARENT&amp;sort=sku_asc&amp;status=all&amp;ref_=xx_invmgr_favb_xx" TargetMode="External"/><Relationship Id="rId157" Type="http://schemas.openxmlformats.org/officeDocument/2006/relationships/hyperlink" Target="https://sellercentral.amazon.com/myinventory/inventory?fulfilledBy=all&amp;page=1&amp;pageSize=25&amp;searchField=all&amp;searchTerm=SI-LABEL-LS-0802-PARENT&amp;sort=sku_asc&amp;status=all&amp;ref_=xx_invmgr_favb_xx" TargetMode="External"/><Relationship Id="rId156" Type="http://schemas.openxmlformats.org/officeDocument/2006/relationships/hyperlink" Target="https://sellercentral.amazon.com/myinventory/inventory?fulfilledBy=all&amp;page=1&amp;pageSize=25&amp;searchField=all&amp;searchTerm=SI-LABEL-LS-0401-PARENT&amp;sort=sku_asc&amp;status=all&amp;ref_=xx_invmgr_favb_xx" TargetMode="External"/><Relationship Id="rId155" Type="http://schemas.openxmlformats.org/officeDocument/2006/relationships/hyperlink" Target="https://sellercentral.amazon.com/myinventory/inventory?fulfilledBy=all&amp;page=1&amp;pageSize=25&amp;searchField=all&amp;searchTerm=SI-LABEL-LS-04F05F-PARENT&amp;sort=sku_asc&amp;status=all&amp;ref_=xx_invmgr_favb_xx" TargetMode="External"/><Relationship Id="rId107" Type="http://schemas.openxmlformats.org/officeDocument/2006/relationships/hyperlink" Target="https://sellercentral.amazon.com/myinventory/inventory/variations/QkFHLVNVRi0xMDAtUEFSRU5U?fulfilledBy=all&amp;page=1&amp;pageSize=25&amp;sort=date_created_desc&amp;status=all" TargetMode="External"/><Relationship Id="rId106" Type="http://schemas.openxmlformats.org/officeDocument/2006/relationships/hyperlink" Target="https://sellercentral.amazon.com/myinventory/inventory?fulfilledBy=all&amp;page=1&amp;pageSize=25&amp;searchField=all&amp;searchTerm=AD-MSVG-ZICJ&amp;sort=sku_asc&amp;status=all" TargetMode="External"/><Relationship Id="rId105" Type="http://schemas.openxmlformats.org/officeDocument/2006/relationships/hyperlink" Target="https://sellercentral.amazon.com/myinventory/inventory?fulfilledBy=all&amp;page=1&amp;pageSize=25&amp;searchField=all&amp;searchTerm=BAG-CELLO-O-1&amp;sort=sku_asc&amp;status=all" TargetMode="External"/><Relationship Id="rId104" Type="http://schemas.openxmlformats.org/officeDocument/2006/relationships/hyperlink" Target="https://sellercentral.amazon.com/myinventory/inventory?fulfilledBy=all&amp;page=1&amp;pageSize=25&amp;searchField=all&amp;searchTerm=X8-2I86-DN7G&amp;sort=sku_asc&amp;status=all" TargetMode="External"/><Relationship Id="rId109" Type="http://schemas.openxmlformats.org/officeDocument/2006/relationships/hyperlink" Target="https://sellercentral.amazon.com/myinventory/inventory?fulfilledBy=all&amp;page=1&amp;pageSize=25&amp;searchField=all&amp;searchTerm=BAG-SUF-2&amp;sort=sku_asc&amp;status=all" TargetMode="External"/><Relationship Id="rId108" Type="http://schemas.openxmlformats.org/officeDocument/2006/relationships/hyperlink" Target="https://sellercentral.amazon.com/myinventory/inventory?fulfilledBy=all&amp;page=1&amp;pageSize=25&amp;searchField=all&amp;searchTerm=BAG-CELLO-O-5&amp;sort=sku_asc&amp;status=all" TargetMode="External"/><Relationship Id="rId103" Type="http://schemas.openxmlformats.org/officeDocument/2006/relationships/hyperlink" Target="https://sellercentral.amazon.com/myinventory/inventory?fulfilledBy=all&amp;page=1&amp;pageSize=25&amp;searchField=all&amp;searchTerm=CELLO-BAG-O-1&amp;sort=sku_asc&amp;status=all" TargetMode="External"/><Relationship Id="rId102" Type="http://schemas.openxmlformats.org/officeDocument/2006/relationships/hyperlink" Target="https://sellercentral.amazon.com/myinventory/inventory?fulfilledBy=all&amp;page=1&amp;pageSize=25&amp;searchField=all&amp;searchTerm=SFW-BAG-RS-P1&amp;sort=sku_asc&amp;status=all&amp;ref_=xx_invmgr_favb_xx" TargetMode="External"/><Relationship Id="rId101" Type="http://schemas.openxmlformats.org/officeDocument/2006/relationships/hyperlink" Target="https://sellercentral.amazon.com/myinventory/inventory?fulfilledBy=all&amp;page=1&amp;pageSize=25&amp;searchField=all&amp;searchTerm=04-RFYA-CPVH&amp;sort=sku_asc&amp;status=all&amp;ref_=xx_invmgr_favb_xx" TargetMode="External"/><Relationship Id="rId100" Type="http://schemas.openxmlformats.org/officeDocument/2006/relationships/hyperlink" Target="https://sellercentral.amazon.com/myinventory/inventory?fulfilledBy=all&amp;page=1&amp;pageSize=25&amp;searchField=all&amp;searchTerm=BAG-CELLO-O-3&amp;sort=sku_asc&amp;status=all" TargetMode="External"/><Relationship Id="rId211" Type="http://schemas.openxmlformats.org/officeDocument/2006/relationships/vmlDrawing" Target="../drawings/vmlDrawing4.vml"/><Relationship Id="rId210" Type="http://schemas.openxmlformats.org/officeDocument/2006/relationships/drawing" Target="../drawings/drawing7.xml"/><Relationship Id="rId129" Type="http://schemas.openxmlformats.org/officeDocument/2006/relationships/hyperlink" Target="https://sellercentral.amazon.com/myinventory/inventory?fulfilledBy=all&amp;page=1&amp;pageSize=25&amp;searchField=all&amp;searchTerm=2U-NY2U-L29R&amp;sort=sku_asc&amp;status=all" TargetMode="External"/><Relationship Id="rId128" Type="http://schemas.openxmlformats.org/officeDocument/2006/relationships/hyperlink" Target="https://sellercentral.amazon.com/myinventory/inventory?fulfilledBy=all&amp;page=1&amp;pageSize=25&amp;searchField=all&amp;searchTerm=SP-YEX42P48AEVPVE9E&amp;sort=sku_asc&amp;status=all&amp;ref_=xx_invmgr_favb_xx" TargetMode="External"/><Relationship Id="rId127" Type="http://schemas.openxmlformats.org/officeDocument/2006/relationships/hyperlink" Target="https://sellercentral.amazon.com/myinventory/inventory?fulfilledBy=all&amp;page=1&amp;pageSize=25&amp;searchField=all&amp;searchTerm=IW-ILKW-W2KK&amp;sort=sku_asc&amp;status=all" TargetMode="External"/><Relationship Id="rId126" Type="http://schemas.openxmlformats.org/officeDocument/2006/relationships/hyperlink" Target="https://sellercentral.amazon.com/myinventory/inventory?fulfilledBy=all&amp;page=1&amp;pageSize=25&amp;searchField=all&amp;searchTerm=BM-0H4M-FQDO&amp;sort=sku_asc&amp;status=all&amp;ref_=xx_invmgr_favb_xx" TargetMode="External"/><Relationship Id="rId121" Type="http://schemas.openxmlformats.org/officeDocument/2006/relationships/hyperlink" Target="https://sellercentral.amazon.com/myinventory/inventory/variations/U0ZXLUJhZy0xMDAwLVBBUkVOVA==?fulfilledBy=all&amp;page=1&amp;pageSize=25&amp;sort=date_created_desc&amp;status=all" TargetMode="External"/><Relationship Id="rId120" Type="http://schemas.openxmlformats.org/officeDocument/2006/relationships/hyperlink" Target="https://sellercentral.amazon.com/myinventory/inventory?fulfilledBy=all&amp;page=1&amp;pageSize=25&amp;searchField=all&amp;searchTerm=BAG-SUF-2&amp;sort=sku_asc&amp;status=all" TargetMode="External"/><Relationship Id="rId125" Type="http://schemas.openxmlformats.org/officeDocument/2006/relationships/hyperlink" Target="https://sellercentral.amazon.com/myinventory/inventory/variations/QkFHLVNVRi0yMDAtUEFSRU5UMg==?fulfilledBy=all&amp;page=1&amp;pageSize=25&amp;sort=date_created_desc&amp;status=all" TargetMode="External"/><Relationship Id="rId124" Type="http://schemas.openxmlformats.org/officeDocument/2006/relationships/hyperlink" Target="https://sellercentral.amazon.com/myinventory/inventory?fulfilledBy=all&amp;page=1&amp;pageSize=25&amp;searchField=all&amp;searchTerm=SI-VAC-BLK&amp;sort=sku_asc&amp;status=all&amp;ref_=xx_invmgr_favb_xx" TargetMode="External"/><Relationship Id="rId123" Type="http://schemas.openxmlformats.org/officeDocument/2006/relationships/hyperlink" Target="https://sellercentral.amazon.com/myinventory/inventory/variations/U0ZXLUJhZy1QQVJFTlQx?fulfilledBy=all&amp;page=1&amp;pageSize=25&amp;sort=date_created_desc&amp;status=all" TargetMode="External"/><Relationship Id="rId122" Type="http://schemas.openxmlformats.org/officeDocument/2006/relationships/hyperlink" Target="https://sellercentral.amazon.com/myinventory/inventory?fulfilledBy=all&amp;page=1&amp;pageSize=25&amp;searchField=all&amp;searchTerm=HQ-XY6C-RQRE&amp;sort=sku_asc&amp;status=all" TargetMode="External"/><Relationship Id="rId95" Type="http://schemas.openxmlformats.org/officeDocument/2006/relationships/hyperlink" Target="https://sellercentral.amazon.com/myinventory/inventory?fulfilledBy=all&amp;page=1&amp;pageSize=25&amp;searchField=all&amp;searchTerm=CELLO-BAG-O-1&amp;sort=sku_asc&amp;status=all" TargetMode="External"/><Relationship Id="rId94" Type="http://schemas.openxmlformats.org/officeDocument/2006/relationships/hyperlink" Target="https://sellercentral.amazon.com/myinventory/inventory?fulfilledBy=all&amp;page=1&amp;pageSize=25&amp;searchField=all&amp;searchTerm=SPAR-16M-FOB&amp;sort=date_created_desc&amp;status=all&amp;ref_=xx_invmgr_dnav_xx" TargetMode="External"/><Relationship Id="rId97" Type="http://schemas.openxmlformats.org/officeDocument/2006/relationships/hyperlink" Target="https://sellercentral.amazon.com/myinventory/inventory?fulfilledBy=all&amp;page=1&amp;pageSize=25&amp;searchField=all&amp;searchTerm=BAG-FLAT-2M-100-GROUP21&amp;sort=sku_asc&amp;status=all" TargetMode="External"/><Relationship Id="rId96" Type="http://schemas.openxmlformats.org/officeDocument/2006/relationships/hyperlink" Target="https://sellercentral.amazon.com/myinventory/inventory?fulfilledBy=all&amp;page=1&amp;pageSize=25&amp;searchField=all&amp;searchTerm=AD-MSVG-ZICJ&amp;sort=sku_asc&amp;status=all" TargetMode="External"/><Relationship Id="rId99" Type="http://schemas.openxmlformats.org/officeDocument/2006/relationships/hyperlink" Target="https://sellercentral.amazon.com/myinventory/inventory?fulfilledBy=all&amp;page=1&amp;pageSize=25&amp;searchField=all&amp;searchTerm=SPAR-2M-FOBT&amp;sort=date_created_desc&amp;status=all&amp;ref_=xx_invmgr_dnav_xx" TargetMode="External"/><Relationship Id="rId98" Type="http://schemas.openxmlformats.org/officeDocument/2006/relationships/hyperlink" Target="https://sellercentral.amazon.com/myinventory/inventory?fulfilledBy=all&amp;page=1&amp;pageSize=25&amp;searchField=all&amp;searchTerm=BAG-FLAT-2M-GROUP93&amp;sort=sku_asc&amp;status=all" TargetMode="External"/><Relationship Id="rId91" Type="http://schemas.openxmlformats.org/officeDocument/2006/relationships/hyperlink" Target="https://sellercentral.amazon.com/myinventory/inventory?fulfilledBy=all&amp;page=1&amp;pageSize=25&amp;searchField=all&amp;searchTerm=BAG-FLAT-1000-GROUP19&amp;sort=sku_asc&amp;status=all" TargetMode="External"/><Relationship Id="rId90" Type="http://schemas.openxmlformats.org/officeDocument/2006/relationships/hyperlink" Target="https://sellercentral.amazon.com/myinventory/inventory?fulfilledBy=all&amp;page=1&amp;pageSize=25&amp;searchField=all&amp;searchTerm=BAG-FLAT-200-GROUP18&amp;sort=date_created_desc&amp;status=all&amp;ref_=xx_invmgr_dnav_xx" TargetMode="External"/><Relationship Id="rId93" Type="http://schemas.openxmlformats.org/officeDocument/2006/relationships/hyperlink" Target="https://sellercentral.amazon.com/myinventory/inventory?fulfilledBy=all&amp;page=1&amp;pageSize=25&amp;searchField=all&amp;searchTerm=BAG-FLAT_GROUP92&amp;sort=date_created_desc&amp;status=all&amp;ref_=xx_invmgr_dnav_xx" TargetMode="External"/><Relationship Id="rId92" Type="http://schemas.openxmlformats.org/officeDocument/2006/relationships/hyperlink" Target="https://sellercentral.amazon.com/myinventory/inventory?fulfilledBy=all&amp;page=1&amp;pageSize=25&amp;searchField=all&amp;searchTerm=04-RFYA-CPVH&amp;sort=sku_asc&amp;status=all&amp;ref_=xx_invmgr_favb_xx" TargetMode="External"/><Relationship Id="rId118" Type="http://schemas.openxmlformats.org/officeDocument/2006/relationships/hyperlink" Target="https://sellercentral.amazon.com/myinventory/inventory/variations/QkFHLVNVRi0yMDAtUEFSRU5UMQ==?fulfilledBy=all&amp;page=1&amp;pageSize=25&amp;sort=date_created_desc&amp;status=all" TargetMode="External"/><Relationship Id="rId117" Type="http://schemas.openxmlformats.org/officeDocument/2006/relationships/hyperlink" Target="https://sellercentral.amazon.com/myinventory/inventory?fulfilledBy=all&amp;page=1&amp;pageSize=25&amp;searchField=all&amp;searchTerm=X8-2I86-DN7G&amp;sort=sku_asc&amp;status=all" TargetMode="External"/><Relationship Id="rId116" Type="http://schemas.openxmlformats.org/officeDocument/2006/relationships/hyperlink" Target="https://sellercentral.amazon.com/myinventory/inventory?fulfilledBy=all&amp;page=1&amp;pageSize=25&amp;searchField=all&amp;searchTerm=POUCH-SUP-KFT-BLK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115" Type="http://schemas.openxmlformats.org/officeDocument/2006/relationships/hyperlink" Target="https://sellercentral.amazon.com/myinventory/inventory?fulfilledBy=all&amp;page=1&amp;pageSize=25&amp;searchField=all&amp;searchTerm=SFW-BAG-RS-P1-100&amp;sort=date_created_desc&amp;status=all&amp;ref_=xx_invmgr_favb_xx" TargetMode="External"/><Relationship Id="rId119" Type="http://schemas.openxmlformats.org/officeDocument/2006/relationships/hyperlink" Target="https://sellercentral.amazon.com/myinventory/inventory/variations/QkFHLVNVRi0xMDAtUEFSRU5U?fulfilledBy=all&amp;page=1&amp;pageSize=25&amp;sort=date_created_desc&amp;status=all" TargetMode="External"/><Relationship Id="rId110" Type="http://schemas.openxmlformats.org/officeDocument/2006/relationships/hyperlink" Target="https://sellercentral.amazon.com/myinventory/inventory?fulfilledBy=all&amp;page=1&amp;pageSize=25&amp;searchField=all&amp;searchTerm=BAGCELLOPIC-1&amp;sort=sku_asc&amp;status=all" TargetMode="External"/><Relationship Id="rId114" Type="http://schemas.openxmlformats.org/officeDocument/2006/relationships/hyperlink" Target="https://sellercentral.amazon.com/myinventory/inventory/variations/QkFHLVNVRi0yMDAtUEFSRU5UMg==?fulfilledBy=all&amp;page=1&amp;pageSize=25&amp;sort=date_created_desc&amp;status=all" TargetMode="External"/><Relationship Id="rId113" Type="http://schemas.openxmlformats.org/officeDocument/2006/relationships/hyperlink" Target="https://sellercentral.amazon.com/myinventory/inventory?fulfilledBy=all&amp;page=1&amp;pageSize=25&amp;searchField=all&amp;searchTerm=SFW-BAG-RS-P1&amp;sort=sku_asc&amp;status=all&amp;ref_=xx_invmgr_favb_xx" TargetMode="External"/><Relationship Id="rId112" Type="http://schemas.openxmlformats.org/officeDocument/2006/relationships/hyperlink" Target="https://sellercentral.amazon.com/myinventory/inventory?fulfilledBy=all&amp;page=1&amp;pageSize=25&amp;searchField=all&amp;searchTerm=BAG-CELLO-O-3&amp;sort=sku_asc&amp;status=all" TargetMode="External"/><Relationship Id="rId111" Type="http://schemas.openxmlformats.org/officeDocument/2006/relationships/hyperlink" Target="https://sellercentral.amazon.com/myinventory/inventory/variations/U0ZXLUJhZy0xMDAwLVBBUkVOVA==?fulfilledBy=all&amp;page=1&amp;pageSize=25&amp;sort=date_created_desc&amp;status=all" TargetMode="External"/><Relationship Id="rId206" Type="http://schemas.openxmlformats.org/officeDocument/2006/relationships/hyperlink" Target="https://sellercentral.amazon.com/myinventory/inventory?fulfilledBy=all&amp;page=1&amp;pageSize=25&amp;searchField=all&amp;searchTerm=HQ-XY6C-RQRE&amp;sort=sku_asc&amp;status=all" TargetMode="External"/><Relationship Id="rId205" Type="http://schemas.openxmlformats.org/officeDocument/2006/relationships/hyperlink" Target="https://sellercentral.amazon.com/myinventory/inventory?fulfilledBy=all&amp;page=1&amp;pageSize=25&amp;searchField=all&amp;searchTerm=POUCH-SUP-WHT-AL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204" Type="http://schemas.openxmlformats.org/officeDocument/2006/relationships/hyperlink" Target="https://sellercentral.amazon.com/myinventory/inventory?fulfilledBy=all&amp;page=1&amp;pageSize=25&amp;searchField=all&amp;searchTerm=POUCH-SUP-KFT-BLK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203" Type="http://schemas.openxmlformats.org/officeDocument/2006/relationships/hyperlink" Target="https://sellercentral.amazon.com/myinventory/inventory?fulfilledBy=all&amp;page=1&amp;pageSize=25&amp;searchField=all&amp;searchTerm=TP-MASK-MC-3-12&amp;sort=sku_asc&amp;status=all&amp;ref_=xx_invmgr_favb_xx" TargetMode="External"/><Relationship Id="rId209" Type="http://schemas.openxmlformats.org/officeDocument/2006/relationships/hyperlink" Target="https://sellercentral.amazon.com/myinventory/inventory?fulfilledBy=all&amp;page=1&amp;pageSize=25&amp;searchField=all&amp;searchTerm=HI-LERV-GAFM&amp;sort=sku_asc&amp;status=all" TargetMode="External"/><Relationship Id="rId208" Type="http://schemas.openxmlformats.org/officeDocument/2006/relationships/hyperlink" Target="https://sellercentral.amazon.com/myinventory/inventory?fulfilledBy=all&amp;page=1&amp;pageSize=25&amp;searchField=all&amp;searchTerm=BM-0H4M-FQDO&amp;sort=sku_asc&amp;status=all&amp;ref_=xx_invmgr_favb_xx" TargetMode="External"/><Relationship Id="rId207" Type="http://schemas.openxmlformats.org/officeDocument/2006/relationships/hyperlink" Target="https://sellercentral.amazon.com/myinventory/inventory?fulfilledBy=all&amp;page=1&amp;pageSize=25&amp;searchField=all&amp;searchTerm=SI-VAC-BLK&amp;sort=sku_asc&amp;status=all&amp;ref_=xx_invmgr_favb_xx" TargetMode="External"/><Relationship Id="rId202" Type="http://schemas.openxmlformats.org/officeDocument/2006/relationships/hyperlink" Target="https://sellercentral.amazon.com/myinventory/inventory?fulfilledBy=all&amp;page=1&amp;pageSize=25&amp;searchField=all&amp;searchTerm=TP-MASK-NAT-1&amp;sort=sku_asc&amp;status=all" TargetMode="External"/><Relationship Id="rId201" Type="http://schemas.openxmlformats.org/officeDocument/2006/relationships/hyperlink" Target="https://sellercentral.amazon.com/myinventory/inventory?fulfilledBy=all&amp;page=1&amp;pageSize=25&amp;searchField=all&amp;searchTerm=TP-MASK-MC-3-12&amp;sort=sku_asc&amp;status=all&amp;ref_=xx_invmgr_favb_xx" TargetMode="External"/><Relationship Id="rId200" Type="http://schemas.openxmlformats.org/officeDocument/2006/relationships/hyperlink" Target="https://sellercentral.amazon.com/myinventory/inventory?fulfilledBy=all&amp;page=1&amp;pageSize=25&amp;searchField=all&amp;searchTerm=TP-MASK-NAT-1&amp;sort=sku_asc&amp;status=all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sellercentral.amazon.com/myinventory/inventory?fulfilledBy=all&amp;page=1&amp;pageSize=25&amp;searchField=all&amp;searchTerm=LB-DT-CLR&amp;sort=sku_asc&amp;status=all" TargetMode="External"/><Relationship Id="rId42" Type="http://schemas.openxmlformats.org/officeDocument/2006/relationships/hyperlink" Target="https://sellercentral.amazon.com/myinventory/inventory?fulfilledBy=all&amp;page=1&amp;pageSize=25&amp;searchField=all&amp;searchTerm=LB-CLR-500RLLS&amp;sort=sku_asc&amp;status=all" TargetMode="External"/><Relationship Id="rId41" Type="http://schemas.openxmlformats.org/officeDocument/2006/relationships/hyperlink" Target="https://sellercentral.amazon.com/myinventory/inventory?fulfilledBy=all&amp;page=1&amp;pageSize=25&amp;searchField=all&amp;searchTerm=BAG-ZIP-200-GROUP12&amp;sort=date_created_desc&amp;status=all&amp;ref_=xx_invmgr_dnav_xx" TargetMode="External"/><Relationship Id="rId44" Type="http://schemas.openxmlformats.org/officeDocument/2006/relationships/hyperlink" Target="https://sellercentral.amazon.com/myinventory/inventory?fulfilledBy=all&amp;page=1&amp;pageSize=25&amp;searchField=all&amp;searchTerm=BAG-ZIP-100-GROUP103&amp;sort=sku_asc&amp;status=all" TargetMode="External"/><Relationship Id="rId43" Type="http://schemas.openxmlformats.org/officeDocument/2006/relationships/hyperlink" Target="https://sellercentral.amazon.com/myinventory/inventory?fulfilledBy=all&amp;page=1&amp;pageSize=25&amp;searchField=all&amp;searchTerm=LB-3X5WARN&amp;sort=sku_asc&amp;status=all" TargetMode="External"/><Relationship Id="rId46" Type="http://schemas.openxmlformats.org/officeDocument/2006/relationships/hyperlink" Target="https://sellercentral.amazon.com/myinventory/inventory?fulfilledBy=all&amp;page=1&amp;pageSize=25&amp;searchField=all&amp;searchTerm=BAG-ZIPLOCK-GROUP104&amp;sort=sku_asc&amp;status=all" TargetMode="External"/><Relationship Id="rId45" Type="http://schemas.openxmlformats.org/officeDocument/2006/relationships/hyperlink" Target="https://sellercentral.amazon.com/myinventory/inventory?fulfilledBy=all&amp;page=1&amp;pageSize=25&amp;searchField=all&amp;searchTerm=LB-WARN-P02&amp;sort=sku_asc&amp;status=all" TargetMode="External"/><Relationship Id="rId48" Type="http://schemas.openxmlformats.org/officeDocument/2006/relationships/hyperlink" Target="https://sellercentral.amazon.com/myinventory/inventory?fulfilledBy=all&amp;page=1&amp;pageSize=25&amp;searchField=all&amp;searchTerm=BAG_ZIP-1000_GROUP15&amp;sort=date_created_desc&amp;status=all&amp;ref_=xx_invmgr_favb_xx" TargetMode="External"/><Relationship Id="rId47" Type="http://schemas.openxmlformats.org/officeDocument/2006/relationships/hyperlink" Target="https://sellercentral.amazon.com/myinventory/inventory?fulfilledBy=all&amp;page=1&amp;pageSize=25&amp;searchField=all&amp;searchTerm=LB-WARN-02&amp;sort=sku_asc&amp;status=all" TargetMode="External"/><Relationship Id="rId49" Type="http://schemas.openxmlformats.org/officeDocument/2006/relationships/hyperlink" Target="https://sellercentral.amazon.com/myinventory/inventory?fulfilledBy=all&amp;page=1&amp;pageSize=25&amp;searchField=all&amp;searchTerm=BAG-ZIPLOCK-GRP101&amp;sort=date_created_desc&amp;status=all&amp;ref_=xx_invmgr_dnav_xx" TargetMode="External"/><Relationship Id="rId31" Type="http://schemas.openxmlformats.org/officeDocument/2006/relationships/hyperlink" Target="https://sellercentral.amazon.com/myinventory/inventory?fulfilledBy=all&amp;page=1&amp;pageSize=25&amp;searchField=all&amp;searchTerm=LB-DYMOSZE&amp;sort=sku_asc&amp;status=all" TargetMode="External"/><Relationship Id="rId30" Type="http://schemas.openxmlformats.org/officeDocument/2006/relationships/hyperlink" Target="https://sellercentral.amazon.com/myinventory/inventory?fulfilledBy=all&amp;page=1&amp;pageSize=25&amp;searchField=all&amp;searchTerm=W4-H2M5-POEL&amp;sort=sku_asc&amp;status=all" TargetMode="External"/><Relationship Id="rId33" Type="http://schemas.openxmlformats.org/officeDocument/2006/relationships/hyperlink" Target="https://sellercentral.amazon.com/myinventory/inventory?fulfilledBy=all&amp;page=1&amp;pageSize=25&amp;searchField=all&amp;searchTerm=LB-DM1744907-4X6&amp;sort=sku_asc&amp;status=all" TargetMode="External"/><Relationship Id="rId32" Type="http://schemas.openxmlformats.org/officeDocument/2006/relationships/hyperlink" Target="https://sellercentral.amazon.com/myinventory/inventory?fulfilledBy=all&amp;page=1&amp;pageSize=25&amp;searchField=all&amp;searchTerm=BAG-ZIP-GROUP10&amp;sort=sku_asc&amp;status=all" TargetMode="External"/><Relationship Id="rId35" Type="http://schemas.openxmlformats.org/officeDocument/2006/relationships/hyperlink" Target="https://sellercentral.amazon.com/myinventory/inventory?fulfilledBy=all&amp;page=1&amp;pageSize=25&amp;searchField=all&amp;searchTerm=HQ-7ROB-2B2T&amp;sort=sku_asc&amp;status=all&amp;ref_=xx_invmgr_favb_xx" TargetMode="External"/><Relationship Id="rId34" Type="http://schemas.openxmlformats.org/officeDocument/2006/relationships/hyperlink" Target="https://sellercentral.amazon.com/myinventory/inventory?fulfilledBy=all&amp;page=1&amp;pageSize=25&amp;searchField=all&amp;searchTerm=UI-DIXL-D8W7&amp;sort=date_created_desc&amp;status=all&amp;ref_=xx_invmgr_dnav_xx" TargetMode="External"/><Relationship Id="rId37" Type="http://schemas.openxmlformats.org/officeDocument/2006/relationships/hyperlink" Target="https://sellercentral.amazon.com/myinventory/inventory?fulfilledBy=all&amp;page=1&amp;pageSize=25&amp;searchField=all&amp;searchTerm=B0GRMZ5FV4&amp;sort=date_created_desc&amp;status=all&amp;ref_=xx_invmgr_dnav_xx" TargetMode="External"/><Relationship Id="rId36" Type="http://schemas.openxmlformats.org/officeDocument/2006/relationships/hyperlink" Target="https://sellercentral.amazon.com/myinventory/inventory?fulfilledBy=all&amp;page=1&amp;pageSize=25&amp;searchField=all&amp;searchTerm=NM-8NRT-SLRZ&amp;sort=sku_asc&amp;status=all" TargetMode="External"/><Relationship Id="rId39" Type="http://schemas.openxmlformats.org/officeDocument/2006/relationships/hyperlink" Target="https://sellercentral.amazon.com/myinventory/inventory?fulfilledBy=all&amp;page=1&amp;pageSize=25&amp;searchField=all&amp;searchTerm=JA-AGQN_BUUQ&amp;sort=date_created_desc&amp;status=all&amp;ref_=xx_invmgr_dnav_xx" TargetMode="External"/><Relationship Id="rId38" Type="http://schemas.openxmlformats.org/officeDocument/2006/relationships/hyperlink" Target="https://sellercentral.amazon.com/myinventory/inventory?fulfilledBy=all&amp;page=1&amp;pageSize=25&amp;searchField=all&amp;searchTerm=DK-BRO-COM&amp;sort=sku_asc&amp;status=all" TargetMode="External"/><Relationship Id="rId20" Type="http://schemas.openxmlformats.org/officeDocument/2006/relationships/hyperlink" Target="https://sellercentral.amazon.com/myinventory/inventory?fulfilledBy=all&amp;page=1&amp;pageSize=25&amp;searchField=all&amp;searchTerm=2N-528Q-Q2ZO&amp;sort=sku_asc&amp;status=all" TargetMode="External"/><Relationship Id="rId22" Type="http://schemas.openxmlformats.org/officeDocument/2006/relationships/hyperlink" Target="https://sellercentral.amazon.com/myinventory/inventory?fulfilledBy=all&amp;page=1&amp;pageSize=25&amp;searchField=all&amp;searchTerm=CL-X712-XMZZ&amp;sort=sku_asc&amp;status=all" TargetMode="External"/><Relationship Id="rId21" Type="http://schemas.openxmlformats.org/officeDocument/2006/relationships/hyperlink" Target="https://sellercentral.amazon.com/myinventory/inventory?fulfilledBy=all&amp;page=1&amp;pageSize=25&amp;searchField=all&amp;searchTerm=BAG-ZIP-1000-GROUP47&amp;sort=sku_asc&amp;status=all" TargetMode="External"/><Relationship Id="rId24" Type="http://schemas.openxmlformats.org/officeDocument/2006/relationships/hyperlink" Target="https://sellercentral.amazon.com/myinventory/inventory?fulfilledBy=all&amp;page=1&amp;pageSize=25&amp;searchField=all&amp;searchTerm=QS-BB2G-TA2A&amp;sort=sku_asc&amp;status=all" TargetMode="External"/><Relationship Id="rId23" Type="http://schemas.openxmlformats.org/officeDocument/2006/relationships/hyperlink" Target="https://sellercentral.amazon.com/myinventory/inventory?fulfilledBy=all&amp;page=1&amp;pageSize=25&amp;searchField=all&amp;searchTerm=LB-DM-12RLLS&amp;sort=sku_asc&amp;status=all" TargetMode="External"/><Relationship Id="rId26" Type="http://schemas.openxmlformats.org/officeDocument/2006/relationships/hyperlink" Target="https://sellercentral.amazon.com/myinventory/inventory?fulfilledBy=all&amp;page=1&amp;pageSize=25&amp;searchField=all&amp;searchTerm=02-W7IX-BNKW&amp;sort=sku_asc&amp;status=all" TargetMode="External"/><Relationship Id="rId25" Type="http://schemas.openxmlformats.org/officeDocument/2006/relationships/hyperlink" Target="https://sellercentral.amazon.com/myinventory/inventory?fulfilledBy=all&amp;page=1&amp;pageSize=25&amp;searchField=all&amp;searchTerm=LB-DYMO-Parent2&amp;sort=sku_asc&amp;status=all" TargetMode="External"/><Relationship Id="rId28" Type="http://schemas.openxmlformats.org/officeDocument/2006/relationships/hyperlink" Target="https://sellercentral.amazon.com/myinventory/inventory?fulfilledBy=all&amp;page=1&amp;pageSize=25&amp;searchField=all&amp;searchTerm=AH-3OVD-YBTO&amp;sort=sku_asc&amp;status=all" TargetMode="External"/><Relationship Id="rId27" Type="http://schemas.openxmlformats.org/officeDocument/2006/relationships/hyperlink" Target="https://sellercentral.amazon.com/myinventory/inventory?fulfilledBy=all&amp;page=1&amp;pageSize=25&amp;searchField=all&amp;searchTerm=BAG-ZIP-GROUP9&amp;sort=sku_asc&amp;status=all" TargetMode="External"/><Relationship Id="rId29" Type="http://schemas.openxmlformats.org/officeDocument/2006/relationships/hyperlink" Target="https://sellercentral.amazon.com/myinventory/inventory?fulfilledBy=all&amp;page=1&amp;pageSize=25&amp;searchField=all&amp;searchTerm=MT-B743-NEPX&amp;sort=sku_asc&amp;status=all" TargetMode="External"/><Relationship Id="rId11" Type="http://schemas.openxmlformats.org/officeDocument/2006/relationships/hyperlink" Target="https://sellercentral.amazon.com/myinventory/inventory?fulfilledBy=all&amp;page=1&amp;pageSize=25&amp;searchField=all&amp;searchTerm=LB-DT-Parent-04&amp;sort=date_created_desc&amp;status=all&amp;ref_=xx_invmgr_favb_xx" TargetMode="External"/><Relationship Id="rId10" Type="http://schemas.openxmlformats.org/officeDocument/2006/relationships/hyperlink" Target="https://sellercentral.amazon.com/myinventory/inventory?fulfilledBy=all&amp;page=1&amp;pageSize=25&amp;searchField=all&amp;searchTerm=BAG-CELLO-A_GROUP+3&amp;sort=sku_asc&amp;status=all" TargetMode="External"/><Relationship Id="rId13" Type="http://schemas.openxmlformats.org/officeDocument/2006/relationships/hyperlink" Target="https://sellercentral.amazon.com/myinventory/inventory?fulfilledBy=all&amp;page=1&amp;pageSize=25&amp;searchField=all&amp;searchTerm=V2-QVNE-TJQF&amp;sort=sku_asc&amp;status=all" TargetMode="External"/><Relationship Id="rId12" Type="http://schemas.openxmlformats.org/officeDocument/2006/relationships/hyperlink" Target="https://sellercentral.amazon.com/myinventory/inventory?fulfilledBy=all&amp;page=1&amp;pageSize=25&amp;searchField=all&amp;searchTerm=BAG-ZIP-HD-GROUP4&amp;sort=date_created_desc&amp;status=all" TargetMode="External"/><Relationship Id="rId15" Type="http://schemas.openxmlformats.org/officeDocument/2006/relationships/hyperlink" Target="https://sellercentral.amazon.com/myinventory/inventory?fulfilledBy=all&amp;page=1&amp;pageSize=25&amp;searchField=all&amp;searchTerm=V2-QVNE-TJQF&amp;sort=sku_asc&amp;status=all" TargetMode="External"/><Relationship Id="rId14" Type="http://schemas.openxmlformats.org/officeDocument/2006/relationships/hyperlink" Target="https://sellercentral.amazon.com/myinventory/inventory?fulfilledBy=all&amp;page=1&amp;pageSize=25&amp;searchField=all&amp;searchTerm=LB-DT-Parent-05&amp;sort=date_created_desc&amp;status=all&amp;ref_=xx_invmgr_favb_xx" TargetMode="External"/><Relationship Id="rId17" Type="http://schemas.openxmlformats.org/officeDocument/2006/relationships/hyperlink" Target="https://sellercentral.amazon.com/myinventory/inventory?fulfilledBy=all&amp;page=1&amp;pageSize=25&amp;searchField=all&amp;searchTerm=EB-PQ2A-K1D8&amp;sort=sku_asc&amp;status=all" TargetMode="External"/><Relationship Id="rId16" Type="http://schemas.openxmlformats.org/officeDocument/2006/relationships/hyperlink" Target="https://sellercentral.amazon.com/myinventory/inventory?fulfilledBy=all&amp;page=1&amp;pageSize=25&amp;searchField=all&amp;searchTerm=BAG-ZIP-HD-GROUP5&amp;sort=date_created_desc&amp;status=all&amp;ref_=xx_invmgr_favb_xx" TargetMode="External"/><Relationship Id="rId19" Type="http://schemas.openxmlformats.org/officeDocument/2006/relationships/hyperlink" Target="https://sellercentral.amazon.com/myinventory/inventory?fulfilledBy=all&amp;page=1&amp;pageSize=25&amp;searchField=all&amp;searchTerm=LB-DT-Parent-06&amp;sort=date_created_desc&amp;status=all&amp;ref_=xx_invmgr_favb_xx" TargetMode="External"/><Relationship Id="rId18" Type="http://schemas.openxmlformats.org/officeDocument/2006/relationships/hyperlink" Target="https://sellercentral.amazon.com/myinventory/inventory?fulfilledBy=all&amp;page=1&amp;pageSize=25&amp;searchField=all&amp;searchTerm=BAG-ZIP-GROUP99&amp;sort=sku_asc&amp;status=all" TargetMode="External"/><Relationship Id="rId84" Type="http://schemas.openxmlformats.org/officeDocument/2006/relationships/hyperlink" Target="https://sellercentral.amazon.com/myinventory/inventory?fulfilledBy=all&amp;page=1&amp;pageSize=25&amp;searchField=all&amp;searchTerm=X8-2I86-DN7G&amp;sort=sku_asc&amp;status=all" TargetMode="External"/><Relationship Id="rId83" Type="http://schemas.openxmlformats.org/officeDocument/2006/relationships/hyperlink" Target="https://sellercentral.amazon.com/myinventory/inventory?fulfilledBy=all&amp;page=1&amp;pageSize=25&amp;searchField=all&amp;searchTerm=SFW-BAG-RS-P1-100&amp;sort=date_created_desc&amp;status=all&amp;ref_=xx_invmgr_favb_xx" TargetMode="External"/><Relationship Id="rId86" Type="http://schemas.openxmlformats.org/officeDocument/2006/relationships/hyperlink" Target="https://sellercentral.amazon.com/myinventory/inventory/variations/QkFHLVNVRi0xMDAtUEFSRU5U?fulfilledBy=all&amp;page=1&amp;pageSize=25&amp;sort=date_created_desc&amp;status=all" TargetMode="External"/><Relationship Id="rId85" Type="http://schemas.openxmlformats.org/officeDocument/2006/relationships/hyperlink" Target="https://sellercentral.amazon.com/myinventory/inventory?fulfilledBy=all&amp;page=1&amp;pageSize=25&amp;searchField=all&amp;searchTerm=BAG-SUF-200-GROUP31&amp;sort=sku_asc&amp;status=all" TargetMode="External"/><Relationship Id="rId88" Type="http://schemas.openxmlformats.org/officeDocument/2006/relationships/hyperlink" Target="https://sellercentral.amazon.com/myinventory/inventory?fulfilledBy=all&amp;page=1&amp;pageSize=25&amp;searchField=all&amp;searchTerm=SFW-BAG-1000-GROUP34&amp;sort=sku_asc&amp;status=all" TargetMode="External"/><Relationship Id="rId150" Type="http://schemas.openxmlformats.org/officeDocument/2006/relationships/hyperlink" Target="https://sellercentral.amazon.com/myinventory/inventory?fulfilledBy=all&amp;page=1&amp;pageSize=25&amp;searchField=all&amp;searchTerm=TP-MASK-MC-3-12&amp;sort=sku_asc&amp;status=all&amp;ref_=xx_invmgr_favb_xx" TargetMode="External"/><Relationship Id="rId87" Type="http://schemas.openxmlformats.org/officeDocument/2006/relationships/hyperlink" Target="https://sellercentral.amazon.com/myinventory/inventory?fulfilledBy=all&amp;page=1&amp;pageSize=25&amp;searchField=all&amp;searchTerm=BAG-SUF-100-GROUP33&amp;sort=sku_asc&amp;status=all" TargetMode="External"/><Relationship Id="rId89" Type="http://schemas.openxmlformats.org/officeDocument/2006/relationships/hyperlink" Target="https://sellercentral.amazon.com/myinventory/inventory/variations/U0ZXLUJhZy1QQVJFTlQx?fulfilledBy=all&amp;page=1&amp;pageSize=25&amp;sort=date_created_desc&amp;status=all" TargetMode="External"/><Relationship Id="rId80" Type="http://schemas.openxmlformats.org/officeDocument/2006/relationships/hyperlink" Target="https://sellercentral.amazon.com/myinventory/inventory?fulfilledBy=all&amp;page=1&amp;pageSize=25&amp;searchField=all&amp;searchTerm=BAGCELLOPIC-1&amp;sort=sku_asc&amp;status=all" TargetMode="External"/><Relationship Id="rId82" Type="http://schemas.openxmlformats.org/officeDocument/2006/relationships/hyperlink" Target="https://sellercentral.amazon.com/myinventory/inventory?fulfilledBy=all&amp;page=1&amp;pageSize=25&amp;searchField=all&amp;searchTerm=SFW-BAG-RS-P1&amp;sort=sku_asc&amp;status=all&amp;ref_=xx_invmgr_favb_xx" TargetMode="External"/><Relationship Id="rId81" Type="http://schemas.openxmlformats.org/officeDocument/2006/relationships/hyperlink" Target="https://sellercentral.amazon.com/myinventory/inventory?fulfilledBy=all&amp;page=1&amp;pageSize=25&amp;searchField=all&amp;searchTerm=BAG-CELLO-O-3&amp;sort=sku_asc&amp;status=all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sellercentral.amazon.com/myinventory/inventory?fulfilledBy=all&amp;page=1&amp;pageSize=25&amp;searchField=all&amp;searchTerm=BAG-ZIP-HD-GROUP1&amp;sort=date_created_desc&amp;status=all&amp;ref_=xx_invmgr_favb_xx" TargetMode="External"/><Relationship Id="rId3" Type="http://schemas.openxmlformats.org/officeDocument/2006/relationships/hyperlink" Target="https://sellercentral.amazon.com/myinventory/inventory?fulfilledBy=all&amp;page=1&amp;pageSize=25&amp;searchField=all&amp;searchTerm=LB-DT-Parent-01&amp;sort=date_created_desc&amp;status=all&amp;ref_=xx_invmgr_favb_xx" TargetMode="External"/><Relationship Id="rId149" Type="http://schemas.openxmlformats.org/officeDocument/2006/relationships/hyperlink" Target="https://sellercentral.amazon.com/myinventory/inventory?fulfilledBy=all&amp;page=1&amp;pageSize=25&amp;searchField=all&amp;searchTerm=TP-MASK-NAT-1&amp;sort=sku_asc&amp;status=all" TargetMode="External"/><Relationship Id="rId4" Type="http://schemas.openxmlformats.org/officeDocument/2006/relationships/hyperlink" Target="https://sellercentral.amazon.com/myinventory/inventory?fulfilledBy=all&amp;page=1&amp;pageSize=25&amp;searchField=all&amp;searchTerm=BAG-CELLO-A_GROUP+1&amp;sort=sku_asc&amp;status=all" TargetMode="External"/><Relationship Id="rId148" Type="http://schemas.openxmlformats.org/officeDocument/2006/relationships/hyperlink" Target="https://sellercentral.amazon.com/myinventory/inventory?fulfilledBy=all&amp;page=1&amp;pageSize=25&amp;searchField=all&amp;searchTerm=TP-DUCT-MIX-7-7&amp;sort=sku_asc&amp;status=all" TargetMode="External"/><Relationship Id="rId9" Type="http://schemas.openxmlformats.org/officeDocument/2006/relationships/hyperlink" Target="https://sellercentral.amazon.com/myinventory/inventory?fulfilledBy=all&amp;page=1&amp;pageSize=25&amp;searchField=all&amp;searchTerm=LB-DT-Parent-03&amp;sort=date_created_desc&amp;status=all&amp;ref_=xx_invmgr_favb_xx" TargetMode="External"/><Relationship Id="rId143" Type="http://schemas.openxmlformats.org/officeDocument/2006/relationships/hyperlink" Target="https://sellercentral.amazon.com/myinventory/inventory?fulfilledBy=all&amp;page=1&amp;pageSize=25&amp;searchField=all&amp;searchTerm=TL-ELC-24&amp;sort=sku_asc&amp;status=all" TargetMode="External"/><Relationship Id="rId142" Type="http://schemas.openxmlformats.org/officeDocument/2006/relationships/hyperlink" Target="https://sellercentral.amazon.com/myinventory/inventory?fulfilledBy=all&amp;page=1&amp;pageSize=25&amp;searchField=all&amp;searchTerm=TP-SAFE&amp;sort=sku_asc&amp;status=all" TargetMode="External"/><Relationship Id="rId141" Type="http://schemas.openxmlformats.org/officeDocument/2006/relationships/hyperlink" Target="https://sellercentral.amazon.com/myinventory/inventory?fulfilledBy=all&amp;page=1&amp;pageSize=25&amp;searchField=all&amp;searchTerm=TP-CLR-HVD-1&amp;sort=sku_asc&amp;status=all" TargetMode="External"/><Relationship Id="rId140" Type="http://schemas.openxmlformats.org/officeDocument/2006/relationships/hyperlink" Target="https://sellercentral.amazon.com/myinventory/inventory?fulfilledBy=all&amp;page=1&amp;pageSize=25&amp;searchField=all&amp;searchTerm=B0GW9LP74R&amp;sort=sku_asc&amp;status=all&amp;ref_=xx_invmgr_favb_xx" TargetMode="External"/><Relationship Id="rId5" Type="http://schemas.openxmlformats.org/officeDocument/2006/relationships/hyperlink" Target="https://sellercentral.amazon.com/myinventory/inventory?fulfilledBy=all&amp;page=1&amp;pageSize=25&amp;searchField=all&amp;searchTerm=BAG-ZIP-HD-GROUP2&amp;sort=date_created_desc&amp;status=all&amp;ref_=xx_invmgr_dnav_xx" TargetMode="External"/><Relationship Id="rId147" Type="http://schemas.openxmlformats.org/officeDocument/2006/relationships/hyperlink" Target="https://sellercentral.amazon.com/myinventory/inventory?fulfilledBy=all&amp;page=1&amp;pageSize=25&amp;searchField=all&amp;searchTerm=TP-DUCT-MC-2-6&amp;sort=sku_asc&amp;status=all" TargetMode="External"/><Relationship Id="rId6" Type="http://schemas.openxmlformats.org/officeDocument/2006/relationships/hyperlink" Target="https://sellercentral.amazon.com/myinventory/inventory?fulfilledBy=all&amp;page=1&amp;pageSize=25&amp;searchField=all&amp;searchTerm=LB-DT-Parent-02&amp;sort=date_created_desc&amp;status=all&amp;ref_=xx_invmgr_favb_xx" TargetMode="External"/><Relationship Id="rId146" Type="http://schemas.openxmlformats.org/officeDocument/2006/relationships/hyperlink" Target="https://sellercentral.amazon.com/myinventory/inventory?fulfilledBy=all&amp;page=1&amp;pageSize=25&amp;searchField=all&amp;searchTerm=TP-DUCT-1&amp;sort=sku_asc&amp;status=all" TargetMode="External"/><Relationship Id="rId7" Type="http://schemas.openxmlformats.org/officeDocument/2006/relationships/hyperlink" Target="https://sellercentral.amazon.com/myinventory/inventory?fulfilledBy=all&amp;page=1&amp;pageSize=25&amp;searchField=all&amp;searchTerm=BAG-CELLO-A_GROUP+2&amp;sort=sku_asc&amp;status=all" TargetMode="External"/><Relationship Id="rId145" Type="http://schemas.openxmlformats.org/officeDocument/2006/relationships/hyperlink" Target="https://sellercentral.amazon.com/myinventory/inventory?fulfilledBy=all&amp;page=1&amp;pageSize=25&amp;searchField=all&amp;searchTerm=TP-RUB-1&amp;sort=sku_asc&amp;status=all&amp;ref_=xx_invmgr_favb_xx" TargetMode="External"/><Relationship Id="rId8" Type="http://schemas.openxmlformats.org/officeDocument/2006/relationships/hyperlink" Target="https://sellercentral.amazon.com/myinventory/inventory?fulfilledBy=all&amp;page=1&amp;pageSize=25&amp;searchField=all&amp;searchTerm=BAG-ZIP-HD-1&amp;sort=sku_asc&amp;status=all" TargetMode="External"/><Relationship Id="rId144" Type="http://schemas.openxmlformats.org/officeDocument/2006/relationships/hyperlink" Target="https://sellercentral.amazon.com/myinventory/inventory?fulfilledBy=all&amp;page=1&amp;pageSize=25&amp;searchField=all&amp;searchTerm=TP-FIL-1&amp;sort=sku_asc&amp;status=all&amp;ref_=xx_invmgr_favb_xx" TargetMode="External"/><Relationship Id="rId73" Type="http://schemas.openxmlformats.org/officeDocument/2006/relationships/hyperlink" Target="https://sellercentral.amazon.com/myinventory/inventory?fulfilledBy=all&amp;page=1&amp;pageSize=25&amp;searchField=all&amp;searchTerm=BAG-FLAT-2M-GROUP93&amp;sort=sku_asc&amp;status=all" TargetMode="External"/><Relationship Id="rId72" Type="http://schemas.openxmlformats.org/officeDocument/2006/relationships/hyperlink" Target="https://sellercentral.amazon.com/myinventory/inventory?fulfilledBy=all&amp;page=1&amp;pageSize=25&amp;searchField=all&amp;searchTerm=BAG-FLAT-2M-100-GROUP21&amp;sort=sku_asc&amp;status=all" TargetMode="External"/><Relationship Id="rId75" Type="http://schemas.openxmlformats.org/officeDocument/2006/relationships/hyperlink" Target="https://sellercentral.amazon.com/myinventory/inventory?fulfilledBy=all&amp;page=1&amp;pageSize=25&amp;searchField=all&amp;searchTerm=04-RFYA-CPVH&amp;sort=sku_asc&amp;status=all&amp;ref_=xx_invmgr_favb_xx" TargetMode="External"/><Relationship Id="rId74" Type="http://schemas.openxmlformats.org/officeDocument/2006/relationships/hyperlink" Target="https://sellercentral.amazon.com/myinventory/inventory?fulfilledBy=all&amp;page=1&amp;pageSize=25&amp;searchField=all&amp;searchTerm=SPAR-2M-FOBT&amp;sort=date_created_desc&amp;status=all&amp;ref_=xx_invmgr_dnav_xx" TargetMode="External"/><Relationship Id="rId77" Type="http://schemas.openxmlformats.org/officeDocument/2006/relationships/hyperlink" Target="https://sellercentral.amazon.com/myinventory/inventory?fulfilledBy=all&amp;page=1&amp;pageSize=25&amp;searchField=all&amp;searchTerm=BAG-CELLO-O-1&amp;sort=sku_asc&amp;status=all" TargetMode="External"/><Relationship Id="rId76" Type="http://schemas.openxmlformats.org/officeDocument/2006/relationships/hyperlink" Target="https://sellercentral.amazon.com/myinventory/inventory?fulfilledBy=all&amp;page=1&amp;pageSize=25&amp;searchField=all&amp;searchTerm=CELLO-BAG-O-1&amp;sort=sku_asc&amp;status=all" TargetMode="External"/><Relationship Id="rId79" Type="http://schemas.openxmlformats.org/officeDocument/2006/relationships/hyperlink" Target="https://sellercentral.amazon.com/myinventory/inventory?fulfilledBy=all&amp;page=1&amp;pageSize=25&amp;searchField=all&amp;searchTerm=BAG-CELLO-O-5&amp;sort=sku_asc&amp;status=all" TargetMode="External"/><Relationship Id="rId78" Type="http://schemas.openxmlformats.org/officeDocument/2006/relationships/hyperlink" Target="https://sellercentral.amazon.com/myinventory/inventory?fulfilledBy=all&amp;page=1&amp;pageSize=25&amp;searchField=all&amp;searchTerm=AD-MSVG-ZICJ&amp;sort=sku_asc&amp;status=all" TargetMode="External"/><Relationship Id="rId71" Type="http://schemas.openxmlformats.org/officeDocument/2006/relationships/hyperlink" Target="https://sellercentral.amazon.com/myinventory/inventory?fulfilledBy=all&amp;page=1&amp;pageSize=25&amp;searchField=all&amp;searchTerm=BAG-FLAT-2M-GROUP91&amp;sort=sku_asc&amp;status=all" TargetMode="External"/><Relationship Id="rId70" Type="http://schemas.openxmlformats.org/officeDocument/2006/relationships/hyperlink" Target="https://sellercentral.amazon.com/myinventory/inventory?fulfilledBy=all&amp;page=1&amp;pageSize=25&amp;searchField=all&amp;searchTerm=B0GS3Q5GV2&amp;sort=available_desc&amp;status=all" TargetMode="External"/><Relationship Id="rId139" Type="http://schemas.openxmlformats.org/officeDocument/2006/relationships/hyperlink" Target="https://sellercentral.amazon.com/myinventory/inventory?fulfilledBy=all&amp;page=1&amp;pageSize=25&amp;searchField=all&amp;searchTerm=B0GW9Q31N3&amp;sort=sku_asc&amp;status=all&amp;ref_=xx_invmgr_favb_xx" TargetMode="External"/><Relationship Id="rId138" Type="http://schemas.openxmlformats.org/officeDocument/2006/relationships/hyperlink" Target="https://sellercentral.amazon.com/myinventory/inventory?fulfilledBy=all&amp;page=1&amp;pageSize=25&amp;searchField=all&amp;searchTerm=B0GW9KQ7HR&amp;sort=sku_asc&amp;status=all&amp;ref_=xx_invmgr_favb_xx" TargetMode="External"/><Relationship Id="rId137" Type="http://schemas.openxmlformats.org/officeDocument/2006/relationships/hyperlink" Target="https://sellercentral.amazon.com/myinventory/inventory?fulfilledBy=all&amp;page=1&amp;pageSize=25&amp;searchField=all&amp;searchTerm=B0GW9HNQVY&amp;sort=sku_asc&amp;status=all&amp;ref_=xx_invmgr_favb_xx" TargetMode="External"/><Relationship Id="rId132" Type="http://schemas.openxmlformats.org/officeDocument/2006/relationships/hyperlink" Target="https://sellercentral.amazon.com/myinventory/inventory?fulfilledBy=all&amp;page=1&amp;pageSize=25&amp;searchField=all&amp;searchTerm=B0GW9RG4BV&amp;sort=sku_asc&amp;status=all&amp;ref_=xx_invmgr_favb_xx" TargetMode="External"/><Relationship Id="rId131" Type="http://schemas.openxmlformats.org/officeDocument/2006/relationships/hyperlink" Target="https://sellercentral.amazon.com/myinventory/inventory?fulfilledBy=all&amp;page=1&amp;pageSize=25&amp;searchField=all&amp;searchTerm=SI-LABEL-LS-0404-GROUP97&amp;sort=date_created_desc&amp;status=all&amp;ref_=xx_invmgr_favb_xx" TargetMode="External"/><Relationship Id="rId130" Type="http://schemas.openxmlformats.org/officeDocument/2006/relationships/hyperlink" Target="https://sellercentral.amazon.com/myinventory/inventory?fulfilledBy=all&amp;page=1&amp;pageSize=25&amp;searchField=all&amp;searchTerm=SI-LABEL-LS-03F02-O-GROUP96&amp;sort=date_created_desc&amp;status=all&amp;ref_=xx_invmgr_favb_xx" TargetMode="External"/><Relationship Id="rId136" Type="http://schemas.openxmlformats.org/officeDocument/2006/relationships/hyperlink" Target="https://sellercentral.amazon.com/myinventory/inventory?fulfilledBy=all&amp;page=1&amp;pageSize=25&amp;searchField=all&amp;searchTerm=B0GW9PX3B1&amp;sort=sku_asc&amp;status=all&amp;ref_=xx_invmgr_favb_xx" TargetMode="External"/><Relationship Id="rId135" Type="http://schemas.openxmlformats.org/officeDocument/2006/relationships/hyperlink" Target="https://sellercentral.amazon.com/myinventory/inventory?fulfilledBy=all&amp;page=1&amp;pageSize=25&amp;searchField=all&amp;searchTerm=B0GW9M72DF&amp;sort=sku_asc&amp;status=all&amp;ref_=xx_invmgr_favb_xx" TargetMode="External"/><Relationship Id="rId134" Type="http://schemas.openxmlformats.org/officeDocument/2006/relationships/hyperlink" Target="https://sellercentral.amazon.com/myinventory/inventory?fulfilledBy=all&amp;page=1&amp;pageSize=25&amp;searchField=all&amp;searchTerm=B0GW9MYPNJ&amp;sort=sku_asc&amp;status=all&amp;ref_=xx_invmgr_favb_xx" TargetMode="External"/><Relationship Id="rId133" Type="http://schemas.openxmlformats.org/officeDocument/2006/relationships/hyperlink" Target="https://sellercentral.amazon.com/myinventory/inventory?fulfilledBy=all&amp;page=1&amp;pageSize=25&amp;searchField=all&amp;searchTerm=B0GW9V26YC&amp;sort=sku_asc&amp;status=all&amp;ref_=xx_invmgr_favb_xx" TargetMode="External"/><Relationship Id="rId62" Type="http://schemas.openxmlformats.org/officeDocument/2006/relationships/hyperlink" Target="https://sellercentral.amazon.com/myinventory/inventory/variations/TEItRFQtUGFyZW50LTA3?fulfilledBy=all&amp;page=1&amp;pageSize=25&amp;sort=available_desc&amp;status=all" TargetMode="External"/><Relationship Id="rId61" Type="http://schemas.openxmlformats.org/officeDocument/2006/relationships/hyperlink" Target="https://sellercentral.amazon.com/myinventory/inventory?fulfilledBy=all&amp;page=1&amp;pageSize=25&amp;searchField=all&amp;searchTerm=BAG-FLAT-1000-GROUP19&amp;sort=sku_asc&amp;status=all" TargetMode="External"/><Relationship Id="rId64" Type="http://schemas.openxmlformats.org/officeDocument/2006/relationships/hyperlink" Target="https://sellercentral.amazon.com/myinventory/inventory?fulfilledBy=all&amp;page=1&amp;pageSize=25&amp;searchField=all&amp;searchTerm=BAG-FLAT_GROUP92&amp;sort=date_created_desc&amp;status=all&amp;ref_=xx_invmgr_dnav_xx" TargetMode="External"/><Relationship Id="rId63" Type="http://schemas.openxmlformats.org/officeDocument/2006/relationships/hyperlink" Target="https://sellercentral.amazon.com/myinventory/inventory?fulfilledBy=all&amp;page=1&amp;pageSize=25&amp;searchField=all&amp;searchTerm=LB-DTSZSY-001&amp;sort=date_created_desc&amp;status=all&amp;ref_=xx_invmgr_favb_xx" TargetMode="External"/><Relationship Id="rId66" Type="http://schemas.openxmlformats.org/officeDocument/2006/relationships/hyperlink" Target="https://sellercentral.amazon.com/myinventory/inventory?fulfilledBy=all&amp;page=1&amp;pageSize=25&amp;searchField=all&amp;searchTerm=SPAR-16M-FOB&amp;sort=date_created_desc&amp;status=all&amp;ref_=xx_invmgr_dnav_xx" TargetMode="External"/><Relationship Id="rId65" Type="http://schemas.openxmlformats.org/officeDocument/2006/relationships/hyperlink" Target="https://sellercentral.amazon.com/myinventory/inventory?fulfilledBy=all&amp;page=1&amp;pageSize=25&amp;searchField=all&amp;searchTerm=LB-DT1ROLL&amp;sort=date_created_desc&amp;status=all&amp;ref_=xx_invmgr_favb_xx" TargetMode="External"/><Relationship Id="rId68" Type="http://schemas.openxmlformats.org/officeDocument/2006/relationships/hyperlink" Target="https://sellercentral.amazon.com/myinventory/inventory?fulfilledBy=all&amp;page=1&amp;pageSize=25&amp;searchField=all&amp;searchTerm=BAG-FLAT-GROUP20&amp;sort=sku_asc&amp;status=all" TargetMode="External"/><Relationship Id="rId67" Type="http://schemas.openxmlformats.org/officeDocument/2006/relationships/hyperlink" Target="https://sellercentral.amazon.com/myinventory/inventory?fulfilledBy=all&amp;page=1&amp;pageSize=25&amp;searchField=all&amp;searchTerm=LB-DT0SZE&amp;sort=date_created_desc&amp;status=all&amp;ref_=xx_invmgr_favb_xx" TargetMode="External"/><Relationship Id="rId60" Type="http://schemas.openxmlformats.org/officeDocument/2006/relationships/hyperlink" Target="https://sellercentral.amazon.com/myinventory/inventory?fulfilledBy=all&amp;page=1&amp;pageSize=25&amp;searchField=all&amp;searchTerm=B0GW9Q3TV4&amp;sort=sku_asc&amp;status=all&amp;ref_=xx_invmgr_favb_xx" TargetMode="External"/><Relationship Id="rId69" Type="http://schemas.openxmlformats.org/officeDocument/2006/relationships/hyperlink" Target="https://sellercentral.amazon.com/myinventory/inventory?fulfilledBy=all&amp;page=1&amp;pageSize=25&amp;searchField=all&amp;searchTerm=LB-DT0406-450&amp;sort=date_created_desc&amp;status=all&amp;ref_=xx_invmgr_favb_xx" TargetMode="External"/><Relationship Id="rId51" Type="http://schemas.openxmlformats.org/officeDocument/2006/relationships/hyperlink" Target="https://sellercentral.amazon.com/myinventory/inventory?fulfilledBy=all&amp;page=1&amp;pageSize=25&amp;searchField=all&amp;searchTerm=BAG-ZIP_GROUP102&amp;sort=date_created_desc&amp;status=all&amp;ref_=xx_invmgr_favb_xx" TargetMode="External"/><Relationship Id="rId50" Type="http://schemas.openxmlformats.org/officeDocument/2006/relationships/hyperlink" Target="https://sellercentral.amazon.com/myinventory/inventory?fulfilledBy=all&amp;page=1&amp;pageSize=25&amp;searchField=all&amp;searchTerm=LB-WARN-GRP12&amp;sort=sku_asc&amp;status=all" TargetMode="External"/><Relationship Id="rId53" Type="http://schemas.openxmlformats.org/officeDocument/2006/relationships/hyperlink" Target="https://sellercentral.amazon.com/myinventory/inventory?fulfilledBy=all&amp;page=1&amp;pageSize=25&amp;searchField=all&amp;searchTerm=43-RRQZ-HRVK&amp;sort=sku_asc&amp;status=all" TargetMode="External"/><Relationship Id="rId52" Type="http://schemas.openxmlformats.org/officeDocument/2006/relationships/hyperlink" Target="https://sellercentral.amazon.com/myinventory/inventory?fulfilledBy=all&amp;page=1&amp;pageSize=25&amp;searchField=all&amp;searchTerm=LB-LABEL-LS-0202-A-GROUP15&amp;sort=date_created_desc&amp;status=all&amp;ref_=xx_invmgr_favb_xx" TargetMode="External"/><Relationship Id="rId55" Type="http://schemas.openxmlformats.org/officeDocument/2006/relationships/hyperlink" Target="https://sellercentral.amazon.com/myinventory/inventory?fulfilledBy=all&amp;page=1&amp;pageSize=25&amp;searchField=all&amp;searchTerm=LB-LABEL-LS-0404-A-GROUP17&amp;sort=date_created_desc&amp;status=all&amp;ref_=xx_invmgr_favb_xx" TargetMode="External"/><Relationship Id="rId54" Type="http://schemas.openxmlformats.org/officeDocument/2006/relationships/hyperlink" Target="https://sellercentral.amazon.com/myinventory/inventory?fulfilledBy=all&amp;page=1&amp;pageSize=25&amp;searchField=all&amp;searchTerm=LB-LABEL-LS-0303-A-GROUP16&amp;sort=date_created_desc&amp;status=all&amp;ref_=xx_invmgr_favb_xx" TargetMode="External"/><Relationship Id="rId57" Type="http://schemas.openxmlformats.org/officeDocument/2006/relationships/hyperlink" Target="https://sellercentral.amazon.com/myinventory/inventory?fulfilledBy=all&amp;page=1&amp;pageSize=25&amp;searchField=all&amp;searchTerm=LB-LABEL-LS-C1F-A-GROUP18&amp;sort=date_created_desc&amp;status=all&amp;ref_=xx_invmgr_favb_xx" TargetMode="External"/><Relationship Id="rId56" Type="http://schemas.openxmlformats.org/officeDocument/2006/relationships/hyperlink" Target="https://sellercentral.amazon.com/myinventory/inventory?fulfilledBy=all&amp;page=1&amp;pageSize=25&amp;searchField=all&amp;searchTerm=BAG-FLAT-100-GROUP17&amp;sort=sku_asc&amp;status=all" TargetMode="External"/><Relationship Id="rId59" Type="http://schemas.openxmlformats.org/officeDocument/2006/relationships/hyperlink" Target="https://sellercentral.amazon.com/myinventory/inventory?fulfilledBy=all&amp;page=1&amp;pageSize=25&amp;searchField=all&amp;searchTerm=BAG-FLAT-200-GROUP18&amp;sort=date_created_desc&amp;status=all&amp;ref_=xx_invmgr_dnav_xx" TargetMode="External"/><Relationship Id="rId154" Type="http://schemas.openxmlformats.org/officeDocument/2006/relationships/hyperlink" Target="https://sellercentral.amazon.com/myinventory/inventory?fulfilledBy=all&amp;page=1&amp;pageSize=25&amp;searchField=all&amp;searchTerm=BAG-ZIP-BLK-HD-GROUP88&amp;sort=date_created_desc&amp;status=all&amp;ref_=xx_invmgr_favb_xx" TargetMode="External"/><Relationship Id="rId58" Type="http://schemas.openxmlformats.org/officeDocument/2006/relationships/hyperlink" Target="https://sellercentral.amazon.com/myinventory/inventory?fulfilledBy=all&amp;page=1&amp;pageSize=25&amp;searchField=all&amp;searchTerm=76-BMSW-6CPM&amp;sort=date_created_desc&amp;status=all&amp;ref_=xx_invmgr_favb_xx" TargetMode="External"/><Relationship Id="rId153" Type="http://schemas.openxmlformats.org/officeDocument/2006/relationships/hyperlink" Target="https://sellercentral.amazon.com/myinventory/inventory?fulfilledBy=all&amp;page=1&amp;pageSize=25&amp;searchField=all&amp;searchTerm=BAG-ZIP-BLK-HD-GROUP87&amp;sort=date_created_desc&amp;status=all&amp;ref_=xx_invmgr_favb_xx" TargetMode="External"/><Relationship Id="rId152" Type="http://schemas.openxmlformats.org/officeDocument/2006/relationships/hyperlink" Target="https://sellercentral.amazon.com/myinventory/inventory?fulfilledBy=all&amp;page=1&amp;pageSize=25&amp;searchField=all&amp;searchTerm=BAG-ZIP-UHD-GROUP90&amp;sort=date_created_desc&amp;status=all&amp;ref_=xx_invmgr_favb_xx" TargetMode="External"/><Relationship Id="rId151" Type="http://schemas.openxmlformats.org/officeDocument/2006/relationships/hyperlink" Target="https://sellercentral.amazon.com/myinventory/inventory?fulfilledBy=all&amp;page=1&amp;pageSize=25&amp;searchField=all&amp;searchTerm=BAG-ZIP-UHD-GROUP89&amp;sort=date_created_desc&amp;status=all&amp;ref_=xx_invmgr_favb_xx" TargetMode="External"/><Relationship Id="rId158" Type="http://schemas.openxmlformats.org/officeDocument/2006/relationships/vmlDrawing" Target="../drawings/vmlDrawing5.vml"/><Relationship Id="rId157" Type="http://schemas.openxmlformats.org/officeDocument/2006/relationships/drawing" Target="../drawings/drawing8.xml"/><Relationship Id="rId156" Type="http://schemas.openxmlformats.org/officeDocument/2006/relationships/hyperlink" Target="https://sellercentral.amazon.com/myinventory/inventory?fulfilledBy=all&amp;page=1&amp;pageSize=25&amp;searchField=all&amp;searchTerm=BAG-ZIP-HH-HD-GROUP100&amp;sort=sku_asc&amp;status=all" TargetMode="External"/><Relationship Id="rId155" Type="http://schemas.openxmlformats.org/officeDocument/2006/relationships/hyperlink" Target="https://sellercentral.amazon.com/myinventory/inventory?fulfilledBy=all&amp;page=1&amp;pageSize=25&amp;searchField=all&amp;searchTerm=BAG-ZIP-HH-GROUP82&amp;sort=date_created_desc&amp;status=all&amp;ref_=xx_invmgr_favb_xx" TargetMode="External"/><Relationship Id="rId107" Type="http://schemas.openxmlformats.org/officeDocument/2006/relationships/hyperlink" Target="https://sellercentral.amazon.com/myinventory/inventory?fulfilledBy=all&amp;page=1&amp;pageSize=25&amp;searchField=all&amp;searchTerm=SI-LABEL-DT-2040&amp;sort=available_desc&amp;status=all" TargetMode="External"/><Relationship Id="rId106" Type="http://schemas.openxmlformats.org/officeDocument/2006/relationships/hyperlink" Target="https://sellercentral.amazon.com/myinventory/inventory?fulfilledBy=all&amp;page=1&amp;pageSize=25&amp;searchField=all&amp;searchTerm=SP-LDT-XXV10&amp;sort=available_desc&amp;status=all" TargetMode="External"/><Relationship Id="rId105" Type="http://schemas.openxmlformats.org/officeDocument/2006/relationships/hyperlink" Target="https://sellercentral.amazon.com/myinventory/inventory?fulfilledBy=all&amp;page=1&amp;pageSize=25&amp;searchField=all&amp;searchTerm=SI-LABEL-DT-Parent-06&amp;sort=available_desc&amp;status=all" TargetMode="External"/><Relationship Id="rId104" Type="http://schemas.openxmlformats.org/officeDocument/2006/relationships/hyperlink" Target="https://sellercentral.amazon.com/myinventory/inventory?fulfilledBy=all&amp;page=1&amp;pageSize=25&amp;searchField=all&amp;searchTerm=SI-LABEL-DT-Parent-05&amp;sort=date_created_desc&amp;status=all&amp;ref_=xx_invmgr_dnav_xx" TargetMode="External"/><Relationship Id="rId109" Type="http://schemas.openxmlformats.org/officeDocument/2006/relationships/hyperlink" Target="https://sellercentral.amazon.com/myinventory/inventory?fulfilledBy=all&amp;page=1&amp;pageSize=25&amp;searchField=all&amp;searchTerm=LASER-FF-1&amp;sort=sku_asc&amp;status=all" TargetMode="External"/><Relationship Id="rId108" Type="http://schemas.openxmlformats.org/officeDocument/2006/relationships/hyperlink" Target="https://sellercentral.amazon.com/myinventory/inventory?fulfilledBy=all&amp;page=1&amp;pageSize=25&amp;searchField=all&amp;searchTerm=SI-LABEL-DT-Parent_01&amp;sort=available_desc&amp;status=all" TargetMode="External"/><Relationship Id="rId103" Type="http://schemas.openxmlformats.org/officeDocument/2006/relationships/hyperlink" Target="https://sellercentral.amazon.com/myinventory/inventory?fulfilledBy=all&amp;page=1&amp;pageSize=25&amp;searchField=all&amp;searchTerm=SI-LABEL-DT-Parent-04&amp;sort=date_created_desc&amp;status=all&amp;ref_=xx_invmgr_favb_xx" TargetMode="External"/><Relationship Id="rId102" Type="http://schemas.openxmlformats.org/officeDocument/2006/relationships/hyperlink" Target="https://sellercentral.amazon.com/myinventory/inventory/variations/U0ktTEFCRUwtRFQtUGFyZW50LTAz?fulfilledBy=all&amp;page=1&amp;pageSize=25&amp;sort=date_created_desc&amp;status=all" TargetMode="External"/><Relationship Id="rId101" Type="http://schemas.openxmlformats.org/officeDocument/2006/relationships/hyperlink" Target="https://sellercentral.amazon.com/myinventory/inventory?fulfilledBy=all&amp;page=1&amp;pageSize=25&amp;searchField=all&amp;searchTerm=SI-LABEL-DT-Parent_02&amp;sort=date_created_desc&amp;status=all&amp;ref_=xx_invmgr_favb_xx" TargetMode="External"/><Relationship Id="rId100" Type="http://schemas.openxmlformats.org/officeDocument/2006/relationships/hyperlink" Target="https://sellercentral.amazon.com/myinventory/inventory?fulfilledBy=all&amp;page=1&amp;pageSize=25&amp;searchField=all&amp;searchTerm=8J-65RB-P2H3&amp;sort=sku_asc&amp;status=all" TargetMode="External"/><Relationship Id="rId129" Type="http://schemas.openxmlformats.org/officeDocument/2006/relationships/hyperlink" Target="https://sellercentral.amazon.com/myinventory/inventory?fulfilledBy=all&amp;page=1&amp;pageSize=25&amp;searchField=all&amp;searchTerm=SI-LABEL-LS-0203F-AV-GROUP95&amp;sort=date_created_desc&amp;status=all&amp;ref_=xx_invmgr_favb_xx" TargetMode="External"/><Relationship Id="rId128" Type="http://schemas.openxmlformats.org/officeDocument/2006/relationships/hyperlink" Target="https://sellercentral.amazon.com/myinventory/inventory?fulfilledBy=all&amp;page=1&amp;pageSize=25&amp;searchField=all&amp;searchTerm=SI-LABEL-LS-01F01-GROUP94&amp;sort=date_created_desc&amp;status=all&amp;ref_=xx_invmgr_favb_xx" TargetMode="External"/><Relationship Id="rId127" Type="http://schemas.openxmlformats.org/officeDocument/2006/relationships/hyperlink" Target="https://sellercentral.amazon.com/myinventory/inventory?fulfilledBy=all&amp;page=1&amp;pageSize=25&amp;searchField=all&amp;searchTerm=SI-Label-LS-C-2&amp;sort=sku_asc&amp;status=all&amp;ref_=xx_invmgr_favb_xx" TargetMode="External"/><Relationship Id="rId126" Type="http://schemas.openxmlformats.org/officeDocument/2006/relationships/hyperlink" Target="https://sellercentral.amazon.com/myinventory/inventory?fulfilledBy=all&amp;page=1&amp;pageSize=25&amp;searchField=all&amp;searchTerm=SI-LABEL-LS-0402F-PARENT&amp;sort=sku_asc&amp;status=all" TargetMode="External"/><Relationship Id="rId121" Type="http://schemas.openxmlformats.org/officeDocument/2006/relationships/hyperlink" Target="https://sellercentral.amazon.com/myinventory/inventory?fulfilledBy=all&amp;page=1&amp;pageSize=25&amp;searchField=all&amp;searchTerm=SI-LABEL-LS-01F01-P&amp;sort=sku_asc&amp;status=all&amp;ref_=xx_invmgr_favb_xx" TargetMode="External"/><Relationship Id="rId120" Type="http://schemas.openxmlformats.org/officeDocument/2006/relationships/hyperlink" Target="https://sellercentral.amazon.com/myinventory/inventory?fulfilledBy=all&amp;page=1&amp;pageSize=25&amp;searchField=all&amp;searchTerm=SI-LABEL-LS-0802-PARENT&amp;sort=sku_asc&amp;status=all&amp;ref_=xx_invmgr_favb_xx" TargetMode="External"/><Relationship Id="rId125" Type="http://schemas.openxmlformats.org/officeDocument/2006/relationships/hyperlink" Target="https://sellercentral.amazon.com/myinventory/inventory?fulfilledBy=all&amp;page=1&amp;pageSize=25&amp;searchField=all&amp;searchTerm=SI-LABEL-LS-0402-PARENT&amp;sort=sku_asc&amp;status=all" TargetMode="External"/><Relationship Id="rId124" Type="http://schemas.openxmlformats.org/officeDocument/2006/relationships/hyperlink" Target="https://sellercentral.amazon.com/myinventory/inventory?fulfilledBy=all&amp;page=1&amp;pageSize=25&amp;searchField=all&amp;searchTerm=SI-LABEL-LS-0303-PARENT&amp;sort=sku_asc&amp;status=all" TargetMode="External"/><Relationship Id="rId123" Type="http://schemas.openxmlformats.org/officeDocument/2006/relationships/hyperlink" Target="https://sellercentral.amazon.com/myinventory/inventory?fulfilledBy=all&amp;page=1&amp;pageSize=25&amp;searchField=all&amp;searchTerm=SI-LABEL-LS-02F01F-PARENT&amp;sort=sku_asc&amp;status=all" TargetMode="External"/><Relationship Id="rId122" Type="http://schemas.openxmlformats.org/officeDocument/2006/relationships/hyperlink" Target="https://sellercentral.amazon.com/myinventory/inventory?fulfilledBy=all&amp;page=1&amp;pageSize=25&amp;searchField=all&amp;searchTerm=SI-LABEL-LS-0201-PARENT&amp;sort=sku_asc&amp;status=all" TargetMode="External"/><Relationship Id="rId95" Type="http://schemas.openxmlformats.org/officeDocument/2006/relationships/hyperlink" Target="https://sellercentral.amazon.com/myinventory/inventory?fulfilledBy=all&amp;page=1&amp;pageSize=25&amp;searchField=all&amp;searchTerm=BM-0H4M-FQDO&amp;sort=sku_asc&amp;status=all&amp;ref_=xx_invmgr_favb_xx" TargetMode="External"/><Relationship Id="rId94" Type="http://schemas.openxmlformats.org/officeDocument/2006/relationships/hyperlink" Target="https://sellercentral.amazon.com/myinventory/inventory?fulfilledBy=all&amp;page=1&amp;pageSize=25&amp;searchField=all&amp;searchTerm=SI-VAC-BLK&amp;sort=sku_asc&amp;status=all&amp;ref_=xx_invmgr_favb_xx" TargetMode="External"/><Relationship Id="rId97" Type="http://schemas.openxmlformats.org/officeDocument/2006/relationships/hyperlink" Target="https://sellercentral.amazon.com/myinventory/inventory?fulfilledBy=all&amp;page=1&amp;pageSize=25&amp;searchField=all&amp;searchTerm=IW-ILKW-W2KK&amp;sort=sku_asc&amp;status=all" TargetMode="External"/><Relationship Id="rId96" Type="http://schemas.openxmlformats.org/officeDocument/2006/relationships/hyperlink" Target="https://sellercentral.amazon.com/myinventory/inventory?fulfilledBy=all&amp;page=1&amp;pageSize=25&amp;searchField=all&amp;searchTerm=HI-LERV-GAFM&amp;sort=sku_asc&amp;status=all" TargetMode="External"/><Relationship Id="rId99" Type="http://schemas.openxmlformats.org/officeDocument/2006/relationships/hyperlink" Target="https://sellercentral.amazon.com/myinventory/inventory?fulfilledBy=all&amp;page=1&amp;pageSize=25&amp;searchField=all&amp;searchTerm=2U-NY2U-L29R&amp;sort=sku_asc&amp;status=all" TargetMode="External"/><Relationship Id="rId98" Type="http://schemas.openxmlformats.org/officeDocument/2006/relationships/hyperlink" Target="https://sellercentral.amazon.com/myinventory/inventory?fulfilledBy=all&amp;page=1&amp;pageSize=25&amp;searchField=all&amp;searchTerm=SP-YEX42P48AEVPVE9E&amp;sort=sku_asc&amp;status=all&amp;ref_=xx_invmgr_favb_xx" TargetMode="External"/><Relationship Id="rId91" Type="http://schemas.openxmlformats.org/officeDocument/2006/relationships/hyperlink" Target="https://sellercentral.amazon.com/myinventory/inventory?fulfilledBy=all&amp;page=1&amp;pageSize=25&amp;searchField=all&amp;searchTerm=POUCH-SUP-KFT-BLK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90" Type="http://schemas.openxmlformats.org/officeDocument/2006/relationships/hyperlink" Target="https://sellercentral.amazon.com/myinventory/inventory?fulfilledBy=all&amp;page=1&amp;pageSize=25&amp;searchField=all&amp;searchTerm=BAG-SUF-200-GROUP36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93" Type="http://schemas.openxmlformats.org/officeDocument/2006/relationships/hyperlink" Target="https://sellercentral.amazon.com/myinventory/inventory?fulfilledBy=all&amp;page=1&amp;pageSize=25&amp;searchField=all&amp;searchTerm=HQ-XY6C-RQRE&amp;sort=sku_asc&amp;status=all" TargetMode="External"/><Relationship Id="rId92" Type="http://schemas.openxmlformats.org/officeDocument/2006/relationships/hyperlink" Target="https://sellercentral.amazon.com/myinventory/inventory?fulfilledBy=all&amp;page=1&amp;pageSize=25&amp;searchField=all&amp;searchTerm=POUCH-SUP-WHT-AL&amp;sort=sku_asc&amp;status=all&amp;newItemImageUrl=https%3A%2F%2Fm.media-amazon.com%2Fimages%2FI%2F41KgZ5ezuUL._SS160_.jpg&amp;newItemAsin=B0C6FMLT14&amp;price=16.98&amp;newItemName=Spartan+Industrial+-+5%22+X+8%22+White+Zip+Top+Food+Bags+-+Pack+of+1000+Resealable+Smell-Proof+Pouches+for+Packaging+Coffee%2C+Tea%2C+Spices%2C+Snacks%2C+and+More&amp;productType=FOOD_STORAGE_BAG&amp;newItemSku=POUCH-SUP-WHT-0508-100" TargetMode="External"/><Relationship Id="rId118" Type="http://schemas.openxmlformats.org/officeDocument/2006/relationships/hyperlink" Target="https://sellercentral.amazon.com/myinventory/inventory?fulfilledBy=all&amp;page=1&amp;pageSize=25&amp;searchField=all&amp;searchTerm=SI-LABEL-LS-0403-PARENT&amp;sort=sku_asc&amp;status=all&amp;ref_=xx_invmgr_favb_xx" TargetMode="External"/><Relationship Id="rId117" Type="http://schemas.openxmlformats.org/officeDocument/2006/relationships/hyperlink" Target="https://sellercentral.amazon.com/myinventory/inventory?fulfilledBy=all&amp;page=1&amp;pageSize=25&amp;searchField=all&amp;searchTerm=SI-LABEL-LS-0401-PARENT&amp;sort=sku_asc&amp;status=all&amp;ref_=xx_invmgr_favb_xx" TargetMode="External"/><Relationship Id="rId116" Type="http://schemas.openxmlformats.org/officeDocument/2006/relationships/hyperlink" Target="https://sellercentral.amazon.com/myinventory/inventory?fulfilledBy=all&amp;page=1&amp;pageSize=25&amp;searchField=all&amp;searchTerm=SI-LABEL-LS-0301F-PARENT&amp;sort=sku_asc&amp;status=all&amp;ref_=xx_invmgr_favb_xx" TargetMode="External"/><Relationship Id="rId115" Type="http://schemas.openxmlformats.org/officeDocument/2006/relationships/hyperlink" Target="https://sellercentral.amazon.com/myinventory/inventory?fulfilledBy=all&amp;page=1&amp;pageSize=25&amp;searchField=all&amp;searchTerm=SI-Label-LS-Parent3&amp;sort=sku_asc&amp;status=all" TargetMode="External"/><Relationship Id="rId119" Type="http://schemas.openxmlformats.org/officeDocument/2006/relationships/hyperlink" Target="https://sellercentral.amazon.com/myinventory/inventory?fulfilledBy=all&amp;page=1&amp;pageSize=25&amp;searchField=all&amp;searchTerm=SI-LABEL-LS-04F05F-PARENT&amp;sort=sku_asc&amp;status=all&amp;ref_=xx_invmgr_favb_xx" TargetMode="External"/><Relationship Id="rId110" Type="http://schemas.openxmlformats.org/officeDocument/2006/relationships/hyperlink" Target="https://sellercentral.amazon.com/myinventory/inventory?fulfilledBy=all&amp;page=1&amp;pageSize=25&amp;searchField=all&amp;searchTerm=16-YV2B-4HC1&amp;sort=sku_asc&amp;status=all" TargetMode="External"/><Relationship Id="rId114" Type="http://schemas.openxmlformats.org/officeDocument/2006/relationships/hyperlink" Target="https://sellercentral.amazon.com/myinventory/inventory?fulfilledBy=all&amp;page=1&amp;pageSize=25&amp;searchField=all&amp;searchTerm=SI-LABEL-LS-Parent2&amp;sort=sku_asc&amp;status=all&amp;ref_=xx_invmgr_favb_xx" TargetMode="External"/><Relationship Id="rId113" Type="http://schemas.openxmlformats.org/officeDocument/2006/relationships/hyperlink" Target="https://sellercentral.amazon.com/myinventory/inventory?fulfilledBy=all&amp;page=1&amp;pageSize=25&amp;searchField=all&amp;searchTerm=SI-LABEL-LS-PARENT1&amp;sort=sku_asc&amp;status=all" TargetMode="External"/><Relationship Id="rId112" Type="http://schemas.openxmlformats.org/officeDocument/2006/relationships/hyperlink" Target="https://sellercentral.amazon.com/myinventory/inventory?fulfilledBy=all&amp;page=1&amp;pageSize=25&amp;searchField=all&amp;searchTerm=SI-LABEL-DK-BRO&amp;sort=sku_asc&amp;status=all" TargetMode="External"/><Relationship Id="rId111" Type="http://schemas.openxmlformats.org/officeDocument/2006/relationships/hyperlink" Target="https://sellercentral.amazon.com/myinventory/inventory?fulfilledBy=all&amp;page=1&amp;pageSize=25&amp;searchField=all&amp;searchTerm=SPAR-FFLD-406&amp;sort=available_desc&amp;status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40.25"/>
    <col customWidth="1" min="2" max="2" width="36.25"/>
    <col customWidth="1" min="4" max="4" width="15.5"/>
    <col customWidth="1" min="5" max="5" width="15.88"/>
    <col customWidth="1" min="6" max="6" width="16.5"/>
    <col customWidth="1" min="7" max="8" width="15.88"/>
    <col customWidth="1" min="10" max="10" width="18.88"/>
    <col customWidth="1" hidden="1" min="11" max="11" width="15.5"/>
    <col hidden="1" min="12" max="14" width="12.63"/>
    <col customWidth="1" hidden="1" min="15" max="15" width="17.25"/>
    <col hidden="1" min="16" max="18" width="12.63"/>
    <col customWidth="1" hidden="1" min="19" max="19" width="17.25"/>
    <col customWidth="1" hidden="1" min="20" max="20" width="15.25"/>
    <col hidden="1" min="21" max="22" width="12.63"/>
    <col customWidth="1" min="23" max="23" width="17.25" outlineLevel="1"/>
    <col customWidth="1" min="24" max="24" width="15.25" outlineLevel="1"/>
    <col min="25" max="27" width="12.63" outlineLevel="1"/>
    <col customWidth="1" min="28" max="28" width="15.25" outlineLevel="1"/>
    <col min="29" max="34" width="12.63" outlineLevel="1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4" t="s">
        <v>8</v>
      </c>
      <c r="K1" s="5" t="s">
        <v>9</v>
      </c>
      <c r="L1" s="5" t="s">
        <v>10</v>
      </c>
      <c r="M1" s="6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5" t="s">
        <v>16</v>
      </c>
      <c r="S1" s="7" t="s">
        <v>17</v>
      </c>
      <c r="T1" s="5" t="s">
        <v>18</v>
      </c>
      <c r="U1" s="8" t="s">
        <v>19</v>
      </c>
      <c r="V1" s="5" t="s">
        <v>20</v>
      </c>
      <c r="W1" s="7" t="s">
        <v>21</v>
      </c>
      <c r="X1" s="9" t="s">
        <v>22</v>
      </c>
      <c r="Y1" s="10" t="s">
        <v>23</v>
      </c>
      <c r="Z1" s="5" t="s">
        <v>24</v>
      </c>
      <c r="AA1" s="11" t="s">
        <v>25</v>
      </c>
      <c r="AB1" s="12" t="s">
        <v>26</v>
      </c>
      <c r="AC1" s="13" t="s">
        <v>27</v>
      </c>
      <c r="AD1" s="14" t="s">
        <v>28</v>
      </c>
      <c r="AE1" s="15" t="s">
        <v>29</v>
      </c>
      <c r="AF1" s="12" t="s">
        <v>30</v>
      </c>
      <c r="AG1" s="13" t="s">
        <v>31</v>
      </c>
      <c r="AH1" s="14" t="s">
        <v>32</v>
      </c>
    </row>
    <row r="2" ht="22.5" customHeight="1">
      <c r="A2" s="16" t="s">
        <v>33</v>
      </c>
      <c r="B2" s="17" t="s">
        <v>34</v>
      </c>
      <c r="C2" s="18">
        <v>199.0</v>
      </c>
      <c r="D2" s="19" t="s">
        <v>35</v>
      </c>
      <c r="E2" s="19" t="s">
        <v>36</v>
      </c>
      <c r="F2" s="19" t="s">
        <v>37</v>
      </c>
      <c r="G2" s="19" t="s">
        <v>38</v>
      </c>
      <c r="H2" s="20"/>
      <c r="J2" s="21"/>
      <c r="K2" s="22" t="s">
        <v>39</v>
      </c>
      <c r="L2" s="23"/>
      <c r="M2" s="24"/>
      <c r="N2" s="23"/>
      <c r="O2" s="25">
        <v>46054.0</v>
      </c>
      <c r="P2" s="23"/>
      <c r="Q2" s="24"/>
      <c r="R2" s="23"/>
      <c r="S2" s="25">
        <v>46082.0</v>
      </c>
      <c r="T2" s="26"/>
      <c r="U2" s="27"/>
      <c r="V2" s="23"/>
      <c r="W2" s="25">
        <v>46113.0</v>
      </c>
      <c r="X2" s="26"/>
      <c r="Y2" s="27"/>
      <c r="Z2" s="28"/>
      <c r="AA2" s="29">
        <v>46143.0</v>
      </c>
      <c r="AB2" s="30"/>
      <c r="AC2" s="31"/>
      <c r="AD2" s="32"/>
      <c r="AE2" s="33">
        <v>46174.0</v>
      </c>
      <c r="AF2" s="34"/>
      <c r="AG2" s="35"/>
      <c r="AH2" s="36"/>
    </row>
    <row r="3" ht="22.5" customHeight="1">
      <c r="A3" s="16" t="s">
        <v>40</v>
      </c>
      <c r="B3" s="17" t="s">
        <v>41</v>
      </c>
      <c r="C3" s="37">
        <v>0.0031</v>
      </c>
      <c r="D3" s="19" t="s">
        <v>42</v>
      </c>
      <c r="E3" s="38" t="s">
        <v>43</v>
      </c>
      <c r="F3" s="19" t="s">
        <v>44</v>
      </c>
      <c r="G3" s="19" t="s">
        <v>45</v>
      </c>
      <c r="H3" s="20"/>
      <c r="J3" s="39" t="s">
        <v>46</v>
      </c>
      <c r="K3" s="40"/>
      <c r="L3" s="41"/>
      <c r="M3" s="42"/>
      <c r="N3" s="41"/>
      <c r="O3" s="43"/>
      <c r="P3" s="41"/>
      <c r="Q3" s="42"/>
      <c r="R3" s="41"/>
      <c r="S3" s="44"/>
      <c r="T3" s="45"/>
      <c r="U3" s="46"/>
      <c r="V3" s="41"/>
      <c r="W3" s="44"/>
      <c r="X3" s="45"/>
      <c r="Y3" s="46"/>
      <c r="Z3" s="47"/>
      <c r="AA3" s="48"/>
      <c r="AB3" s="49"/>
      <c r="AC3" s="50"/>
      <c r="AD3" s="51"/>
      <c r="AE3" s="52"/>
      <c r="AF3" s="53"/>
      <c r="AG3" s="54"/>
      <c r="AH3" s="55"/>
    </row>
    <row r="4" ht="22.5" customHeight="1">
      <c r="A4" s="16" t="s">
        <v>47</v>
      </c>
      <c r="B4" s="17" t="s">
        <v>48</v>
      </c>
      <c r="C4" s="56">
        <v>5.33</v>
      </c>
      <c r="D4" s="57" t="s">
        <v>49</v>
      </c>
      <c r="E4" s="58" t="s">
        <v>50</v>
      </c>
      <c r="F4" s="57" t="s">
        <v>51</v>
      </c>
      <c r="G4" s="58" t="s">
        <v>52</v>
      </c>
      <c r="H4" s="59"/>
      <c r="J4" s="60" t="s">
        <v>53</v>
      </c>
      <c r="K4" s="61">
        <v>30.0</v>
      </c>
      <c r="L4" s="62" t="s">
        <v>54</v>
      </c>
      <c r="M4" s="63">
        <f>26/4</f>
        <v>6.5</v>
      </c>
      <c r="N4" s="62">
        <v>4.6</v>
      </c>
      <c r="O4" s="64">
        <v>14.0</v>
      </c>
      <c r="P4" s="62" t="s">
        <v>55</v>
      </c>
      <c r="Q4" s="65">
        <v>2.0</v>
      </c>
      <c r="R4" s="62">
        <v>4.6</v>
      </c>
      <c r="S4" s="64">
        <v>43.0</v>
      </c>
      <c r="T4" s="62" t="s">
        <v>56</v>
      </c>
      <c r="U4" s="66">
        <v>4.4</v>
      </c>
      <c r="V4" s="62">
        <v>4.6</v>
      </c>
      <c r="W4" s="64">
        <v>22.0</v>
      </c>
      <c r="X4" s="67" t="s">
        <v>57</v>
      </c>
      <c r="Y4" s="68">
        <f>14/5</f>
        <v>2.8</v>
      </c>
      <c r="Z4" s="69">
        <v>4.6</v>
      </c>
      <c r="AA4" s="70">
        <v>26.0</v>
      </c>
      <c r="AB4" s="71" t="s">
        <v>58</v>
      </c>
      <c r="AC4" s="72">
        <v>11.5</v>
      </c>
      <c r="AD4" s="73">
        <v>4.7</v>
      </c>
      <c r="AE4" s="74"/>
      <c r="AF4" s="75"/>
      <c r="AG4" s="76"/>
      <c r="AH4" s="77"/>
    </row>
    <row r="5" ht="22.5" customHeight="1">
      <c r="A5" s="67" t="s">
        <v>59</v>
      </c>
      <c r="B5" s="17" t="s">
        <v>60</v>
      </c>
      <c r="C5" s="17">
        <v>1.0</v>
      </c>
      <c r="D5" s="19" t="s">
        <v>61</v>
      </c>
      <c r="E5" s="20"/>
      <c r="F5" s="19" t="s">
        <v>62</v>
      </c>
      <c r="G5" s="19" t="s">
        <v>63</v>
      </c>
      <c r="H5" s="20"/>
      <c r="J5" s="60" t="s">
        <v>64</v>
      </c>
      <c r="K5" s="61">
        <v>8.0</v>
      </c>
      <c r="L5" s="62" t="s">
        <v>65</v>
      </c>
      <c r="M5" s="78">
        <f>7/1</f>
        <v>7</v>
      </c>
      <c r="N5" s="79">
        <v>4.6</v>
      </c>
      <c r="O5" s="64">
        <v>7.0</v>
      </c>
      <c r="P5" s="62" t="s">
        <v>66</v>
      </c>
      <c r="Q5" s="65">
        <v>6.0</v>
      </c>
      <c r="R5" s="62">
        <v>4.6</v>
      </c>
      <c r="S5" s="64">
        <v>12.0</v>
      </c>
      <c r="T5" s="62" t="s">
        <v>67</v>
      </c>
      <c r="U5" s="80">
        <v>4.5</v>
      </c>
      <c r="V5" s="62">
        <v>4.6</v>
      </c>
      <c r="W5" s="64">
        <v>15.0</v>
      </c>
      <c r="X5" s="67" t="s">
        <v>68</v>
      </c>
      <c r="Y5" s="68">
        <f>4/1</f>
        <v>4</v>
      </c>
      <c r="Z5" s="69">
        <v>4.6</v>
      </c>
      <c r="AA5" s="81">
        <v>12.0</v>
      </c>
      <c r="AB5" s="82" t="s">
        <v>69</v>
      </c>
      <c r="AC5" s="83">
        <v>2.7</v>
      </c>
      <c r="AD5" s="84">
        <v>4.6</v>
      </c>
      <c r="AE5" s="85"/>
      <c r="AF5" s="86"/>
      <c r="AG5" s="87"/>
      <c r="AH5" s="88"/>
    </row>
    <row r="6" ht="22.5" customHeight="1">
      <c r="A6" s="67" t="s">
        <v>70</v>
      </c>
      <c r="B6" s="89" t="s">
        <v>71</v>
      </c>
      <c r="C6" s="90">
        <v>0.6</v>
      </c>
      <c r="D6" s="38" t="s">
        <v>72</v>
      </c>
      <c r="E6" s="38" t="s">
        <v>73</v>
      </c>
      <c r="F6" s="19" t="s">
        <v>74</v>
      </c>
      <c r="G6" s="91">
        <v>0.5476</v>
      </c>
      <c r="H6" s="20"/>
      <c r="J6" s="60" t="s">
        <v>75</v>
      </c>
      <c r="K6" s="61"/>
      <c r="L6" s="62"/>
      <c r="M6" s="65"/>
      <c r="N6" s="62"/>
      <c r="O6" s="64"/>
      <c r="P6" s="62"/>
      <c r="Q6" s="65"/>
      <c r="R6" s="62"/>
      <c r="S6" s="64"/>
      <c r="T6" s="92"/>
      <c r="U6" s="93"/>
      <c r="V6" s="62"/>
      <c r="W6" s="64"/>
      <c r="X6" s="94"/>
      <c r="Y6" s="95"/>
      <c r="Z6" s="69"/>
      <c r="AA6" s="96">
        <v>18.0</v>
      </c>
      <c r="AB6" s="71" t="s">
        <v>76</v>
      </c>
      <c r="AC6" s="97">
        <v>0.0</v>
      </c>
      <c r="AD6" s="98">
        <v>4.8</v>
      </c>
      <c r="AE6" s="99"/>
      <c r="AF6" s="100"/>
      <c r="AG6" s="101"/>
      <c r="AH6" s="102"/>
    </row>
    <row r="7" ht="22.5" customHeight="1">
      <c r="B7" s="103"/>
      <c r="J7" s="60" t="s">
        <v>77</v>
      </c>
      <c r="K7" s="61">
        <v>1.0</v>
      </c>
      <c r="L7" s="62" t="s">
        <v>78</v>
      </c>
      <c r="M7" s="65">
        <v>0.0</v>
      </c>
      <c r="N7" s="62">
        <v>4.4</v>
      </c>
      <c r="O7" s="64">
        <v>2.0</v>
      </c>
      <c r="P7" s="62" t="s">
        <v>78</v>
      </c>
      <c r="Q7" s="65">
        <v>0.0</v>
      </c>
      <c r="R7" s="62">
        <v>4.5</v>
      </c>
      <c r="S7" s="64">
        <v>0.0</v>
      </c>
      <c r="T7" s="92" t="s">
        <v>79</v>
      </c>
      <c r="U7" s="93">
        <v>0.0</v>
      </c>
      <c r="V7" s="62">
        <v>4.5</v>
      </c>
      <c r="W7" s="64">
        <v>0.0</v>
      </c>
      <c r="X7" s="94" t="s">
        <v>79</v>
      </c>
      <c r="Y7" s="95">
        <v>0.0</v>
      </c>
      <c r="Z7" s="104">
        <v>4.4</v>
      </c>
      <c r="AA7" s="70">
        <v>0.0</v>
      </c>
      <c r="AB7" s="105" t="s">
        <v>79</v>
      </c>
      <c r="AC7" s="97">
        <v>0.0</v>
      </c>
      <c r="AD7" s="73">
        <v>4.5</v>
      </c>
      <c r="AE7" s="74"/>
      <c r="AF7" s="75"/>
      <c r="AG7" s="76"/>
      <c r="AH7" s="77"/>
    </row>
    <row r="8" ht="22.5" customHeight="1">
      <c r="B8" s="103"/>
      <c r="J8" s="60" t="s">
        <v>80</v>
      </c>
      <c r="K8" s="61"/>
      <c r="L8" s="62"/>
      <c r="M8" s="65"/>
      <c r="N8" s="79"/>
      <c r="O8" s="64"/>
      <c r="P8" s="62"/>
      <c r="Q8" s="65"/>
      <c r="R8" s="62"/>
      <c r="S8" s="64"/>
      <c r="T8" s="92"/>
      <c r="U8" s="80"/>
      <c r="V8" s="62"/>
      <c r="W8" s="64"/>
      <c r="X8" s="94"/>
      <c r="Y8" s="95"/>
      <c r="Z8" s="69"/>
      <c r="AA8" s="106">
        <v>21.0</v>
      </c>
      <c r="AB8" s="82" t="s">
        <v>81</v>
      </c>
      <c r="AC8" s="107">
        <v>20.0</v>
      </c>
      <c r="AD8" s="108">
        <v>4.8</v>
      </c>
      <c r="AE8" s="109"/>
      <c r="AF8" s="110"/>
      <c r="AG8" s="111"/>
      <c r="AH8" s="112"/>
    </row>
    <row r="9" ht="22.5" customHeight="1">
      <c r="A9" s="113" t="s">
        <v>82</v>
      </c>
      <c r="B9" s="103"/>
      <c r="J9" s="60" t="s">
        <v>83</v>
      </c>
      <c r="K9" s="61"/>
      <c r="L9" s="62"/>
      <c r="M9" s="65"/>
      <c r="N9" s="79"/>
      <c r="O9" s="64"/>
      <c r="P9" s="62"/>
      <c r="Q9" s="65"/>
      <c r="R9" s="62"/>
      <c r="S9" s="64"/>
      <c r="T9" s="92"/>
      <c r="U9" s="80"/>
      <c r="V9" s="62"/>
      <c r="W9" s="64"/>
      <c r="X9" s="94"/>
      <c r="Y9" s="95"/>
      <c r="Z9" s="69"/>
      <c r="AA9" s="106">
        <v>10.0</v>
      </c>
      <c r="AB9" s="82" t="s">
        <v>84</v>
      </c>
      <c r="AC9" s="107">
        <v>0.0</v>
      </c>
      <c r="AD9" s="114">
        <v>4.8</v>
      </c>
      <c r="AE9" s="109"/>
      <c r="AF9" s="110"/>
      <c r="AG9" s="111"/>
      <c r="AH9" s="112"/>
    </row>
    <row r="10" ht="22.5" customHeight="1">
      <c r="B10" s="103"/>
      <c r="J10" s="60" t="s">
        <v>85</v>
      </c>
      <c r="K10" s="61"/>
      <c r="L10" s="62"/>
      <c r="M10" s="65"/>
      <c r="N10" s="79"/>
      <c r="O10" s="64"/>
      <c r="P10" s="62"/>
      <c r="Q10" s="65"/>
      <c r="R10" s="62"/>
      <c r="S10" s="64"/>
      <c r="T10" s="92"/>
      <c r="U10" s="80"/>
      <c r="V10" s="62"/>
      <c r="W10" s="64"/>
      <c r="X10" s="94"/>
      <c r="Y10" s="95"/>
      <c r="Z10" s="69"/>
      <c r="AA10" s="115"/>
      <c r="AB10" s="116"/>
      <c r="AC10" s="117"/>
      <c r="AD10" s="118"/>
      <c r="AE10" s="110"/>
      <c r="AF10" s="110"/>
      <c r="AG10" s="111"/>
      <c r="AH10" s="112"/>
    </row>
    <row r="11" ht="22.5" customHeight="1">
      <c r="B11" s="103"/>
      <c r="C11" s="119"/>
      <c r="J11" s="120" t="s">
        <v>86</v>
      </c>
      <c r="K11" s="61">
        <v>6.0</v>
      </c>
      <c r="L11" s="62" t="s">
        <v>87</v>
      </c>
      <c r="M11" s="65">
        <v>0.0</v>
      </c>
      <c r="N11" s="79">
        <v>4.5</v>
      </c>
      <c r="O11" s="64">
        <v>7.0</v>
      </c>
      <c r="P11" s="62" t="s">
        <v>88</v>
      </c>
      <c r="Q11" s="65">
        <v>0.0</v>
      </c>
      <c r="R11" s="62">
        <v>4.5</v>
      </c>
      <c r="S11" s="64">
        <v>19.0</v>
      </c>
      <c r="T11" s="62" t="s">
        <v>57</v>
      </c>
      <c r="U11" s="80">
        <v>2.8</v>
      </c>
      <c r="V11" s="62">
        <v>4.5</v>
      </c>
      <c r="W11" s="64">
        <v>7.0</v>
      </c>
      <c r="X11" s="67" t="s">
        <v>89</v>
      </c>
      <c r="Y11" s="121">
        <v>7.0</v>
      </c>
      <c r="Z11" s="69">
        <v>4.5</v>
      </c>
      <c r="AA11" s="81">
        <v>6.0</v>
      </c>
      <c r="AB11" s="82" t="s">
        <v>68</v>
      </c>
      <c r="AC11" s="83">
        <v>4.0</v>
      </c>
      <c r="AD11" s="122">
        <v>4.5</v>
      </c>
      <c r="AE11" s="85"/>
      <c r="AF11" s="86"/>
      <c r="AG11" s="87"/>
      <c r="AH11" s="88"/>
    </row>
    <row r="12" ht="22.5" customHeight="1">
      <c r="B12" s="103"/>
      <c r="J12" s="120" t="s">
        <v>90</v>
      </c>
      <c r="K12" s="61">
        <v>37.0</v>
      </c>
      <c r="L12" s="62" t="s">
        <v>91</v>
      </c>
      <c r="M12" s="78">
        <f>28/8</f>
        <v>3.5</v>
      </c>
      <c r="N12" s="62">
        <v>4.6</v>
      </c>
      <c r="O12" s="64">
        <v>23.0</v>
      </c>
      <c r="P12" s="62" t="s">
        <v>92</v>
      </c>
      <c r="Q12" s="65">
        <v>1.44</v>
      </c>
      <c r="R12" s="62">
        <v>4.6</v>
      </c>
      <c r="S12" s="64">
        <v>48.0</v>
      </c>
      <c r="T12" s="92" t="s">
        <v>93</v>
      </c>
      <c r="U12" s="66">
        <v>3.27</v>
      </c>
      <c r="V12" s="62">
        <v>4.6</v>
      </c>
      <c r="W12" s="64">
        <v>30.0</v>
      </c>
      <c r="X12" s="67" t="s">
        <v>94</v>
      </c>
      <c r="Y12" s="68">
        <v>2.3</v>
      </c>
      <c r="Z12" s="69">
        <v>4.6</v>
      </c>
      <c r="AA12" s="70">
        <v>53.0</v>
      </c>
      <c r="AB12" s="105" t="s">
        <v>95</v>
      </c>
      <c r="AC12" s="97">
        <v>2.3</v>
      </c>
      <c r="AD12" s="108">
        <v>4.6</v>
      </c>
      <c r="AE12" s="74"/>
      <c r="AF12" s="75"/>
      <c r="AG12" s="76"/>
      <c r="AH12" s="77"/>
    </row>
    <row r="13" ht="22.5" customHeight="1">
      <c r="B13" s="103"/>
      <c r="C13" s="119"/>
      <c r="J13" s="120" t="s">
        <v>96</v>
      </c>
      <c r="K13" s="61">
        <v>48.0</v>
      </c>
      <c r="L13" s="62" t="s">
        <v>97</v>
      </c>
      <c r="M13" s="78">
        <f>10/1</f>
        <v>10</v>
      </c>
      <c r="N13" s="123">
        <v>4.6</v>
      </c>
      <c r="O13" s="64">
        <v>33.0</v>
      </c>
      <c r="P13" s="62" t="s">
        <v>98</v>
      </c>
      <c r="Q13" s="65">
        <v>4.5</v>
      </c>
      <c r="R13" s="62">
        <v>4.7</v>
      </c>
      <c r="S13" s="64">
        <v>31.0</v>
      </c>
      <c r="T13" s="62" t="s">
        <v>99</v>
      </c>
      <c r="U13" s="80">
        <v>3.7</v>
      </c>
      <c r="V13" s="62">
        <v>4.7</v>
      </c>
      <c r="W13" s="64">
        <v>25.0</v>
      </c>
      <c r="X13" s="67" t="s">
        <v>100</v>
      </c>
      <c r="Y13" s="121">
        <f>20/3</f>
        <v>6.666666667</v>
      </c>
      <c r="Z13" s="69">
        <v>4.7</v>
      </c>
      <c r="AA13" s="81">
        <v>32.0</v>
      </c>
      <c r="AB13" s="82" t="s">
        <v>101</v>
      </c>
      <c r="AC13" s="72">
        <v>30.0</v>
      </c>
      <c r="AD13" s="84">
        <v>4.7</v>
      </c>
      <c r="AE13" s="85"/>
      <c r="AF13" s="86"/>
      <c r="AG13" s="87"/>
      <c r="AH13" s="88"/>
    </row>
    <row r="14" ht="22.5" customHeight="1">
      <c r="B14" s="103"/>
      <c r="J14" s="120" t="s">
        <v>102</v>
      </c>
      <c r="K14" s="61">
        <v>1.0</v>
      </c>
      <c r="L14" s="62">
        <v>0.0</v>
      </c>
      <c r="M14" s="65">
        <v>0.0</v>
      </c>
      <c r="N14" s="62">
        <v>4.5</v>
      </c>
      <c r="O14" s="64">
        <v>0.0</v>
      </c>
      <c r="P14" s="62">
        <v>0.0</v>
      </c>
      <c r="Q14" s="65">
        <v>0.0</v>
      </c>
      <c r="R14" s="62">
        <v>4.4</v>
      </c>
      <c r="S14" s="64">
        <v>6.0</v>
      </c>
      <c r="T14" s="62" t="s">
        <v>87</v>
      </c>
      <c r="U14" s="93">
        <v>0.0</v>
      </c>
      <c r="V14" s="79">
        <v>4.5</v>
      </c>
      <c r="W14" s="64">
        <v>1.0</v>
      </c>
      <c r="X14" s="67" t="s">
        <v>103</v>
      </c>
      <c r="Y14" s="68">
        <v>1.0</v>
      </c>
      <c r="Z14" s="69">
        <v>4.5</v>
      </c>
      <c r="AA14" s="70">
        <v>1.0</v>
      </c>
      <c r="AB14" s="71" t="s">
        <v>78</v>
      </c>
      <c r="AC14" s="72">
        <v>0.0</v>
      </c>
      <c r="AD14" s="108">
        <v>4.5</v>
      </c>
      <c r="AE14" s="74"/>
      <c r="AF14" s="75"/>
      <c r="AG14" s="76"/>
      <c r="AH14" s="77"/>
    </row>
    <row r="15" ht="22.5" customHeight="1">
      <c r="B15" s="103"/>
      <c r="J15" s="120" t="s">
        <v>104</v>
      </c>
      <c r="K15" s="61">
        <v>0.0</v>
      </c>
      <c r="L15" s="62">
        <v>0.0</v>
      </c>
      <c r="M15" s="65">
        <v>0.0</v>
      </c>
      <c r="N15" s="62">
        <v>4.7</v>
      </c>
      <c r="O15" s="64">
        <v>2.0</v>
      </c>
      <c r="P15" s="62" t="s">
        <v>105</v>
      </c>
      <c r="Q15" s="65">
        <v>0.0</v>
      </c>
      <c r="R15" s="62">
        <v>4.7</v>
      </c>
      <c r="S15" s="64">
        <v>2.0</v>
      </c>
      <c r="T15" s="62" t="s">
        <v>105</v>
      </c>
      <c r="U15" s="93">
        <v>0.0</v>
      </c>
      <c r="V15" s="62">
        <v>4.7</v>
      </c>
      <c r="W15" s="64">
        <v>2.0</v>
      </c>
      <c r="X15" s="67" t="s">
        <v>106</v>
      </c>
      <c r="Y15" s="68">
        <v>2.0</v>
      </c>
      <c r="Z15" s="104">
        <v>4.6</v>
      </c>
      <c r="AA15" s="81">
        <v>2.0</v>
      </c>
      <c r="AB15" s="82" t="s">
        <v>105</v>
      </c>
      <c r="AC15" s="72">
        <v>0.0</v>
      </c>
      <c r="AD15" s="84">
        <v>4.6</v>
      </c>
      <c r="AE15" s="85"/>
      <c r="AF15" s="86"/>
      <c r="AG15" s="87"/>
      <c r="AH15" s="88"/>
    </row>
    <row r="16" ht="22.5" customHeight="1">
      <c r="B16" s="103"/>
      <c r="J16" s="39" t="s">
        <v>107</v>
      </c>
      <c r="K16" s="124"/>
      <c r="L16" s="41"/>
      <c r="M16" s="42"/>
      <c r="N16" s="41"/>
      <c r="O16" s="43"/>
      <c r="P16" s="41"/>
      <c r="Q16" s="42"/>
      <c r="R16" s="41"/>
      <c r="S16" s="43"/>
      <c r="T16" s="125"/>
      <c r="U16" s="126"/>
      <c r="V16" s="41"/>
      <c r="W16" s="43"/>
      <c r="X16" s="45"/>
      <c r="Y16" s="46"/>
      <c r="Z16" s="47"/>
      <c r="AA16" s="127"/>
      <c r="AB16" s="128"/>
      <c r="AC16" s="129"/>
      <c r="AD16" s="130"/>
      <c r="AE16" s="52"/>
      <c r="AF16" s="53"/>
      <c r="AG16" s="54"/>
      <c r="AH16" s="55"/>
    </row>
    <row r="17" ht="22.5" customHeight="1">
      <c r="B17" s="103"/>
      <c r="J17" s="60" t="s">
        <v>108</v>
      </c>
      <c r="K17" s="61">
        <v>2.0</v>
      </c>
      <c r="L17" s="62" t="s">
        <v>103</v>
      </c>
      <c r="M17" s="63">
        <f>1/1</f>
        <v>1</v>
      </c>
      <c r="N17" s="79">
        <v>4.6</v>
      </c>
      <c r="O17" s="64">
        <v>25.0</v>
      </c>
      <c r="P17" s="62" t="s">
        <v>109</v>
      </c>
      <c r="Q17" s="65">
        <v>24.0</v>
      </c>
      <c r="R17" s="62">
        <v>4.6</v>
      </c>
      <c r="S17" s="64">
        <v>16.0</v>
      </c>
      <c r="T17" s="62" t="s">
        <v>65</v>
      </c>
      <c r="U17" s="80">
        <v>7.0</v>
      </c>
      <c r="V17" s="79">
        <v>4.7</v>
      </c>
      <c r="W17" s="64">
        <v>70.0</v>
      </c>
      <c r="X17" s="67" t="s">
        <v>110</v>
      </c>
      <c r="Y17" s="121">
        <v>13.0</v>
      </c>
      <c r="Z17" s="104">
        <v>4.6</v>
      </c>
      <c r="AA17" s="81">
        <v>91.0</v>
      </c>
      <c r="AB17" s="82" t="s">
        <v>111</v>
      </c>
      <c r="AC17" s="72">
        <v>29.3</v>
      </c>
      <c r="AD17" s="84">
        <v>4.6</v>
      </c>
      <c r="AE17" s="85"/>
      <c r="AF17" s="86"/>
      <c r="AG17" s="87"/>
      <c r="AH17" s="88"/>
    </row>
    <row r="18" ht="22.5" customHeight="1">
      <c r="B18" s="103"/>
      <c r="J18" s="60" t="s">
        <v>112</v>
      </c>
      <c r="K18" s="61">
        <v>1.0</v>
      </c>
      <c r="L18" s="62" t="s">
        <v>78</v>
      </c>
      <c r="M18" s="65">
        <v>0.0</v>
      </c>
      <c r="N18" s="79">
        <v>4.6</v>
      </c>
      <c r="O18" s="64">
        <v>4.0</v>
      </c>
      <c r="P18" s="62" t="s">
        <v>113</v>
      </c>
      <c r="Q18" s="65">
        <v>1.0</v>
      </c>
      <c r="R18" s="62">
        <v>4.6</v>
      </c>
      <c r="S18" s="64">
        <v>3.0</v>
      </c>
      <c r="T18" s="62" t="s">
        <v>114</v>
      </c>
      <c r="U18" s="80">
        <v>0.5</v>
      </c>
      <c r="V18" s="123">
        <v>4.5</v>
      </c>
      <c r="W18" s="64">
        <v>4.0</v>
      </c>
      <c r="X18" s="67" t="s">
        <v>113</v>
      </c>
      <c r="Y18" s="121">
        <v>1.0</v>
      </c>
      <c r="Z18" s="131">
        <v>4.6</v>
      </c>
      <c r="AA18" s="132">
        <v>2.0</v>
      </c>
      <c r="AB18" s="133" t="s">
        <v>78</v>
      </c>
      <c r="AC18" s="134">
        <v>0.0</v>
      </c>
      <c r="AD18" s="135">
        <v>4.6</v>
      </c>
      <c r="AE18" s="74"/>
      <c r="AF18" s="75"/>
      <c r="AG18" s="76"/>
      <c r="AH18" s="77"/>
    </row>
    <row r="19" ht="22.5" customHeight="1">
      <c r="B19" s="103"/>
      <c r="J19" s="60" t="s">
        <v>115</v>
      </c>
      <c r="K19" s="61">
        <v>0.0</v>
      </c>
      <c r="L19" s="62">
        <v>0.0</v>
      </c>
      <c r="M19" s="65">
        <v>0.0</v>
      </c>
      <c r="N19" s="62">
        <v>4.4</v>
      </c>
      <c r="O19" s="64">
        <v>0.0</v>
      </c>
      <c r="P19" s="62">
        <v>0.0</v>
      </c>
      <c r="Q19" s="65">
        <v>0.0</v>
      </c>
      <c r="R19" s="62">
        <v>4.4</v>
      </c>
      <c r="S19" s="64">
        <v>0.0</v>
      </c>
      <c r="T19" s="92" t="s">
        <v>79</v>
      </c>
      <c r="U19" s="93">
        <v>0.0</v>
      </c>
      <c r="V19" s="123">
        <v>4.3</v>
      </c>
      <c r="W19" s="64">
        <v>0.0</v>
      </c>
      <c r="X19" s="94" t="s">
        <v>79</v>
      </c>
      <c r="Y19" s="95">
        <v>0.0</v>
      </c>
      <c r="Z19" s="131">
        <v>4.5</v>
      </c>
      <c r="AA19" s="136">
        <v>0.0</v>
      </c>
      <c r="AB19" s="137" t="s">
        <v>79</v>
      </c>
      <c r="AC19" s="138">
        <v>0.0</v>
      </c>
      <c r="AD19" s="139">
        <v>4.7</v>
      </c>
      <c r="AE19" s="85"/>
      <c r="AF19" s="86"/>
      <c r="AG19" s="87"/>
      <c r="AH19" s="88"/>
    </row>
    <row r="20" ht="22.5" customHeight="1">
      <c r="B20" s="103"/>
      <c r="J20" s="120" t="s">
        <v>116</v>
      </c>
      <c r="K20" s="61">
        <v>27.0</v>
      </c>
      <c r="L20" s="62" t="s">
        <v>117</v>
      </c>
      <c r="M20" s="63">
        <f>5/1</f>
        <v>5</v>
      </c>
      <c r="N20" s="79">
        <v>4.6</v>
      </c>
      <c r="O20" s="64">
        <v>41.0</v>
      </c>
      <c r="P20" s="62" t="s">
        <v>118</v>
      </c>
      <c r="Q20" s="65">
        <v>2.25</v>
      </c>
      <c r="R20" s="62">
        <v>4.4</v>
      </c>
      <c r="S20" s="64">
        <v>100.0</v>
      </c>
      <c r="T20" s="92" t="s">
        <v>119</v>
      </c>
      <c r="U20" s="66">
        <v>4.28</v>
      </c>
      <c r="V20" s="79">
        <v>4.5</v>
      </c>
      <c r="W20" s="64">
        <v>150.0</v>
      </c>
      <c r="X20" s="94" t="s">
        <v>120</v>
      </c>
      <c r="Y20" s="121">
        <v>4.77</v>
      </c>
      <c r="Z20" s="69">
        <v>4.5</v>
      </c>
      <c r="AA20" s="132">
        <v>95.0</v>
      </c>
      <c r="AB20" s="140" t="s">
        <v>121</v>
      </c>
      <c r="AC20" s="141">
        <v>3.9</v>
      </c>
      <c r="AD20" s="142">
        <v>4.4</v>
      </c>
      <c r="AE20" s="74"/>
      <c r="AF20" s="75"/>
      <c r="AG20" s="76"/>
      <c r="AH20" s="77"/>
    </row>
    <row r="21" ht="22.5" customHeight="1">
      <c r="B21" s="103"/>
      <c r="J21" s="120" t="s">
        <v>122</v>
      </c>
      <c r="K21" s="61">
        <v>0.0</v>
      </c>
      <c r="L21" s="62">
        <v>0.0</v>
      </c>
      <c r="M21" s="65">
        <v>0.0</v>
      </c>
      <c r="N21" s="62">
        <v>4.4</v>
      </c>
      <c r="O21" s="64">
        <v>2.0</v>
      </c>
      <c r="P21" s="62" t="s">
        <v>105</v>
      </c>
      <c r="Q21" s="65">
        <v>0.0</v>
      </c>
      <c r="R21" s="62">
        <v>4.4</v>
      </c>
      <c r="S21" s="64">
        <v>0.0</v>
      </c>
      <c r="T21" s="92" t="s">
        <v>79</v>
      </c>
      <c r="U21" s="93">
        <v>0.0</v>
      </c>
      <c r="V21" s="79">
        <v>4.5</v>
      </c>
      <c r="W21" s="64">
        <v>2.0</v>
      </c>
      <c r="X21" s="67" t="s">
        <v>103</v>
      </c>
      <c r="Y21" s="68">
        <v>1.0</v>
      </c>
      <c r="Z21" s="104">
        <v>4.5</v>
      </c>
      <c r="AA21" s="136">
        <v>5.0</v>
      </c>
      <c r="AB21" s="143" t="s">
        <v>68</v>
      </c>
      <c r="AC21" s="144">
        <v>4.0</v>
      </c>
      <c r="AD21" s="139">
        <v>4.5</v>
      </c>
      <c r="AE21" s="85"/>
      <c r="AF21" s="86"/>
      <c r="AG21" s="87"/>
      <c r="AH21" s="88"/>
    </row>
    <row r="22" ht="22.5" customHeight="1">
      <c r="B22" s="103"/>
      <c r="J22" s="120" t="s">
        <v>123</v>
      </c>
      <c r="K22" s="61">
        <v>0.0</v>
      </c>
      <c r="L22" s="62">
        <v>0.0</v>
      </c>
      <c r="M22" s="65">
        <v>0.0</v>
      </c>
      <c r="N22" s="79">
        <v>4.8</v>
      </c>
      <c r="O22" s="64">
        <v>1.0</v>
      </c>
      <c r="P22" s="62" t="s">
        <v>78</v>
      </c>
      <c r="Q22" s="65">
        <v>0.0</v>
      </c>
      <c r="R22" s="62">
        <v>4.8</v>
      </c>
      <c r="S22" s="64">
        <v>7.0</v>
      </c>
      <c r="T22" s="62" t="s">
        <v>106</v>
      </c>
      <c r="U22" s="93">
        <v>2.0</v>
      </c>
      <c r="V22" s="123">
        <v>4.7</v>
      </c>
      <c r="W22" s="64">
        <v>14.0</v>
      </c>
      <c r="X22" s="67" t="s">
        <v>99</v>
      </c>
      <c r="Y22" s="121">
        <v>3.7</v>
      </c>
      <c r="Z22" s="69">
        <v>4.7</v>
      </c>
      <c r="AA22" s="145">
        <v>11.0</v>
      </c>
      <c r="AB22" s="146" t="s">
        <v>68</v>
      </c>
      <c r="AC22" s="147">
        <v>4.0</v>
      </c>
      <c r="AD22" s="148">
        <v>4.6</v>
      </c>
      <c r="AE22" s="149"/>
      <c r="AF22" s="150"/>
      <c r="AG22" s="151"/>
      <c r="AH22" s="152"/>
    </row>
  </sheetData>
  <dataValidations>
    <dataValidation type="custom" allowBlank="1" showDropDown="1" sqref="K2:K22 U2:U22 Y2:Z22">
      <formula1>AND(ISNUMBER(K2),(NOT(OR(NOT(ISERROR(DATEVALUE(K2))), AND(ISNUMBER(K2), LEFT(CELL("format", K2))="D")))))</formula1>
    </dataValidation>
    <dataValidation allowBlank="1" showDropDown="1" sqref="D2:F6 T2:T22 X2:X22 AB2:AB22"/>
  </dataValidations>
  <hyperlinks>
    <hyperlink r:id="rId4" location="gid=0" ref="A9"/>
  </hyperlinks>
  <drawing r:id="rId5"/>
  <legacyDrawing r:id="rId6"/>
  <tableParts count="2"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38"/>
    <col customWidth="1" min="2" max="2" width="45.25"/>
    <col customWidth="1" min="4" max="4" width="15.5"/>
    <col customWidth="1" min="5" max="5" width="15.88"/>
    <col customWidth="1" min="7" max="7" width="18.88"/>
    <col customWidth="1" min="8" max="8" width="15.5"/>
    <col customWidth="1" min="12" max="12" width="17.25"/>
    <col customWidth="1" min="16" max="16" width="17.25"/>
  </cols>
  <sheetData>
    <row r="1" ht="22.5" customHeight="1">
      <c r="A1" s="1" t="s">
        <v>0</v>
      </c>
      <c r="B1" s="2" t="s">
        <v>1</v>
      </c>
      <c r="C1" s="3" t="s">
        <v>124</v>
      </c>
      <c r="D1" s="3" t="s">
        <v>125</v>
      </c>
      <c r="E1" s="3" t="s">
        <v>126</v>
      </c>
      <c r="G1" s="4" t="s">
        <v>8</v>
      </c>
      <c r="H1" s="5" t="s">
        <v>9</v>
      </c>
      <c r="I1" s="5" t="s">
        <v>10</v>
      </c>
      <c r="J1" s="6" t="s">
        <v>127</v>
      </c>
      <c r="K1" s="5" t="s">
        <v>12</v>
      </c>
      <c r="L1" s="5" t="s">
        <v>13</v>
      </c>
      <c r="M1" s="5" t="s">
        <v>14</v>
      </c>
      <c r="N1" s="6" t="s">
        <v>128</v>
      </c>
      <c r="O1" s="5" t="s">
        <v>16</v>
      </c>
      <c r="P1" s="7" t="s">
        <v>17</v>
      </c>
      <c r="Q1" s="5" t="s">
        <v>18</v>
      </c>
      <c r="R1" s="6" t="s">
        <v>129</v>
      </c>
      <c r="S1" s="5" t="s">
        <v>20</v>
      </c>
    </row>
    <row r="2" ht="22.5" customHeight="1">
      <c r="A2" s="67" t="s">
        <v>33</v>
      </c>
      <c r="B2" s="17" t="s">
        <v>34</v>
      </c>
      <c r="C2" s="153">
        <v>133.0</v>
      </c>
      <c r="D2" s="20" t="s">
        <v>130</v>
      </c>
      <c r="E2" s="20" t="s">
        <v>131</v>
      </c>
      <c r="G2" s="21"/>
      <c r="H2" s="154">
        <v>45931.0</v>
      </c>
      <c r="I2" s="23"/>
      <c r="J2" s="24"/>
      <c r="K2" s="23"/>
      <c r="L2" s="154">
        <v>45962.0</v>
      </c>
      <c r="M2" s="23"/>
      <c r="N2" s="24"/>
      <c r="O2" s="23"/>
      <c r="P2" s="155">
        <v>45992.0</v>
      </c>
      <c r="Q2" s="23"/>
      <c r="R2" s="27"/>
      <c r="S2" s="23"/>
    </row>
    <row r="3" ht="22.5" customHeight="1">
      <c r="A3" s="67" t="s">
        <v>132</v>
      </c>
      <c r="B3" s="17" t="s">
        <v>41</v>
      </c>
      <c r="C3" s="156">
        <v>0.0021</v>
      </c>
      <c r="D3" s="20" t="s">
        <v>133</v>
      </c>
      <c r="E3" s="20" t="s">
        <v>134</v>
      </c>
      <c r="G3" s="39" t="s">
        <v>46</v>
      </c>
      <c r="H3" s="43"/>
      <c r="I3" s="41"/>
      <c r="J3" s="42"/>
      <c r="K3" s="41"/>
      <c r="L3" s="43"/>
      <c r="M3" s="41"/>
      <c r="N3" s="42"/>
      <c r="O3" s="41"/>
      <c r="P3" s="44"/>
      <c r="Q3" s="41"/>
      <c r="R3" s="46"/>
      <c r="S3" s="41"/>
    </row>
    <row r="4" ht="22.5" customHeight="1">
      <c r="A4" s="157" t="s">
        <v>135</v>
      </c>
      <c r="B4" s="158" t="s">
        <v>136</v>
      </c>
      <c r="C4" s="159" t="s">
        <v>137</v>
      </c>
      <c r="D4" s="160"/>
      <c r="E4" s="160"/>
      <c r="G4" s="60" t="s">
        <v>53</v>
      </c>
      <c r="H4" s="64">
        <v>11.0</v>
      </c>
      <c r="I4" s="62" t="s">
        <v>138</v>
      </c>
      <c r="J4" s="65">
        <f>7/4</f>
        <v>1.75</v>
      </c>
      <c r="K4" s="62">
        <v>4.6</v>
      </c>
      <c r="L4" s="64">
        <v>26.0</v>
      </c>
      <c r="M4" s="62" t="s">
        <v>139</v>
      </c>
      <c r="N4" s="78">
        <f>3/1</f>
        <v>3</v>
      </c>
      <c r="O4" s="62">
        <v>4.6</v>
      </c>
      <c r="P4" s="64">
        <v>28.0</v>
      </c>
      <c r="Q4" s="62" t="s">
        <v>100</v>
      </c>
      <c r="R4" s="121">
        <f>20/3</f>
        <v>6.666666667</v>
      </c>
      <c r="S4" s="62">
        <v>4.6</v>
      </c>
    </row>
    <row r="5" ht="22.5" customHeight="1">
      <c r="A5" s="67" t="s">
        <v>140</v>
      </c>
      <c r="B5" s="17" t="s">
        <v>141</v>
      </c>
      <c r="C5" s="153" t="s">
        <v>142</v>
      </c>
      <c r="D5" s="20" t="s">
        <v>143</v>
      </c>
      <c r="E5" s="20" t="s">
        <v>144</v>
      </c>
      <c r="G5" s="60" t="s">
        <v>64</v>
      </c>
      <c r="H5" s="64">
        <v>2.0</v>
      </c>
      <c r="I5" s="62" t="s">
        <v>105</v>
      </c>
      <c r="J5" s="65">
        <v>0.0</v>
      </c>
      <c r="K5" s="62">
        <v>4.6</v>
      </c>
      <c r="L5" s="64">
        <v>7.0</v>
      </c>
      <c r="M5" s="62" t="s">
        <v>145</v>
      </c>
      <c r="N5" s="78">
        <f>5/2</f>
        <v>2.5</v>
      </c>
      <c r="O5" s="123">
        <v>4.5</v>
      </c>
      <c r="P5" s="64">
        <v>6.0</v>
      </c>
      <c r="Q5" s="62" t="s">
        <v>106</v>
      </c>
      <c r="R5" s="68">
        <f>2/1</f>
        <v>2</v>
      </c>
      <c r="S5" s="62">
        <v>4.5</v>
      </c>
    </row>
    <row r="6" ht="22.5" customHeight="1">
      <c r="A6" s="67" t="s">
        <v>47</v>
      </c>
      <c r="C6" s="161"/>
      <c r="D6" s="59" t="s">
        <v>146</v>
      </c>
      <c r="E6" s="59" t="s">
        <v>147</v>
      </c>
      <c r="G6" s="60" t="s">
        <v>148</v>
      </c>
      <c r="H6" s="64">
        <v>0.0</v>
      </c>
      <c r="I6" s="62">
        <v>0.0</v>
      </c>
      <c r="J6" s="65">
        <v>0.0</v>
      </c>
      <c r="K6" s="62">
        <v>4.5</v>
      </c>
      <c r="L6" s="64">
        <v>2.0</v>
      </c>
      <c r="M6" s="62" t="s">
        <v>103</v>
      </c>
      <c r="N6" s="78">
        <f>1/1</f>
        <v>1</v>
      </c>
      <c r="O6" s="62">
        <v>4.5</v>
      </c>
      <c r="P6" s="64">
        <v>1.0</v>
      </c>
      <c r="Q6" s="62" t="s">
        <v>78</v>
      </c>
      <c r="R6" s="95">
        <v>0.0</v>
      </c>
      <c r="S6" s="123">
        <v>4.4</v>
      </c>
    </row>
    <row r="7" ht="22.5" customHeight="1">
      <c r="A7" s="67" t="s">
        <v>149</v>
      </c>
      <c r="B7" s="17" t="s">
        <v>150</v>
      </c>
      <c r="C7" s="162" t="s">
        <v>137</v>
      </c>
      <c r="D7" s="163"/>
      <c r="E7" s="163"/>
      <c r="G7" s="120" t="s">
        <v>86</v>
      </c>
      <c r="H7" s="64">
        <v>6.0</v>
      </c>
      <c r="I7" s="62" t="s">
        <v>151</v>
      </c>
      <c r="J7" s="65">
        <v>0.0</v>
      </c>
      <c r="K7" s="62">
        <v>4.5</v>
      </c>
      <c r="L7" s="64">
        <v>10.0</v>
      </c>
      <c r="M7" s="62" t="s">
        <v>68</v>
      </c>
      <c r="N7" s="78">
        <f>4/1</f>
        <v>4</v>
      </c>
      <c r="O7" s="62">
        <v>4.5</v>
      </c>
      <c r="P7" s="64">
        <v>11.0</v>
      </c>
      <c r="Q7" s="62" t="s">
        <v>97</v>
      </c>
      <c r="R7" s="121">
        <f>10/1</f>
        <v>10</v>
      </c>
      <c r="S7" s="123">
        <v>4.4</v>
      </c>
    </row>
    <row r="8" ht="22.5" customHeight="1">
      <c r="A8" s="67" t="s">
        <v>152</v>
      </c>
      <c r="B8" s="17" t="s">
        <v>153</v>
      </c>
      <c r="C8" s="164" t="s">
        <v>154</v>
      </c>
      <c r="D8" s="165"/>
      <c r="E8" s="20" t="s">
        <v>155</v>
      </c>
      <c r="G8" s="120" t="s">
        <v>90</v>
      </c>
      <c r="H8" s="64">
        <v>29.0</v>
      </c>
      <c r="I8" s="62" t="s">
        <v>139</v>
      </c>
      <c r="J8" s="65">
        <f>3/1</f>
        <v>3</v>
      </c>
      <c r="K8" s="62">
        <v>4.6</v>
      </c>
      <c r="L8" s="64">
        <v>19.0</v>
      </c>
      <c r="M8" s="62" t="s">
        <v>106</v>
      </c>
      <c r="N8" s="63">
        <f>2/1</f>
        <v>2</v>
      </c>
      <c r="O8" s="62">
        <v>4.6</v>
      </c>
      <c r="P8" s="64">
        <v>36.0</v>
      </c>
      <c r="Q8" s="62" t="s">
        <v>156</v>
      </c>
      <c r="R8" s="68">
        <f>17/9</f>
        <v>1.888888889</v>
      </c>
      <c r="S8" s="62">
        <v>4.6</v>
      </c>
    </row>
    <row r="9" ht="22.5" customHeight="1">
      <c r="A9" s="157" t="s">
        <v>59</v>
      </c>
      <c r="B9" s="158" t="s">
        <v>157</v>
      </c>
      <c r="C9" s="166"/>
      <c r="D9" s="167"/>
      <c r="E9" s="168" t="s">
        <v>158</v>
      </c>
      <c r="G9" s="120" t="s">
        <v>96</v>
      </c>
      <c r="H9" s="64">
        <v>16.0</v>
      </c>
      <c r="I9" s="62" t="s">
        <v>159</v>
      </c>
      <c r="J9" s="65">
        <f>12/1</f>
        <v>12</v>
      </c>
      <c r="K9" s="62">
        <v>4.7</v>
      </c>
      <c r="L9" s="64">
        <v>38.0</v>
      </c>
      <c r="M9" s="62" t="s">
        <v>160</v>
      </c>
      <c r="N9" s="78">
        <f>18/1</f>
        <v>18</v>
      </c>
      <c r="O9" s="62">
        <v>4.7</v>
      </c>
      <c r="P9" s="64">
        <v>22.0</v>
      </c>
      <c r="Q9" s="62" t="s">
        <v>68</v>
      </c>
      <c r="R9" s="68">
        <f>4/1</f>
        <v>4</v>
      </c>
      <c r="S9" s="62">
        <v>4.7</v>
      </c>
    </row>
    <row r="10" ht="22.5" customHeight="1">
      <c r="A10" s="67" t="s">
        <v>161</v>
      </c>
      <c r="B10" s="17" t="s">
        <v>162</v>
      </c>
      <c r="C10" s="169" t="s">
        <v>137</v>
      </c>
      <c r="D10" s="163"/>
      <c r="E10" s="170"/>
      <c r="G10" s="120" t="s">
        <v>102</v>
      </c>
      <c r="H10" s="64">
        <v>0.0</v>
      </c>
      <c r="I10" s="62">
        <v>0.0</v>
      </c>
      <c r="J10" s="65">
        <v>0.0</v>
      </c>
      <c r="K10" s="62">
        <v>4.4</v>
      </c>
      <c r="L10" s="64">
        <v>1.0</v>
      </c>
      <c r="M10" s="62" t="s">
        <v>78</v>
      </c>
      <c r="N10" s="65">
        <v>0.0</v>
      </c>
      <c r="O10" s="62">
        <v>4.4</v>
      </c>
      <c r="P10" s="64">
        <v>0.0</v>
      </c>
      <c r="Q10" s="62">
        <v>0.0</v>
      </c>
      <c r="R10" s="95">
        <v>0.0</v>
      </c>
      <c r="S10" s="79">
        <v>4.5</v>
      </c>
    </row>
    <row r="11" ht="22.5" customHeight="1">
      <c r="A11" s="67" t="s">
        <v>163</v>
      </c>
      <c r="B11" s="17" t="s">
        <v>164</v>
      </c>
      <c r="C11" s="162" t="s">
        <v>137</v>
      </c>
      <c r="D11" s="163"/>
      <c r="E11" s="170"/>
      <c r="G11" s="120" t="s">
        <v>104</v>
      </c>
      <c r="H11" s="64">
        <v>1.0</v>
      </c>
      <c r="I11" s="62" t="s">
        <v>78</v>
      </c>
      <c r="J11" s="65">
        <v>0.0</v>
      </c>
      <c r="K11" s="62">
        <v>4.7</v>
      </c>
      <c r="L11" s="64">
        <v>2.0</v>
      </c>
      <c r="M11" s="62" t="s">
        <v>105</v>
      </c>
      <c r="N11" s="65">
        <v>0.0</v>
      </c>
      <c r="O11" s="62">
        <v>4.7</v>
      </c>
      <c r="P11" s="64">
        <v>3.0</v>
      </c>
      <c r="Q11" s="62" t="s">
        <v>151</v>
      </c>
      <c r="R11" s="95">
        <v>0.0</v>
      </c>
      <c r="S11" s="62">
        <v>4.7</v>
      </c>
    </row>
    <row r="12" ht="22.5" customHeight="1">
      <c r="A12" s="171" t="s">
        <v>70</v>
      </c>
      <c r="B12" s="89" t="s">
        <v>71</v>
      </c>
      <c r="C12" s="172"/>
      <c r="D12" s="173"/>
      <c r="E12" s="174" t="s">
        <v>165</v>
      </c>
      <c r="G12" s="39" t="s">
        <v>107</v>
      </c>
      <c r="H12" s="43"/>
      <c r="I12" s="41"/>
      <c r="J12" s="42"/>
      <c r="K12" s="41"/>
      <c r="L12" s="43"/>
      <c r="M12" s="41"/>
      <c r="N12" s="42"/>
      <c r="O12" s="41"/>
      <c r="P12" s="43"/>
      <c r="Q12" s="41"/>
      <c r="R12" s="46"/>
      <c r="S12" s="41"/>
    </row>
    <row r="13" ht="22.5" customHeight="1">
      <c r="B13" s="103"/>
      <c r="G13" s="60" t="s">
        <v>108</v>
      </c>
      <c r="H13" s="64">
        <v>3.0</v>
      </c>
      <c r="I13" s="62" t="s">
        <v>151</v>
      </c>
      <c r="J13" s="65">
        <v>0.0</v>
      </c>
      <c r="K13" s="62">
        <v>4.5</v>
      </c>
      <c r="L13" s="64">
        <v>2.0</v>
      </c>
      <c r="M13" s="62" t="s">
        <v>105</v>
      </c>
      <c r="N13" s="65">
        <v>0.0</v>
      </c>
      <c r="O13" s="62">
        <v>4.5</v>
      </c>
      <c r="P13" s="64">
        <v>6.0</v>
      </c>
      <c r="Q13" s="62" t="s">
        <v>117</v>
      </c>
      <c r="R13" s="68">
        <f>5/1</f>
        <v>5</v>
      </c>
      <c r="S13" s="62">
        <v>4.5</v>
      </c>
    </row>
    <row r="14" ht="22.5" customHeight="1">
      <c r="B14" s="103"/>
      <c r="G14" s="60" t="s">
        <v>112</v>
      </c>
      <c r="H14" s="64">
        <v>3.0</v>
      </c>
      <c r="I14" s="62" t="s">
        <v>151</v>
      </c>
      <c r="J14" s="65">
        <v>0.0</v>
      </c>
      <c r="K14" s="62">
        <v>4.5</v>
      </c>
      <c r="L14" s="64">
        <v>1.0</v>
      </c>
      <c r="M14" s="62" t="s">
        <v>166</v>
      </c>
      <c r="N14" s="65">
        <v>0.0</v>
      </c>
      <c r="O14" s="62">
        <v>4.5</v>
      </c>
      <c r="P14" s="64">
        <v>0.0</v>
      </c>
      <c r="Q14" s="62">
        <v>0.0</v>
      </c>
      <c r="R14" s="95">
        <v>0.0</v>
      </c>
      <c r="S14" s="62">
        <v>4.5</v>
      </c>
    </row>
    <row r="15" ht="22.5" customHeight="1">
      <c r="B15" s="103"/>
      <c r="G15" s="60" t="s">
        <v>115</v>
      </c>
      <c r="H15" s="64">
        <v>0.0</v>
      </c>
      <c r="I15" s="62">
        <v>0.0</v>
      </c>
      <c r="J15" s="65">
        <v>0.0</v>
      </c>
      <c r="K15" s="62">
        <v>4.4</v>
      </c>
      <c r="L15" s="64">
        <v>1.0</v>
      </c>
      <c r="M15" s="62" t="s">
        <v>78</v>
      </c>
      <c r="N15" s="65">
        <v>0.0</v>
      </c>
      <c r="O15" s="62">
        <v>4.4</v>
      </c>
      <c r="P15" s="64">
        <v>0.0</v>
      </c>
      <c r="Q15" s="62">
        <v>0.0</v>
      </c>
      <c r="R15" s="95">
        <v>0.0</v>
      </c>
      <c r="S15" s="62">
        <v>4.4</v>
      </c>
    </row>
    <row r="16" ht="22.5" customHeight="1">
      <c r="B16" s="103"/>
      <c r="C16" s="119"/>
      <c r="G16" s="120" t="s">
        <v>116</v>
      </c>
      <c r="H16" s="64">
        <v>29.0</v>
      </c>
      <c r="I16" s="175">
        <v>0.5076388888888889</v>
      </c>
      <c r="J16" s="65">
        <f>12/11</f>
        <v>1.090909091</v>
      </c>
      <c r="K16" s="62">
        <v>4.4</v>
      </c>
      <c r="L16" s="64">
        <v>19.0</v>
      </c>
      <c r="M16" s="62" t="s">
        <v>167</v>
      </c>
      <c r="N16" s="78">
        <f>11/7</f>
        <v>1.571428571</v>
      </c>
      <c r="O16" s="62">
        <v>4.4</v>
      </c>
      <c r="P16" s="64">
        <v>27.0</v>
      </c>
      <c r="Q16" s="62" t="s">
        <v>66</v>
      </c>
      <c r="R16" s="121">
        <f>6/1</f>
        <v>6</v>
      </c>
      <c r="S16" s="62">
        <v>4.4</v>
      </c>
    </row>
    <row r="17" ht="22.5" customHeight="1">
      <c r="B17" s="103"/>
      <c r="G17" s="120" t="s">
        <v>122</v>
      </c>
      <c r="H17" s="64">
        <v>0.0</v>
      </c>
      <c r="I17" s="62">
        <v>0.0</v>
      </c>
      <c r="J17" s="65">
        <v>0.0</v>
      </c>
      <c r="K17" s="62">
        <v>4.4</v>
      </c>
      <c r="L17" s="64">
        <v>2.0</v>
      </c>
      <c r="M17" s="62" t="s">
        <v>105</v>
      </c>
      <c r="N17" s="65">
        <v>0.0</v>
      </c>
      <c r="O17" s="62">
        <v>4.4</v>
      </c>
      <c r="P17" s="64">
        <v>0.0</v>
      </c>
      <c r="Q17" s="62">
        <v>0.0</v>
      </c>
      <c r="R17" s="95">
        <v>0.0</v>
      </c>
      <c r="S17" s="62">
        <v>4.4</v>
      </c>
    </row>
    <row r="18" ht="22.5" customHeight="1">
      <c r="B18" s="103"/>
      <c r="G18" s="120" t="s">
        <v>123</v>
      </c>
      <c r="H18" s="64">
        <v>0.0</v>
      </c>
      <c r="I18" s="62">
        <v>0.0</v>
      </c>
      <c r="J18" s="65">
        <v>0.0</v>
      </c>
      <c r="K18" s="62">
        <v>4.7</v>
      </c>
      <c r="L18" s="64">
        <v>3.0</v>
      </c>
      <c r="M18" s="62" t="s">
        <v>151</v>
      </c>
      <c r="N18" s="65">
        <v>0.0</v>
      </c>
      <c r="O18" s="62">
        <v>4.7</v>
      </c>
      <c r="P18" s="64">
        <v>1.0</v>
      </c>
      <c r="Q18" s="62" t="s">
        <v>78</v>
      </c>
      <c r="R18" s="95">
        <v>0.0</v>
      </c>
      <c r="S18" s="62">
        <v>4.7</v>
      </c>
    </row>
    <row r="19" ht="22.5" customHeight="1">
      <c r="B19" s="103"/>
      <c r="G19" s="176" t="s">
        <v>168</v>
      </c>
      <c r="H19" s="177"/>
      <c r="I19" s="178"/>
      <c r="J19" s="179"/>
      <c r="K19" s="180"/>
      <c r="L19" s="177"/>
      <c r="M19" s="180"/>
      <c r="N19" s="181"/>
      <c r="O19" s="180"/>
      <c r="P19" s="177"/>
      <c r="Q19" s="180"/>
      <c r="R19" s="182"/>
      <c r="S19" s="180"/>
    </row>
    <row r="20" ht="22.5" customHeight="1">
      <c r="B20" s="103"/>
      <c r="G20" s="183" t="s">
        <v>169</v>
      </c>
      <c r="H20" s="184">
        <v>18.0</v>
      </c>
      <c r="I20" s="178" t="s">
        <v>170</v>
      </c>
      <c r="J20" s="179">
        <f>1/3</f>
        <v>0.3333333333</v>
      </c>
      <c r="K20" s="178">
        <v>4.3</v>
      </c>
      <c r="L20" s="184">
        <v>5.0</v>
      </c>
      <c r="M20" s="178" t="s">
        <v>103</v>
      </c>
      <c r="N20" s="179">
        <f t="shared" ref="N20:N21" si="1">1/1</f>
        <v>1</v>
      </c>
      <c r="O20" s="178">
        <v>4.3</v>
      </c>
      <c r="P20" s="184">
        <v>2.0</v>
      </c>
      <c r="Q20" s="178" t="s">
        <v>103</v>
      </c>
      <c r="R20" s="185">
        <f>1/1</f>
        <v>1</v>
      </c>
      <c r="S20" s="178">
        <v>4.1</v>
      </c>
    </row>
    <row r="21" ht="22.5" customHeight="1">
      <c r="B21" s="103"/>
      <c r="G21" s="183" t="s">
        <v>171</v>
      </c>
      <c r="H21" s="184">
        <v>2.0</v>
      </c>
      <c r="I21" s="178" t="s">
        <v>105</v>
      </c>
      <c r="J21" s="179">
        <v>0.0</v>
      </c>
      <c r="K21" s="178">
        <v>3.9</v>
      </c>
      <c r="L21" s="184">
        <v>4.0</v>
      </c>
      <c r="M21" s="178" t="s">
        <v>103</v>
      </c>
      <c r="N21" s="179">
        <f t="shared" si="1"/>
        <v>1</v>
      </c>
      <c r="O21" s="178">
        <v>3.9</v>
      </c>
      <c r="P21" s="184">
        <v>3.0</v>
      </c>
      <c r="Q21" s="178" t="s">
        <v>114</v>
      </c>
      <c r="R21" s="185">
        <f>1/2</f>
        <v>0.5</v>
      </c>
      <c r="S21" s="178">
        <v>3.9</v>
      </c>
    </row>
    <row r="22" ht="22.5" customHeight="1">
      <c r="B22" s="103"/>
      <c r="G22" s="183" t="s">
        <v>172</v>
      </c>
      <c r="H22" s="184">
        <v>0.0</v>
      </c>
      <c r="I22" s="178">
        <v>0.0</v>
      </c>
      <c r="J22" s="179">
        <v>0.0</v>
      </c>
      <c r="K22" s="178">
        <v>4.4</v>
      </c>
      <c r="L22" s="184">
        <v>0.0</v>
      </c>
      <c r="M22" s="178">
        <v>0.0</v>
      </c>
      <c r="N22" s="179">
        <v>0.0</v>
      </c>
      <c r="O22" s="178">
        <v>4.4</v>
      </c>
      <c r="P22" s="184">
        <v>0.0</v>
      </c>
      <c r="Q22" s="178">
        <v>0.0</v>
      </c>
      <c r="R22" s="185">
        <v>0.0</v>
      </c>
      <c r="S22" s="178">
        <v>4.4</v>
      </c>
    </row>
    <row r="23" ht="22.5" customHeight="1">
      <c r="B23" s="103"/>
      <c r="G23" s="183" t="s">
        <v>173</v>
      </c>
      <c r="H23" s="184">
        <v>0.0</v>
      </c>
      <c r="I23" s="178">
        <v>0.0</v>
      </c>
      <c r="J23" s="179">
        <v>0.0</v>
      </c>
      <c r="K23" s="178">
        <v>4.4</v>
      </c>
      <c r="L23" s="184">
        <v>1.0</v>
      </c>
      <c r="M23" s="178" t="s">
        <v>78</v>
      </c>
      <c r="N23" s="179">
        <v>0.0</v>
      </c>
      <c r="O23" s="178">
        <v>4.4</v>
      </c>
      <c r="P23" s="184">
        <v>1.0</v>
      </c>
      <c r="Q23" s="178">
        <v>0.0</v>
      </c>
      <c r="R23" s="185">
        <v>0.0</v>
      </c>
      <c r="S23" s="178">
        <v>4.4</v>
      </c>
    </row>
    <row r="24" ht="22.5" customHeight="1">
      <c r="B24" s="103"/>
      <c r="G24" s="183" t="s">
        <v>174</v>
      </c>
      <c r="H24" s="184">
        <v>2.0</v>
      </c>
      <c r="I24" s="178" t="s">
        <v>166</v>
      </c>
      <c r="J24" s="179">
        <v>0.0</v>
      </c>
      <c r="K24" s="178">
        <v>4.7</v>
      </c>
      <c r="L24" s="184">
        <v>2.0</v>
      </c>
      <c r="M24" s="178" t="s">
        <v>78</v>
      </c>
      <c r="N24" s="179">
        <v>0.0</v>
      </c>
      <c r="O24" s="178">
        <v>4.7</v>
      </c>
      <c r="P24" s="184">
        <v>1.0</v>
      </c>
      <c r="Q24" s="178" t="s">
        <v>78</v>
      </c>
      <c r="R24" s="185">
        <v>0.0</v>
      </c>
      <c r="S24" s="178">
        <v>4.4</v>
      </c>
    </row>
    <row r="25" ht="22.5" customHeight="1">
      <c r="B25" s="103"/>
      <c r="G25" s="183" t="s">
        <v>175</v>
      </c>
      <c r="H25" s="184">
        <v>2.0</v>
      </c>
      <c r="I25" s="178" t="s">
        <v>103</v>
      </c>
      <c r="J25" s="179">
        <f>1/1</f>
        <v>1</v>
      </c>
      <c r="K25" s="178">
        <v>3.7</v>
      </c>
      <c r="L25" s="184">
        <v>3.0</v>
      </c>
      <c r="M25" s="178" t="s">
        <v>151</v>
      </c>
      <c r="N25" s="179">
        <v>0.0</v>
      </c>
      <c r="O25" s="178">
        <v>3.8</v>
      </c>
      <c r="P25" s="184">
        <v>2.0</v>
      </c>
      <c r="Q25" s="178" t="s">
        <v>103</v>
      </c>
      <c r="R25" s="185">
        <f>1/1</f>
        <v>1</v>
      </c>
      <c r="S25" s="178">
        <v>3.9</v>
      </c>
    </row>
    <row r="26" ht="22.5" customHeight="1">
      <c r="B26" s="103"/>
      <c r="G26" s="176" t="s">
        <v>176</v>
      </c>
      <c r="H26" s="184">
        <v>5.0</v>
      </c>
      <c r="I26" s="178" t="s">
        <v>177</v>
      </c>
      <c r="J26" s="179">
        <f>3/2</f>
        <v>1.5</v>
      </c>
      <c r="K26" s="178">
        <v>4.5</v>
      </c>
      <c r="L26" s="184">
        <v>3.0</v>
      </c>
      <c r="M26" s="178" t="s">
        <v>114</v>
      </c>
      <c r="N26" s="179">
        <f>1/2</f>
        <v>0.5</v>
      </c>
      <c r="O26" s="178">
        <v>4.5</v>
      </c>
      <c r="P26" s="184">
        <v>7.0</v>
      </c>
      <c r="Q26" s="178" t="s">
        <v>145</v>
      </c>
      <c r="R26" s="185">
        <f>5/2</f>
        <v>2.5</v>
      </c>
      <c r="S26" s="178">
        <v>4.5</v>
      </c>
    </row>
    <row r="27" ht="22.5" customHeight="1">
      <c r="B27" s="103"/>
      <c r="G27" s="176" t="s">
        <v>178</v>
      </c>
      <c r="H27" s="184">
        <v>3.0</v>
      </c>
      <c r="I27" s="178" t="s">
        <v>106</v>
      </c>
      <c r="J27" s="179">
        <f>2/1</f>
        <v>2</v>
      </c>
      <c r="K27" s="178">
        <v>4.2</v>
      </c>
      <c r="L27" s="184">
        <v>1.0</v>
      </c>
      <c r="M27" s="178" t="s">
        <v>78</v>
      </c>
      <c r="N27" s="179">
        <v>0.0</v>
      </c>
      <c r="O27" s="178">
        <v>4.1</v>
      </c>
      <c r="P27" s="184">
        <v>3.0</v>
      </c>
      <c r="Q27" s="178" t="s">
        <v>106</v>
      </c>
      <c r="R27" s="185">
        <f>2/1</f>
        <v>2</v>
      </c>
      <c r="S27" s="178">
        <v>4.1</v>
      </c>
    </row>
    <row r="28" ht="22.5" customHeight="1">
      <c r="B28" s="103"/>
      <c r="G28" s="176" t="s">
        <v>179</v>
      </c>
      <c r="H28" s="184">
        <v>1.0</v>
      </c>
      <c r="I28" s="178" t="s">
        <v>78</v>
      </c>
      <c r="J28" s="179">
        <v>0.0</v>
      </c>
      <c r="K28" s="178">
        <v>4.7</v>
      </c>
      <c r="L28" s="184">
        <v>0.0</v>
      </c>
      <c r="M28" s="178">
        <v>0.0</v>
      </c>
      <c r="N28" s="179">
        <v>0.0</v>
      </c>
      <c r="O28" s="178">
        <v>4.6</v>
      </c>
      <c r="P28" s="184">
        <v>0.0</v>
      </c>
      <c r="Q28" s="178">
        <v>0.0</v>
      </c>
      <c r="R28" s="185">
        <v>0.0</v>
      </c>
      <c r="S28" s="178">
        <v>4.6</v>
      </c>
    </row>
    <row r="29">
      <c r="B29" s="103"/>
    </row>
    <row r="30">
      <c r="B30" s="103"/>
    </row>
    <row r="31">
      <c r="B31" s="103"/>
    </row>
    <row r="32">
      <c r="B32" s="103"/>
      <c r="G32" s="186"/>
      <c r="H32" s="187"/>
      <c r="I32" s="187"/>
      <c r="J32" s="188"/>
      <c r="K32" s="187"/>
      <c r="L32" s="187"/>
      <c r="M32" s="187"/>
      <c r="N32" s="188"/>
      <c r="O32" s="189"/>
      <c r="Q32" s="187"/>
      <c r="R32" s="190"/>
      <c r="S32" s="187"/>
    </row>
    <row r="33">
      <c r="B33" s="103"/>
      <c r="G33" s="186"/>
      <c r="H33" s="187"/>
      <c r="I33" s="187"/>
      <c r="J33" s="188"/>
      <c r="K33" s="187"/>
      <c r="L33" s="187"/>
      <c r="M33" s="187"/>
      <c r="N33" s="188"/>
      <c r="O33" s="187"/>
      <c r="Q33" s="187"/>
      <c r="R33" s="190"/>
      <c r="S33" s="187"/>
    </row>
    <row r="34">
      <c r="B34" s="103"/>
      <c r="G34" s="191"/>
      <c r="H34" s="187"/>
      <c r="I34" s="187"/>
      <c r="J34" s="188"/>
      <c r="K34" s="187"/>
      <c r="L34" s="187"/>
      <c r="M34" s="187"/>
      <c r="N34" s="188"/>
      <c r="O34" s="187"/>
      <c r="Q34" s="187"/>
      <c r="R34" s="190"/>
      <c r="S34" s="187"/>
    </row>
    <row r="35">
      <c r="B35" s="103"/>
      <c r="G35" s="191"/>
      <c r="H35" s="187"/>
      <c r="I35" s="187"/>
      <c r="J35" s="188"/>
      <c r="K35" s="187"/>
      <c r="L35" s="187"/>
      <c r="M35" s="187"/>
      <c r="N35" s="188"/>
      <c r="O35" s="187"/>
      <c r="Q35" s="187"/>
      <c r="R35" s="190"/>
      <c r="S35" s="187"/>
    </row>
    <row r="36">
      <c r="B36" s="103"/>
    </row>
    <row r="37">
      <c r="B37" s="103"/>
    </row>
    <row r="38">
      <c r="B38" s="103"/>
      <c r="G38" s="191"/>
      <c r="H38" s="187"/>
      <c r="I38" s="187"/>
      <c r="J38" s="188"/>
      <c r="K38" s="187"/>
      <c r="L38" s="187"/>
      <c r="M38" s="187"/>
      <c r="N38" s="188"/>
      <c r="O38" s="187"/>
      <c r="Q38" s="187"/>
      <c r="R38" s="190"/>
      <c r="S38" s="187"/>
    </row>
    <row r="39">
      <c r="B39" s="103"/>
      <c r="G39" s="191"/>
      <c r="H39" s="187"/>
      <c r="I39" s="187"/>
      <c r="J39" s="188"/>
      <c r="K39" s="187"/>
      <c r="L39" s="187"/>
      <c r="M39" s="187"/>
      <c r="N39" s="188"/>
      <c r="O39" s="187"/>
      <c r="Q39" s="187"/>
      <c r="R39" s="190"/>
      <c r="S39" s="187"/>
    </row>
    <row r="40">
      <c r="B40" s="103"/>
      <c r="G40" s="191"/>
      <c r="H40" s="187"/>
      <c r="I40" s="187"/>
      <c r="J40" s="188"/>
      <c r="K40" s="187"/>
      <c r="L40" s="187"/>
      <c r="M40" s="187"/>
      <c r="N40" s="188"/>
      <c r="O40" s="187"/>
      <c r="Q40" s="187"/>
      <c r="R40" s="190"/>
      <c r="S40" s="187"/>
    </row>
    <row r="41">
      <c r="B41" s="103"/>
      <c r="G41" s="191"/>
      <c r="H41" s="187"/>
      <c r="I41" s="187"/>
      <c r="J41" s="188"/>
      <c r="K41" s="187"/>
      <c r="L41" s="187"/>
      <c r="M41" s="187"/>
      <c r="N41" s="188"/>
      <c r="O41" s="187"/>
      <c r="Q41" s="187"/>
      <c r="R41" s="190"/>
      <c r="S41" s="187"/>
    </row>
    <row r="42">
      <c r="B42" s="103"/>
      <c r="G42" s="191"/>
      <c r="H42" s="187"/>
      <c r="I42" s="187"/>
      <c r="J42" s="188"/>
      <c r="K42" s="187"/>
      <c r="L42" s="187"/>
      <c r="M42" s="187"/>
      <c r="N42" s="188"/>
      <c r="O42" s="187"/>
      <c r="Q42" s="187"/>
      <c r="R42" s="190"/>
      <c r="S42" s="187"/>
    </row>
    <row r="43">
      <c r="B43" s="103"/>
      <c r="G43" s="191"/>
      <c r="H43" s="187"/>
      <c r="I43" s="187"/>
      <c r="J43" s="188"/>
      <c r="K43" s="187"/>
      <c r="L43" s="187"/>
      <c r="M43" s="187"/>
      <c r="N43" s="188"/>
      <c r="O43" s="187"/>
      <c r="Q43" s="187"/>
      <c r="R43" s="190"/>
      <c r="S43" s="187"/>
    </row>
    <row r="44">
      <c r="B44" s="103"/>
      <c r="G44" s="191"/>
      <c r="H44" s="187"/>
      <c r="I44" s="187"/>
      <c r="J44" s="188"/>
      <c r="K44" s="187"/>
      <c r="L44" s="187"/>
      <c r="M44" s="187"/>
      <c r="N44" s="188"/>
      <c r="O44" s="187"/>
      <c r="Q44" s="187"/>
      <c r="R44" s="190"/>
      <c r="S44" s="187"/>
    </row>
    <row r="45">
      <c r="B45" s="103"/>
      <c r="G45" s="191"/>
      <c r="H45" s="187"/>
      <c r="I45" s="187"/>
      <c r="J45" s="188"/>
      <c r="K45" s="187"/>
      <c r="L45" s="187"/>
      <c r="M45" s="187"/>
      <c r="N45" s="188"/>
      <c r="O45" s="187"/>
      <c r="Q45" s="187"/>
      <c r="R45" s="190"/>
      <c r="S45" s="187"/>
    </row>
    <row r="46">
      <c r="B46" s="103"/>
      <c r="G46" s="191"/>
      <c r="H46" s="187"/>
      <c r="I46" s="187"/>
      <c r="J46" s="188"/>
      <c r="K46" s="187"/>
      <c r="L46" s="187"/>
      <c r="M46" s="187"/>
      <c r="N46" s="188"/>
      <c r="O46" s="187"/>
      <c r="Q46" s="187"/>
      <c r="R46" s="190"/>
      <c r="S46" s="187"/>
    </row>
    <row r="47">
      <c r="B47" s="103"/>
      <c r="G47" s="191"/>
      <c r="H47" s="187"/>
      <c r="I47" s="187"/>
      <c r="J47" s="188"/>
      <c r="K47" s="187"/>
      <c r="L47" s="187"/>
      <c r="M47" s="187"/>
      <c r="N47" s="188"/>
      <c r="O47" s="187"/>
      <c r="Q47" s="187"/>
      <c r="R47" s="190"/>
      <c r="S47" s="187"/>
    </row>
    <row r="48">
      <c r="B48" s="103"/>
      <c r="G48" s="191"/>
      <c r="H48" s="187"/>
      <c r="I48" s="187"/>
      <c r="J48" s="188"/>
      <c r="K48" s="187"/>
      <c r="L48" s="187"/>
      <c r="M48" s="187"/>
      <c r="N48" s="188"/>
      <c r="O48" s="187"/>
      <c r="Q48" s="187"/>
      <c r="R48" s="190"/>
      <c r="S48" s="187"/>
    </row>
    <row r="49">
      <c r="B49" s="103"/>
      <c r="G49" s="191"/>
      <c r="H49" s="187"/>
      <c r="I49" s="187"/>
      <c r="J49" s="188"/>
      <c r="K49" s="187"/>
      <c r="L49" s="187"/>
      <c r="M49" s="187"/>
      <c r="N49" s="188"/>
      <c r="O49" s="187"/>
      <c r="Q49" s="187"/>
      <c r="R49" s="190"/>
      <c r="S49" s="187"/>
    </row>
    <row r="50">
      <c r="B50" s="103"/>
      <c r="G50" s="191"/>
      <c r="H50" s="187"/>
      <c r="I50" s="187"/>
      <c r="J50" s="188"/>
      <c r="K50" s="187"/>
      <c r="L50" s="187"/>
      <c r="M50" s="187"/>
      <c r="N50" s="188"/>
      <c r="O50" s="187"/>
      <c r="Q50" s="187"/>
      <c r="R50" s="190"/>
      <c r="S50" s="187"/>
    </row>
    <row r="51">
      <c r="B51" s="103"/>
      <c r="G51" s="191"/>
      <c r="H51" s="187"/>
      <c r="I51" s="187"/>
      <c r="J51" s="188"/>
      <c r="K51" s="187"/>
      <c r="L51" s="187"/>
      <c r="M51" s="187"/>
      <c r="N51" s="188"/>
      <c r="O51" s="187"/>
      <c r="Q51" s="187"/>
      <c r="R51" s="190"/>
      <c r="S51" s="187"/>
    </row>
    <row r="52">
      <c r="B52" s="103"/>
      <c r="G52" s="191"/>
      <c r="H52" s="187"/>
      <c r="I52" s="187"/>
      <c r="J52" s="188"/>
      <c r="K52" s="187"/>
      <c r="L52" s="187"/>
      <c r="M52" s="187"/>
      <c r="N52" s="188"/>
      <c r="O52" s="187"/>
      <c r="Q52" s="187"/>
      <c r="R52" s="190"/>
      <c r="S52" s="187"/>
    </row>
    <row r="53">
      <c r="B53" s="103"/>
      <c r="G53" s="191"/>
      <c r="H53" s="187"/>
      <c r="I53" s="187"/>
      <c r="J53" s="188"/>
      <c r="K53" s="187"/>
      <c r="L53" s="187"/>
      <c r="M53" s="187"/>
      <c r="N53" s="188"/>
      <c r="O53" s="187"/>
      <c r="Q53" s="187"/>
      <c r="R53" s="190"/>
      <c r="S53" s="187"/>
    </row>
    <row r="54">
      <c r="B54" s="103"/>
      <c r="G54" s="191"/>
      <c r="H54" s="187"/>
      <c r="I54" s="187"/>
      <c r="J54" s="188"/>
      <c r="K54" s="187"/>
      <c r="L54" s="187"/>
      <c r="M54" s="187"/>
      <c r="N54" s="188"/>
      <c r="O54" s="187"/>
      <c r="Q54" s="187"/>
      <c r="R54" s="190"/>
      <c r="S54" s="187"/>
    </row>
    <row r="55">
      <c r="B55" s="103"/>
      <c r="G55" s="191"/>
      <c r="H55" s="187"/>
      <c r="I55" s="187"/>
      <c r="J55" s="188"/>
      <c r="K55" s="187"/>
      <c r="L55" s="187"/>
      <c r="M55" s="187"/>
      <c r="N55" s="188"/>
      <c r="O55" s="187"/>
      <c r="Q55" s="187"/>
      <c r="R55" s="190"/>
      <c r="S55" s="187"/>
    </row>
    <row r="56">
      <c r="B56" s="103"/>
      <c r="G56" s="191"/>
      <c r="H56" s="187"/>
      <c r="I56" s="187"/>
      <c r="J56" s="188"/>
      <c r="K56" s="187"/>
      <c r="L56" s="187"/>
      <c r="M56" s="187"/>
      <c r="N56" s="188"/>
      <c r="O56" s="187"/>
      <c r="Q56" s="187"/>
      <c r="R56" s="190"/>
      <c r="S56" s="187"/>
    </row>
    <row r="57">
      <c r="B57" s="103"/>
      <c r="G57" s="191"/>
      <c r="H57" s="187"/>
      <c r="I57" s="187"/>
      <c r="J57" s="188"/>
      <c r="K57" s="187"/>
      <c r="L57" s="187"/>
      <c r="M57" s="187"/>
      <c r="N57" s="188"/>
      <c r="O57" s="187"/>
      <c r="Q57" s="187"/>
      <c r="R57" s="190"/>
      <c r="S57" s="187"/>
    </row>
    <row r="58">
      <c r="B58" s="103"/>
      <c r="G58" s="191"/>
      <c r="H58" s="187"/>
      <c r="I58" s="187"/>
      <c r="J58" s="188"/>
      <c r="K58" s="187"/>
      <c r="L58" s="187"/>
      <c r="M58" s="187"/>
      <c r="N58" s="188"/>
      <c r="O58" s="187"/>
      <c r="Q58" s="187"/>
      <c r="R58" s="190"/>
      <c r="S58" s="187"/>
    </row>
    <row r="59">
      <c r="B59" s="103"/>
      <c r="G59" s="191"/>
      <c r="H59" s="187"/>
      <c r="I59" s="187"/>
      <c r="J59" s="188"/>
      <c r="K59" s="187"/>
      <c r="L59" s="187"/>
      <c r="M59" s="187"/>
      <c r="N59" s="188"/>
      <c r="O59" s="187"/>
      <c r="Q59" s="187"/>
      <c r="R59" s="190"/>
      <c r="S59" s="187"/>
    </row>
    <row r="60">
      <c r="B60" s="103"/>
      <c r="G60" s="191"/>
      <c r="H60" s="187"/>
      <c r="I60" s="187"/>
      <c r="J60" s="188"/>
      <c r="K60" s="187"/>
      <c r="L60" s="187"/>
      <c r="M60" s="187"/>
      <c r="N60" s="188"/>
      <c r="O60" s="187"/>
      <c r="Q60" s="187"/>
      <c r="R60" s="190"/>
      <c r="S60" s="187"/>
    </row>
    <row r="61">
      <c r="B61" s="103"/>
      <c r="G61" s="191"/>
      <c r="H61" s="187"/>
      <c r="I61" s="187"/>
      <c r="J61" s="188"/>
      <c r="K61" s="187"/>
      <c r="L61" s="187"/>
      <c r="M61" s="187"/>
      <c r="N61" s="188"/>
      <c r="O61" s="187"/>
      <c r="Q61" s="187"/>
      <c r="R61" s="190"/>
      <c r="S61" s="187"/>
    </row>
    <row r="62">
      <c r="B62" s="103"/>
      <c r="G62" s="191"/>
      <c r="H62" s="187"/>
      <c r="I62" s="187"/>
      <c r="J62" s="188"/>
      <c r="K62" s="187"/>
      <c r="L62" s="187"/>
      <c r="M62" s="187"/>
      <c r="N62" s="188"/>
      <c r="O62" s="187"/>
      <c r="Q62" s="187"/>
      <c r="R62" s="190"/>
      <c r="S62" s="187"/>
    </row>
    <row r="63">
      <c r="B63" s="103"/>
      <c r="G63" s="191"/>
      <c r="H63" s="187"/>
      <c r="I63" s="187"/>
      <c r="J63" s="188"/>
      <c r="K63" s="187"/>
      <c r="L63" s="187"/>
      <c r="M63" s="187"/>
      <c r="N63" s="188"/>
      <c r="O63" s="187"/>
      <c r="Q63" s="187"/>
      <c r="R63" s="190"/>
      <c r="S63" s="187"/>
    </row>
    <row r="64">
      <c r="B64" s="103"/>
      <c r="G64" s="191"/>
      <c r="H64" s="187"/>
      <c r="I64" s="187"/>
      <c r="J64" s="188"/>
      <c r="K64" s="187"/>
      <c r="L64" s="187"/>
      <c r="M64" s="187"/>
      <c r="N64" s="188"/>
      <c r="O64" s="187"/>
      <c r="Q64" s="187"/>
      <c r="R64" s="190"/>
      <c r="S64" s="187"/>
    </row>
    <row r="65">
      <c r="B65" s="103"/>
      <c r="G65" s="191"/>
      <c r="H65" s="187"/>
      <c r="I65" s="187"/>
      <c r="J65" s="188"/>
      <c r="K65" s="187"/>
      <c r="L65" s="187"/>
      <c r="M65" s="187"/>
      <c r="N65" s="188"/>
      <c r="O65" s="187"/>
      <c r="Q65" s="187"/>
      <c r="R65" s="190"/>
      <c r="S65" s="187"/>
    </row>
    <row r="66">
      <c r="B66" s="103"/>
      <c r="G66" s="191"/>
      <c r="H66" s="187"/>
      <c r="I66" s="187"/>
      <c r="J66" s="188"/>
      <c r="K66" s="187"/>
      <c r="L66" s="187"/>
      <c r="M66" s="187"/>
      <c r="N66" s="188"/>
      <c r="O66" s="187"/>
      <c r="Q66" s="187"/>
      <c r="R66" s="190"/>
      <c r="S66" s="187"/>
    </row>
    <row r="67">
      <c r="B67" s="103"/>
      <c r="G67" s="191"/>
      <c r="H67" s="187"/>
      <c r="I67" s="187"/>
      <c r="J67" s="188"/>
      <c r="K67" s="187"/>
      <c r="L67" s="187"/>
      <c r="M67" s="187"/>
      <c r="N67" s="188"/>
      <c r="O67" s="187"/>
      <c r="Q67" s="187"/>
      <c r="R67" s="190"/>
      <c r="S67" s="187"/>
    </row>
    <row r="68">
      <c r="B68" s="103"/>
      <c r="G68" s="191"/>
      <c r="H68" s="187"/>
      <c r="I68" s="187"/>
      <c r="J68" s="188"/>
      <c r="K68" s="187"/>
      <c r="L68" s="187"/>
      <c r="M68" s="187"/>
      <c r="N68" s="188"/>
      <c r="O68" s="187"/>
      <c r="Q68" s="187"/>
      <c r="R68" s="190"/>
      <c r="S68" s="187"/>
    </row>
    <row r="69">
      <c r="B69" s="103"/>
      <c r="G69" s="191"/>
      <c r="H69" s="187"/>
      <c r="I69" s="187"/>
      <c r="J69" s="188"/>
      <c r="K69" s="187"/>
      <c r="L69" s="187"/>
      <c r="M69" s="187"/>
      <c r="N69" s="188"/>
      <c r="O69" s="187"/>
      <c r="Q69" s="187"/>
      <c r="R69" s="190"/>
      <c r="S69" s="187"/>
    </row>
    <row r="70">
      <c r="B70" s="103"/>
      <c r="G70" s="191"/>
      <c r="H70" s="187"/>
      <c r="I70" s="187"/>
      <c r="J70" s="188"/>
      <c r="K70" s="187"/>
      <c r="L70" s="187"/>
      <c r="M70" s="187"/>
      <c r="N70" s="188"/>
      <c r="O70" s="187"/>
      <c r="Q70" s="187"/>
      <c r="R70" s="190"/>
      <c r="S70" s="187"/>
    </row>
    <row r="71">
      <c r="B71" s="103"/>
      <c r="G71" s="191"/>
      <c r="H71" s="187"/>
      <c r="I71" s="187"/>
      <c r="J71" s="188"/>
      <c r="K71" s="187"/>
      <c r="L71" s="187"/>
      <c r="M71" s="187"/>
      <c r="N71" s="188"/>
      <c r="O71" s="187"/>
      <c r="Q71" s="187"/>
      <c r="R71" s="190"/>
      <c r="S71" s="187"/>
    </row>
    <row r="72">
      <c r="B72" s="103"/>
      <c r="G72" s="191"/>
      <c r="H72" s="187"/>
      <c r="I72" s="187"/>
      <c r="J72" s="188"/>
      <c r="K72" s="187"/>
      <c r="L72" s="187"/>
      <c r="M72" s="187"/>
      <c r="N72" s="188"/>
      <c r="O72" s="187"/>
      <c r="Q72" s="187"/>
      <c r="R72" s="190"/>
      <c r="S72" s="187"/>
    </row>
    <row r="73">
      <c r="B73" s="103"/>
      <c r="G73" s="191"/>
      <c r="H73" s="187"/>
      <c r="I73" s="187"/>
      <c r="J73" s="188"/>
      <c r="K73" s="187"/>
      <c r="L73" s="187"/>
      <c r="M73" s="187"/>
      <c r="N73" s="188"/>
      <c r="O73" s="187"/>
      <c r="Q73" s="187"/>
      <c r="R73" s="190"/>
      <c r="S73" s="187"/>
    </row>
    <row r="74">
      <c r="B74" s="103"/>
      <c r="G74" s="191"/>
      <c r="H74" s="187"/>
      <c r="I74" s="187"/>
      <c r="J74" s="188"/>
      <c r="K74" s="187"/>
      <c r="L74" s="187"/>
      <c r="M74" s="187"/>
      <c r="N74" s="188"/>
      <c r="O74" s="187"/>
      <c r="Q74" s="187"/>
      <c r="R74" s="190"/>
      <c r="S74" s="187"/>
    </row>
    <row r="75">
      <c r="B75" s="103"/>
      <c r="G75" s="191"/>
      <c r="H75" s="187"/>
      <c r="I75" s="187"/>
      <c r="J75" s="188"/>
      <c r="K75" s="187"/>
      <c r="L75" s="187"/>
      <c r="M75" s="187"/>
      <c r="N75" s="188"/>
      <c r="O75" s="187"/>
      <c r="Q75" s="187"/>
      <c r="R75" s="190"/>
      <c r="S75" s="187"/>
    </row>
    <row r="76">
      <c r="B76" s="103"/>
      <c r="G76" s="191"/>
      <c r="H76" s="187"/>
      <c r="I76" s="187"/>
      <c r="J76" s="188"/>
      <c r="K76" s="187"/>
      <c r="L76" s="187"/>
      <c r="M76" s="187"/>
      <c r="N76" s="188"/>
      <c r="O76" s="187"/>
      <c r="Q76" s="187"/>
      <c r="R76" s="190"/>
      <c r="S76" s="187"/>
    </row>
    <row r="77">
      <c r="B77" s="103"/>
      <c r="G77" s="191"/>
      <c r="H77" s="187"/>
      <c r="I77" s="187"/>
      <c r="J77" s="188"/>
      <c r="K77" s="187"/>
      <c r="L77" s="187"/>
      <c r="M77" s="187"/>
      <c r="N77" s="188"/>
      <c r="O77" s="187"/>
      <c r="Q77" s="187"/>
      <c r="R77" s="190"/>
      <c r="S77" s="187"/>
    </row>
    <row r="78">
      <c r="B78" s="103"/>
      <c r="G78" s="191"/>
      <c r="H78" s="187"/>
      <c r="I78" s="187"/>
      <c r="J78" s="188"/>
      <c r="K78" s="187"/>
      <c r="L78" s="187"/>
      <c r="M78" s="187"/>
      <c r="N78" s="188"/>
      <c r="O78" s="187"/>
      <c r="Q78" s="187"/>
      <c r="R78" s="190"/>
      <c r="S78" s="187"/>
    </row>
    <row r="79">
      <c r="B79" s="103"/>
      <c r="G79" s="191"/>
      <c r="H79" s="187"/>
      <c r="I79" s="187"/>
      <c r="J79" s="188"/>
      <c r="K79" s="187"/>
      <c r="L79" s="187"/>
      <c r="M79" s="187"/>
      <c r="N79" s="188"/>
      <c r="O79" s="187"/>
      <c r="Q79" s="187"/>
      <c r="R79" s="190"/>
      <c r="S79" s="187"/>
    </row>
    <row r="80">
      <c r="B80" s="103"/>
      <c r="G80" s="191"/>
      <c r="H80" s="187"/>
      <c r="I80" s="187"/>
      <c r="J80" s="188"/>
      <c r="K80" s="187"/>
      <c r="L80" s="187"/>
      <c r="M80" s="187"/>
      <c r="N80" s="188"/>
      <c r="O80" s="187"/>
      <c r="Q80" s="187"/>
      <c r="R80" s="190"/>
      <c r="S80" s="187"/>
    </row>
    <row r="81">
      <c r="B81" s="103"/>
      <c r="G81" s="191"/>
      <c r="H81" s="187"/>
      <c r="I81" s="187"/>
      <c r="J81" s="188"/>
      <c r="K81" s="187"/>
      <c r="L81" s="187"/>
      <c r="M81" s="187"/>
      <c r="N81" s="188"/>
      <c r="O81" s="187"/>
      <c r="Q81" s="187"/>
      <c r="R81" s="190"/>
      <c r="S81" s="187"/>
    </row>
    <row r="82">
      <c r="B82" s="103"/>
      <c r="G82" s="191"/>
      <c r="H82" s="187"/>
      <c r="I82" s="187"/>
      <c r="J82" s="188"/>
      <c r="K82" s="187"/>
      <c r="L82" s="187"/>
      <c r="M82" s="187"/>
      <c r="N82" s="188"/>
      <c r="O82" s="187"/>
      <c r="Q82" s="187"/>
      <c r="R82" s="190"/>
      <c r="S82" s="187"/>
    </row>
    <row r="83">
      <c r="B83" s="103"/>
      <c r="G83" s="191"/>
      <c r="H83" s="187"/>
      <c r="I83" s="187"/>
      <c r="J83" s="188"/>
      <c r="K83" s="187"/>
      <c r="L83" s="187"/>
      <c r="M83" s="187"/>
      <c r="N83" s="188"/>
      <c r="O83" s="187"/>
      <c r="Q83" s="187"/>
      <c r="R83" s="190"/>
      <c r="S83" s="187"/>
    </row>
    <row r="84">
      <c r="B84" s="103"/>
      <c r="G84" s="191"/>
      <c r="H84" s="187"/>
      <c r="I84" s="187"/>
      <c r="J84" s="188"/>
      <c r="K84" s="187"/>
      <c r="L84" s="187"/>
      <c r="M84" s="187"/>
      <c r="N84" s="188"/>
      <c r="O84" s="187"/>
      <c r="Q84" s="187"/>
      <c r="R84" s="190"/>
      <c r="S84" s="187"/>
    </row>
    <row r="85">
      <c r="B85" s="103"/>
      <c r="G85" s="191"/>
      <c r="H85" s="187"/>
      <c r="I85" s="187"/>
      <c r="J85" s="188"/>
      <c r="K85" s="187"/>
      <c r="L85" s="187"/>
      <c r="M85" s="187"/>
      <c r="N85" s="188"/>
      <c r="O85" s="187"/>
      <c r="Q85" s="187"/>
      <c r="R85" s="190"/>
      <c r="S85" s="187"/>
    </row>
    <row r="86">
      <c r="B86" s="103"/>
      <c r="G86" s="191"/>
      <c r="H86" s="187"/>
      <c r="I86" s="187"/>
      <c r="J86" s="188"/>
      <c r="K86" s="187"/>
      <c r="L86" s="187"/>
      <c r="M86" s="187"/>
      <c r="N86" s="188"/>
      <c r="O86" s="187"/>
      <c r="Q86" s="187"/>
      <c r="R86" s="190"/>
      <c r="S86" s="187"/>
    </row>
    <row r="87">
      <c r="B87" s="103"/>
      <c r="G87" s="191"/>
      <c r="H87" s="187"/>
      <c r="I87" s="187"/>
      <c r="J87" s="188"/>
      <c r="K87" s="187"/>
      <c r="L87" s="187"/>
      <c r="M87" s="187"/>
      <c r="N87" s="188"/>
      <c r="O87" s="187"/>
      <c r="Q87" s="187"/>
      <c r="R87" s="190"/>
      <c r="S87" s="187"/>
    </row>
    <row r="88">
      <c r="B88" s="103"/>
      <c r="G88" s="191"/>
      <c r="H88" s="187"/>
      <c r="I88" s="187"/>
      <c r="J88" s="188"/>
      <c r="K88" s="187"/>
      <c r="L88" s="187"/>
      <c r="M88" s="187"/>
      <c r="N88" s="188"/>
      <c r="O88" s="187"/>
      <c r="Q88" s="187"/>
      <c r="R88" s="190"/>
      <c r="S88" s="187"/>
    </row>
    <row r="89">
      <c r="B89" s="103"/>
      <c r="G89" s="191"/>
      <c r="H89" s="187"/>
      <c r="I89" s="187"/>
      <c r="J89" s="188"/>
      <c r="K89" s="187"/>
      <c r="L89" s="187"/>
      <c r="M89" s="187"/>
      <c r="N89" s="188"/>
      <c r="O89" s="187"/>
      <c r="Q89" s="187"/>
      <c r="R89" s="190"/>
      <c r="S89" s="187"/>
    </row>
    <row r="90">
      <c r="B90" s="103"/>
      <c r="G90" s="191"/>
      <c r="H90" s="187"/>
      <c r="I90" s="187"/>
      <c r="J90" s="188"/>
      <c r="K90" s="187"/>
      <c r="L90" s="187"/>
      <c r="M90" s="187"/>
      <c r="N90" s="188"/>
      <c r="O90" s="187"/>
      <c r="Q90" s="187"/>
      <c r="R90" s="190"/>
      <c r="S90" s="187"/>
    </row>
    <row r="91">
      <c r="B91" s="103"/>
      <c r="G91" s="191"/>
      <c r="H91" s="187"/>
      <c r="I91" s="187"/>
      <c r="J91" s="188"/>
      <c r="K91" s="187"/>
      <c r="L91" s="187"/>
      <c r="M91" s="187"/>
      <c r="N91" s="188"/>
      <c r="O91" s="187"/>
      <c r="Q91" s="187"/>
      <c r="R91" s="190"/>
      <c r="S91" s="187"/>
    </row>
    <row r="92">
      <c r="B92" s="103"/>
      <c r="G92" s="191"/>
      <c r="H92" s="187"/>
      <c r="I92" s="187"/>
      <c r="J92" s="188"/>
      <c r="K92" s="187"/>
      <c r="L92" s="187"/>
      <c r="M92" s="187"/>
      <c r="N92" s="188"/>
      <c r="O92" s="187"/>
      <c r="Q92" s="187"/>
      <c r="R92" s="190"/>
      <c r="S92" s="187"/>
    </row>
    <row r="93">
      <c r="B93" s="103"/>
      <c r="G93" s="191"/>
      <c r="H93" s="187"/>
      <c r="I93" s="187"/>
      <c r="J93" s="188"/>
      <c r="K93" s="187"/>
      <c r="L93" s="187"/>
      <c r="M93" s="187"/>
      <c r="N93" s="188"/>
      <c r="O93" s="187"/>
      <c r="Q93" s="187"/>
      <c r="R93" s="190"/>
      <c r="S93" s="187"/>
    </row>
    <row r="94">
      <c r="B94" s="103"/>
      <c r="G94" s="191"/>
      <c r="H94" s="187"/>
      <c r="I94" s="187"/>
      <c r="J94" s="188"/>
      <c r="K94" s="187"/>
      <c r="L94" s="187"/>
      <c r="M94" s="187"/>
      <c r="N94" s="188"/>
      <c r="O94" s="187"/>
      <c r="Q94" s="187"/>
      <c r="R94" s="190"/>
      <c r="S94" s="187"/>
    </row>
    <row r="95">
      <c r="B95" s="103"/>
      <c r="G95" s="191"/>
      <c r="H95" s="187"/>
      <c r="I95" s="187"/>
      <c r="J95" s="188"/>
      <c r="K95" s="187"/>
      <c r="L95" s="187"/>
      <c r="M95" s="187"/>
      <c r="N95" s="188"/>
      <c r="O95" s="187"/>
      <c r="Q95" s="187"/>
      <c r="R95" s="190"/>
      <c r="S95" s="187"/>
    </row>
    <row r="96">
      <c r="B96" s="103"/>
      <c r="G96" s="191"/>
      <c r="H96" s="187"/>
      <c r="I96" s="187"/>
      <c r="J96" s="188"/>
      <c r="K96" s="187"/>
      <c r="L96" s="187"/>
      <c r="M96" s="187"/>
      <c r="N96" s="188"/>
      <c r="O96" s="187"/>
      <c r="Q96" s="187"/>
      <c r="R96" s="190"/>
      <c r="S96" s="187"/>
    </row>
    <row r="97">
      <c r="B97" s="103"/>
      <c r="G97" s="191"/>
      <c r="H97" s="187"/>
      <c r="I97" s="187"/>
      <c r="J97" s="188"/>
      <c r="K97" s="187"/>
      <c r="L97" s="187"/>
      <c r="M97" s="187"/>
      <c r="N97" s="188"/>
      <c r="O97" s="187"/>
      <c r="Q97" s="187"/>
      <c r="R97" s="190"/>
      <c r="S97" s="187"/>
    </row>
    <row r="98">
      <c r="B98" s="103"/>
      <c r="G98" s="191"/>
      <c r="H98" s="187"/>
      <c r="I98" s="187"/>
      <c r="J98" s="188"/>
      <c r="K98" s="187"/>
      <c r="L98" s="187"/>
      <c r="M98" s="187"/>
      <c r="N98" s="188"/>
      <c r="O98" s="187"/>
      <c r="Q98" s="187"/>
      <c r="R98" s="190"/>
      <c r="S98" s="187"/>
    </row>
    <row r="99">
      <c r="B99" s="103"/>
      <c r="G99" s="191"/>
      <c r="H99" s="187"/>
      <c r="I99" s="187"/>
      <c r="J99" s="188"/>
      <c r="K99" s="187"/>
      <c r="L99" s="187"/>
      <c r="M99" s="187"/>
      <c r="N99" s="188"/>
      <c r="O99" s="187"/>
      <c r="Q99" s="187"/>
      <c r="R99" s="190"/>
      <c r="S99" s="187"/>
    </row>
    <row r="100">
      <c r="B100" s="103"/>
      <c r="G100" s="191"/>
      <c r="H100" s="187"/>
      <c r="I100" s="187"/>
      <c r="J100" s="188"/>
      <c r="K100" s="187"/>
      <c r="L100" s="187"/>
      <c r="M100" s="187"/>
      <c r="N100" s="188"/>
      <c r="O100" s="187"/>
      <c r="Q100" s="187"/>
      <c r="R100" s="190"/>
      <c r="S100" s="187"/>
    </row>
    <row r="101">
      <c r="B101" s="103"/>
      <c r="G101" s="191"/>
      <c r="H101" s="187"/>
      <c r="I101" s="187"/>
      <c r="J101" s="188"/>
      <c r="K101" s="187"/>
      <c r="L101" s="187"/>
      <c r="M101" s="187"/>
      <c r="N101" s="188"/>
      <c r="O101" s="187"/>
      <c r="Q101" s="187"/>
      <c r="R101" s="190"/>
      <c r="S101" s="187"/>
    </row>
    <row r="102">
      <c r="B102" s="103"/>
      <c r="G102" s="191"/>
      <c r="H102" s="187"/>
      <c r="I102" s="187"/>
      <c r="J102" s="188"/>
      <c r="K102" s="187"/>
      <c r="L102" s="187"/>
      <c r="M102" s="187"/>
      <c r="N102" s="188"/>
      <c r="O102" s="187"/>
      <c r="Q102" s="187"/>
      <c r="R102" s="190"/>
      <c r="S102" s="187"/>
    </row>
    <row r="103">
      <c r="B103" s="103"/>
      <c r="G103" s="191"/>
      <c r="H103" s="187"/>
      <c r="I103" s="187"/>
      <c r="J103" s="188"/>
      <c r="K103" s="187"/>
      <c r="L103" s="187"/>
      <c r="M103" s="187"/>
      <c r="N103" s="188"/>
      <c r="O103" s="187"/>
      <c r="Q103" s="187"/>
      <c r="R103" s="190"/>
      <c r="S103" s="187"/>
    </row>
    <row r="104">
      <c r="B104" s="103"/>
      <c r="G104" s="191"/>
      <c r="H104" s="187"/>
      <c r="I104" s="187"/>
      <c r="J104" s="188"/>
      <c r="K104" s="187"/>
      <c r="L104" s="187"/>
      <c r="M104" s="187"/>
      <c r="N104" s="188"/>
      <c r="O104" s="187"/>
      <c r="Q104" s="187"/>
      <c r="R104" s="190"/>
      <c r="S104" s="187"/>
    </row>
    <row r="105">
      <c r="B105" s="103"/>
      <c r="G105" s="191"/>
      <c r="H105" s="187"/>
      <c r="I105" s="187"/>
      <c r="J105" s="188"/>
      <c r="K105" s="187"/>
      <c r="L105" s="187"/>
      <c r="M105" s="187"/>
      <c r="N105" s="188"/>
      <c r="O105" s="187"/>
      <c r="Q105" s="187"/>
      <c r="R105" s="190"/>
      <c r="S105" s="187"/>
    </row>
    <row r="106">
      <c r="B106" s="103"/>
      <c r="G106" s="191"/>
      <c r="H106" s="187"/>
      <c r="I106" s="187"/>
      <c r="J106" s="188"/>
      <c r="K106" s="187"/>
      <c r="L106" s="187"/>
      <c r="M106" s="187"/>
      <c r="N106" s="188"/>
      <c r="O106" s="187"/>
      <c r="Q106" s="187"/>
      <c r="R106" s="190"/>
      <c r="S106" s="187"/>
    </row>
    <row r="107">
      <c r="B107" s="103"/>
      <c r="G107" s="191"/>
      <c r="H107" s="187"/>
      <c r="I107" s="187"/>
      <c r="J107" s="188"/>
      <c r="K107" s="187"/>
      <c r="L107" s="187"/>
      <c r="M107" s="187"/>
      <c r="N107" s="188"/>
      <c r="O107" s="187"/>
      <c r="Q107" s="187"/>
      <c r="R107" s="190"/>
      <c r="S107" s="187"/>
    </row>
    <row r="108">
      <c r="B108" s="103"/>
      <c r="G108" s="191"/>
      <c r="H108" s="187"/>
      <c r="I108" s="187"/>
      <c r="J108" s="188"/>
      <c r="K108" s="187"/>
      <c r="L108" s="187"/>
      <c r="M108" s="187"/>
      <c r="N108" s="188"/>
      <c r="O108" s="187"/>
      <c r="Q108" s="187"/>
      <c r="R108" s="190"/>
      <c r="S108" s="187"/>
    </row>
    <row r="109">
      <c r="B109" s="103"/>
      <c r="G109" s="191"/>
      <c r="H109" s="187"/>
      <c r="I109" s="187"/>
      <c r="J109" s="188"/>
      <c r="K109" s="187"/>
      <c r="L109" s="187"/>
      <c r="M109" s="187"/>
      <c r="N109" s="188"/>
      <c r="O109" s="187"/>
      <c r="Q109" s="187"/>
      <c r="R109" s="190"/>
      <c r="S109" s="187"/>
    </row>
    <row r="110">
      <c r="B110" s="103"/>
      <c r="G110" s="191"/>
      <c r="H110" s="187"/>
      <c r="I110" s="187"/>
      <c r="J110" s="188"/>
      <c r="K110" s="187"/>
      <c r="L110" s="187"/>
      <c r="M110" s="187"/>
      <c r="N110" s="188"/>
      <c r="O110" s="187"/>
      <c r="Q110" s="187"/>
      <c r="R110" s="190"/>
      <c r="S110" s="187"/>
    </row>
    <row r="111">
      <c r="B111" s="103"/>
      <c r="G111" s="191"/>
      <c r="H111" s="187"/>
      <c r="I111" s="187"/>
      <c r="J111" s="188"/>
      <c r="K111" s="187"/>
      <c r="L111" s="187"/>
      <c r="M111" s="187"/>
      <c r="N111" s="188"/>
      <c r="O111" s="187"/>
      <c r="Q111" s="187"/>
      <c r="R111" s="190"/>
      <c r="S111" s="187"/>
    </row>
    <row r="112">
      <c r="B112" s="103"/>
      <c r="G112" s="191"/>
      <c r="H112" s="187"/>
      <c r="I112" s="187"/>
      <c r="J112" s="188"/>
      <c r="K112" s="187"/>
      <c r="L112" s="187"/>
      <c r="M112" s="187"/>
      <c r="N112" s="188"/>
      <c r="O112" s="187"/>
      <c r="Q112" s="187"/>
      <c r="R112" s="190"/>
      <c r="S112" s="187"/>
    </row>
    <row r="113">
      <c r="B113" s="103"/>
      <c r="G113" s="191"/>
      <c r="H113" s="187"/>
      <c r="I113" s="187"/>
      <c r="J113" s="188"/>
      <c r="K113" s="187"/>
      <c r="L113" s="187"/>
      <c r="M113" s="187"/>
      <c r="N113" s="188"/>
      <c r="O113" s="187"/>
      <c r="Q113" s="187"/>
      <c r="R113" s="190"/>
      <c r="S113" s="187"/>
    </row>
    <row r="114">
      <c r="B114" s="103"/>
      <c r="G114" s="191"/>
      <c r="H114" s="187"/>
      <c r="I114" s="187"/>
      <c r="J114" s="188"/>
      <c r="K114" s="187"/>
      <c r="L114" s="187"/>
      <c r="M114" s="187"/>
      <c r="N114" s="188"/>
      <c r="O114" s="187"/>
      <c r="Q114" s="187"/>
      <c r="R114" s="190"/>
      <c r="S114" s="187"/>
    </row>
    <row r="115">
      <c r="B115" s="103"/>
      <c r="G115" s="191"/>
      <c r="H115" s="187"/>
      <c r="I115" s="187"/>
      <c r="J115" s="188"/>
      <c r="K115" s="187"/>
      <c r="L115" s="187"/>
      <c r="M115" s="187"/>
      <c r="N115" s="188"/>
      <c r="O115" s="187"/>
      <c r="Q115" s="187"/>
      <c r="R115" s="190"/>
      <c r="S115" s="187"/>
    </row>
    <row r="116">
      <c r="B116" s="103"/>
      <c r="G116" s="191"/>
      <c r="H116" s="187"/>
      <c r="I116" s="187"/>
      <c r="J116" s="188"/>
      <c r="K116" s="187"/>
      <c r="L116" s="187"/>
      <c r="M116" s="187"/>
      <c r="N116" s="188"/>
      <c r="O116" s="187"/>
      <c r="Q116" s="187"/>
      <c r="R116" s="190"/>
      <c r="S116" s="187"/>
    </row>
    <row r="117">
      <c r="B117" s="103"/>
      <c r="G117" s="191"/>
      <c r="H117" s="187"/>
      <c r="I117" s="187"/>
      <c r="J117" s="188"/>
      <c r="K117" s="187"/>
      <c r="L117" s="187"/>
      <c r="M117" s="187"/>
      <c r="N117" s="188"/>
      <c r="O117" s="187"/>
      <c r="Q117" s="187"/>
      <c r="R117" s="190"/>
      <c r="S117" s="187"/>
    </row>
    <row r="118">
      <c r="B118" s="103"/>
      <c r="G118" s="191"/>
      <c r="H118" s="187"/>
      <c r="I118" s="187"/>
      <c r="J118" s="188"/>
      <c r="K118" s="187"/>
      <c r="L118" s="187"/>
      <c r="M118" s="187"/>
      <c r="N118" s="188"/>
      <c r="O118" s="187"/>
      <c r="Q118" s="187"/>
      <c r="R118" s="190"/>
      <c r="S118" s="187"/>
    </row>
    <row r="119">
      <c r="B119" s="103"/>
      <c r="G119" s="191"/>
      <c r="H119" s="187"/>
      <c r="I119" s="187"/>
      <c r="J119" s="188"/>
      <c r="K119" s="187"/>
      <c r="L119" s="187"/>
      <c r="M119" s="187"/>
      <c r="N119" s="188"/>
      <c r="O119" s="187"/>
      <c r="Q119" s="187"/>
      <c r="R119" s="190"/>
      <c r="S119" s="187"/>
    </row>
    <row r="120">
      <c r="B120" s="103"/>
      <c r="G120" s="191"/>
      <c r="H120" s="187"/>
      <c r="I120" s="187"/>
      <c r="J120" s="188"/>
      <c r="K120" s="187"/>
      <c r="L120" s="187"/>
      <c r="M120" s="187"/>
      <c r="N120" s="188"/>
      <c r="O120" s="187"/>
      <c r="Q120" s="187"/>
      <c r="R120" s="190"/>
      <c r="S120" s="187"/>
    </row>
    <row r="121">
      <c r="B121" s="103"/>
      <c r="G121" s="191"/>
      <c r="H121" s="187"/>
      <c r="I121" s="187"/>
      <c r="J121" s="188"/>
      <c r="K121" s="187"/>
      <c r="L121" s="187"/>
      <c r="M121" s="187"/>
      <c r="N121" s="188"/>
      <c r="O121" s="187"/>
      <c r="Q121" s="187"/>
      <c r="R121" s="190"/>
      <c r="S121" s="187"/>
    </row>
    <row r="122">
      <c r="B122" s="103"/>
      <c r="G122" s="191"/>
      <c r="H122" s="187"/>
      <c r="I122" s="187"/>
      <c r="J122" s="188"/>
      <c r="K122" s="187"/>
      <c r="L122" s="187"/>
      <c r="M122" s="187"/>
      <c r="N122" s="188"/>
      <c r="O122" s="187"/>
      <c r="Q122" s="187"/>
      <c r="R122" s="190"/>
      <c r="S122" s="187"/>
    </row>
    <row r="123">
      <c r="B123" s="103"/>
      <c r="G123" s="191"/>
      <c r="H123" s="187"/>
      <c r="I123" s="187"/>
      <c r="J123" s="188"/>
      <c r="K123" s="187"/>
      <c r="L123" s="187"/>
      <c r="M123" s="187"/>
      <c r="N123" s="188"/>
      <c r="O123" s="187"/>
      <c r="Q123" s="187"/>
      <c r="R123" s="190"/>
      <c r="S123" s="187"/>
    </row>
    <row r="124">
      <c r="B124" s="103"/>
      <c r="G124" s="191"/>
      <c r="H124" s="187"/>
      <c r="I124" s="187"/>
      <c r="J124" s="188"/>
      <c r="K124" s="187"/>
      <c r="L124" s="187"/>
      <c r="M124" s="187"/>
      <c r="N124" s="188"/>
      <c r="O124" s="187"/>
      <c r="Q124" s="187"/>
      <c r="R124" s="190"/>
      <c r="S124" s="187"/>
    </row>
    <row r="125">
      <c r="B125" s="103"/>
      <c r="G125" s="191"/>
      <c r="H125" s="187"/>
      <c r="I125" s="187"/>
      <c r="J125" s="188"/>
      <c r="K125" s="187"/>
      <c r="L125" s="187"/>
      <c r="M125" s="187"/>
      <c r="N125" s="188"/>
      <c r="O125" s="187"/>
      <c r="Q125" s="187"/>
      <c r="R125" s="190"/>
      <c r="S125" s="187"/>
    </row>
    <row r="126">
      <c r="B126" s="103"/>
      <c r="G126" s="191"/>
      <c r="H126" s="187"/>
      <c r="I126" s="187"/>
      <c r="J126" s="188"/>
      <c r="K126" s="187"/>
      <c r="L126" s="187"/>
      <c r="M126" s="187"/>
      <c r="N126" s="188"/>
      <c r="O126" s="187"/>
      <c r="Q126" s="187"/>
      <c r="R126" s="190"/>
      <c r="S126" s="187"/>
    </row>
    <row r="127">
      <c r="B127" s="103"/>
      <c r="G127" s="191"/>
      <c r="H127" s="187"/>
      <c r="I127" s="187"/>
      <c r="J127" s="188"/>
      <c r="K127" s="187"/>
      <c r="L127" s="187"/>
      <c r="M127" s="187"/>
      <c r="N127" s="188"/>
      <c r="O127" s="187"/>
      <c r="Q127" s="187"/>
      <c r="R127" s="190"/>
      <c r="S127" s="187"/>
    </row>
    <row r="128">
      <c r="B128" s="103"/>
      <c r="G128" s="191"/>
      <c r="H128" s="187"/>
      <c r="I128" s="187"/>
      <c r="J128" s="188"/>
      <c r="K128" s="187"/>
      <c r="L128" s="187"/>
      <c r="M128" s="187"/>
      <c r="N128" s="188"/>
      <c r="O128" s="187"/>
      <c r="Q128" s="187"/>
      <c r="R128" s="190"/>
      <c r="S128" s="187"/>
    </row>
    <row r="129">
      <c r="B129" s="103"/>
      <c r="G129" s="191"/>
      <c r="H129" s="187"/>
      <c r="I129" s="187"/>
      <c r="J129" s="188"/>
      <c r="K129" s="187"/>
      <c r="L129" s="187"/>
      <c r="M129" s="187"/>
      <c r="N129" s="188"/>
      <c r="O129" s="187"/>
      <c r="Q129" s="187"/>
      <c r="R129" s="190"/>
      <c r="S129" s="187"/>
    </row>
    <row r="130">
      <c r="B130" s="103"/>
      <c r="G130" s="191"/>
      <c r="H130" s="187"/>
      <c r="I130" s="187"/>
      <c r="J130" s="188"/>
      <c r="K130" s="187"/>
      <c r="L130" s="187"/>
      <c r="M130" s="187"/>
      <c r="N130" s="188"/>
      <c r="O130" s="187"/>
      <c r="Q130" s="187"/>
      <c r="R130" s="190"/>
      <c r="S130" s="187"/>
    </row>
    <row r="131">
      <c r="B131" s="103"/>
      <c r="G131" s="191"/>
      <c r="H131" s="187"/>
      <c r="I131" s="187"/>
      <c r="J131" s="188"/>
      <c r="K131" s="187"/>
      <c r="L131" s="187"/>
      <c r="M131" s="187"/>
      <c r="N131" s="188"/>
      <c r="O131" s="187"/>
      <c r="Q131" s="187"/>
      <c r="R131" s="190"/>
      <c r="S131" s="187"/>
    </row>
    <row r="132">
      <c r="B132" s="103"/>
      <c r="G132" s="191"/>
      <c r="H132" s="187"/>
      <c r="I132" s="187"/>
      <c r="J132" s="188"/>
      <c r="K132" s="187"/>
      <c r="L132" s="187"/>
      <c r="M132" s="187"/>
      <c r="N132" s="188"/>
      <c r="O132" s="187"/>
      <c r="Q132" s="187"/>
      <c r="R132" s="190"/>
      <c r="S132" s="187"/>
    </row>
    <row r="133">
      <c r="B133" s="103"/>
      <c r="G133" s="191"/>
      <c r="H133" s="187"/>
      <c r="I133" s="187"/>
      <c r="J133" s="188"/>
      <c r="K133" s="187"/>
      <c r="L133" s="187"/>
      <c r="M133" s="187"/>
      <c r="N133" s="188"/>
      <c r="O133" s="187"/>
      <c r="Q133" s="187"/>
      <c r="R133" s="190"/>
      <c r="S133" s="187"/>
    </row>
    <row r="134">
      <c r="B134" s="103"/>
      <c r="G134" s="191"/>
      <c r="H134" s="187"/>
      <c r="I134" s="187"/>
      <c r="J134" s="188"/>
      <c r="K134" s="187"/>
      <c r="L134" s="187"/>
      <c r="M134" s="187"/>
      <c r="N134" s="188"/>
      <c r="O134" s="187"/>
      <c r="Q134" s="187"/>
      <c r="R134" s="190"/>
      <c r="S134" s="187"/>
    </row>
    <row r="135">
      <c r="B135" s="103"/>
      <c r="G135" s="191"/>
      <c r="H135" s="187"/>
      <c r="I135" s="187"/>
      <c r="J135" s="188"/>
      <c r="K135" s="187"/>
      <c r="L135" s="187"/>
      <c r="M135" s="187"/>
      <c r="N135" s="188"/>
      <c r="O135" s="187"/>
      <c r="Q135" s="187"/>
      <c r="R135" s="190"/>
      <c r="S135" s="187"/>
    </row>
    <row r="136">
      <c r="B136" s="103"/>
      <c r="G136" s="191"/>
      <c r="H136" s="187"/>
      <c r="I136" s="187"/>
      <c r="J136" s="188"/>
      <c r="K136" s="187"/>
      <c r="L136" s="187"/>
      <c r="M136" s="187"/>
      <c r="N136" s="188"/>
      <c r="O136" s="187"/>
      <c r="Q136" s="187"/>
      <c r="R136" s="190"/>
      <c r="S136" s="187"/>
    </row>
    <row r="137">
      <c r="B137" s="103"/>
      <c r="G137" s="191"/>
      <c r="H137" s="187"/>
      <c r="I137" s="187"/>
      <c r="J137" s="188"/>
      <c r="K137" s="187"/>
      <c r="L137" s="187"/>
      <c r="M137" s="187"/>
      <c r="N137" s="188"/>
      <c r="O137" s="187"/>
      <c r="Q137" s="187"/>
      <c r="R137" s="190"/>
      <c r="S137" s="187"/>
    </row>
    <row r="138">
      <c r="B138" s="103"/>
      <c r="G138" s="191"/>
      <c r="H138" s="187"/>
      <c r="I138" s="187"/>
      <c r="J138" s="188"/>
      <c r="K138" s="187"/>
      <c r="L138" s="187"/>
      <c r="M138" s="187"/>
      <c r="N138" s="188"/>
      <c r="O138" s="187"/>
      <c r="Q138" s="187"/>
      <c r="R138" s="190"/>
      <c r="S138" s="187"/>
    </row>
    <row r="139">
      <c r="B139" s="103"/>
      <c r="G139" s="191"/>
      <c r="H139" s="187"/>
      <c r="I139" s="187"/>
      <c r="J139" s="188"/>
      <c r="K139" s="187"/>
      <c r="L139" s="187"/>
      <c r="M139" s="187"/>
      <c r="N139" s="188"/>
      <c r="O139" s="187"/>
      <c r="Q139" s="187"/>
      <c r="R139" s="190"/>
      <c r="S139" s="187"/>
    </row>
    <row r="140">
      <c r="B140" s="103"/>
      <c r="G140" s="191"/>
      <c r="H140" s="187"/>
      <c r="I140" s="187"/>
      <c r="J140" s="188"/>
      <c r="K140" s="187"/>
      <c r="L140" s="187"/>
      <c r="M140" s="187"/>
      <c r="N140" s="188"/>
      <c r="O140" s="187"/>
      <c r="Q140" s="187"/>
      <c r="R140" s="190"/>
      <c r="S140" s="187"/>
    </row>
    <row r="141">
      <c r="B141" s="103"/>
      <c r="G141" s="191"/>
      <c r="H141" s="187"/>
      <c r="I141" s="187"/>
      <c r="J141" s="188"/>
      <c r="K141" s="187"/>
      <c r="L141" s="187"/>
      <c r="M141" s="187"/>
      <c r="N141" s="188"/>
      <c r="O141" s="187"/>
      <c r="Q141" s="187"/>
      <c r="R141" s="190"/>
      <c r="S141" s="187"/>
    </row>
    <row r="142">
      <c r="B142" s="103"/>
      <c r="G142" s="191"/>
      <c r="H142" s="187"/>
      <c r="I142" s="187"/>
      <c r="J142" s="188"/>
      <c r="K142" s="187"/>
      <c r="L142" s="187"/>
      <c r="M142" s="187"/>
      <c r="N142" s="188"/>
      <c r="O142" s="187"/>
      <c r="Q142" s="187"/>
      <c r="R142" s="190"/>
      <c r="S142" s="187"/>
    </row>
    <row r="143">
      <c r="B143" s="103"/>
      <c r="G143" s="191"/>
      <c r="H143" s="187"/>
      <c r="I143" s="187"/>
      <c r="J143" s="188"/>
      <c r="K143" s="187"/>
      <c r="L143" s="187"/>
      <c r="M143" s="187"/>
      <c r="N143" s="188"/>
      <c r="O143" s="187"/>
      <c r="Q143" s="187"/>
      <c r="R143" s="190"/>
      <c r="S143" s="187"/>
    </row>
    <row r="144">
      <c r="B144" s="103"/>
      <c r="G144" s="191"/>
      <c r="H144" s="187"/>
      <c r="I144" s="187"/>
      <c r="J144" s="188"/>
      <c r="K144" s="187"/>
      <c r="L144" s="187"/>
      <c r="M144" s="187"/>
      <c r="N144" s="188"/>
      <c r="O144" s="187"/>
      <c r="Q144" s="187"/>
      <c r="R144" s="190"/>
      <c r="S144" s="187"/>
    </row>
    <row r="145">
      <c r="B145" s="103"/>
      <c r="G145" s="191"/>
      <c r="H145" s="187"/>
      <c r="I145" s="187"/>
      <c r="J145" s="188"/>
      <c r="K145" s="187"/>
      <c r="L145" s="187"/>
      <c r="M145" s="187"/>
      <c r="N145" s="188"/>
      <c r="O145" s="187"/>
      <c r="Q145" s="187"/>
      <c r="R145" s="190"/>
      <c r="S145" s="187"/>
    </row>
    <row r="146">
      <c r="B146" s="103"/>
      <c r="G146" s="191"/>
      <c r="H146" s="187"/>
      <c r="I146" s="187"/>
      <c r="J146" s="188"/>
      <c r="K146" s="187"/>
      <c r="L146" s="187"/>
      <c r="M146" s="187"/>
      <c r="N146" s="188"/>
      <c r="O146" s="187"/>
      <c r="Q146" s="187"/>
      <c r="R146" s="190"/>
      <c r="S146" s="187"/>
    </row>
    <row r="147">
      <c r="B147" s="103"/>
      <c r="G147" s="191"/>
      <c r="H147" s="187"/>
      <c r="I147" s="187"/>
      <c r="J147" s="188"/>
      <c r="K147" s="187"/>
      <c r="L147" s="187"/>
      <c r="M147" s="187"/>
      <c r="N147" s="188"/>
      <c r="O147" s="187"/>
      <c r="Q147" s="187"/>
      <c r="R147" s="190"/>
      <c r="S147" s="187"/>
    </row>
    <row r="148">
      <c r="B148" s="103"/>
      <c r="G148" s="191"/>
      <c r="H148" s="187"/>
      <c r="I148" s="187"/>
      <c r="J148" s="188"/>
      <c r="K148" s="187"/>
      <c r="L148" s="187"/>
      <c r="M148" s="187"/>
      <c r="N148" s="188"/>
      <c r="O148" s="187"/>
      <c r="Q148" s="187"/>
      <c r="R148" s="190"/>
      <c r="S148" s="187"/>
    </row>
    <row r="149">
      <c r="B149" s="103"/>
      <c r="G149" s="191"/>
      <c r="H149" s="187"/>
      <c r="I149" s="187"/>
      <c r="J149" s="188"/>
      <c r="K149" s="187"/>
      <c r="L149" s="187"/>
      <c r="M149" s="187"/>
      <c r="N149" s="188"/>
      <c r="O149" s="187"/>
      <c r="Q149" s="187"/>
      <c r="R149" s="190"/>
      <c r="S149" s="187"/>
    </row>
    <row r="150">
      <c r="B150" s="103"/>
      <c r="G150" s="191"/>
      <c r="H150" s="187"/>
      <c r="I150" s="187"/>
      <c r="J150" s="188"/>
      <c r="K150" s="187"/>
      <c r="L150" s="187"/>
      <c r="M150" s="187"/>
      <c r="N150" s="188"/>
      <c r="O150" s="187"/>
      <c r="Q150" s="187"/>
      <c r="R150" s="190"/>
      <c r="S150" s="187"/>
    </row>
    <row r="151">
      <c r="B151" s="103"/>
      <c r="G151" s="191"/>
      <c r="H151" s="187"/>
      <c r="I151" s="187"/>
      <c r="J151" s="188"/>
      <c r="K151" s="187"/>
      <c r="L151" s="187"/>
      <c r="M151" s="187"/>
      <c r="N151" s="188"/>
      <c r="O151" s="187"/>
      <c r="Q151" s="187"/>
      <c r="R151" s="190"/>
      <c r="S151" s="187"/>
    </row>
    <row r="152">
      <c r="B152" s="103"/>
      <c r="G152" s="191"/>
      <c r="H152" s="187"/>
      <c r="I152" s="187"/>
      <c r="J152" s="188"/>
      <c r="K152" s="187"/>
      <c r="L152" s="187"/>
      <c r="M152" s="187"/>
      <c r="N152" s="188"/>
      <c r="O152" s="187"/>
      <c r="Q152" s="187"/>
      <c r="R152" s="190"/>
      <c r="S152" s="187"/>
    </row>
    <row r="153">
      <c r="B153" s="103"/>
      <c r="G153" s="191"/>
      <c r="H153" s="187"/>
      <c r="I153" s="187"/>
      <c r="J153" s="188"/>
      <c r="K153" s="187"/>
      <c r="L153" s="187"/>
      <c r="M153" s="187"/>
      <c r="N153" s="188"/>
      <c r="O153" s="187"/>
      <c r="Q153" s="187"/>
      <c r="R153" s="190"/>
      <c r="S153" s="187"/>
    </row>
    <row r="154">
      <c r="B154" s="103"/>
      <c r="G154" s="191"/>
      <c r="H154" s="187"/>
      <c r="I154" s="187"/>
      <c r="J154" s="188"/>
      <c r="K154" s="187"/>
      <c r="L154" s="187"/>
      <c r="M154" s="187"/>
      <c r="N154" s="188"/>
      <c r="O154" s="187"/>
      <c r="Q154" s="187"/>
      <c r="R154" s="190"/>
      <c r="S154" s="187"/>
    </row>
    <row r="155">
      <c r="B155" s="103"/>
      <c r="G155" s="191"/>
      <c r="H155" s="187"/>
      <c r="I155" s="187"/>
      <c r="J155" s="188"/>
      <c r="K155" s="187"/>
      <c r="L155" s="187"/>
      <c r="M155" s="187"/>
      <c r="N155" s="188"/>
      <c r="O155" s="187"/>
      <c r="Q155" s="187"/>
      <c r="R155" s="190"/>
      <c r="S155" s="187"/>
    </row>
    <row r="156">
      <c r="B156" s="103"/>
      <c r="G156" s="191"/>
      <c r="H156" s="187"/>
      <c r="I156" s="187"/>
      <c r="J156" s="188"/>
      <c r="K156" s="187"/>
      <c r="L156" s="187"/>
      <c r="M156" s="187"/>
      <c r="N156" s="188"/>
      <c r="O156" s="187"/>
      <c r="Q156" s="187"/>
      <c r="R156" s="190"/>
      <c r="S156" s="187"/>
    </row>
    <row r="157">
      <c r="B157" s="103"/>
      <c r="G157" s="191"/>
      <c r="H157" s="187"/>
      <c r="I157" s="187"/>
      <c r="J157" s="188"/>
      <c r="K157" s="187"/>
      <c r="L157" s="187"/>
      <c r="M157" s="187"/>
      <c r="N157" s="188"/>
      <c r="O157" s="187"/>
      <c r="Q157" s="187"/>
      <c r="R157" s="190"/>
      <c r="S157" s="187"/>
    </row>
    <row r="158">
      <c r="B158" s="103"/>
      <c r="G158" s="191"/>
      <c r="H158" s="187"/>
      <c r="I158" s="187"/>
      <c r="J158" s="188"/>
      <c r="K158" s="187"/>
      <c r="L158" s="187"/>
      <c r="M158" s="187"/>
      <c r="N158" s="188"/>
      <c r="O158" s="187"/>
      <c r="Q158" s="187"/>
      <c r="R158" s="190"/>
      <c r="S158" s="187"/>
    </row>
    <row r="159">
      <c r="B159" s="103"/>
      <c r="G159" s="191"/>
      <c r="H159" s="187"/>
      <c r="I159" s="187"/>
      <c r="J159" s="188"/>
      <c r="K159" s="187"/>
      <c r="L159" s="187"/>
      <c r="M159" s="187"/>
      <c r="N159" s="188"/>
      <c r="O159" s="187"/>
      <c r="Q159" s="187"/>
      <c r="R159" s="190"/>
      <c r="S159" s="187"/>
    </row>
    <row r="160">
      <c r="B160" s="103"/>
      <c r="G160" s="191"/>
      <c r="H160" s="187"/>
      <c r="I160" s="187"/>
      <c r="J160" s="188"/>
      <c r="K160" s="187"/>
      <c r="L160" s="187"/>
      <c r="M160" s="187"/>
      <c r="N160" s="188"/>
      <c r="O160" s="187"/>
      <c r="Q160" s="187"/>
      <c r="R160" s="190"/>
      <c r="S160" s="187"/>
    </row>
    <row r="161">
      <c r="B161" s="103"/>
      <c r="G161" s="191"/>
      <c r="H161" s="187"/>
      <c r="I161" s="187"/>
      <c r="J161" s="188"/>
      <c r="K161" s="187"/>
      <c r="L161" s="187"/>
      <c r="M161" s="187"/>
      <c r="N161" s="188"/>
      <c r="O161" s="187"/>
      <c r="Q161" s="187"/>
      <c r="R161" s="190"/>
      <c r="S161" s="187"/>
    </row>
    <row r="162">
      <c r="B162" s="103"/>
      <c r="G162" s="191"/>
      <c r="H162" s="187"/>
      <c r="I162" s="187"/>
      <c r="J162" s="188"/>
      <c r="K162" s="187"/>
      <c r="L162" s="187"/>
      <c r="M162" s="187"/>
      <c r="N162" s="188"/>
      <c r="O162" s="187"/>
      <c r="Q162" s="187"/>
      <c r="R162" s="190"/>
      <c r="S162" s="187"/>
    </row>
    <row r="163">
      <c r="B163" s="103"/>
      <c r="G163" s="191"/>
      <c r="H163" s="187"/>
      <c r="I163" s="187"/>
      <c r="J163" s="188"/>
      <c r="K163" s="187"/>
      <c r="L163" s="187"/>
      <c r="M163" s="187"/>
      <c r="N163" s="188"/>
      <c r="O163" s="187"/>
      <c r="Q163" s="187"/>
      <c r="R163" s="190"/>
      <c r="S163" s="187"/>
    </row>
    <row r="164">
      <c r="B164" s="103"/>
      <c r="G164" s="191"/>
      <c r="H164" s="187"/>
      <c r="I164" s="187"/>
      <c r="J164" s="188"/>
      <c r="K164" s="187"/>
      <c r="L164" s="187"/>
      <c r="M164" s="187"/>
      <c r="N164" s="188"/>
      <c r="O164" s="187"/>
      <c r="Q164" s="187"/>
      <c r="R164" s="190"/>
      <c r="S164" s="187"/>
    </row>
    <row r="165">
      <c r="B165" s="103"/>
      <c r="G165" s="191"/>
      <c r="H165" s="187"/>
      <c r="I165" s="187"/>
      <c r="J165" s="188"/>
      <c r="K165" s="187"/>
      <c r="L165" s="187"/>
      <c r="M165" s="187"/>
      <c r="N165" s="188"/>
      <c r="O165" s="187"/>
      <c r="Q165" s="187"/>
      <c r="R165" s="190"/>
      <c r="S165" s="187"/>
    </row>
    <row r="166">
      <c r="B166" s="103"/>
      <c r="G166" s="191"/>
      <c r="H166" s="187"/>
      <c r="I166" s="187"/>
      <c r="J166" s="188"/>
      <c r="K166" s="187"/>
      <c r="L166" s="187"/>
      <c r="M166" s="187"/>
      <c r="N166" s="188"/>
      <c r="O166" s="187"/>
      <c r="Q166" s="187"/>
      <c r="R166" s="190"/>
      <c r="S166" s="187"/>
    </row>
    <row r="167">
      <c r="B167" s="103"/>
      <c r="G167" s="191"/>
      <c r="H167" s="187"/>
      <c r="I167" s="187"/>
      <c r="J167" s="188"/>
      <c r="K167" s="187"/>
      <c r="L167" s="187"/>
      <c r="M167" s="187"/>
      <c r="N167" s="188"/>
      <c r="O167" s="187"/>
      <c r="Q167" s="187"/>
      <c r="R167" s="190"/>
      <c r="S167" s="187"/>
    </row>
    <row r="168">
      <c r="B168" s="103"/>
      <c r="G168" s="191"/>
      <c r="H168" s="187"/>
      <c r="I168" s="187"/>
      <c r="J168" s="188"/>
      <c r="K168" s="187"/>
      <c r="L168" s="187"/>
      <c r="M168" s="187"/>
      <c r="N168" s="188"/>
      <c r="O168" s="187"/>
      <c r="Q168" s="187"/>
      <c r="R168" s="190"/>
      <c r="S168" s="187"/>
    </row>
    <row r="169">
      <c r="B169" s="103"/>
      <c r="G169" s="191"/>
      <c r="H169" s="187"/>
      <c r="I169" s="187"/>
      <c r="J169" s="188"/>
      <c r="K169" s="187"/>
      <c r="L169" s="187"/>
      <c r="M169" s="187"/>
      <c r="N169" s="188"/>
      <c r="O169" s="187"/>
      <c r="Q169" s="187"/>
      <c r="R169" s="190"/>
      <c r="S169" s="187"/>
    </row>
    <row r="170">
      <c r="B170" s="103"/>
      <c r="G170" s="191"/>
      <c r="H170" s="187"/>
      <c r="I170" s="187"/>
      <c r="J170" s="188"/>
      <c r="K170" s="187"/>
      <c r="L170" s="187"/>
      <c r="M170" s="187"/>
      <c r="N170" s="188"/>
      <c r="O170" s="187"/>
      <c r="Q170" s="187"/>
      <c r="R170" s="190"/>
      <c r="S170" s="187"/>
    </row>
    <row r="171">
      <c r="B171" s="103"/>
      <c r="G171" s="191"/>
      <c r="H171" s="187"/>
      <c r="I171" s="187"/>
      <c r="J171" s="188"/>
      <c r="K171" s="187"/>
      <c r="L171" s="187"/>
      <c r="M171" s="187"/>
      <c r="N171" s="188"/>
      <c r="O171" s="187"/>
      <c r="Q171" s="187"/>
      <c r="R171" s="190"/>
      <c r="S171" s="187"/>
    </row>
    <row r="172">
      <c r="B172" s="103"/>
      <c r="G172" s="191"/>
      <c r="H172" s="187"/>
      <c r="I172" s="187"/>
      <c r="J172" s="188"/>
      <c r="K172" s="187"/>
      <c r="L172" s="187"/>
      <c r="M172" s="187"/>
      <c r="N172" s="188"/>
      <c r="O172" s="187"/>
      <c r="Q172" s="187"/>
      <c r="R172" s="190"/>
      <c r="S172" s="187"/>
    </row>
    <row r="173">
      <c r="B173" s="103"/>
      <c r="G173" s="191"/>
      <c r="H173" s="187"/>
      <c r="I173" s="187"/>
      <c r="J173" s="188"/>
      <c r="K173" s="187"/>
      <c r="L173" s="187"/>
      <c r="M173" s="187"/>
      <c r="N173" s="188"/>
      <c r="O173" s="187"/>
      <c r="Q173" s="187"/>
      <c r="R173" s="190"/>
      <c r="S173" s="187"/>
    </row>
    <row r="174">
      <c r="B174" s="103"/>
      <c r="G174" s="191"/>
      <c r="H174" s="187"/>
      <c r="I174" s="187"/>
      <c r="J174" s="188"/>
      <c r="K174" s="187"/>
      <c r="L174" s="187"/>
      <c r="M174" s="187"/>
      <c r="N174" s="188"/>
      <c r="O174" s="187"/>
      <c r="Q174" s="187"/>
      <c r="R174" s="190"/>
      <c r="S174" s="187"/>
    </row>
    <row r="175">
      <c r="B175" s="103"/>
      <c r="G175" s="191"/>
      <c r="H175" s="187"/>
      <c r="I175" s="187"/>
      <c r="J175" s="188"/>
      <c r="K175" s="187"/>
      <c r="L175" s="187"/>
      <c r="M175" s="187"/>
      <c r="N175" s="188"/>
      <c r="O175" s="187"/>
      <c r="Q175" s="187"/>
      <c r="R175" s="190"/>
      <c r="S175" s="187"/>
    </row>
    <row r="176">
      <c r="B176" s="103"/>
      <c r="G176" s="191"/>
      <c r="H176" s="187"/>
      <c r="I176" s="187"/>
      <c r="J176" s="188"/>
      <c r="K176" s="187"/>
      <c r="L176" s="187"/>
      <c r="M176" s="187"/>
      <c r="N176" s="188"/>
      <c r="O176" s="187"/>
      <c r="Q176" s="187"/>
      <c r="R176" s="190"/>
      <c r="S176" s="187"/>
    </row>
    <row r="177">
      <c r="B177" s="103"/>
      <c r="G177" s="191"/>
      <c r="H177" s="187"/>
      <c r="I177" s="187"/>
      <c r="J177" s="188"/>
      <c r="K177" s="187"/>
      <c r="L177" s="187"/>
      <c r="M177" s="187"/>
      <c r="N177" s="188"/>
      <c r="O177" s="187"/>
      <c r="Q177" s="187"/>
      <c r="R177" s="190"/>
      <c r="S177" s="187"/>
    </row>
    <row r="178">
      <c r="B178" s="103"/>
      <c r="G178" s="191"/>
      <c r="H178" s="187"/>
      <c r="I178" s="187"/>
      <c r="J178" s="188"/>
      <c r="K178" s="187"/>
      <c r="L178" s="187"/>
      <c r="M178" s="187"/>
      <c r="N178" s="188"/>
      <c r="O178" s="187"/>
      <c r="Q178" s="187"/>
      <c r="R178" s="190"/>
      <c r="S178" s="187"/>
    </row>
    <row r="179">
      <c r="B179" s="103"/>
      <c r="G179" s="191"/>
      <c r="H179" s="187"/>
      <c r="I179" s="187"/>
      <c r="J179" s="188"/>
      <c r="K179" s="187"/>
      <c r="L179" s="187"/>
      <c r="M179" s="187"/>
      <c r="N179" s="188"/>
      <c r="O179" s="187"/>
      <c r="Q179" s="187"/>
      <c r="R179" s="190"/>
      <c r="S179" s="187"/>
    </row>
    <row r="180">
      <c r="B180" s="103"/>
      <c r="G180" s="191"/>
      <c r="H180" s="187"/>
      <c r="I180" s="187"/>
      <c r="J180" s="188"/>
      <c r="K180" s="187"/>
      <c r="L180" s="187"/>
      <c r="M180" s="187"/>
      <c r="N180" s="188"/>
      <c r="O180" s="187"/>
      <c r="Q180" s="187"/>
      <c r="R180" s="190"/>
      <c r="S180" s="187"/>
    </row>
    <row r="181">
      <c r="B181" s="103"/>
      <c r="G181" s="191"/>
      <c r="H181" s="187"/>
      <c r="I181" s="187"/>
      <c r="J181" s="188"/>
      <c r="K181" s="187"/>
      <c r="L181" s="187"/>
      <c r="M181" s="187"/>
      <c r="N181" s="188"/>
      <c r="O181" s="187"/>
      <c r="Q181" s="187"/>
      <c r="R181" s="190"/>
      <c r="S181" s="187"/>
    </row>
    <row r="182">
      <c r="B182" s="103"/>
      <c r="G182" s="191"/>
      <c r="H182" s="187"/>
      <c r="I182" s="187"/>
      <c r="J182" s="188"/>
      <c r="K182" s="187"/>
      <c r="L182" s="187"/>
      <c r="M182" s="187"/>
      <c r="N182" s="188"/>
      <c r="O182" s="187"/>
      <c r="Q182" s="187"/>
      <c r="R182" s="190"/>
      <c r="S182" s="187"/>
    </row>
    <row r="183">
      <c r="B183" s="103"/>
      <c r="G183" s="191"/>
      <c r="H183" s="187"/>
      <c r="I183" s="187"/>
      <c r="J183" s="188"/>
      <c r="K183" s="187"/>
      <c r="L183" s="187"/>
      <c r="M183" s="187"/>
      <c r="N183" s="188"/>
      <c r="O183" s="187"/>
      <c r="Q183" s="187"/>
      <c r="R183" s="190"/>
      <c r="S183" s="187"/>
    </row>
    <row r="184">
      <c r="B184" s="103"/>
      <c r="G184" s="191"/>
      <c r="H184" s="187"/>
      <c r="I184" s="187"/>
      <c r="J184" s="188"/>
      <c r="K184" s="187"/>
      <c r="L184" s="187"/>
      <c r="M184" s="187"/>
      <c r="N184" s="188"/>
      <c r="O184" s="187"/>
      <c r="Q184" s="187"/>
      <c r="R184" s="190"/>
      <c r="S184" s="187"/>
    </row>
    <row r="185">
      <c r="B185" s="103"/>
      <c r="G185" s="191"/>
      <c r="H185" s="187"/>
      <c r="I185" s="187"/>
      <c r="J185" s="188"/>
      <c r="K185" s="187"/>
      <c r="L185" s="187"/>
      <c r="M185" s="187"/>
      <c r="N185" s="188"/>
      <c r="O185" s="187"/>
      <c r="Q185" s="187"/>
      <c r="R185" s="190"/>
      <c r="S185" s="187"/>
    </row>
    <row r="186">
      <c r="B186" s="103"/>
      <c r="G186" s="191"/>
      <c r="H186" s="187"/>
      <c r="I186" s="187"/>
      <c r="J186" s="188"/>
      <c r="K186" s="187"/>
      <c r="L186" s="187"/>
      <c r="M186" s="187"/>
      <c r="N186" s="188"/>
      <c r="O186" s="187"/>
      <c r="Q186" s="187"/>
      <c r="R186" s="190"/>
      <c r="S186" s="187"/>
    </row>
    <row r="187">
      <c r="B187" s="103"/>
      <c r="G187" s="191"/>
      <c r="H187" s="187"/>
      <c r="I187" s="187"/>
      <c r="J187" s="188"/>
      <c r="K187" s="187"/>
      <c r="L187" s="187"/>
      <c r="M187" s="187"/>
      <c r="N187" s="188"/>
      <c r="O187" s="187"/>
      <c r="Q187" s="187"/>
      <c r="R187" s="190"/>
      <c r="S187" s="187"/>
    </row>
    <row r="188">
      <c r="B188" s="103"/>
      <c r="G188" s="191"/>
      <c r="H188" s="187"/>
      <c r="I188" s="187"/>
      <c r="J188" s="188"/>
      <c r="K188" s="187"/>
      <c r="L188" s="187"/>
      <c r="M188" s="187"/>
      <c r="N188" s="188"/>
      <c r="O188" s="187"/>
      <c r="Q188" s="187"/>
      <c r="R188" s="190"/>
      <c r="S188" s="187"/>
    </row>
    <row r="189">
      <c r="B189" s="103"/>
      <c r="G189" s="191"/>
      <c r="H189" s="187"/>
      <c r="I189" s="187"/>
      <c r="J189" s="188"/>
      <c r="K189" s="187"/>
      <c r="L189" s="187"/>
      <c r="M189" s="187"/>
      <c r="N189" s="188"/>
      <c r="O189" s="187"/>
      <c r="Q189" s="187"/>
      <c r="R189" s="190"/>
      <c r="S189" s="187"/>
    </row>
    <row r="190">
      <c r="B190" s="103"/>
      <c r="G190" s="191"/>
      <c r="H190" s="187"/>
      <c r="I190" s="187"/>
      <c r="J190" s="188"/>
      <c r="K190" s="187"/>
      <c r="L190" s="187"/>
      <c r="M190" s="187"/>
      <c r="N190" s="188"/>
      <c r="O190" s="187"/>
      <c r="Q190" s="187"/>
      <c r="R190" s="190"/>
      <c r="S190" s="187"/>
    </row>
    <row r="191">
      <c r="B191" s="103"/>
      <c r="G191" s="191"/>
      <c r="H191" s="187"/>
      <c r="I191" s="187"/>
      <c r="J191" s="188"/>
      <c r="K191" s="187"/>
      <c r="L191" s="187"/>
      <c r="M191" s="187"/>
      <c r="N191" s="188"/>
      <c r="O191" s="187"/>
      <c r="Q191" s="187"/>
      <c r="R191" s="190"/>
      <c r="S191" s="187"/>
    </row>
    <row r="192">
      <c r="B192" s="103"/>
      <c r="G192" s="191"/>
      <c r="H192" s="187"/>
      <c r="I192" s="187"/>
      <c r="J192" s="188"/>
      <c r="K192" s="187"/>
      <c r="L192" s="187"/>
      <c r="M192" s="187"/>
      <c r="N192" s="188"/>
      <c r="O192" s="187"/>
      <c r="Q192" s="187"/>
      <c r="R192" s="190"/>
      <c r="S192" s="187"/>
    </row>
    <row r="193">
      <c r="B193" s="103"/>
      <c r="G193" s="191"/>
      <c r="H193" s="187"/>
      <c r="I193" s="187"/>
      <c r="J193" s="188"/>
      <c r="K193" s="187"/>
      <c r="L193" s="187"/>
      <c r="M193" s="187"/>
      <c r="N193" s="188"/>
      <c r="O193" s="187"/>
      <c r="Q193" s="187"/>
      <c r="R193" s="190"/>
      <c r="S193" s="187"/>
    </row>
    <row r="194">
      <c r="B194" s="103"/>
      <c r="G194" s="191"/>
      <c r="H194" s="187"/>
      <c r="I194" s="187"/>
      <c r="J194" s="188"/>
      <c r="K194" s="187"/>
      <c r="L194" s="187"/>
      <c r="M194" s="187"/>
      <c r="N194" s="188"/>
      <c r="O194" s="187"/>
      <c r="Q194" s="187"/>
      <c r="R194" s="190"/>
      <c r="S194" s="187"/>
    </row>
    <row r="195">
      <c r="B195" s="103"/>
      <c r="G195" s="191"/>
      <c r="H195" s="187"/>
      <c r="I195" s="187"/>
      <c r="J195" s="188"/>
      <c r="K195" s="187"/>
      <c r="L195" s="187"/>
      <c r="M195" s="187"/>
      <c r="N195" s="188"/>
      <c r="O195" s="187"/>
      <c r="Q195" s="187"/>
      <c r="R195" s="190"/>
      <c r="S195" s="187"/>
    </row>
    <row r="196">
      <c r="B196" s="103"/>
      <c r="G196" s="191"/>
      <c r="H196" s="187"/>
      <c r="I196" s="187"/>
      <c r="J196" s="188"/>
      <c r="K196" s="187"/>
      <c r="L196" s="187"/>
      <c r="M196" s="187"/>
      <c r="N196" s="188"/>
      <c r="O196" s="187"/>
      <c r="Q196" s="187"/>
      <c r="R196" s="190"/>
      <c r="S196" s="187"/>
    </row>
    <row r="197">
      <c r="B197" s="103"/>
      <c r="G197" s="191"/>
      <c r="H197" s="187"/>
      <c r="I197" s="187"/>
      <c r="J197" s="188"/>
      <c r="K197" s="187"/>
      <c r="L197" s="187"/>
      <c r="M197" s="187"/>
      <c r="N197" s="188"/>
      <c r="O197" s="187"/>
      <c r="Q197" s="187"/>
      <c r="R197" s="190"/>
      <c r="S197" s="187"/>
    </row>
    <row r="198">
      <c r="B198" s="103"/>
      <c r="G198" s="191"/>
      <c r="H198" s="187"/>
      <c r="I198" s="187"/>
      <c r="J198" s="188"/>
      <c r="K198" s="187"/>
      <c r="L198" s="187"/>
      <c r="M198" s="187"/>
      <c r="N198" s="188"/>
      <c r="O198" s="187"/>
      <c r="Q198" s="187"/>
      <c r="R198" s="190"/>
      <c r="S198" s="187"/>
    </row>
    <row r="199">
      <c r="B199" s="103"/>
      <c r="G199" s="191"/>
      <c r="H199" s="187"/>
      <c r="I199" s="187"/>
      <c r="J199" s="188"/>
      <c r="K199" s="187"/>
      <c r="L199" s="187"/>
      <c r="M199" s="187"/>
      <c r="N199" s="188"/>
      <c r="O199" s="187"/>
      <c r="Q199" s="187"/>
      <c r="R199" s="190"/>
      <c r="S199" s="187"/>
    </row>
    <row r="200">
      <c r="B200" s="103"/>
      <c r="G200" s="191"/>
      <c r="H200" s="187"/>
      <c r="I200" s="187"/>
      <c r="J200" s="188"/>
      <c r="K200" s="187"/>
      <c r="L200" s="187"/>
      <c r="M200" s="187"/>
      <c r="N200" s="188"/>
      <c r="O200" s="187"/>
      <c r="Q200" s="187"/>
      <c r="R200" s="190"/>
      <c r="S200" s="187"/>
    </row>
    <row r="201">
      <c r="B201" s="103"/>
      <c r="G201" s="191"/>
      <c r="H201" s="187"/>
      <c r="I201" s="187"/>
      <c r="J201" s="188"/>
      <c r="K201" s="187"/>
      <c r="L201" s="187"/>
      <c r="M201" s="187"/>
      <c r="N201" s="188"/>
      <c r="O201" s="187"/>
      <c r="Q201" s="187"/>
      <c r="R201" s="190"/>
      <c r="S201" s="187"/>
    </row>
    <row r="202">
      <c r="B202" s="103"/>
      <c r="G202" s="191"/>
      <c r="H202" s="187"/>
      <c r="I202" s="187"/>
      <c r="J202" s="188"/>
      <c r="K202" s="187"/>
      <c r="L202" s="187"/>
      <c r="M202" s="187"/>
      <c r="N202" s="188"/>
      <c r="O202" s="187"/>
      <c r="Q202" s="187"/>
      <c r="R202" s="190"/>
      <c r="S202" s="187"/>
    </row>
    <row r="203">
      <c r="B203" s="103"/>
      <c r="G203" s="191"/>
      <c r="H203" s="187"/>
      <c r="I203" s="187"/>
      <c r="J203" s="188"/>
      <c r="K203" s="187"/>
      <c r="L203" s="187"/>
      <c r="M203" s="187"/>
      <c r="N203" s="188"/>
      <c r="O203" s="187"/>
      <c r="Q203" s="187"/>
      <c r="R203" s="190"/>
      <c r="S203" s="187"/>
    </row>
    <row r="204">
      <c r="B204" s="103"/>
      <c r="G204" s="191"/>
      <c r="H204" s="187"/>
      <c r="I204" s="187"/>
      <c r="J204" s="188"/>
      <c r="K204" s="187"/>
      <c r="L204" s="187"/>
      <c r="M204" s="187"/>
      <c r="N204" s="188"/>
      <c r="O204" s="187"/>
      <c r="Q204" s="187"/>
      <c r="R204" s="190"/>
      <c r="S204" s="187"/>
    </row>
    <row r="205">
      <c r="B205" s="103"/>
      <c r="G205" s="191"/>
      <c r="H205" s="187"/>
      <c r="I205" s="187"/>
      <c r="J205" s="188"/>
      <c r="K205" s="187"/>
      <c r="L205" s="187"/>
      <c r="M205" s="187"/>
      <c r="N205" s="188"/>
      <c r="O205" s="187"/>
      <c r="Q205" s="187"/>
      <c r="R205" s="190"/>
      <c r="S205" s="187"/>
    </row>
    <row r="206">
      <c r="B206" s="103"/>
      <c r="G206" s="191"/>
      <c r="H206" s="187"/>
      <c r="I206" s="187"/>
      <c r="J206" s="188"/>
      <c r="K206" s="187"/>
      <c r="L206" s="187"/>
      <c r="M206" s="187"/>
      <c r="N206" s="188"/>
      <c r="O206" s="187"/>
      <c r="Q206" s="187"/>
      <c r="R206" s="190"/>
      <c r="S206" s="187"/>
    </row>
    <row r="207">
      <c r="B207" s="103"/>
      <c r="G207" s="191"/>
      <c r="H207" s="187"/>
      <c r="I207" s="187"/>
      <c r="J207" s="188"/>
      <c r="K207" s="187"/>
      <c r="L207" s="187"/>
      <c r="M207" s="187"/>
      <c r="N207" s="188"/>
      <c r="O207" s="187"/>
      <c r="Q207" s="187"/>
      <c r="R207" s="190"/>
      <c r="S207" s="187"/>
    </row>
    <row r="208">
      <c r="B208" s="103"/>
      <c r="G208" s="191"/>
      <c r="H208" s="187"/>
      <c r="I208" s="187"/>
      <c r="J208" s="188"/>
      <c r="K208" s="187"/>
      <c r="L208" s="187"/>
      <c r="M208" s="187"/>
      <c r="N208" s="188"/>
      <c r="O208" s="187"/>
      <c r="Q208" s="187"/>
      <c r="R208" s="190"/>
      <c r="S208" s="187"/>
    </row>
    <row r="209">
      <c r="B209" s="103"/>
      <c r="G209" s="191"/>
      <c r="H209" s="187"/>
      <c r="I209" s="187"/>
      <c r="J209" s="188"/>
      <c r="K209" s="187"/>
      <c r="L209" s="187"/>
      <c r="M209" s="187"/>
      <c r="N209" s="188"/>
      <c r="O209" s="187"/>
      <c r="Q209" s="187"/>
      <c r="R209" s="190"/>
      <c r="S209" s="187"/>
    </row>
    <row r="210">
      <c r="B210" s="103"/>
      <c r="G210" s="191"/>
      <c r="H210" s="187"/>
      <c r="I210" s="187"/>
      <c r="J210" s="188"/>
      <c r="K210" s="187"/>
      <c r="L210" s="187"/>
      <c r="M210" s="187"/>
      <c r="N210" s="188"/>
      <c r="O210" s="187"/>
      <c r="Q210" s="187"/>
      <c r="R210" s="190"/>
      <c r="S210" s="187"/>
    </row>
    <row r="211">
      <c r="B211" s="103"/>
      <c r="G211" s="191"/>
      <c r="H211" s="187"/>
      <c r="I211" s="187"/>
      <c r="J211" s="188"/>
      <c r="K211" s="187"/>
      <c r="L211" s="187"/>
      <c r="M211" s="187"/>
      <c r="N211" s="188"/>
      <c r="O211" s="187"/>
      <c r="Q211" s="187"/>
      <c r="R211" s="190"/>
      <c r="S211" s="187"/>
    </row>
    <row r="212">
      <c r="B212" s="103"/>
      <c r="G212" s="191"/>
      <c r="H212" s="187"/>
      <c r="I212" s="187"/>
      <c r="J212" s="188"/>
      <c r="K212" s="187"/>
      <c r="L212" s="187"/>
      <c r="M212" s="187"/>
      <c r="N212" s="188"/>
      <c r="O212" s="187"/>
      <c r="Q212" s="187"/>
      <c r="R212" s="190"/>
      <c r="S212" s="187"/>
    </row>
    <row r="213">
      <c r="B213" s="103"/>
      <c r="G213" s="191"/>
      <c r="H213" s="187"/>
      <c r="I213" s="187"/>
      <c r="J213" s="188"/>
      <c r="K213" s="187"/>
      <c r="L213" s="187"/>
      <c r="M213" s="187"/>
      <c r="N213" s="188"/>
      <c r="O213" s="187"/>
      <c r="Q213" s="187"/>
      <c r="R213" s="190"/>
      <c r="S213" s="187"/>
    </row>
    <row r="214">
      <c r="B214" s="103"/>
      <c r="G214" s="191"/>
      <c r="H214" s="187"/>
      <c r="I214" s="187"/>
      <c r="J214" s="188"/>
      <c r="K214" s="187"/>
      <c r="L214" s="187"/>
      <c r="M214" s="187"/>
      <c r="N214" s="188"/>
      <c r="O214" s="187"/>
      <c r="Q214" s="187"/>
      <c r="R214" s="190"/>
      <c r="S214" s="187"/>
    </row>
    <row r="215">
      <c r="B215" s="103"/>
      <c r="G215" s="191"/>
      <c r="H215" s="187"/>
      <c r="I215" s="187"/>
      <c r="J215" s="188"/>
      <c r="K215" s="187"/>
      <c r="L215" s="187"/>
      <c r="M215" s="187"/>
      <c r="N215" s="188"/>
      <c r="O215" s="187"/>
      <c r="Q215" s="187"/>
      <c r="R215" s="190"/>
      <c r="S215" s="187"/>
    </row>
    <row r="216">
      <c r="B216" s="103"/>
      <c r="G216" s="191"/>
      <c r="H216" s="187"/>
      <c r="I216" s="187"/>
      <c r="J216" s="188"/>
      <c r="K216" s="187"/>
      <c r="L216" s="187"/>
      <c r="M216" s="187"/>
      <c r="N216" s="188"/>
      <c r="O216" s="187"/>
      <c r="Q216" s="187"/>
      <c r="R216" s="190"/>
      <c r="S216" s="187"/>
    </row>
    <row r="217">
      <c r="B217" s="103"/>
      <c r="G217" s="191"/>
      <c r="H217" s="187"/>
      <c r="I217" s="187"/>
      <c r="J217" s="188"/>
      <c r="K217" s="187"/>
      <c r="L217" s="187"/>
      <c r="M217" s="187"/>
      <c r="N217" s="188"/>
      <c r="O217" s="187"/>
      <c r="Q217" s="187"/>
      <c r="R217" s="190"/>
      <c r="S217" s="187"/>
    </row>
    <row r="218">
      <c r="B218" s="103"/>
      <c r="G218" s="191"/>
      <c r="H218" s="187"/>
      <c r="I218" s="187"/>
      <c r="J218" s="188"/>
      <c r="K218" s="187"/>
      <c r="L218" s="187"/>
      <c r="M218" s="187"/>
      <c r="N218" s="188"/>
      <c r="O218" s="187"/>
      <c r="Q218" s="187"/>
      <c r="R218" s="190"/>
      <c r="S218" s="187"/>
    </row>
    <row r="219">
      <c r="B219" s="103"/>
      <c r="G219" s="191"/>
      <c r="H219" s="187"/>
      <c r="I219" s="187"/>
      <c r="J219" s="188"/>
      <c r="K219" s="187"/>
      <c r="L219" s="187"/>
      <c r="M219" s="187"/>
      <c r="N219" s="188"/>
      <c r="O219" s="187"/>
      <c r="Q219" s="187"/>
      <c r="R219" s="190"/>
      <c r="S219" s="187"/>
    </row>
    <row r="220">
      <c r="B220" s="103"/>
      <c r="G220" s="191"/>
      <c r="H220" s="187"/>
      <c r="I220" s="187"/>
      <c r="J220" s="188"/>
      <c r="K220" s="187"/>
      <c r="L220" s="187"/>
      <c r="M220" s="187"/>
      <c r="N220" s="188"/>
      <c r="O220" s="187"/>
      <c r="Q220" s="187"/>
      <c r="R220" s="190"/>
      <c r="S220" s="187"/>
    </row>
    <row r="221">
      <c r="B221" s="103"/>
      <c r="G221" s="191"/>
      <c r="H221" s="187"/>
      <c r="I221" s="187"/>
      <c r="J221" s="188"/>
      <c r="K221" s="187"/>
      <c r="L221" s="187"/>
      <c r="M221" s="187"/>
      <c r="N221" s="188"/>
      <c r="O221" s="187"/>
      <c r="Q221" s="187"/>
      <c r="R221" s="190"/>
      <c r="S221" s="187"/>
    </row>
    <row r="222">
      <c r="B222" s="103"/>
      <c r="G222" s="191"/>
      <c r="H222" s="187"/>
      <c r="I222" s="187"/>
      <c r="J222" s="188"/>
      <c r="K222" s="187"/>
      <c r="L222" s="187"/>
      <c r="M222" s="187"/>
      <c r="N222" s="188"/>
      <c r="O222" s="187"/>
      <c r="Q222" s="187"/>
      <c r="R222" s="190"/>
      <c r="S222" s="187"/>
    </row>
    <row r="223">
      <c r="B223" s="103"/>
      <c r="G223" s="191"/>
      <c r="H223" s="187"/>
      <c r="I223" s="187"/>
      <c r="J223" s="188"/>
      <c r="K223" s="187"/>
      <c r="L223" s="187"/>
      <c r="M223" s="187"/>
      <c r="N223" s="188"/>
      <c r="O223" s="187"/>
      <c r="Q223" s="187"/>
      <c r="R223" s="190"/>
      <c r="S223" s="187"/>
    </row>
    <row r="224">
      <c r="B224" s="103"/>
      <c r="G224" s="191"/>
      <c r="H224" s="187"/>
      <c r="I224" s="187"/>
      <c r="J224" s="188"/>
      <c r="K224" s="187"/>
      <c r="L224" s="187"/>
      <c r="M224" s="187"/>
      <c r="N224" s="188"/>
      <c r="O224" s="187"/>
      <c r="Q224" s="187"/>
      <c r="R224" s="190"/>
      <c r="S224" s="187"/>
    </row>
    <row r="225">
      <c r="B225" s="103"/>
      <c r="G225" s="191"/>
      <c r="H225" s="187"/>
      <c r="I225" s="187"/>
      <c r="J225" s="188"/>
      <c r="K225" s="187"/>
      <c r="L225" s="187"/>
      <c r="M225" s="187"/>
      <c r="N225" s="188"/>
      <c r="O225" s="187"/>
      <c r="Q225" s="187"/>
      <c r="R225" s="190"/>
      <c r="S225" s="187"/>
    </row>
    <row r="226">
      <c r="B226" s="103"/>
      <c r="G226" s="191"/>
      <c r="H226" s="187"/>
      <c r="I226" s="187"/>
      <c r="J226" s="188"/>
      <c r="K226" s="187"/>
      <c r="L226" s="187"/>
      <c r="M226" s="187"/>
      <c r="N226" s="188"/>
      <c r="O226" s="187"/>
      <c r="Q226" s="187"/>
      <c r="R226" s="190"/>
      <c r="S226" s="187"/>
    </row>
    <row r="227">
      <c r="B227" s="103"/>
      <c r="G227" s="191"/>
      <c r="H227" s="187"/>
      <c r="I227" s="187"/>
      <c r="J227" s="188"/>
      <c r="K227" s="187"/>
      <c r="L227" s="187"/>
      <c r="M227" s="187"/>
      <c r="N227" s="188"/>
      <c r="O227" s="187"/>
      <c r="Q227" s="187"/>
      <c r="R227" s="190"/>
      <c r="S227" s="187"/>
    </row>
    <row r="228">
      <c r="B228" s="103"/>
      <c r="G228" s="191"/>
      <c r="H228" s="187"/>
      <c r="I228" s="187"/>
      <c r="J228" s="188"/>
      <c r="K228" s="187"/>
      <c r="L228" s="187"/>
      <c r="M228" s="187"/>
      <c r="N228" s="188"/>
      <c r="O228" s="187"/>
      <c r="Q228" s="187"/>
      <c r="R228" s="190"/>
      <c r="S228" s="187"/>
    </row>
    <row r="229">
      <c r="B229" s="103"/>
      <c r="G229" s="191"/>
      <c r="H229" s="187"/>
      <c r="I229" s="187"/>
      <c r="J229" s="188"/>
      <c r="K229" s="187"/>
      <c r="L229" s="187"/>
      <c r="M229" s="187"/>
      <c r="N229" s="188"/>
      <c r="O229" s="187"/>
      <c r="Q229" s="187"/>
      <c r="R229" s="190"/>
      <c r="S229" s="187"/>
    </row>
    <row r="230">
      <c r="B230" s="103"/>
      <c r="G230" s="191"/>
      <c r="H230" s="187"/>
      <c r="I230" s="187"/>
      <c r="J230" s="188"/>
      <c r="K230" s="187"/>
      <c r="L230" s="187"/>
      <c r="M230" s="187"/>
      <c r="N230" s="188"/>
      <c r="O230" s="187"/>
      <c r="Q230" s="187"/>
      <c r="R230" s="190"/>
      <c r="S230" s="187"/>
    </row>
    <row r="231">
      <c r="B231" s="103"/>
      <c r="G231" s="191"/>
      <c r="H231" s="187"/>
      <c r="I231" s="187"/>
      <c r="J231" s="188"/>
      <c r="K231" s="187"/>
      <c r="L231" s="187"/>
      <c r="M231" s="187"/>
      <c r="N231" s="188"/>
      <c r="O231" s="187"/>
      <c r="Q231" s="187"/>
      <c r="R231" s="190"/>
      <c r="S231" s="187"/>
    </row>
    <row r="232">
      <c r="B232" s="103"/>
      <c r="G232" s="191"/>
      <c r="H232" s="187"/>
      <c r="I232" s="187"/>
      <c r="J232" s="188"/>
      <c r="K232" s="187"/>
      <c r="L232" s="187"/>
      <c r="M232" s="187"/>
      <c r="N232" s="188"/>
      <c r="O232" s="187"/>
      <c r="Q232" s="187"/>
      <c r="R232" s="190"/>
      <c r="S232" s="187"/>
    </row>
    <row r="233">
      <c r="B233" s="103"/>
      <c r="G233" s="191"/>
      <c r="H233" s="187"/>
      <c r="I233" s="187"/>
      <c r="J233" s="188"/>
      <c r="K233" s="187"/>
      <c r="L233" s="187"/>
      <c r="M233" s="187"/>
      <c r="N233" s="188"/>
      <c r="O233" s="187"/>
      <c r="Q233" s="187"/>
      <c r="R233" s="190"/>
      <c r="S233" s="187"/>
    </row>
    <row r="234">
      <c r="B234" s="103"/>
      <c r="G234" s="191"/>
      <c r="H234" s="187"/>
      <c r="I234" s="187"/>
      <c r="J234" s="188"/>
      <c r="K234" s="187"/>
      <c r="L234" s="187"/>
      <c r="M234" s="187"/>
      <c r="N234" s="188"/>
      <c r="O234" s="187"/>
      <c r="Q234" s="187"/>
      <c r="R234" s="190"/>
      <c r="S234" s="187"/>
    </row>
    <row r="235">
      <c r="B235" s="103"/>
      <c r="G235" s="191"/>
      <c r="H235" s="187"/>
      <c r="I235" s="187"/>
      <c r="J235" s="188"/>
      <c r="K235" s="187"/>
      <c r="L235" s="187"/>
      <c r="M235" s="187"/>
      <c r="N235" s="188"/>
      <c r="O235" s="187"/>
      <c r="Q235" s="187"/>
      <c r="R235" s="190"/>
      <c r="S235" s="187"/>
    </row>
    <row r="236">
      <c r="B236" s="103"/>
      <c r="G236" s="191"/>
      <c r="H236" s="187"/>
      <c r="I236" s="187"/>
      <c r="J236" s="188"/>
      <c r="K236" s="187"/>
      <c r="L236" s="187"/>
      <c r="M236" s="187"/>
      <c r="N236" s="188"/>
      <c r="O236" s="187"/>
      <c r="Q236" s="187"/>
      <c r="R236" s="190"/>
      <c r="S236" s="187"/>
    </row>
    <row r="237">
      <c r="B237" s="103"/>
      <c r="G237" s="191"/>
      <c r="H237" s="187"/>
      <c r="I237" s="187"/>
      <c r="J237" s="188"/>
      <c r="K237" s="187"/>
      <c r="L237" s="187"/>
      <c r="M237" s="187"/>
      <c r="N237" s="188"/>
      <c r="O237" s="187"/>
      <c r="Q237" s="187"/>
      <c r="R237" s="190"/>
      <c r="S237" s="187"/>
    </row>
    <row r="238">
      <c r="B238" s="103"/>
      <c r="G238" s="191"/>
      <c r="H238" s="187"/>
      <c r="I238" s="187"/>
      <c r="J238" s="188"/>
      <c r="K238" s="187"/>
      <c r="L238" s="187"/>
      <c r="M238" s="187"/>
      <c r="N238" s="188"/>
      <c r="O238" s="187"/>
      <c r="Q238" s="187"/>
      <c r="R238" s="190"/>
      <c r="S238" s="187"/>
    </row>
    <row r="239">
      <c r="B239" s="103"/>
      <c r="G239" s="191"/>
      <c r="H239" s="187"/>
      <c r="I239" s="187"/>
      <c r="J239" s="188"/>
      <c r="K239" s="187"/>
      <c r="L239" s="187"/>
      <c r="M239" s="187"/>
      <c r="N239" s="188"/>
      <c r="O239" s="187"/>
      <c r="Q239" s="187"/>
      <c r="R239" s="190"/>
      <c r="S239" s="187"/>
    </row>
    <row r="240">
      <c r="B240" s="103"/>
      <c r="G240" s="191"/>
      <c r="H240" s="187"/>
      <c r="I240" s="187"/>
      <c r="J240" s="188"/>
      <c r="K240" s="187"/>
      <c r="L240" s="187"/>
      <c r="M240" s="187"/>
      <c r="N240" s="188"/>
      <c r="O240" s="187"/>
      <c r="Q240" s="187"/>
      <c r="R240" s="190"/>
      <c r="S240" s="187"/>
    </row>
    <row r="241">
      <c r="B241" s="103"/>
      <c r="G241" s="191"/>
      <c r="H241" s="187"/>
      <c r="I241" s="187"/>
      <c r="J241" s="188"/>
      <c r="K241" s="187"/>
      <c r="L241" s="187"/>
      <c r="M241" s="187"/>
      <c r="N241" s="188"/>
      <c r="O241" s="187"/>
      <c r="Q241" s="187"/>
      <c r="R241" s="190"/>
      <c r="S241" s="187"/>
    </row>
    <row r="242">
      <c r="B242" s="103"/>
      <c r="G242" s="191"/>
      <c r="H242" s="187"/>
      <c r="I242" s="187"/>
      <c r="J242" s="188"/>
      <c r="K242" s="187"/>
      <c r="L242" s="187"/>
      <c r="M242" s="187"/>
      <c r="N242" s="188"/>
      <c r="O242" s="187"/>
      <c r="Q242" s="187"/>
      <c r="R242" s="190"/>
      <c r="S242" s="187"/>
    </row>
    <row r="243">
      <c r="B243" s="103"/>
      <c r="G243" s="191"/>
      <c r="H243" s="187"/>
      <c r="I243" s="187"/>
      <c r="J243" s="188"/>
      <c r="K243" s="187"/>
      <c r="L243" s="187"/>
      <c r="M243" s="187"/>
      <c r="N243" s="188"/>
      <c r="O243" s="187"/>
      <c r="Q243" s="187"/>
      <c r="R243" s="190"/>
      <c r="S243" s="187"/>
    </row>
    <row r="244">
      <c r="B244" s="103"/>
      <c r="G244" s="191"/>
      <c r="H244" s="187"/>
      <c r="I244" s="187"/>
      <c r="J244" s="188"/>
      <c r="K244" s="187"/>
      <c r="L244" s="187"/>
      <c r="M244" s="187"/>
      <c r="N244" s="188"/>
      <c r="O244" s="187"/>
      <c r="Q244" s="187"/>
      <c r="R244" s="190"/>
      <c r="S244" s="187"/>
    </row>
    <row r="245">
      <c r="B245" s="103"/>
      <c r="G245" s="191"/>
      <c r="H245" s="187"/>
      <c r="I245" s="187"/>
      <c r="J245" s="188"/>
      <c r="K245" s="187"/>
      <c r="L245" s="187"/>
      <c r="M245" s="187"/>
      <c r="N245" s="188"/>
      <c r="O245" s="187"/>
      <c r="Q245" s="187"/>
      <c r="R245" s="190"/>
      <c r="S245" s="187"/>
    </row>
    <row r="246">
      <c r="B246" s="103"/>
      <c r="G246" s="191"/>
      <c r="H246" s="187"/>
      <c r="I246" s="187"/>
      <c r="J246" s="188"/>
      <c r="K246" s="187"/>
      <c r="L246" s="187"/>
      <c r="M246" s="187"/>
      <c r="N246" s="188"/>
      <c r="O246" s="187"/>
      <c r="Q246" s="187"/>
      <c r="R246" s="190"/>
      <c r="S246" s="187"/>
    </row>
    <row r="247">
      <c r="B247" s="103"/>
      <c r="G247" s="191"/>
      <c r="H247" s="187"/>
      <c r="I247" s="187"/>
      <c r="J247" s="188"/>
      <c r="K247" s="187"/>
      <c r="L247" s="187"/>
      <c r="M247" s="187"/>
      <c r="N247" s="188"/>
      <c r="O247" s="187"/>
      <c r="Q247" s="187"/>
      <c r="R247" s="190"/>
      <c r="S247" s="187"/>
    </row>
    <row r="248">
      <c r="B248" s="103"/>
      <c r="G248" s="191"/>
      <c r="H248" s="187"/>
      <c r="I248" s="187"/>
      <c r="J248" s="188"/>
      <c r="K248" s="187"/>
      <c r="L248" s="187"/>
      <c r="M248" s="187"/>
      <c r="N248" s="188"/>
      <c r="O248" s="187"/>
      <c r="Q248" s="187"/>
      <c r="R248" s="190"/>
      <c r="S248" s="187"/>
    </row>
    <row r="249">
      <c r="B249" s="103"/>
      <c r="G249" s="191"/>
      <c r="H249" s="187"/>
      <c r="I249" s="187"/>
      <c r="J249" s="188"/>
      <c r="K249" s="187"/>
      <c r="L249" s="187"/>
      <c r="M249" s="187"/>
      <c r="N249" s="188"/>
      <c r="O249" s="187"/>
      <c r="Q249" s="187"/>
      <c r="R249" s="190"/>
      <c r="S249" s="187"/>
    </row>
    <row r="250">
      <c r="B250" s="103"/>
      <c r="G250" s="191"/>
      <c r="H250" s="187"/>
      <c r="I250" s="187"/>
      <c r="J250" s="188"/>
      <c r="K250" s="187"/>
      <c r="L250" s="187"/>
      <c r="M250" s="187"/>
      <c r="N250" s="188"/>
      <c r="O250" s="187"/>
      <c r="Q250" s="187"/>
      <c r="R250" s="190"/>
      <c r="S250" s="187"/>
    </row>
    <row r="251">
      <c r="B251" s="103"/>
      <c r="G251" s="191"/>
      <c r="H251" s="187"/>
      <c r="I251" s="187"/>
      <c r="J251" s="188"/>
      <c r="K251" s="187"/>
      <c r="L251" s="187"/>
      <c r="M251" s="187"/>
      <c r="N251" s="188"/>
      <c r="O251" s="187"/>
      <c r="Q251" s="187"/>
      <c r="R251" s="190"/>
      <c r="S251" s="187"/>
    </row>
    <row r="252">
      <c r="B252" s="103"/>
      <c r="G252" s="191"/>
      <c r="H252" s="187"/>
      <c r="I252" s="187"/>
      <c r="J252" s="188"/>
      <c r="K252" s="187"/>
      <c r="L252" s="187"/>
      <c r="M252" s="187"/>
      <c r="N252" s="188"/>
      <c r="O252" s="187"/>
      <c r="Q252" s="187"/>
      <c r="R252" s="190"/>
      <c r="S252" s="187"/>
    </row>
    <row r="253">
      <c r="B253" s="103"/>
      <c r="G253" s="191"/>
      <c r="H253" s="187"/>
      <c r="I253" s="187"/>
      <c r="J253" s="188"/>
      <c r="K253" s="187"/>
      <c r="L253" s="187"/>
      <c r="M253" s="187"/>
      <c r="N253" s="188"/>
      <c r="O253" s="187"/>
      <c r="Q253" s="187"/>
      <c r="R253" s="190"/>
      <c r="S253" s="187"/>
    </row>
    <row r="254">
      <c r="B254" s="103"/>
      <c r="G254" s="191"/>
      <c r="H254" s="187"/>
      <c r="I254" s="187"/>
      <c r="J254" s="188"/>
      <c r="K254" s="187"/>
      <c r="L254" s="187"/>
      <c r="M254" s="187"/>
      <c r="N254" s="188"/>
      <c r="O254" s="187"/>
      <c r="Q254" s="187"/>
      <c r="R254" s="190"/>
      <c r="S254" s="187"/>
    </row>
    <row r="255">
      <c r="B255" s="103"/>
      <c r="G255" s="191"/>
      <c r="H255" s="187"/>
      <c r="I255" s="187"/>
      <c r="J255" s="188"/>
      <c r="K255" s="187"/>
      <c r="L255" s="187"/>
      <c r="M255" s="187"/>
      <c r="N255" s="188"/>
      <c r="O255" s="187"/>
      <c r="Q255" s="187"/>
      <c r="R255" s="190"/>
      <c r="S255" s="187"/>
    </row>
    <row r="256">
      <c r="B256" s="103"/>
      <c r="G256" s="191"/>
      <c r="H256" s="187"/>
      <c r="I256" s="187"/>
      <c r="J256" s="188"/>
      <c r="K256" s="187"/>
      <c r="L256" s="187"/>
      <c r="M256" s="187"/>
      <c r="N256" s="188"/>
      <c r="O256" s="187"/>
      <c r="Q256" s="187"/>
      <c r="R256" s="190"/>
      <c r="S256" s="187"/>
    </row>
    <row r="257">
      <c r="B257" s="103"/>
      <c r="G257" s="191"/>
      <c r="H257" s="187"/>
      <c r="I257" s="187"/>
      <c r="J257" s="188"/>
      <c r="K257" s="187"/>
      <c r="L257" s="187"/>
      <c r="M257" s="187"/>
      <c r="N257" s="188"/>
      <c r="O257" s="187"/>
      <c r="Q257" s="187"/>
      <c r="R257" s="190"/>
      <c r="S257" s="187"/>
    </row>
    <row r="258">
      <c r="B258" s="103"/>
      <c r="G258" s="191"/>
      <c r="H258" s="187"/>
      <c r="I258" s="187"/>
      <c r="J258" s="188"/>
      <c r="K258" s="187"/>
      <c r="L258" s="187"/>
      <c r="M258" s="187"/>
      <c r="N258" s="188"/>
      <c r="O258" s="187"/>
      <c r="Q258" s="187"/>
      <c r="R258" s="190"/>
      <c r="S258" s="187"/>
    </row>
    <row r="259">
      <c r="B259" s="103"/>
      <c r="G259" s="191"/>
      <c r="H259" s="187"/>
      <c r="I259" s="187"/>
      <c r="J259" s="188"/>
      <c r="K259" s="187"/>
      <c r="L259" s="187"/>
      <c r="M259" s="187"/>
      <c r="N259" s="188"/>
      <c r="O259" s="187"/>
      <c r="Q259" s="187"/>
      <c r="R259" s="190"/>
      <c r="S259" s="187"/>
    </row>
    <row r="260">
      <c r="B260" s="103"/>
      <c r="G260" s="191"/>
      <c r="H260" s="187"/>
      <c r="I260" s="187"/>
      <c r="J260" s="188"/>
      <c r="K260" s="187"/>
      <c r="L260" s="187"/>
      <c r="M260" s="187"/>
      <c r="N260" s="188"/>
      <c r="O260" s="187"/>
      <c r="Q260" s="187"/>
      <c r="R260" s="190"/>
      <c r="S260" s="187"/>
    </row>
    <row r="261">
      <c r="B261" s="103"/>
      <c r="G261" s="191"/>
      <c r="H261" s="187"/>
      <c r="I261" s="187"/>
      <c r="J261" s="188"/>
      <c r="K261" s="187"/>
      <c r="L261" s="187"/>
      <c r="M261" s="187"/>
      <c r="N261" s="188"/>
      <c r="O261" s="187"/>
      <c r="Q261" s="187"/>
      <c r="R261" s="190"/>
      <c r="S261" s="187"/>
    </row>
    <row r="262">
      <c r="B262" s="103"/>
      <c r="G262" s="191"/>
      <c r="H262" s="187"/>
      <c r="I262" s="187"/>
      <c r="J262" s="188"/>
      <c r="K262" s="187"/>
      <c r="L262" s="187"/>
      <c r="M262" s="187"/>
      <c r="N262" s="188"/>
      <c r="O262" s="187"/>
      <c r="Q262" s="187"/>
      <c r="R262" s="190"/>
      <c r="S262" s="187"/>
    </row>
    <row r="263">
      <c r="B263" s="103"/>
      <c r="G263" s="191"/>
      <c r="H263" s="187"/>
      <c r="I263" s="187"/>
      <c r="J263" s="188"/>
      <c r="K263" s="187"/>
      <c r="L263" s="187"/>
      <c r="M263" s="187"/>
      <c r="N263" s="188"/>
      <c r="O263" s="187"/>
      <c r="Q263" s="187"/>
      <c r="R263" s="190"/>
      <c r="S263" s="187"/>
    </row>
    <row r="264">
      <c r="B264" s="103"/>
      <c r="G264" s="191"/>
      <c r="H264" s="187"/>
      <c r="I264" s="187"/>
      <c r="J264" s="188"/>
      <c r="K264" s="187"/>
      <c r="L264" s="187"/>
      <c r="M264" s="187"/>
      <c r="N264" s="188"/>
      <c r="O264" s="187"/>
      <c r="Q264" s="187"/>
      <c r="R264" s="190"/>
      <c r="S264" s="187"/>
    </row>
    <row r="265">
      <c r="B265" s="103"/>
      <c r="G265" s="191"/>
      <c r="H265" s="187"/>
      <c r="I265" s="187"/>
      <c r="J265" s="188"/>
      <c r="K265" s="187"/>
      <c r="L265" s="187"/>
      <c r="M265" s="187"/>
      <c r="N265" s="188"/>
      <c r="O265" s="187"/>
      <c r="Q265" s="187"/>
      <c r="R265" s="190"/>
      <c r="S265" s="187"/>
    </row>
    <row r="266">
      <c r="B266" s="103"/>
      <c r="G266" s="191"/>
      <c r="H266" s="187"/>
      <c r="I266" s="187"/>
      <c r="J266" s="188"/>
      <c r="K266" s="187"/>
      <c r="L266" s="187"/>
      <c r="M266" s="187"/>
      <c r="N266" s="188"/>
      <c r="O266" s="187"/>
      <c r="Q266" s="187"/>
      <c r="R266" s="190"/>
      <c r="S266" s="187"/>
    </row>
    <row r="267">
      <c r="B267" s="103"/>
      <c r="G267" s="191"/>
      <c r="H267" s="187"/>
      <c r="I267" s="187"/>
      <c r="J267" s="188"/>
      <c r="K267" s="187"/>
      <c r="L267" s="187"/>
      <c r="M267" s="187"/>
      <c r="N267" s="188"/>
      <c r="O267" s="187"/>
      <c r="Q267" s="187"/>
      <c r="R267" s="190"/>
      <c r="S267" s="187"/>
    </row>
    <row r="268">
      <c r="B268" s="103"/>
      <c r="G268" s="191"/>
      <c r="H268" s="187"/>
      <c r="I268" s="187"/>
      <c r="J268" s="188"/>
      <c r="K268" s="187"/>
      <c r="L268" s="187"/>
      <c r="M268" s="187"/>
      <c r="N268" s="188"/>
      <c r="O268" s="187"/>
      <c r="Q268" s="187"/>
      <c r="R268" s="190"/>
      <c r="S268" s="187"/>
    </row>
    <row r="269">
      <c r="B269" s="103"/>
      <c r="G269" s="191"/>
      <c r="H269" s="187"/>
      <c r="I269" s="187"/>
      <c r="J269" s="188"/>
      <c r="K269" s="187"/>
      <c r="L269" s="187"/>
      <c r="M269" s="187"/>
      <c r="N269" s="188"/>
      <c r="O269" s="187"/>
      <c r="Q269" s="187"/>
      <c r="R269" s="190"/>
      <c r="S269" s="187"/>
    </row>
    <row r="270">
      <c r="B270" s="103"/>
      <c r="G270" s="191"/>
      <c r="H270" s="187"/>
      <c r="I270" s="187"/>
      <c r="J270" s="188"/>
      <c r="K270" s="187"/>
      <c r="L270" s="187"/>
      <c r="M270" s="187"/>
      <c r="N270" s="188"/>
      <c r="O270" s="187"/>
      <c r="Q270" s="187"/>
      <c r="R270" s="190"/>
      <c r="S270" s="187"/>
    </row>
    <row r="271">
      <c r="B271" s="103"/>
      <c r="G271" s="191"/>
      <c r="H271" s="187"/>
      <c r="I271" s="187"/>
      <c r="J271" s="188"/>
      <c r="K271" s="187"/>
      <c r="L271" s="187"/>
      <c r="M271" s="187"/>
      <c r="N271" s="188"/>
      <c r="O271" s="187"/>
      <c r="Q271" s="187"/>
      <c r="R271" s="190"/>
      <c r="S271" s="187"/>
    </row>
    <row r="272">
      <c r="B272" s="103"/>
      <c r="G272" s="191"/>
      <c r="H272" s="187"/>
      <c r="I272" s="187"/>
      <c r="J272" s="188"/>
      <c r="K272" s="187"/>
      <c r="L272" s="187"/>
      <c r="M272" s="187"/>
      <c r="N272" s="188"/>
      <c r="O272" s="187"/>
      <c r="Q272" s="187"/>
      <c r="R272" s="190"/>
      <c r="S272" s="187"/>
    </row>
    <row r="273">
      <c r="B273" s="103"/>
      <c r="G273" s="191"/>
      <c r="H273" s="187"/>
      <c r="I273" s="187"/>
      <c r="J273" s="188"/>
      <c r="K273" s="187"/>
      <c r="L273" s="187"/>
      <c r="M273" s="187"/>
      <c r="N273" s="188"/>
      <c r="O273" s="187"/>
      <c r="Q273" s="187"/>
      <c r="R273" s="190"/>
      <c r="S273" s="187"/>
    </row>
    <row r="274">
      <c r="B274" s="103"/>
      <c r="G274" s="191"/>
      <c r="H274" s="187"/>
      <c r="I274" s="187"/>
      <c r="J274" s="188"/>
      <c r="K274" s="187"/>
      <c r="L274" s="187"/>
      <c r="M274" s="187"/>
      <c r="N274" s="188"/>
      <c r="O274" s="187"/>
      <c r="Q274" s="187"/>
      <c r="R274" s="190"/>
      <c r="S274" s="187"/>
    </row>
    <row r="275">
      <c r="B275" s="103"/>
      <c r="G275" s="191"/>
      <c r="H275" s="187"/>
      <c r="I275" s="187"/>
      <c r="J275" s="188"/>
      <c r="K275" s="187"/>
      <c r="L275" s="187"/>
      <c r="M275" s="187"/>
      <c r="N275" s="188"/>
      <c r="O275" s="187"/>
      <c r="Q275" s="187"/>
      <c r="R275" s="190"/>
      <c r="S275" s="187"/>
    </row>
    <row r="276">
      <c r="B276" s="103"/>
      <c r="G276" s="191"/>
      <c r="H276" s="187"/>
      <c r="I276" s="187"/>
      <c r="J276" s="188"/>
      <c r="K276" s="187"/>
      <c r="L276" s="187"/>
      <c r="M276" s="187"/>
      <c r="N276" s="188"/>
      <c r="O276" s="187"/>
      <c r="Q276" s="187"/>
      <c r="R276" s="190"/>
      <c r="S276" s="187"/>
    </row>
    <row r="277">
      <c r="B277" s="103"/>
      <c r="G277" s="191"/>
      <c r="H277" s="187"/>
      <c r="I277" s="187"/>
      <c r="J277" s="188"/>
      <c r="K277" s="187"/>
      <c r="L277" s="187"/>
      <c r="M277" s="187"/>
      <c r="N277" s="188"/>
      <c r="O277" s="187"/>
      <c r="Q277" s="187"/>
      <c r="R277" s="190"/>
      <c r="S277" s="187"/>
    </row>
    <row r="278">
      <c r="B278" s="103"/>
      <c r="G278" s="191"/>
      <c r="H278" s="187"/>
      <c r="I278" s="187"/>
      <c r="J278" s="188"/>
      <c r="K278" s="187"/>
      <c r="L278" s="187"/>
      <c r="M278" s="187"/>
      <c r="N278" s="188"/>
      <c r="O278" s="187"/>
      <c r="Q278" s="187"/>
      <c r="R278" s="190"/>
      <c r="S278" s="187"/>
    </row>
    <row r="279">
      <c r="B279" s="103"/>
      <c r="G279" s="191"/>
      <c r="H279" s="187"/>
      <c r="I279" s="187"/>
      <c r="J279" s="188"/>
      <c r="K279" s="187"/>
      <c r="L279" s="187"/>
      <c r="M279" s="187"/>
      <c r="N279" s="188"/>
      <c r="O279" s="187"/>
      <c r="Q279" s="187"/>
      <c r="R279" s="190"/>
      <c r="S279" s="187"/>
    </row>
    <row r="280">
      <c r="B280" s="103"/>
      <c r="G280" s="191"/>
      <c r="H280" s="187"/>
      <c r="I280" s="187"/>
      <c r="J280" s="188"/>
      <c r="K280" s="187"/>
      <c r="L280" s="187"/>
      <c r="M280" s="187"/>
      <c r="N280" s="188"/>
      <c r="O280" s="187"/>
      <c r="Q280" s="187"/>
      <c r="R280" s="190"/>
      <c r="S280" s="187"/>
    </row>
    <row r="281">
      <c r="B281" s="103"/>
      <c r="G281" s="191"/>
      <c r="H281" s="187"/>
      <c r="I281" s="187"/>
      <c r="J281" s="188"/>
      <c r="K281" s="187"/>
      <c r="L281" s="187"/>
      <c r="M281" s="187"/>
      <c r="N281" s="188"/>
      <c r="O281" s="187"/>
      <c r="Q281" s="187"/>
      <c r="R281" s="190"/>
      <c r="S281" s="187"/>
    </row>
    <row r="282">
      <c r="B282" s="103"/>
      <c r="G282" s="191"/>
      <c r="H282" s="187"/>
      <c r="I282" s="187"/>
      <c r="J282" s="188"/>
      <c r="K282" s="187"/>
      <c r="L282" s="187"/>
      <c r="M282" s="187"/>
      <c r="N282" s="188"/>
      <c r="O282" s="187"/>
      <c r="Q282" s="187"/>
      <c r="R282" s="190"/>
      <c r="S282" s="187"/>
    </row>
    <row r="283">
      <c r="B283" s="103"/>
      <c r="G283" s="191"/>
      <c r="H283" s="187"/>
      <c r="I283" s="187"/>
      <c r="J283" s="188"/>
      <c r="K283" s="187"/>
      <c r="L283" s="187"/>
      <c r="M283" s="187"/>
      <c r="N283" s="188"/>
      <c r="O283" s="187"/>
      <c r="Q283" s="187"/>
      <c r="R283" s="190"/>
      <c r="S283" s="187"/>
    </row>
    <row r="284">
      <c r="B284" s="103"/>
      <c r="G284" s="191"/>
      <c r="H284" s="187"/>
      <c r="I284" s="187"/>
      <c r="J284" s="188"/>
      <c r="K284" s="187"/>
      <c r="L284" s="187"/>
      <c r="M284" s="187"/>
      <c r="N284" s="188"/>
      <c r="O284" s="187"/>
      <c r="Q284" s="187"/>
      <c r="R284" s="190"/>
      <c r="S284" s="187"/>
    </row>
    <row r="285">
      <c r="B285" s="103"/>
      <c r="G285" s="191"/>
      <c r="H285" s="187"/>
      <c r="I285" s="187"/>
      <c r="J285" s="188"/>
      <c r="K285" s="187"/>
      <c r="L285" s="187"/>
      <c r="M285" s="187"/>
      <c r="N285" s="188"/>
      <c r="O285" s="187"/>
      <c r="Q285" s="187"/>
      <c r="R285" s="190"/>
      <c r="S285" s="187"/>
    </row>
    <row r="286">
      <c r="B286" s="103"/>
      <c r="G286" s="191"/>
      <c r="H286" s="187"/>
      <c r="I286" s="187"/>
      <c r="J286" s="188"/>
      <c r="K286" s="187"/>
      <c r="L286" s="187"/>
      <c r="M286" s="187"/>
      <c r="N286" s="188"/>
      <c r="O286" s="187"/>
      <c r="Q286" s="187"/>
      <c r="R286" s="190"/>
      <c r="S286" s="187"/>
    </row>
    <row r="287">
      <c r="B287" s="103"/>
      <c r="G287" s="191"/>
      <c r="H287" s="187"/>
      <c r="I287" s="187"/>
      <c r="J287" s="188"/>
      <c r="K287" s="187"/>
      <c r="L287" s="187"/>
      <c r="M287" s="187"/>
      <c r="N287" s="188"/>
      <c r="O287" s="187"/>
      <c r="Q287" s="187"/>
      <c r="R287" s="190"/>
      <c r="S287" s="187"/>
    </row>
    <row r="288">
      <c r="B288" s="103"/>
      <c r="G288" s="191"/>
      <c r="H288" s="187"/>
      <c r="I288" s="187"/>
      <c r="J288" s="188"/>
      <c r="K288" s="187"/>
      <c r="L288" s="187"/>
      <c r="M288" s="187"/>
      <c r="N288" s="188"/>
      <c r="O288" s="187"/>
      <c r="Q288" s="187"/>
      <c r="R288" s="190"/>
      <c r="S288" s="187"/>
    </row>
    <row r="289">
      <c r="B289" s="103"/>
      <c r="G289" s="191"/>
      <c r="H289" s="187"/>
      <c r="I289" s="187"/>
      <c r="J289" s="188"/>
      <c r="K289" s="187"/>
      <c r="L289" s="187"/>
      <c r="M289" s="187"/>
      <c r="N289" s="188"/>
      <c r="O289" s="187"/>
      <c r="Q289" s="187"/>
      <c r="R289" s="190"/>
      <c r="S289" s="187"/>
    </row>
    <row r="290">
      <c r="B290" s="103"/>
      <c r="G290" s="191"/>
      <c r="H290" s="187"/>
      <c r="I290" s="187"/>
      <c r="J290" s="188"/>
      <c r="K290" s="187"/>
      <c r="L290" s="187"/>
      <c r="M290" s="187"/>
      <c r="N290" s="188"/>
      <c r="O290" s="187"/>
      <c r="Q290" s="187"/>
      <c r="R290" s="190"/>
      <c r="S290" s="187"/>
    </row>
    <row r="291">
      <c r="B291" s="103"/>
      <c r="G291" s="191"/>
      <c r="H291" s="187"/>
      <c r="I291" s="187"/>
      <c r="J291" s="188"/>
      <c r="K291" s="187"/>
      <c r="L291" s="187"/>
      <c r="M291" s="187"/>
      <c r="N291" s="188"/>
      <c r="O291" s="187"/>
      <c r="Q291" s="187"/>
      <c r="R291" s="190"/>
      <c r="S291" s="187"/>
    </row>
    <row r="292">
      <c r="B292" s="103"/>
      <c r="G292" s="191"/>
      <c r="H292" s="187"/>
      <c r="I292" s="187"/>
      <c r="J292" s="188"/>
      <c r="K292" s="187"/>
      <c r="L292" s="187"/>
      <c r="M292" s="187"/>
      <c r="N292" s="188"/>
      <c r="O292" s="187"/>
      <c r="Q292" s="187"/>
      <c r="R292" s="190"/>
      <c r="S292" s="187"/>
    </row>
    <row r="293">
      <c r="B293" s="103"/>
      <c r="G293" s="191"/>
      <c r="H293" s="187"/>
      <c r="I293" s="187"/>
      <c r="J293" s="188"/>
      <c r="K293" s="187"/>
      <c r="L293" s="187"/>
      <c r="M293" s="187"/>
      <c r="N293" s="188"/>
      <c r="O293" s="187"/>
      <c r="Q293" s="187"/>
      <c r="R293" s="190"/>
      <c r="S293" s="187"/>
    </row>
    <row r="294">
      <c r="B294" s="103"/>
      <c r="G294" s="191"/>
      <c r="H294" s="187"/>
      <c r="I294" s="187"/>
      <c r="J294" s="188"/>
      <c r="K294" s="187"/>
      <c r="L294" s="187"/>
      <c r="M294" s="187"/>
      <c r="N294" s="188"/>
      <c r="O294" s="187"/>
      <c r="Q294" s="187"/>
      <c r="R294" s="190"/>
      <c r="S294" s="187"/>
    </row>
    <row r="295">
      <c r="B295" s="103"/>
      <c r="G295" s="191"/>
      <c r="H295" s="187"/>
      <c r="I295" s="187"/>
      <c r="J295" s="188"/>
      <c r="K295" s="187"/>
      <c r="L295" s="187"/>
      <c r="M295" s="187"/>
      <c r="N295" s="188"/>
      <c r="O295" s="187"/>
      <c r="Q295" s="187"/>
      <c r="R295" s="190"/>
      <c r="S295" s="187"/>
    </row>
    <row r="296">
      <c r="B296" s="103"/>
      <c r="G296" s="191"/>
      <c r="H296" s="187"/>
      <c r="I296" s="187"/>
      <c r="J296" s="188"/>
      <c r="K296" s="187"/>
      <c r="L296" s="187"/>
      <c r="M296" s="187"/>
      <c r="N296" s="188"/>
      <c r="O296" s="187"/>
      <c r="Q296" s="187"/>
      <c r="R296" s="190"/>
      <c r="S296" s="187"/>
    </row>
    <row r="297">
      <c r="B297" s="103"/>
      <c r="G297" s="191"/>
      <c r="H297" s="187"/>
      <c r="I297" s="187"/>
      <c r="J297" s="188"/>
      <c r="K297" s="187"/>
      <c r="L297" s="187"/>
      <c r="M297" s="187"/>
      <c r="N297" s="188"/>
      <c r="O297" s="187"/>
      <c r="Q297" s="187"/>
      <c r="R297" s="190"/>
      <c r="S297" s="187"/>
    </row>
    <row r="298">
      <c r="B298" s="103"/>
      <c r="G298" s="191"/>
      <c r="H298" s="187"/>
      <c r="I298" s="187"/>
      <c r="J298" s="188"/>
      <c r="K298" s="187"/>
      <c r="L298" s="187"/>
      <c r="M298" s="187"/>
      <c r="N298" s="188"/>
      <c r="O298" s="187"/>
      <c r="Q298" s="187"/>
      <c r="R298" s="190"/>
      <c r="S298" s="187"/>
    </row>
    <row r="299">
      <c r="B299" s="103"/>
      <c r="G299" s="191"/>
      <c r="H299" s="187"/>
      <c r="I299" s="187"/>
      <c r="J299" s="188"/>
      <c r="K299" s="187"/>
      <c r="L299" s="187"/>
      <c r="M299" s="187"/>
      <c r="N299" s="188"/>
      <c r="O299" s="187"/>
      <c r="Q299" s="187"/>
      <c r="R299" s="190"/>
      <c r="S299" s="187"/>
    </row>
    <row r="300">
      <c r="B300" s="103"/>
      <c r="G300" s="191"/>
      <c r="H300" s="187"/>
      <c r="I300" s="187"/>
      <c r="J300" s="188"/>
      <c r="K300" s="187"/>
      <c r="L300" s="187"/>
      <c r="M300" s="187"/>
      <c r="N300" s="188"/>
      <c r="O300" s="187"/>
      <c r="Q300" s="187"/>
      <c r="R300" s="190"/>
      <c r="S300" s="187"/>
    </row>
    <row r="301">
      <c r="B301" s="103"/>
      <c r="G301" s="191"/>
      <c r="H301" s="187"/>
      <c r="I301" s="187"/>
      <c r="J301" s="188"/>
      <c r="K301" s="187"/>
      <c r="L301" s="187"/>
      <c r="M301" s="187"/>
      <c r="N301" s="188"/>
      <c r="O301" s="187"/>
      <c r="Q301" s="187"/>
      <c r="R301" s="190"/>
      <c r="S301" s="187"/>
    </row>
    <row r="302">
      <c r="B302" s="103"/>
      <c r="G302" s="191"/>
      <c r="H302" s="187"/>
      <c r="I302" s="187"/>
      <c r="J302" s="188"/>
      <c r="K302" s="187"/>
      <c r="L302" s="187"/>
      <c r="M302" s="187"/>
      <c r="N302" s="188"/>
      <c r="O302" s="187"/>
      <c r="Q302" s="187"/>
      <c r="R302" s="190"/>
      <c r="S302" s="187"/>
    </row>
    <row r="303">
      <c r="B303" s="103"/>
      <c r="G303" s="191"/>
      <c r="H303" s="187"/>
      <c r="I303" s="187"/>
      <c r="J303" s="188"/>
      <c r="K303" s="187"/>
      <c r="L303" s="187"/>
      <c r="M303" s="187"/>
      <c r="N303" s="188"/>
      <c r="O303" s="187"/>
      <c r="Q303" s="187"/>
      <c r="R303" s="190"/>
      <c r="S303" s="187"/>
    </row>
    <row r="304">
      <c r="B304" s="103"/>
      <c r="G304" s="191"/>
      <c r="H304" s="187"/>
      <c r="I304" s="187"/>
      <c r="J304" s="188"/>
      <c r="K304" s="187"/>
      <c r="L304" s="187"/>
      <c r="M304" s="187"/>
      <c r="N304" s="188"/>
      <c r="O304" s="187"/>
      <c r="Q304" s="187"/>
      <c r="R304" s="190"/>
      <c r="S304" s="187"/>
    </row>
    <row r="305">
      <c r="B305" s="103"/>
      <c r="G305" s="191"/>
      <c r="H305" s="187"/>
      <c r="I305" s="187"/>
      <c r="J305" s="188"/>
      <c r="K305" s="187"/>
      <c r="L305" s="187"/>
      <c r="M305" s="187"/>
      <c r="N305" s="188"/>
      <c r="O305" s="187"/>
      <c r="Q305" s="187"/>
      <c r="R305" s="190"/>
      <c r="S305" s="187"/>
    </row>
    <row r="306">
      <c r="B306" s="103"/>
      <c r="G306" s="191"/>
      <c r="H306" s="187"/>
      <c r="I306" s="187"/>
      <c r="J306" s="188"/>
      <c r="K306" s="187"/>
      <c r="L306" s="187"/>
      <c r="M306" s="187"/>
      <c r="N306" s="188"/>
      <c r="O306" s="187"/>
      <c r="Q306" s="187"/>
      <c r="R306" s="190"/>
      <c r="S306" s="187"/>
    </row>
    <row r="307">
      <c r="B307" s="103"/>
      <c r="G307" s="191"/>
      <c r="H307" s="187"/>
      <c r="I307" s="187"/>
      <c r="J307" s="188"/>
      <c r="K307" s="187"/>
      <c r="L307" s="187"/>
      <c r="M307" s="187"/>
      <c r="N307" s="188"/>
      <c r="O307" s="187"/>
      <c r="Q307" s="187"/>
      <c r="R307" s="190"/>
      <c r="S307" s="187"/>
    </row>
    <row r="308">
      <c r="B308" s="103"/>
      <c r="G308" s="191"/>
      <c r="H308" s="187"/>
      <c r="I308" s="187"/>
      <c r="J308" s="188"/>
      <c r="K308" s="187"/>
      <c r="L308" s="187"/>
      <c r="M308" s="187"/>
      <c r="N308" s="188"/>
      <c r="O308" s="187"/>
      <c r="Q308" s="187"/>
      <c r="R308" s="190"/>
      <c r="S308" s="187"/>
    </row>
    <row r="309">
      <c r="B309" s="103"/>
      <c r="G309" s="191"/>
      <c r="H309" s="187"/>
      <c r="I309" s="187"/>
      <c r="J309" s="188"/>
      <c r="K309" s="187"/>
      <c r="L309" s="187"/>
      <c r="M309" s="187"/>
      <c r="N309" s="188"/>
      <c r="O309" s="187"/>
      <c r="Q309" s="187"/>
      <c r="R309" s="190"/>
      <c r="S309" s="187"/>
    </row>
    <row r="310">
      <c r="B310" s="103"/>
      <c r="G310" s="191"/>
      <c r="H310" s="187"/>
      <c r="I310" s="187"/>
      <c r="J310" s="188"/>
      <c r="K310" s="187"/>
      <c r="L310" s="187"/>
      <c r="M310" s="187"/>
      <c r="N310" s="188"/>
      <c r="O310" s="187"/>
      <c r="Q310" s="187"/>
      <c r="R310" s="190"/>
      <c r="S310" s="187"/>
    </row>
    <row r="311">
      <c r="B311" s="103"/>
      <c r="G311" s="191"/>
      <c r="H311" s="187"/>
      <c r="I311" s="187"/>
      <c r="J311" s="188"/>
      <c r="K311" s="187"/>
      <c r="L311" s="187"/>
      <c r="M311" s="187"/>
      <c r="N311" s="188"/>
      <c r="O311" s="187"/>
      <c r="Q311" s="187"/>
      <c r="R311" s="190"/>
      <c r="S311" s="187"/>
    </row>
    <row r="312">
      <c r="B312" s="103"/>
      <c r="G312" s="191"/>
      <c r="H312" s="187"/>
      <c r="I312" s="187"/>
      <c r="J312" s="188"/>
      <c r="K312" s="187"/>
      <c r="L312" s="187"/>
      <c r="M312" s="187"/>
      <c r="N312" s="188"/>
      <c r="O312" s="187"/>
      <c r="Q312" s="187"/>
      <c r="R312" s="190"/>
      <c r="S312" s="187"/>
    </row>
    <row r="313">
      <c r="B313" s="103"/>
      <c r="G313" s="191"/>
      <c r="H313" s="187"/>
      <c r="I313" s="187"/>
      <c r="J313" s="188"/>
      <c r="K313" s="187"/>
      <c r="L313" s="187"/>
      <c r="M313" s="187"/>
      <c r="N313" s="188"/>
      <c r="O313" s="187"/>
      <c r="Q313" s="187"/>
      <c r="R313" s="190"/>
      <c r="S313" s="187"/>
    </row>
    <row r="314">
      <c r="B314" s="103"/>
      <c r="G314" s="191"/>
      <c r="H314" s="187"/>
      <c r="I314" s="187"/>
      <c r="J314" s="188"/>
      <c r="K314" s="187"/>
      <c r="L314" s="187"/>
      <c r="M314" s="187"/>
      <c r="N314" s="188"/>
      <c r="O314" s="187"/>
      <c r="Q314" s="187"/>
      <c r="R314" s="190"/>
      <c r="S314" s="187"/>
    </row>
    <row r="315">
      <c r="B315" s="103"/>
      <c r="G315" s="191"/>
      <c r="H315" s="187"/>
      <c r="I315" s="187"/>
      <c r="J315" s="188"/>
      <c r="K315" s="187"/>
      <c r="L315" s="187"/>
      <c r="M315" s="187"/>
      <c r="N315" s="188"/>
      <c r="O315" s="187"/>
      <c r="Q315" s="187"/>
      <c r="R315" s="190"/>
      <c r="S315" s="187"/>
    </row>
    <row r="316">
      <c r="B316" s="103"/>
      <c r="G316" s="191"/>
      <c r="H316" s="187"/>
      <c r="I316" s="187"/>
      <c r="J316" s="188"/>
      <c r="K316" s="187"/>
      <c r="L316" s="187"/>
      <c r="M316" s="187"/>
      <c r="N316" s="188"/>
      <c r="O316" s="187"/>
      <c r="Q316" s="187"/>
      <c r="R316" s="190"/>
      <c r="S316" s="187"/>
    </row>
    <row r="317">
      <c r="B317" s="103"/>
      <c r="G317" s="191"/>
      <c r="H317" s="187"/>
      <c r="I317" s="187"/>
      <c r="J317" s="188"/>
      <c r="K317" s="187"/>
      <c r="L317" s="187"/>
      <c r="M317" s="187"/>
      <c r="N317" s="188"/>
      <c r="O317" s="187"/>
      <c r="Q317" s="187"/>
      <c r="R317" s="190"/>
      <c r="S317" s="187"/>
    </row>
    <row r="318">
      <c r="B318" s="103"/>
      <c r="G318" s="191"/>
      <c r="H318" s="187"/>
      <c r="I318" s="187"/>
      <c r="J318" s="188"/>
      <c r="K318" s="187"/>
      <c r="L318" s="187"/>
      <c r="M318" s="187"/>
      <c r="N318" s="188"/>
      <c r="O318" s="187"/>
      <c r="Q318" s="187"/>
      <c r="R318" s="190"/>
      <c r="S318" s="187"/>
    </row>
    <row r="319">
      <c r="B319" s="103"/>
      <c r="G319" s="191"/>
      <c r="H319" s="187"/>
      <c r="I319" s="187"/>
      <c r="J319" s="188"/>
      <c r="K319" s="187"/>
      <c r="L319" s="187"/>
      <c r="M319" s="187"/>
      <c r="N319" s="188"/>
      <c r="O319" s="187"/>
      <c r="Q319" s="187"/>
      <c r="R319" s="190"/>
      <c r="S319" s="187"/>
    </row>
    <row r="320">
      <c r="B320" s="103"/>
      <c r="G320" s="191"/>
      <c r="H320" s="187"/>
      <c r="I320" s="187"/>
      <c r="J320" s="188"/>
      <c r="K320" s="187"/>
      <c r="L320" s="187"/>
      <c r="M320" s="187"/>
      <c r="N320" s="188"/>
      <c r="O320" s="187"/>
      <c r="Q320" s="187"/>
      <c r="R320" s="190"/>
      <c r="S320" s="187"/>
    </row>
    <row r="321">
      <c r="B321" s="103"/>
      <c r="G321" s="191"/>
      <c r="H321" s="187"/>
      <c r="I321" s="187"/>
      <c r="J321" s="188"/>
      <c r="K321" s="187"/>
      <c r="L321" s="187"/>
      <c r="M321" s="187"/>
      <c r="N321" s="188"/>
      <c r="O321" s="187"/>
      <c r="Q321" s="187"/>
      <c r="R321" s="190"/>
      <c r="S321" s="187"/>
    </row>
    <row r="322">
      <c r="B322" s="103"/>
      <c r="G322" s="191"/>
      <c r="H322" s="187"/>
      <c r="I322" s="187"/>
      <c r="J322" s="188"/>
      <c r="K322" s="187"/>
      <c r="L322" s="187"/>
      <c r="M322" s="187"/>
      <c r="N322" s="188"/>
      <c r="O322" s="187"/>
      <c r="Q322" s="187"/>
      <c r="R322" s="190"/>
      <c r="S322" s="187"/>
    </row>
    <row r="323">
      <c r="B323" s="103"/>
      <c r="G323" s="191"/>
      <c r="H323" s="187"/>
      <c r="I323" s="187"/>
      <c r="J323" s="188"/>
      <c r="K323" s="187"/>
      <c r="L323" s="187"/>
      <c r="M323" s="187"/>
      <c r="N323" s="188"/>
      <c r="O323" s="187"/>
      <c r="Q323" s="187"/>
      <c r="R323" s="190"/>
      <c r="S323" s="187"/>
    </row>
    <row r="324">
      <c r="B324" s="103"/>
      <c r="G324" s="191"/>
      <c r="H324" s="187"/>
      <c r="I324" s="187"/>
      <c r="J324" s="188"/>
      <c r="K324" s="187"/>
      <c r="L324" s="187"/>
      <c r="M324" s="187"/>
      <c r="N324" s="188"/>
      <c r="O324" s="187"/>
      <c r="Q324" s="187"/>
      <c r="R324" s="190"/>
      <c r="S324" s="187"/>
    </row>
    <row r="325">
      <c r="B325" s="103"/>
      <c r="G325" s="191"/>
      <c r="H325" s="187"/>
      <c r="I325" s="187"/>
      <c r="J325" s="188"/>
      <c r="K325" s="187"/>
      <c r="L325" s="187"/>
      <c r="M325" s="187"/>
      <c r="N325" s="188"/>
      <c r="O325" s="187"/>
      <c r="Q325" s="187"/>
      <c r="R325" s="190"/>
      <c r="S325" s="187"/>
    </row>
    <row r="326">
      <c r="B326" s="103"/>
      <c r="G326" s="191"/>
      <c r="H326" s="187"/>
      <c r="I326" s="187"/>
      <c r="J326" s="188"/>
      <c r="K326" s="187"/>
      <c r="L326" s="187"/>
      <c r="M326" s="187"/>
      <c r="N326" s="188"/>
      <c r="O326" s="187"/>
      <c r="Q326" s="187"/>
      <c r="R326" s="190"/>
      <c r="S326" s="187"/>
    </row>
    <row r="327">
      <c r="B327" s="103"/>
      <c r="G327" s="191"/>
      <c r="H327" s="187"/>
      <c r="I327" s="187"/>
      <c r="J327" s="188"/>
      <c r="K327" s="187"/>
      <c r="L327" s="187"/>
      <c r="M327" s="187"/>
      <c r="N327" s="188"/>
      <c r="O327" s="187"/>
      <c r="Q327" s="187"/>
      <c r="R327" s="190"/>
      <c r="S327" s="187"/>
    </row>
    <row r="328">
      <c r="B328" s="103"/>
      <c r="G328" s="191"/>
      <c r="H328" s="187"/>
      <c r="I328" s="187"/>
      <c r="J328" s="188"/>
      <c r="K328" s="187"/>
      <c r="L328" s="187"/>
      <c r="M328" s="187"/>
      <c r="N328" s="188"/>
      <c r="O328" s="187"/>
      <c r="Q328" s="187"/>
      <c r="R328" s="190"/>
      <c r="S328" s="187"/>
    </row>
    <row r="329">
      <c r="B329" s="103"/>
      <c r="G329" s="191"/>
      <c r="H329" s="187"/>
      <c r="I329" s="187"/>
      <c r="J329" s="188"/>
      <c r="K329" s="187"/>
      <c r="L329" s="187"/>
      <c r="M329" s="187"/>
      <c r="N329" s="188"/>
      <c r="O329" s="187"/>
      <c r="Q329" s="187"/>
      <c r="R329" s="190"/>
      <c r="S329" s="187"/>
    </row>
    <row r="330">
      <c r="B330" s="103"/>
      <c r="G330" s="191"/>
      <c r="H330" s="187"/>
      <c r="I330" s="187"/>
      <c r="J330" s="188"/>
      <c r="K330" s="187"/>
      <c r="L330" s="187"/>
      <c r="M330" s="187"/>
      <c r="N330" s="188"/>
      <c r="O330" s="187"/>
      <c r="Q330" s="187"/>
      <c r="R330" s="190"/>
      <c r="S330" s="187"/>
    </row>
    <row r="331">
      <c r="B331" s="103"/>
      <c r="G331" s="191"/>
      <c r="H331" s="187"/>
      <c r="I331" s="187"/>
      <c r="J331" s="188"/>
      <c r="K331" s="187"/>
      <c r="L331" s="187"/>
      <c r="M331" s="187"/>
      <c r="N331" s="188"/>
      <c r="O331" s="187"/>
      <c r="Q331" s="187"/>
      <c r="R331" s="190"/>
      <c r="S331" s="187"/>
    </row>
    <row r="332">
      <c r="B332" s="103"/>
      <c r="G332" s="191"/>
      <c r="H332" s="187"/>
      <c r="I332" s="187"/>
      <c r="J332" s="188"/>
      <c r="K332" s="187"/>
      <c r="L332" s="187"/>
      <c r="M332" s="187"/>
      <c r="N332" s="188"/>
      <c r="O332" s="187"/>
      <c r="Q332" s="187"/>
      <c r="R332" s="190"/>
      <c r="S332" s="187"/>
    </row>
    <row r="333">
      <c r="B333" s="103"/>
      <c r="G333" s="191"/>
      <c r="H333" s="187"/>
      <c r="I333" s="187"/>
      <c r="J333" s="188"/>
      <c r="K333" s="187"/>
      <c r="L333" s="187"/>
      <c r="M333" s="187"/>
      <c r="N333" s="188"/>
      <c r="O333" s="187"/>
      <c r="Q333" s="187"/>
      <c r="R333" s="190"/>
      <c r="S333" s="187"/>
    </row>
    <row r="334">
      <c r="B334" s="103"/>
      <c r="G334" s="191"/>
      <c r="H334" s="187"/>
      <c r="I334" s="187"/>
      <c r="J334" s="188"/>
      <c r="K334" s="187"/>
      <c r="L334" s="187"/>
      <c r="M334" s="187"/>
      <c r="N334" s="188"/>
      <c r="O334" s="187"/>
      <c r="Q334" s="187"/>
      <c r="R334" s="190"/>
      <c r="S334" s="187"/>
    </row>
    <row r="335">
      <c r="B335" s="103"/>
      <c r="G335" s="191"/>
      <c r="H335" s="187"/>
      <c r="I335" s="187"/>
      <c r="J335" s="188"/>
      <c r="K335" s="187"/>
      <c r="L335" s="187"/>
      <c r="M335" s="187"/>
      <c r="N335" s="188"/>
      <c r="O335" s="187"/>
      <c r="Q335" s="187"/>
      <c r="R335" s="190"/>
      <c r="S335" s="187"/>
    </row>
    <row r="336">
      <c r="B336" s="103"/>
      <c r="G336" s="191"/>
      <c r="H336" s="187"/>
      <c r="I336" s="187"/>
      <c r="J336" s="188"/>
      <c r="K336" s="187"/>
      <c r="L336" s="187"/>
      <c r="M336" s="187"/>
      <c r="N336" s="188"/>
      <c r="O336" s="187"/>
      <c r="Q336" s="187"/>
      <c r="R336" s="190"/>
      <c r="S336" s="187"/>
    </row>
    <row r="337">
      <c r="B337" s="103"/>
      <c r="G337" s="191"/>
      <c r="H337" s="187"/>
      <c r="I337" s="187"/>
      <c r="J337" s="188"/>
      <c r="K337" s="187"/>
      <c r="L337" s="187"/>
      <c r="M337" s="187"/>
      <c r="N337" s="188"/>
      <c r="O337" s="187"/>
      <c r="Q337" s="187"/>
      <c r="R337" s="190"/>
      <c r="S337" s="187"/>
    </row>
    <row r="338">
      <c r="B338" s="103"/>
      <c r="G338" s="191"/>
      <c r="H338" s="187"/>
      <c r="I338" s="187"/>
      <c r="J338" s="188"/>
      <c r="K338" s="187"/>
      <c r="L338" s="187"/>
      <c r="M338" s="187"/>
      <c r="N338" s="188"/>
      <c r="O338" s="187"/>
      <c r="Q338" s="187"/>
      <c r="R338" s="190"/>
      <c r="S338" s="187"/>
    </row>
    <row r="339">
      <c r="B339" s="103"/>
      <c r="G339" s="191"/>
      <c r="H339" s="187"/>
      <c r="I339" s="187"/>
      <c r="J339" s="188"/>
      <c r="K339" s="187"/>
      <c r="L339" s="187"/>
      <c r="M339" s="187"/>
      <c r="N339" s="188"/>
      <c r="O339" s="187"/>
      <c r="Q339" s="187"/>
      <c r="R339" s="190"/>
      <c r="S339" s="187"/>
    </row>
    <row r="340">
      <c r="B340" s="103"/>
      <c r="G340" s="191"/>
      <c r="H340" s="187"/>
      <c r="I340" s="187"/>
      <c r="J340" s="188"/>
      <c r="K340" s="187"/>
      <c r="L340" s="187"/>
      <c r="M340" s="187"/>
      <c r="N340" s="188"/>
      <c r="O340" s="187"/>
      <c r="Q340" s="187"/>
      <c r="R340" s="190"/>
      <c r="S340" s="187"/>
    </row>
    <row r="341">
      <c r="B341" s="103"/>
      <c r="G341" s="191"/>
      <c r="H341" s="187"/>
      <c r="I341" s="187"/>
      <c r="J341" s="188"/>
      <c r="K341" s="187"/>
      <c r="L341" s="187"/>
      <c r="M341" s="187"/>
      <c r="N341" s="188"/>
      <c r="O341" s="187"/>
      <c r="Q341" s="187"/>
      <c r="R341" s="190"/>
      <c r="S341" s="187"/>
    </row>
    <row r="342">
      <c r="B342" s="103"/>
      <c r="G342" s="191"/>
      <c r="H342" s="187"/>
      <c r="I342" s="187"/>
      <c r="J342" s="188"/>
      <c r="K342" s="187"/>
      <c r="L342" s="187"/>
      <c r="M342" s="187"/>
      <c r="N342" s="188"/>
      <c r="O342" s="187"/>
      <c r="Q342" s="187"/>
      <c r="R342" s="190"/>
      <c r="S342" s="187"/>
    </row>
    <row r="343">
      <c r="B343" s="103"/>
      <c r="G343" s="191"/>
      <c r="H343" s="187"/>
      <c r="I343" s="187"/>
      <c r="J343" s="188"/>
      <c r="K343" s="187"/>
      <c r="L343" s="187"/>
      <c r="M343" s="187"/>
      <c r="N343" s="188"/>
      <c r="O343" s="187"/>
      <c r="Q343" s="187"/>
      <c r="R343" s="190"/>
      <c r="S343" s="187"/>
    </row>
    <row r="344">
      <c r="B344" s="103"/>
      <c r="G344" s="191"/>
      <c r="H344" s="187"/>
      <c r="I344" s="187"/>
      <c r="J344" s="188"/>
      <c r="K344" s="187"/>
      <c r="L344" s="187"/>
      <c r="M344" s="187"/>
      <c r="N344" s="188"/>
      <c r="O344" s="187"/>
      <c r="Q344" s="187"/>
      <c r="R344" s="190"/>
      <c r="S344" s="187"/>
    </row>
    <row r="345">
      <c r="B345" s="103"/>
      <c r="G345" s="191"/>
      <c r="H345" s="187"/>
      <c r="I345" s="187"/>
      <c r="J345" s="188"/>
      <c r="K345" s="187"/>
      <c r="L345" s="187"/>
      <c r="M345" s="187"/>
      <c r="N345" s="188"/>
      <c r="O345" s="187"/>
      <c r="Q345" s="187"/>
      <c r="R345" s="190"/>
      <c r="S345" s="187"/>
    </row>
    <row r="346">
      <c r="B346" s="103"/>
      <c r="G346" s="191"/>
      <c r="H346" s="187"/>
      <c r="I346" s="187"/>
      <c r="J346" s="188"/>
      <c r="K346" s="187"/>
      <c r="L346" s="187"/>
      <c r="M346" s="187"/>
      <c r="N346" s="188"/>
      <c r="O346" s="187"/>
      <c r="Q346" s="187"/>
      <c r="R346" s="190"/>
      <c r="S346" s="187"/>
    </row>
    <row r="347">
      <c r="B347" s="103"/>
      <c r="G347" s="191"/>
      <c r="H347" s="187"/>
      <c r="I347" s="187"/>
      <c r="J347" s="188"/>
      <c r="K347" s="187"/>
      <c r="L347" s="187"/>
      <c r="M347" s="187"/>
      <c r="N347" s="188"/>
      <c r="O347" s="187"/>
      <c r="Q347" s="187"/>
      <c r="R347" s="190"/>
      <c r="S347" s="187"/>
    </row>
    <row r="348">
      <c r="B348" s="103"/>
      <c r="G348" s="191"/>
      <c r="H348" s="187"/>
      <c r="I348" s="187"/>
      <c r="J348" s="188"/>
      <c r="K348" s="187"/>
      <c r="L348" s="187"/>
      <c r="M348" s="187"/>
      <c r="N348" s="188"/>
      <c r="O348" s="187"/>
      <c r="Q348" s="187"/>
      <c r="R348" s="190"/>
      <c r="S348" s="187"/>
    </row>
    <row r="349">
      <c r="B349" s="103"/>
      <c r="G349" s="191"/>
      <c r="H349" s="187"/>
      <c r="I349" s="187"/>
      <c r="J349" s="188"/>
      <c r="K349" s="187"/>
      <c r="L349" s="187"/>
      <c r="M349" s="187"/>
      <c r="N349" s="188"/>
      <c r="O349" s="187"/>
      <c r="Q349" s="187"/>
      <c r="R349" s="190"/>
      <c r="S349" s="187"/>
    </row>
    <row r="350">
      <c r="B350" s="103"/>
      <c r="G350" s="191"/>
      <c r="H350" s="187"/>
      <c r="I350" s="187"/>
      <c r="J350" s="188"/>
      <c r="K350" s="187"/>
      <c r="L350" s="187"/>
      <c r="M350" s="187"/>
      <c r="N350" s="188"/>
      <c r="O350" s="187"/>
      <c r="Q350" s="187"/>
      <c r="R350" s="190"/>
      <c r="S350" s="187"/>
    </row>
    <row r="351">
      <c r="B351" s="103"/>
      <c r="G351" s="191"/>
      <c r="H351" s="187"/>
      <c r="I351" s="187"/>
      <c r="J351" s="188"/>
      <c r="K351" s="187"/>
      <c r="L351" s="187"/>
      <c r="M351" s="187"/>
      <c r="N351" s="188"/>
      <c r="O351" s="187"/>
      <c r="Q351" s="187"/>
      <c r="R351" s="190"/>
      <c r="S351" s="187"/>
    </row>
    <row r="352">
      <c r="B352" s="103"/>
      <c r="G352" s="191"/>
      <c r="H352" s="187"/>
      <c r="I352" s="187"/>
      <c r="J352" s="188"/>
      <c r="K352" s="187"/>
      <c r="L352" s="187"/>
      <c r="M352" s="187"/>
      <c r="N352" s="188"/>
      <c r="O352" s="187"/>
      <c r="Q352" s="187"/>
      <c r="R352" s="190"/>
      <c r="S352" s="187"/>
    </row>
    <row r="353">
      <c r="B353" s="103"/>
      <c r="G353" s="191"/>
      <c r="H353" s="187"/>
      <c r="I353" s="187"/>
      <c r="J353" s="188"/>
      <c r="K353" s="187"/>
      <c r="L353" s="187"/>
      <c r="M353" s="187"/>
      <c r="N353" s="188"/>
      <c r="O353" s="187"/>
      <c r="Q353" s="187"/>
      <c r="R353" s="190"/>
      <c r="S353" s="187"/>
    </row>
    <row r="354">
      <c r="B354" s="103"/>
      <c r="G354" s="191"/>
      <c r="H354" s="187"/>
      <c r="I354" s="187"/>
      <c r="J354" s="188"/>
      <c r="K354" s="187"/>
      <c r="L354" s="187"/>
      <c r="M354" s="187"/>
      <c r="N354" s="188"/>
      <c r="O354" s="187"/>
      <c r="Q354" s="187"/>
      <c r="R354" s="190"/>
      <c r="S354" s="187"/>
    </row>
    <row r="355">
      <c r="B355" s="103"/>
      <c r="G355" s="191"/>
      <c r="H355" s="187"/>
      <c r="I355" s="187"/>
      <c r="J355" s="188"/>
      <c r="K355" s="187"/>
      <c r="L355" s="187"/>
      <c r="M355" s="187"/>
      <c r="N355" s="188"/>
      <c r="O355" s="187"/>
      <c r="Q355" s="187"/>
      <c r="R355" s="190"/>
      <c r="S355" s="187"/>
    </row>
    <row r="356">
      <c r="B356" s="103"/>
      <c r="G356" s="191"/>
      <c r="H356" s="187"/>
      <c r="I356" s="187"/>
      <c r="J356" s="188"/>
      <c r="K356" s="187"/>
      <c r="L356" s="187"/>
      <c r="M356" s="187"/>
      <c r="N356" s="188"/>
      <c r="O356" s="187"/>
      <c r="Q356" s="187"/>
      <c r="R356" s="190"/>
      <c r="S356" s="187"/>
    </row>
    <row r="357">
      <c r="B357" s="103"/>
      <c r="G357" s="191"/>
      <c r="H357" s="187"/>
      <c r="I357" s="187"/>
      <c r="J357" s="188"/>
      <c r="K357" s="187"/>
      <c r="L357" s="187"/>
      <c r="M357" s="187"/>
      <c r="N357" s="188"/>
      <c r="O357" s="187"/>
      <c r="Q357" s="187"/>
      <c r="R357" s="190"/>
      <c r="S357" s="187"/>
    </row>
    <row r="358">
      <c r="B358" s="103"/>
      <c r="G358" s="191"/>
      <c r="H358" s="187"/>
      <c r="I358" s="187"/>
      <c r="J358" s="188"/>
      <c r="K358" s="187"/>
      <c r="L358" s="187"/>
      <c r="M358" s="187"/>
      <c r="N358" s="188"/>
      <c r="O358" s="187"/>
      <c r="Q358" s="187"/>
      <c r="R358" s="190"/>
      <c r="S358" s="187"/>
    </row>
    <row r="359">
      <c r="B359" s="103"/>
      <c r="G359" s="191"/>
      <c r="H359" s="187"/>
      <c r="I359" s="187"/>
      <c r="J359" s="188"/>
      <c r="K359" s="187"/>
      <c r="L359" s="187"/>
      <c r="M359" s="187"/>
      <c r="N359" s="188"/>
      <c r="O359" s="187"/>
      <c r="Q359" s="187"/>
      <c r="R359" s="190"/>
      <c r="S359" s="187"/>
    </row>
    <row r="360">
      <c r="B360" s="103"/>
      <c r="G360" s="191"/>
      <c r="H360" s="187"/>
      <c r="I360" s="187"/>
      <c r="J360" s="188"/>
      <c r="K360" s="187"/>
      <c r="L360" s="187"/>
      <c r="M360" s="187"/>
      <c r="N360" s="188"/>
      <c r="O360" s="187"/>
      <c r="Q360" s="187"/>
      <c r="R360" s="190"/>
      <c r="S360" s="187"/>
    </row>
    <row r="361">
      <c r="B361" s="103"/>
      <c r="G361" s="191"/>
      <c r="H361" s="187"/>
      <c r="I361" s="187"/>
      <c r="J361" s="188"/>
      <c r="K361" s="187"/>
      <c r="L361" s="187"/>
      <c r="M361" s="187"/>
      <c r="N361" s="188"/>
      <c r="O361" s="187"/>
      <c r="Q361" s="187"/>
      <c r="R361" s="190"/>
      <c r="S361" s="187"/>
    </row>
    <row r="362">
      <c r="B362" s="103"/>
      <c r="G362" s="191"/>
      <c r="H362" s="187"/>
      <c r="I362" s="187"/>
      <c r="J362" s="188"/>
      <c r="K362" s="187"/>
      <c r="L362" s="187"/>
      <c r="M362" s="187"/>
      <c r="N362" s="188"/>
      <c r="O362" s="187"/>
      <c r="Q362" s="187"/>
      <c r="R362" s="190"/>
      <c r="S362" s="187"/>
    </row>
    <row r="363">
      <c r="B363" s="103"/>
      <c r="G363" s="191"/>
      <c r="H363" s="187"/>
      <c r="I363" s="187"/>
      <c r="J363" s="188"/>
      <c r="K363" s="187"/>
      <c r="L363" s="187"/>
      <c r="M363" s="187"/>
      <c r="N363" s="188"/>
      <c r="O363" s="187"/>
      <c r="Q363" s="187"/>
      <c r="R363" s="190"/>
      <c r="S363" s="187"/>
    </row>
    <row r="364">
      <c r="B364" s="103"/>
      <c r="G364" s="191"/>
      <c r="H364" s="187"/>
      <c r="I364" s="187"/>
      <c r="J364" s="188"/>
      <c r="K364" s="187"/>
      <c r="L364" s="187"/>
      <c r="M364" s="187"/>
      <c r="N364" s="188"/>
      <c r="O364" s="187"/>
      <c r="Q364" s="187"/>
      <c r="R364" s="190"/>
      <c r="S364" s="187"/>
    </row>
    <row r="365">
      <c r="B365" s="103"/>
      <c r="G365" s="191"/>
      <c r="H365" s="187"/>
      <c r="I365" s="187"/>
      <c r="J365" s="188"/>
      <c r="K365" s="187"/>
      <c r="L365" s="187"/>
      <c r="M365" s="187"/>
      <c r="N365" s="188"/>
      <c r="O365" s="187"/>
      <c r="Q365" s="187"/>
      <c r="R365" s="190"/>
      <c r="S365" s="187"/>
    </row>
    <row r="366">
      <c r="B366" s="103"/>
      <c r="G366" s="191"/>
      <c r="H366" s="187"/>
      <c r="I366" s="187"/>
      <c r="J366" s="188"/>
      <c r="K366" s="187"/>
      <c r="L366" s="187"/>
      <c r="M366" s="187"/>
      <c r="N366" s="188"/>
      <c r="O366" s="187"/>
      <c r="Q366" s="187"/>
      <c r="R366" s="190"/>
      <c r="S366" s="187"/>
    </row>
    <row r="367">
      <c r="B367" s="103"/>
      <c r="G367" s="191"/>
      <c r="H367" s="187"/>
      <c r="I367" s="187"/>
      <c r="J367" s="188"/>
      <c r="K367" s="187"/>
      <c r="L367" s="187"/>
      <c r="M367" s="187"/>
      <c r="N367" s="188"/>
      <c r="O367" s="187"/>
      <c r="Q367" s="187"/>
      <c r="R367" s="190"/>
      <c r="S367" s="187"/>
    </row>
    <row r="368">
      <c r="B368" s="103"/>
      <c r="G368" s="191"/>
      <c r="H368" s="187"/>
      <c r="I368" s="187"/>
      <c r="J368" s="188"/>
      <c r="K368" s="187"/>
      <c r="L368" s="187"/>
      <c r="M368" s="187"/>
      <c r="N368" s="188"/>
      <c r="O368" s="187"/>
      <c r="Q368" s="187"/>
      <c r="R368" s="190"/>
      <c r="S368" s="187"/>
    </row>
    <row r="369">
      <c r="B369" s="103"/>
      <c r="G369" s="191"/>
      <c r="H369" s="187"/>
      <c r="I369" s="187"/>
      <c r="J369" s="188"/>
      <c r="K369" s="187"/>
      <c r="L369" s="187"/>
      <c r="M369" s="187"/>
      <c r="N369" s="188"/>
      <c r="O369" s="187"/>
      <c r="Q369" s="187"/>
      <c r="R369" s="190"/>
      <c r="S369" s="187"/>
    </row>
    <row r="370">
      <c r="B370" s="103"/>
      <c r="G370" s="191"/>
      <c r="H370" s="187"/>
      <c r="I370" s="187"/>
      <c r="J370" s="188"/>
      <c r="K370" s="187"/>
      <c r="L370" s="187"/>
      <c r="M370" s="187"/>
      <c r="N370" s="188"/>
      <c r="O370" s="187"/>
      <c r="Q370" s="187"/>
      <c r="R370" s="190"/>
      <c r="S370" s="187"/>
    </row>
    <row r="371">
      <c r="B371" s="103"/>
      <c r="G371" s="191"/>
      <c r="H371" s="187"/>
      <c r="I371" s="187"/>
      <c r="J371" s="188"/>
      <c r="K371" s="187"/>
      <c r="L371" s="187"/>
      <c r="M371" s="187"/>
      <c r="N371" s="188"/>
      <c r="O371" s="187"/>
      <c r="Q371" s="187"/>
      <c r="R371" s="190"/>
      <c r="S371" s="187"/>
    </row>
    <row r="372">
      <c r="B372" s="103"/>
      <c r="G372" s="191"/>
      <c r="H372" s="187"/>
      <c r="I372" s="187"/>
      <c r="J372" s="188"/>
      <c r="K372" s="187"/>
      <c r="L372" s="187"/>
      <c r="M372" s="187"/>
      <c r="N372" s="188"/>
      <c r="O372" s="187"/>
      <c r="Q372" s="187"/>
      <c r="R372" s="190"/>
      <c r="S372" s="187"/>
    </row>
    <row r="373">
      <c r="B373" s="103"/>
      <c r="G373" s="191"/>
      <c r="H373" s="187"/>
      <c r="I373" s="187"/>
      <c r="J373" s="188"/>
      <c r="K373" s="187"/>
      <c r="L373" s="187"/>
      <c r="M373" s="187"/>
      <c r="N373" s="188"/>
      <c r="O373" s="187"/>
      <c r="Q373" s="187"/>
      <c r="R373" s="190"/>
      <c r="S373" s="187"/>
    </row>
    <row r="374">
      <c r="B374" s="103"/>
      <c r="G374" s="191"/>
      <c r="H374" s="187"/>
      <c r="I374" s="187"/>
      <c r="J374" s="188"/>
      <c r="K374" s="187"/>
      <c r="L374" s="187"/>
      <c r="M374" s="187"/>
      <c r="N374" s="188"/>
      <c r="O374" s="187"/>
      <c r="Q374" s="187"/>
      <c r="R374" s="190"/>
      <c r="S374" s="187"/>
    </row>
    <row r="375">
      <c r="B375" s="103"/>
      <c r="G375" s="191"/>
      <c r="H375" s="187"/>
      <c r="I375" s="187"/>
      <c r="J375" s="188"/>
      <c r="K375" s="187"/>
      <c r="L375" s="187"/>
      <c r="M375" s="187"/>
      <c r="N375" s="188"/>
      <c r="O375" s="187"/>
      <c r="Q375" s="187"/>
      <c r="R375" s="190"/>
      <c r="S375" s="187"/>
    </row>
    <row r="376">
      <c r="B376" s="103"/>
      <c r="G376" s="191"/>
      <c r="H376" s="187"/>
      <c r="I376" s="187"/>
      <c r="J376" s="188"/>
      <c r="K376" s="187"/>
      <c r="L376" s="187"/>
      <c r="M376" s="187"/>
      <c r="N376" s="188"/>
      <c r="O376" s="187"/>
      <c r="Q376" s="187"/>
      <c r="R376" s="190"/>
      <c r="S376" s="187"/>
    </row>
    <row r="377">
      <c r="B377" s="103"/>
      <c r="G377" s="191"/>
      <c r="H377" s="187"/>
      <c r="I377" s="187"/>
      <c r="J377" s="188"/>
      <c r="K377" s="187"/>
      <c r="L377" s="187"/>
      <c r="M377" s="187"/>
      <c r="N377" s="188"/>
      <c r="O377" s="187"/>
      <c r="Q377" s="187"/>
      <c r="R377" s="190"/>
      <c r="S377" s="187"/>
    </row>
    <row r="378">
      <c r="B378" s="103"/>
      <c r="G378" s="191"/>
      <c r="H378" s="187"/>
      <c r="I378" s="187"/>
      <c r="J378" s="188"/>
      <c r="K378" s="187"/>
      <c r="L378" s="187"/>
      <c r="M378" s="187"/>
      <c r="N378" s="188"/>
      <c r="O378" s="187"/>
      <c r="Q378" s="187"/>
      <c r="R378" s="190"/>
      <c r="S378" s="187"/>
    </row>
    <row r="379">
      <c r="B379" s="103"/>
      <c r="G379" s="191"/>
      <c r="H379" s="187"/>
      <c r="I379" s="187"/>
      <c r="J379" s="188"/>
      <c r="K379" s="187"/>
      <c r="L379" s="187"/>
      <c r="M379" s="187"/>
      <c r="N379" s="188"/>
      <c r="O379" s="187"/>
      <c r="Q379" s="187"/>
      <c r="R379" s="190"/>
      <c r="S379" s="187"/>
    </row>
    <row r="380">
      <c r="B380" s="103"/>
      <c r="G380" s="191"/>
      <c r="H380" s="187"/>
      <c r="I380" s="187"/>
      <c r="J380" s="188"/>
      <c r="K380" s="187"/>
      <c r="L380" s="187"/>
      <c r="M380" s="187"/>
      <c r="N380" s="188"/>
      <c r="O380" s="187"/>
      <c r="Q380" s="187"/>
      <c r="R380" s="190"/>
      <c r="S380" s="187"/>
    </row>
    <row r="381">
      <c r="B381" s="103"/>
      <c r="G381" s="191"/>
      <c r="H381" s="187"/>
      <c r="I381" s="187"/>
      <c r="J381" s="188"/>
      <c r="K381" s="187"/>
      <c r="L381" s="187"/>
      <c r="M381" s="187"/>
      <c r="N381" s="188"/>
      <c r="O381" s="187"/>
      <c r="Q381" s="187"/>
      <c r="R381" s="190"/>
      <c r="S381" s="187"/>
    </row>
    <row r="382">
      <c r="B382" s="103"/>
      <c r="G382" s="191"/>
      <c r="H382" s="187"/>
      <c r="I382" s="187"/>
      <c r="J382" s="188"/>
      <c r="K382" s="187"/>
      <c r="L382" s="187"/>
      <c r="M382" s="187"/>
      <c r="N382" s="188"/>
      <c r="O382" s="187"/>
      <c r="Q382" s="187"/>
      <c r="R382" s="190"/>
      <c r="S382" s="187"/>
    </row>
    <row r="383">
      <c r="B383" s="103"/>
      <c r="G383" s="191"/>
      <c r="H383" s="187"/>
      <c r="I383" s="187"/>
      <c r="J383" s="188"/>
      <c r="K383" s="187"/>
      <c r="L383" s="187"/>
      <c r="M383" s="187"/>
      <c r="N383" s="188"/>
      <c r="O383" s="187"/>
      <c r="Q383" s="187"/>
      <c r="R383" s="190"/>
      <c r="S383" s="187"/>
    </row>
    <row r="384">
      <c r="B384" s="103"/>
      <c r="G384" s="191"/>
      <c r="H384" s="187"/>
      <c r="I384" s="187"/>
      <c r="J384" s="188"/>
      <c r="K384" s="187"/>
      <c r="L384" s="187"/>
      <c r="M384" s="187"/>
      <c r="N384" s="188"/>
      <c r="O384" s="187"/>
      <c r="Q384" s="187"/>
      <c r="R384" s="190"/>
      <c r="S384" s="187"/>
    </row>
    <row r="385">
      <c r="B385" s="103"/>
      <c r="G385" s="191"/>
      <c r="H385" s="187"/>
      <c r="I385" s="187"/>
      <c r="J385" s="188"/>
      <c r="K385" s="187"/>
      <c r="L385" s="187"/>
      <c r="M385" s="187"/>
      <c r="N385" s="188"/>
      <c r="O385" s="187"/>
      <c r="Q385" s="187"/>
      <c r="R385" s="190"/>
      <c r="S385" s="187"/>
    </row>
    <row r="386">
      <c r="B386" s="103"/>
      <c r="G386" s="191"/>
      <c r="H386" s="187"/>
      <c r="I386" s="187"/>
      <c r="J386" s="188"/>
      <c r="K386" s="187"/>
      <c r="L386" s="187"/>
      <c r="M386" s="187"/>
      <c r="N386" s="188"/>
      <c r="O386" s="187"/>
      <c r="Q386" s="187"/>
      <c r="R386" s="190"/>
      <c r="S386" s="187"/>
    </row>
    <row r="387">
      <c r="B387" s="103"/>
      <c r="G387" s="191"/>
      <c r="H387" s="187"/>
      <c r="I387" s="187"/>
      <c r="J387" s="188"/>
      <c r="K387" s="187"/>
      <c r="L387" s="187"/>
      <c r="M387" s="187"/>
      <c r="N387" s="188"/>
      <c r="O387" s="187"/>
      <c r="Q387" s="187"/>
      <c r="R387" s="190"/>
      <c r="S387" s="187"/>
    </row>
    <row r="388">
      <c r="B388" s="103"/>
      <c r="G388" s="191"/>
      <c r="H388" s="187"/>
      <c r="I388" s="187"/>
      <c r="J388" s="188"/>
      <c r="K388" s="187"/>
      <c r="L388" s="187"/>
      <c r="M388" s="187"/>
      <c r="N388" s="188"/>
      <c r="O388" s="187"/>
      <c r="Q388" s="187"/>
      <c r="R388" s="190"/>
      <c r="S388" s="187"/>
    </row>
    <row r="389">
      <c r="B389" s="103"/>
      <c r="G389" s="191"/>
      <c r="H389" s="187"/>
      <c r="I389" s="187"/>
      <c r="J389" s="188"/>
      <c r="K389" s="187"/>
      <c r="L389" s="187"/>
      <c r="M389" s="187"/>
      <c r="N389" s="188"/>
      <c r="O389" s="187"/>
      <c r="Q389" s="187"/>
      <c r="R389" s="190"/>
      <c r="S389" s="187"/>
    </row>
    <row r="390">
      <c r="B390" s="103"/>
      <c r="G390" s="191"/>
      <c r="H390" s="187"/>
      <c r="I390" s="187"/>
      <c r="J390" s="188"/>
      <c r="K390" s="187"/>
      <c r="L390" s="187"/>
      <c r="M390" s="187"/>
      <c r="N390" s="188"/>
      <c r="O390" s="187"/>
      <c r="Q390" s="187"/>
      <c r="R390" s="190"/>
      <c r="S390" s="187"/>
    </row>
    <row r="391">
      <c r="B391" s="103"/>
      <c r="G391" s="191"/>
      <c r="H391" s="187"/>
      <c r="I391" s="187"/>
      <c r="J391" s="188"/>
      <c r="K391" s="187"/>
      <c r="L391" s="187"/>
      <c r="M391" s="187"/>
      <c r="N391" s="188"/>
      <c r="O391" s="187"/>
      <c r="Q391" s="187"/>
      <c r="R391" s="190"/>
      <c r="S391" s="187"/>
    </row>
    <row r="392">
      <c r="B392" s="103"/>
      <c r="G392" s="191"/>
      <c r="H392" s="187"/>
      <c r="I392" s="187"/>
      <c r="J392" s="188"/>
      <c r="K392" s="187"/>
      <c r="L392" s="187"/>
      <c r="M392" s="187"/>
      <c r="N392" s="188"/>
      <c r="O392" s="187"/>
      <c r="Q392" s="187"/>
      <c r="R392" s="190"/>
      <c r="S392" s="187"/>
    </row>
    <row r="393">
      <c r="B393" s="103"/>
      <c r="G393" s="191"/>
      <c r="H393" s="187"/>
      <c r="I393" s="187"/>
      <c r="J393" s="188"/>
      <c r="K393" s="187"/>
      <c r="L393" s="187"/>
      <c r="M393" s="187"/>
      <c r="N393" s="188"/>
      <c r="O393" s="187"/>
      <c r="Q393" s="187"/>
      <c r="R393" s="190"/>
      <c r="S393" s="187"/>
    </row>
    <row r="394">
      <c r="B394" s="103"/>
      <c r="G394" s="191"/>
      <c r="H394" s="187"/>
      <c r="I394" s="187"/>
      <c r="J394" s="188"/>
      <c r="K394" s="187"/>
      <c r="L394" s="187"/>
      <c r="M394" s="187"/>
      <c r="N394" s="188"/>
      <c r="O394" s="187"/>
      <c r="Q394" s="187"/>
      <c r="R394" s="190"/>
      <c r="S394" s="187"/>
    </row>
    <row r="395">
      <c r="B395" s="103"/>
      <c r="G395" s="191"/>
      <c r="H395" s="187"/>
      <c r="I395" s="187"/>
      <c r="J395" s="188"/>
      <c r="K395" s="187"/>
      <c r="L395" s="187"/>
      <c r="M395" s="187"/>
      <c r="N395" s="188"/>
      <c r="O395" s="187"/>
      <c r="Q395" s="187"/>
      <c r="R395" s="190"/>
      <c r="S395" s="187"/>
    </row>
    <row r="396">
      <c r="B396" s="103"/>
      <c r="G396" s="191"/>
      <c r="H396" s="187"/>
      <c r="I396" s="187"/>
      <c r="J396" s="188"/>
      <c r="K396" s="187"/>
      <c r="L396" s="187"/>
      <c r="M396" s="187"/>
      <c r="N396" s="188"/>
      <c r="O396" s="187"/>
      <c r="Q396" s="187"/>
      <c r="R396" s="190"/>
      <c r="S396" s="187"/>
    </row>
    <row r="397">
      <c r="B397" s="103"/>
      <c r="G397" s="191"/>
      <c r="H397" s="187"/>
      <c r="I397" s="187"/>
      <c r="J397" s="188"/>
      <c r="K397" s="187"/>
      <c r="L397" s="187"/>
      <c r="M397" s="187"/>
      <c r="N397" s="188"/>
      <c r="O397" s="187"/>
      <c r="Q397" s="187"/>
      <c r="R397" s="190"/>
      <c r="S397" s="187"/>
    </row>
    <row r="398">
      <c r="B398" s="103"/>
      <c r="G398" s="191"/>
      <c r="H398" s="187"/>
      <c r="I398" s="187"/>
      <c r="J398" s="188"/>
      <c r="K398" s="187"/>
      <c r="L398" s="187"/>
      <c r="M398" s="187"/>
      <c r="N398" s="188"/>
      <c r="O398" s="187"/>
      <c r="Q398" s="187"/>
      <c r="R398" s="190"/>
      <c r="S398" s="187"/>
    </row>
    <row r="399">
      <c r="B399" s="103"/>
      <c r="G399" s="191"/>
      <c r="H399" s="187"/>
      <c r="I399" s="187"/>
      <c r="J399" s="188"/>
      <c r="K399" s="187"/>
      <c r="L399" s="187"/>
      <c r="M399" s="187"/>
      <c r="N399" s="188"/>
      <c r="O399" s="187"/>
      <c r="Q399" s="187"/>
      <c r="R399" s="190"/>
      <c r="S399" s="187"/>
    </row>
    <row r="400">
      <c r="B400" s="103"/>
      <c r="G400" s="191"/>
      <c r="H400" s="187"/>
      <c r="I400" s="187"/>
      <c r="J400" s="188"/>
      <c r="K400" s="187"/>
      <c r="L400" s="187"/>
      <c r="M400" s="187"/>
      <c r="N400" s="188"/>
      <c r="O400" s="187"/>
      <c r="Q400" s="187"/>
      <c r="R400" s="190"/>
      <c r="S400" s="187"/>
    </row>
    <row r="401">
      <c r="B401" s="103"/>
      <c r="G401" s="191"/>
      <c r="H401" s="187"/>
      <c r="I401" s="187"/>
      <c r="J401" s="188"/>
      <c r="K401" s="187"/>
      <c r="L401" s="187"/>
      <c r="M401" s="187"/>
      <c r="N401" s="188"/>
      <c r="O401" s="187"/>
      <c r="Q401" s="187"/>
      <c r="R401" s="190"/>
      <c r="S401" s="187"/>
    </row>
    <row r="402">
      <c r="B402" s="103"/>
      <c r="G402" s="191"/>
      <c r="H402" s="187"/>
      <c r="I402" s="187"/>
      <c r="J402" s="188"/>
      <c r="K402" s="187"/>
      <c r="L402" s="187"/>
      <c r="M402" s="187"/>
      <c r="N402" s="188"/>
      <c r="O402" s="187"/>
      <c r="Q402" s="187"/>
      <c r="R402" s="190"/>
      <c r="S402" s="187"/>
    </row>
    <row r="403">
      <c r="B403" s="103"/>
      <c r="G403" s="191"/>
      <c r="H403" s="187"/>
      <c r="I403" s="187"/>
      <c r="J403" s="188"/>
      <c r="K403" s="187"/>
      <c r="L403" s="187"/>
      <c r="M403" s="187"/>
      <c r="N403" s="188"/>
      <c r="O403" s="187"/>
      <c r="Q403" s="187"/>
      <c r="R403" s="190"/>
      <c r="S403" s="187"/>
    </row>
    <row r="404">
      <c r="B404" s="103"/>
      <c r="G404" s="191"/>
      <c r="H404" s="187"/>
      <c r="I404" s="187"/>
      <c r="J404" s="188"/>
      <c r="K404" s="187"/>
      <c r="L404" s="187"/>
      <c r="M404" s="187"/>
      <c r="N404" s="188"/>
      <c r="O404" s="187"/>
      <c r="Q404" s="187"/>
      <c r="R404" s="190"/>
      <c r="S404" s="187"/>
    </row>
    <row r="405">
      <c r="B405" s="103"/>
      <c r="G405" s="191"/>
      <c r="H405" s="187"/>
      <c r="I405" s="187"/>
      <c r="J405" s="188"/>
      <c r="K405" s="187"/>
      <c r="L405" s="187"/>
      <c r="M405" s="187"/>
      <c r="N405" s="188"/>
      <c r="O405" s="187"/>
      <c r="Q405" s="187"/>
      <c r="R405" s="190"/>
      <c r="S405" s="187"/>
    </row>
    <row r="406">
      <c r="B406" s="103"/>
      <c r="G406" s="191"/>
      <c r="H406" s="187"/>
      <c r="I406" s="187"/>
      <c r="J406" s="188"/>
      <c r="K406" s="187"/>
      <c r="L406" s="187"/>
      <c r="M406" s="187"/>
      <c r="N406" s="188"/>
      <c r="O406" s="187"/>
      <c r="Q406" s="187"/>
      <c r="R406" s="190"/>
      <c r="S406" s="187"/>
    </row>
    <row r="407">
      <c r="B407" s="103"/>
      <c r="G407" s="191"/>
      <c r="H407" s="187"/>
      <c r="I407" s="187"/>
      <c r="J407" s="188"/>
      <c r="K407" s="187"/>
      <c r="L407" s="187"/>
      <c r="M407" s="187"/>
      <c r="N407" s="188"/>
      <c r="O407" s="187"/>
      <c r="Q407" s="187"/>
      <c r="R407" s="190"/>
      <c r="S407" s="187"/>
    </row>
    <row r="408">
      <c r="B408" s="103"/>
      <c r="G408" s="191"/>
      <c r="H408" s="187"/>
      <c r="I408" s="187"/>
      <c r="J408" s="188"/>
      <c r="K408" s="187"/>
      <c r="L408" s="187"/>
      <c r="M408" s="187"/>
      <c r="N408" s="188"/>
      <c r="O408" s="187"/>
      <c r="Q408" s="187"/>
      <c r="R408" s="190"/>
      <c r="S408" s="187"/>
    </row>
    <row r="409">
      <c r="B409" s="103"/>
      <c r="G409" s="191"/>
      <c r="H409" s="187"/>
      <c r="I409" s="187"/>
      <c r="J409" s="188"/>
      <c r="K409" s="187"/>
      <c r="L409" s="187"/>
      <c r="M409" s="187"/>
      <c r="N409" s="188"/>
      <c r="O409" s="187"/>
      <c r="Q409" s="187"/>
      <c r="R409" s="190"/>
      <c r="S409" s="187"/>
    </row>
    <row r="410">
      <c r="B410" s="103"/>
      <c r="G410" s="191"/>
      <c r="H410" s="187"/>
      <c r="I410" s="187"/>
      <c r="J410" s="188"/>
      <c r="K410" s="187"/>
      <c r="L410" s="187"/>
      <c r="M410" s="187"/>
      <c r="N410" s="188"/>
      <c r="O410" s="187"/>
      <c r="Q410" s="187"/>
      <c r="R410" s="190"/>
      <c r="S410" s="187"/>
    </row>
    <row r="411">
      <c r="B411" s="103"/>
      <c r="G411" s="191"/>
      <c r="H411" s="187"/>
      <c r="I411" s="187"/>
      <c r="J411" s="188"/>
      <c r="K411" s="187"/>
      <c r="L411" s="187"/>
      <c r="M411" s="187"/>
      <c r="N411" s="188"/>
      <c r="O411" s="187"/>
      <c r="Q411" s="187"/>
      <c r="R411" s="190"/>
      <c r="S411" s="187"/>
    </row>
    <row r="412">
      <c r="B412" s="103"/>
      <c r="G412" s="191"/>
      <c r="H412" s="187"/>
      <c r="I412" s="187"/>
      <c r="J412" s="188"/>
      <c r="K412" s="187"/>
      <c r="L412" s="187"/>
      <c r="M412" s="187"/>
      <c r="N412" s="188"/>
      <c r="O412" s="187"/>
      <c r="Q412" s="187"/>
      <c r="R412" s="190"/>
      <c r="S412" s="187"/>
    </row>
    <row r="413">
      <c r="B413" s="103"/>
      <c r="G413" s="191"/>
      <c r="H413" s="187"/>
      <c r="I413" s="187"/>
      <c r="J413" s="188"/>
      <c r="K413" s="187"/>
      <c r="L413" s="187"/>
      <c r="M413" s="187"/>
      <c r="N413" s="188"/>
      <c r="O413" s="187"/>
      <c r="Q413" s="187"/>
      <c r="R413" s="190"/>
      <c r="S413" s="187"/>
    </row>
    <row r="414">
      <c r="B414" s="103"/>
      <c r="G414" s="191"/>
      <c r="H414" s="187"/>
      <c r="I414" s="187"/>
      <c r="J414" s="188"/>
      <c r="K414" s="187"/>
      <c r="L414" s="187"/>
      <c r="M414" s="187"/>
      <c r="N414" s="188"/>
      <c r="O414" s="187"/>
      <c r="Q414" s="187"/>
      <c r="R414" s="190"/>
      <c r="S414" s="187"/>
    </row>
    <row r="415">
      <c r="B415" s="103"/>
      <c r="G415" s="191"/>
      <c r="H415" s="187"/>
      <c r="I415" s="187"/>
      <c r="J415" s="188"/>
      <c r="K415" s="187"/>
      <c r="L415" s="187"/>
      <c r="M415" s="187"/>
      <c r="N415" s="188"/>
      <c r="O415" s="187"/>
      <c r="Q415" s="187"/>
      <c r="R415" s="190"/>
      <c r="S415" s="187"/>
    </row>
    <row r="416">
      <c r="B416" s="103"/>
      <c r="G416" s="191"/>
      <c r="H416" s="187"/>
      <c r="I416" s="187"/>
      <c r="J416" s="188"/>
      <c r="K416" s="187"/>
      <c r="L416" s="187"/>
      <c r="M416" s="187"/>
      <c r="N416" s="188"/>
      <c r="O416" s="187"/>
      <c r="Q416" s="187"/>
      <c r="R416" s="190"/>
      <c r="S416" s="187"/>
    </row>
    <row r="417">
      <c r="B417" s="103"/>
      <c r="G417" s="191"/>
      <c r="H417" s="187"/>
      <c r="I417" s="187"/>
      <c r="J417" s="188"/>
      <c r="K417" s="187"/>
      <c r="L417" s="187"/>
      <c r="M417" s="187"/>
      <c r="N417" s="188"/>
      <c r="O417" s="187"/>
      <c r="Q417" s="187"/>
      <c r="R417" s="190"/>
      <c r="S417" s="187"/>
    </row>
    <row r="418">
      <c r="B418" s="103"/>
      <c r="G418" s="191"/>
      <c r="H418" s="187"/>
      <c r="I418" s="187"/>
      <c r="J418" s="188"/>
      <c r="K418" s="187"/>
      <c r="L418" s="187"/>
      <c r="M418" s="187"/>
      <c r="N418" s="188"/>
      <c r="O418" s="187"/>
      <c r="Q418" s="187"/>
      <c r="R418" s="190"/>
      <c r="S418" s="187"/>
    </row>
    <row r="419">
      <c r="B419" s="103"/>
      <c r="G419" s="191"/>
      <c r="H419" s="187"/>
      <c r="I419" s="187"/>
      <c r="J419" s="188"/>
      <c r="K419" s="187"/>
      <c r="L419" s="187"/>
      <c r="M419" s="187"/>
      <c r="N419" s="188"/>
      <c r="O419" s="187"/>
      <c r="Q419" s="187"/>
      <c r="R419" s="190"/>
      <c r="S419" s="187"/>
    </row>
    <row r="420">
      <c r="B420" s="103"/>
      <c r="G420" s="191"/>
      <c r="H420" s="187"/>
      <c r="I420" s="187"/>
      <c r="J420" s="188"/>
      <c r="K420" s="187"/>
      <c r="L420" s="187"/>
      <c r="M420" s="187"/>
      <c r="N420" s="188"/>
      <c r="O420" s="187"/>
      <c r="Q420" s="187"/>
      <c r="R420" s="190"/>
      <c r="S420" s="187"/>
    </row>
    <row r="421">
      <c r="B421" s="103"/>
      <c r="G421" s="191"/>
      <c r="H421" s="187"/>
      <c r="I421" s="187"/>
      <c r="J421" s="188"/>
      <c r="K421" s="187"/>
      <c r="L421" s="187"/>
      <c r="M421" s="187"/>
      <c r="N421" s="188"/>
      <c r="O421" s="187"/>
      <c r="Q421" s="187"/>
      <c r="R421" s="190"/>
      <c r="S421" s="187"/>
    </row>
    <row r="422">
      <c r="B422" s="103"/>
      <c r="G422" s="191"/>
      <c r="H422" s="187"/>
      <c r="I422" s="187"/>
      <c r="J422" s="188"/>
      <c r="K422" s="187"/>
      <c r="L422" s="187"/>
      <c r="M422" s="187"/>
      <c r="N422" s="188"/>
      <c r="O422" s="187"/>
      <c r="Q422" s="187"/>
      <c r="R422" s="190"/>
      <c r="S422" s="187"/>
    </row>
    <row r="423">
      <c r="B423" s="103"/>
      <c r="G423" s="191"/>
      <c r="H423" s="187"/>
      <c r="I423" s="187"/>
      <c r="J423" s="188"/>
      <c r="K423" s="187"/>
      <c r="L423" s="187"/>
      <c r="M423" s="187"/>
      <c r="N423" s="188"/>
      <c r="O423" s="187"/>
      <c r="Q423" s="187"/>
      <c r="R423" s="190"/>
      <c r="S423" s="187"/>
    </row>
    <row r="424">
      <c r="B424" s="103"/>
      <c r="G424" s="191"/>
      <c r="H424" s="187"/>
      <c r="I424" s="187"/>
      <c r="J424" s="188"/>
      <c r="K424" s="187"/>
      <c r="L424" s="187"/>
      <c r="M424" s="187"/>
      <c r="N424" s="188"/>
      <c r="O424" s="187"/>
      <c r="Q424" s="187"/>
      <c r="R424" s="190"/>
      <c r="S424" s="187"/>
    </row>
    <row r="425">
      <c r="B425" s="103"/>
      <c r="G425" s="191"/>
      <c r="H425" s="187"/>
      <c r="I425" s="187"/>
      <c r="J425" s="188"/>
      <c r="K425" s="187"/>
      <c r="L425" s="187"/>
      <c r="M425" s="187"/>
      <c r="N425" s="188"/>
      <c r="O425" s="187"/>
      <c r="Q425" s="187"/>
      <c r="R425" s="190"/>
      <c r="S425" s="187"/>
    </row>
    <row r="426">
      <c r="B426" s="103"/>
      <c r="G426" s="191"/>
      <c r="H426" s="187"/>
      <c r="I426" s="187"/>
      <c r="J426" s="188"/>
      <c r="K426" s="187"/>
      <c r="L426" s="187"/>
      <c r="M426" s="187"/>
      <c r="N426" s="188"/>
      <c r="O426" s="187"/>
      <c r="Q426" s="187"/>
      <c r="R426" s="190"/>
      <c r="S426" s="187"/>
    </row>
    <row r="427">
      <c r="B427" s="103"/>
      <c r="G427" s="191"/>
      <c r="H427" s="187"/>
      <c r="I427" s="187"/>
      <c r="J427" s="188"/>
      <c r="K427" s="187"/>
      <c r="L427" s="187"/>
      <c r="M427" s="187"/>
      <c r="N427" s="188"/>
      <c r="O427" s="187"/>
      <c r="Q427" s="187"/>
      <c r="R427" s="190"/>
      <c r="S427" s="187"/>
    </row>
    <row r="428">
      <c r="B428" s="103"/>
      <c r="G428" s="191"/>
      <c r="H428" s="187"/>
      <c r="I428" s="187"/>
      <c r="J428" s="188"/>
      <c r="K428" s="187"/>
      <c r="L428" s="187"/>
      <c r="M428" s="187"/>
      <c r="N428" s="188"/>
      <c r="O428" s="187"/>
      <c r="Q428" s="187"/>
      <c r="R428" s="190"/>
      <c r="S428" s="187"/>
    </row>
    <row r="429">
      <c r="B429" s="103"/>
      <c r="G429" s="191"/>
      <c r="H429" s="187"/>
      <c r="I429" s="187"/>
      <c r="J429" s="188"/>
      <c r="K429" s="187"/>
      <c r="L429" s="187"/>
      <c r="M429" s="187"/>
      <c r="N429" s="188"/>
      <c r="O429" s="187"/>
      <c r="Q429" s="187"/>
      <c r="R429" s="190"/>
      <c r="S429" s="187"/>
    </row>
    <row r="430">
      <c r="B430" s="103"/>
      <c r="G430" s="191"/>
      <c r="H430" s="187"/>
      <c r="I430" s="187"/>
      <c r="J430" s="188"/>
      <c r="K430" s="187"/>
      <c r="L430" s="187"/>
      <c r="M430" s="187"/>
      <c r="N430" s="188"/>
      <c r="O430" s="187"/>
      <c r="Q430" s="187"/>
      <c r="R430" s="190"/>
      <c r="S430" s="187"/>
    </row>
    <row r="431">
      <c r="B431" s="103"/>
      <c r="G431" s="191"/>
      <c r="H431" s="187"/>
      <c r="I431" s="187"/>
      <c r="J431" s="188"/>
      <c r="K431" s="187"/>
      <c r="L431" s="187"/>
      <c r="M431" s="187"/>
      <c r="N431" s="188"/>
      <c r="O431" s="187"/>
      <c r="Q431" s="187"/>
      <c r="R431" s="190"/>
      <c r="S431" s="187"/>
    </row>
    <row r="432">
      <c r="B432" s="103"/>
      <c r="G432" s="191"/>
      <c r="H432" s="187"/>
      <c r="I432" s="187"/>
      <c r="J432" s="188"/>
      <c r="K432" s="187"/>
      <c r="L432" s="187"/>
      <c r="M432" s="187"/>
      <c r="N432" s="188"/>
      <c r="O432" s="187"/>
      <c r="Q432" s="187"/>
      <c r="R432" s="190"/>
      <c r="S432" s="187"/>
    </row>
    <row r="433">
      <c r="B433" s="103"/>
      <c r="G433" s="191"/>
      <c r="H433" s="187"/>
      <c r="I433" s="187"/>
      <c r="J433" s="188"/>
      <c r="K433" s="187"/>
      <c r="L433" s="187"/>
      <c r="M433" s="187"/>
      <c r="N433" s="188"/>
      <c r="O433" s="187"/>
      <c r="Q433" s="187"/>
      <c r="R433" s="190"/>
      <c r="S433" s="187"/>
    </row>
    <row r="434">
      <c r="B434" s="103"/>
      <c r="G434" s="191"/>
      <c r="H434" s="187"/>
      <c r="I434" s="187"/>
      <c r="J434" s="188"/>
      <c r="K434" s="187"/>
      <c r="L434" s="187"/>
      <c r="M434" s="187"/>
      <c r="N434" s="188"/>
      <c r="O434" s="187"/>
      <c r="Q434" s="187"/>
      <c r="R434" s="190"/>
      <c r="S434" s="187"/>
    </row>
    <row r="435">
      <c r="B435" s="103"/>
      <c r="G435" s="191"/>
      <c r="H435" s="187"/>
      <c r="I435" s="187"/>
      <c r="J435" s="188"/>
      <c r="K435" s="187"/>
      <c r="L435" s="187"/>
      <c r="M435" s="187"/>
      <c r="N435" s="188"/>
      <c r="O435" s="187"/>
      <c r="Q435" s="187"/>
      <c r="R435" s="190"/>
      <c r="S435" s="187"/>
    </row>
    <row r="436">
      <c r="B436" s="103"/>
      <c r="G436" s="191"/>
      <c r="H436" s="187"/>
      <c r="I436" s="187"/>
      <c r="J436" s="188"/>
      <c r="K436" s="187"/>
      <c r="L436" s="187"/>
      <c r="M436" s="187"/>
      <c r="N436" s="188"/>
      <c r="O436" s="187"/>
      <c r="Q436" s="187"/>
      <c r="R436" s="190"/>
      <c r="S436" s="187"/>
    </row>
    <row r="437">
      <c r="B437" s="103"/>
      <c r="G437" s="191"/>
      <c r="H437" s="187"/>
      <c r="I437" s="187"/>
      <c r="J437" s="188"/>
      <c r="K437" s="187"/>
      <c r="L437" s="187"/>
      <c r="M437" s="187"/>
      <c r="N437" s="188"/>
      <c r="O437" s="187"/>
      <c r="Q437" s="187"/>
      <c r="R437" s="190"/>
      <c r="S437" s="187"/>
    </row>
    <row r="438">
      <c r="B438" s="103"/>
      <c r="G438" s="191"/>
      <c r="H438" s="187"/>
      <c r="I438" s="187"/>
      <c r="J438" s="188"/>
      <c r="K438" s="187"/>
      <c r="L438" s="187"/>
      <c r="M438" s="187"/>
      <c r="N438" s="188"/>
      <c r="O438" s="187"/>
      <c r="Q438" s="187"/>
      <c r="R438" s="190"/>
      <c r="S438" s="187"/>
    </row>
    <row r="439">
      <c r="B439" s="103"/>
      <c r="G439" s="191"/>
      <c r="H439" s="187"/>
      <c r="I439" s="187"/>
      <c r="J439" s="188"/>
      <c r="K439" s="187"/>
      <c r="L439" s="187"/>
      <c r="M439" s="187"/>
      <c r="N439" s="188"/>
      <c r="O439" s="187"/>
      <c r="Q439" s="187"/>
      <c r="R439" s="190"/>
      <c r="S439" s="187"/>
    </row>
    <row r="440">
      <c r="B440" s="103"/>
      <c r="G440" s="191"/>
      <c r="H440" s="187"/>
      <c r="I440" s="187"/>
      <c r="J440" s="188"/>
      <c r="K440" s="187"/>
      <c r="L440" s="187"/>
      <c r="M440" s="187"/>
      <c r="N440" s="188"/>
      <c r="O440" s="187"/>
      <c r="Q440" s="187"/>
      <c r="R440" s="190"/>
      <c r="S440" s="187"/>
    </row>
    <row r="441">
      <c r="B441" s="103"/>
      <c r="G441" s="191"/>
      <c r="H441" s="187"/>
      <c r="I441" s="187"/>
      <c r="J441" s="188"/>
      <c r="K441" s="187"/>
      <c r="L441" s="187"/>
      <c r="M441" s="187"/>
      <c r="N441" s="188"/>
      <c r="O441" s="187"/>
      <c r="Q441" s="187"/>
      <c r="R441" s="190"/>
      <c r="S441" s="187"/>
    </row>
    <row r="442">
      <c r="B442" s="103"/>
      <c r="G442" s="191"/>
      <c r="H442" s="187"/>
      <c r="I442" s="187"/>
      <c r="J442" s="188"/>
      <c r="K442" s="187"/>
      <c r="L442" s="187"/>
      <c r="M442" s="187"/>
      <c r="N442" s="188"/>
      <c r="O442" s="187"/>
      <c r="Q442" s="187"/>
      <c r="R442" s="190"/>
      <c r="S442" s="187"/>
    </row>
    <row r="443">
      <c r="B443" s="103"/>
      <c r="G443" s="191"/>
      <c r="H443" s="187"/>
      <c r="I443" s="187"/>
      <c r="J443" s="188"/>
      <c r="K443" s="187"/>
      <c r="L443" s="187"/>
      <c r="M443" s="187"/>
      <c r="N443" s="188"/>
      <c r="O443" s="187"/>
      <c r="Q443" s="187"/>
      <c r="R443" s="190"/>
      <c r="S443" s="187"/>
    </row>
    <row r="444">
      <c r="B444" s="103"/>
      <c r="G444" s="191"/>
      <c r="H444" s="187"/>
      <c r="I444" s="187"/>
      <c r="J444" s="188"/>
      <c r="K444" s="187"/>
      <c r="L444" s="187"/>
      <c r="M444" s="187"/>
      <c r="N444" s="188"/>
      <c r="O444" s="187"/>
      <c r="Q444" s="187"/>
      <c r="R444" s="190"/>
      <c r="S444" s="187"/>
    </row>
    <row r="445">
      <c r="B445" s="103"/>
      <c r="G445" s="191"/>
      <c r="H445" s="187"/>
      <c r="I445" s="187"/>
      <c r="J445" s="188"/>
      <c r="K445" s="187"/>
      <c r="L445" s="187"/>
      <c r="M445" s="187"/>
      <c r="N445" s="188"/>
      <c r="O445" s="187"/>
      <c r="Q445" s="187"/>
      <c r="R445" s="190"/>
      <c r="S445" s="187"/>
    </row>
    <row r="446">
      <c r="B446" s="103"/>
      <c r="G446" s="191"/>
      <c r="H446" s="187"/>
      <c r="I446" s="187"/>
      <c r="J446" s="188"/>
      <c r="K446" s="187"/>
      <c r="L446" s="187"/>
      <c r="M446" s="187"/>
      <c r="N446" s="188"/>
      <c r="O446" s="187"/>
      <c r="Q446" s="187"/>
      <c r="R446" s="190"/>
      <c r="S446" s="187"/>
    </row>
    <row r="447">
      <c r="B447" s="103"/>
      <c r="G447" s="191"/>
      <c r="H447" s="187"/>
      <c r="I447" s="187"/>
      <c r="J447" s="188"/>
      <c r="K447" s="187"/>
      <c r="L447" s="187"/>
      <c r="M447" s="187"/>
      <c r="N447" s="188"/>
      <c r="O447" s="187"/>
      <c r="Q447" s="187"/>
      <c r="R447" s="190"/>
      <c r="S447" s="187"/>
    </row>
    <row r="448">
      <c r="B448" s="103"/>
      <c r="G448" s="191"/>
      <c r="H448" s="187"/>
      <c r="I448" s="187"/>
      <c r="J448" s="188"/>
      <c r="K448" s="187"/>
      <c r="L448" s="187"/>
      <c r="M448" s="187"/>
      <c r="N448" s="188"/>
      <c r="O448" s="187"/>
      <c r="Q448" s="187"/>
      <c r="R448" s="190"/>
      <c r="S448" s="187"/>
    </row>
    <row r="449">
      <c r="B449" s="103"/>
      <c r="G449" s="191"/>
      <c r="H449" s="187"/>
      <c r="I449" s="187"/>
      <c r="J449" s="188"/>
      <c r="K449" s="187"/>
      <c r="L449" s="187"/>
      <c r="M449" s="187"/>
      <c r="N449" s="188"/>
      <c r="O449" s="187"/>
      <c r="Q449" s="187"/>
      <c r="R449" s="190"/>
      <c r="S449" s="187"/>
    </row>
    <row r="450">
      <c r="B450" s="103"/>
      <c r="G450" s="191"/>
      <c r="H450" s="187"/>
      <c r="I450" s="187"/>
      <c r="J450" s="188"/>
      <c r="K450" s="187"/>
      <c r="L450" s="187"/>
      <c r="M450" s="187"/>
      <c r="N450" s="188"/>
      <c r="O450" s="187"/>
      <c r="Q450" s="187"/>
      <c r="R450" s="190"/>
      <c r="S450" s="187"/>
    </row>
    <row r="451">
      <c r="B451" s="103"/>
      <c r="G451" s="191"/>
      <c r="H451" s="187"/>
      <c r="I451" s="187"/>
      <c r="J451" s="188"/>
      <c r="K451" s="187"/>
      <c r="L451" s="187"/>
      <c r="M451" s="187"/>
      <c r="N451" s="188"/>
      <c r="O451" s="187"/>
      <c r="Q451" s="187"/>
      <c r="R451" s="190"/>
      <c r="S451" s="187"/>
    </row>
    <row r="452">
      <c r="B452" s="103"/>
      <c r="G452" s="191"/>
      <c r="H452" s="187"/>
      <c r="I452" s="187"/>
      <c r="J452" s="188"/>
      <c r="K452" s="187"/>
      <c r="L452" s="187"/>
      <c r="M452" s="187"/>
      <c r="N452" s="188"/>
      <c r="O452" s="187"/>
      <c r="Q452" s="187"/>
      <c r="R452" s="190"/>
      <c r="S452" s="187"/>
    </row>
    <row r="453">
      <c r="B453" s="103"/>
      <c r="G453" s="191"/>
      <c r="H453" s="187"/>
      <c r="I453" s="187"/>
      <c r="J453" s="188"/>
      <c r="K453" s="187"/>
      <c r="L453" s="187"/>
      <c r="M453" s="187"/>
      <c r="N453" s="188"/>
      <c r="O453" s="187"/>
      <c r="Q453" s="187"/>
      <c r="R453" s="190"/>
      <c r="S453" s="187"/>
    </row>
    <row r="454">
      <c r="B454" s="103"/>
      <c r="G454" s="191"/>
      <c r="H454" s="187"/>
      <c r="I454" s="187"/>
      <c r="J454" s="188"/>
      <c r="K454" s="187"/>
      <c r="L454" s="187"/>
      <c r="M454" s="187"/>
      <c r="N454" s="188"/>
      <c r="O454" s="187"/>
      <c r="Q454" s="187"/>
      <c r="R454" s="190"/>
      <c r="S454" s="187"/>
    </row>
    <row r="455">
      <c r="B455" s="103"/>
      <c r="G455" s="191"/>
      <c r="H455" s="187"/>
      <c r="I455" s="187"/>
      <c r="J455" s="188"/>
      <c r="K455" s="187"/>
      <c r="L455" s="187"/>
      <c r="M455" s="187"/>
      <c r="N455" s="188"/>
      <c r="O455" s="187"/>
      <c r="Q455" s="187"/>
      <c r="R455" s="190"/>
      <c r="S455" s="187"/>
    </row>
    <row r="456">
      <c r="B456" s="103"/>
      <c r="G456" s="191"/>
      <c r="H456" s="187"/>
      <c r="I456" s="187"/>
      <c r="J456" s="188"/>
      <c r="K456" s="187"/>
      <c r="L456" s="187"/>
      <c r="M456" s="187"/>
      <c r="N456" s="188"/>
      <c r="O456" s="187"/>
      <c r="Q456" s="187"/>
      <c r="R456" s="190"/>
      <c r="S456" s="187"/>
    </row>
    <row r="457">
      <c r="B457" s="103"/>
      <c r="G457" s="191"/>
      <c r="H457" s="187"/>
      <c r="I457" s="187"/>
      <c r="J457" s="188"/>
      <c r="K457" s="187"/>
      <c r="L457" s="187"/>
      <c r="M457" s="187"/>
      <c r="N457" s="188"/>
      <c r="O457" s="187"/>
      <c r="Q457" s="187"/>
      <c r="R457" s="190"/>
      <c r="S457" s="187"/>
    </row>
    <row r="458">
      <c r="B458" s="103"/>
      <c r="G458" s="191"/>
      <c r="H458" s="187"/>
      <c r="I458" s="187"/>
      <c r="J458" s="188"/>
      <c r="K458" s="187"/>
      <c r="L458" s="187"/>
      <c r="M458" s="187"/>
      <c r="N458" s="188"/>
      <c r="O458" s="187"/>
      <c r="Q458" s="187"/>
      <c r="R458" s="190"/>
      <c r="S458" s="187"/>
    </row>
    <row r="459">
      <c r="B459" s="103"/>
      <c r="G459" s="191"/>
      <c r="H459" s="187"/>
      <c r="I459" s="187"/>
      <c r="J459" s="188"/>
      <c r="K459" s="187"/>
      <c r="L459" s="187"/>
      <c r="M459" s="187"/>
      <c r="N459" s="188"/>
      <c r="O459" s="187"/>
      <c r="Q459" s="187"/>
      <c r="R459" s="190"/>
      <c r="S459" s="187"/>
    </row>
    <row r="460">
      <c r="B460" s="103"/>
      <c r="G460" s="191"/>
      <c r="H460" s="187"/>
      <c r="I460" s="187"/>
      <c r="J460" s="188"/>
      <c r="K460" s="187"/>
      <c r="L460" s="187"/>
      <c r="M460" s="187"/>
      <c r="N460" s="188"/>
      <c r="O460" s="187"/>
      <c r="Q460" s="187"/>
      <c r="R460" s="190"/>
      <c r="S460" s="187"/>
    </row>
    <row r="461">
      <c r="B461" s="103"/>
      <c r="G461" s="191"/>
      <c r="H461" s="187"/>
      <c r="I461" s="187"/>
      <c r="J461" s="188"/>
      <c r="K461" s="187"/>
      <c r="L461" s="187"/>
      <c r="M461" s="187"/>
      <c r="N461" s="188"/>
      <c r="O461" s="187"/>
      <c r="Q461" s="187"/>
      <c r="R461" s="190"/>
      <c r="S461" s="187"/>
    </row>
    <row r="462">
      <c r="B462" s="103"/>
      <c r="G462" s="191"/>
      <c r="H462" s="187"/>
      <c r="I462" s="187"/>
      <c r="J462" s="188"/>
      <c r="K462" s="187"/>
      <c r="L462" s="187"/>
      <c r="M462" s="187"/>
      <c r="N462" s="188"/>
      <c r="O462" s="187"/>
      <c r="Q462" s="187"/>
      <c r="R462" s="190"/>
      <c r="S462" s="187"/>
    </row>
    <row r="463">
      <c r="B463" s="103"/>
      <c r="G463" s="191"/>
      <c r="H463" s="187"/>
      <c r="I463" s="187"/>
      <c r="J463" s="188"/>
      <c r="K463" s="187"/>
      <c r="L463" s="187"/>
      <c r="M463" s="187"/>
      <c r="N463" s="188"/>
      <c r="O463" s="187"/>
      <c r="Q463" s="187"/>
      <c r="R463" s="190"/>
      <c r="S463" s="187"/>
    </row>
    <row r="464">
      <c r="B464" s="103"/>
      <c r="G464" s="191"/>
      <c r="H464" s="187"/>
      <c r="I464" s="187"/>
      <c r="J464" s="188"/>
      <c r="K464" s="187"/>
      <c r="L464" s="187"/>
      <c r="M464" s="187"/>
      <c r="N464" s="188"/>
      <c r="O464" s="187"/>
      <c r="Q464" s="187"/>
      <c r="R464" s="190"/>
      <c r="S464" s="187"/>
    </row>
    <row r="465">
      <c r="B465" s="103"/>
      <c r="G465" s="191"/>
      <c r="H465" s="187"/>
      <c r="I465" s="187"/>
      <c r="J465" s="188"/>
      <c r="K465" s="187"/>
      <c r="L465" s="187"/>
      <c r="M465" s="187"/>
      <c r="N465" s="188"/>
      <c r="O465" s="187"/>
      <c r="Q465" s="187"/>
      <c r="R465" s="190"/>
      <c r="S465" s="187"/>
    </row>
    <row r="466">
      <c r="B466" s="103"/>
      <c r="G466" s="191"/>
      <c r="H466" s="187"/>
      <c r="I466" s="187"/>
      <c r="J466" s="188"/>
      <c r="K466" s="187"/>
      <c r="L466" s="187"/>
      <c r="M466" s="187"/>
      <c r="N466" s="188"/>
      <c r="O466" s="187"/>
      <c r="Q466" s="187"/>
      <c r="R466" s="190"/>
      <c r="S466" s="187"/>
    </row>
    <row r="467">
      <c r="B467" s="103"/>
      <c r="G467" s="191"/>
      <c r="H467" s="187"/>
      <c r="I467" s="187"/>
      <c r="J467" s="188"/>
      <c r="K467" s="187"/>
      <c r="L467" s="187"/>
      <c r="M467" s="187"/>
      <c r="N467" s="188"/>
      <c r="O467" s="187"/>
      <c r="Q467" s="187"/>
      <c r="R467" s="190"/>
      <c r="S467" s="187"/>
    </row>
    <row r="468">
      <c r="B468" s="103"/>
      <c r="G468" s="191"/>
      <c r="H468" s="187"/>
      <c r="I468" s="187"/>
      <c r="J468" s="188"/>
      <c r="K468" s="187"/>
      <c r="L468" s="187"/>
      <c r="M468" s="187"/>
      <c r="N468" s="188"/>
      <c r="O468" s="187"/>
      <c r="Q468" s="187"/>
      <c r="R468" s="190"/>
      <c r="S468" s="187"/>
    </row>
    <row r="469">
      <c r="B469" s="103"/>
      <c r="G469" s="191"/>
      <c r="H469" s="187"/>
      <c r="I469" s="187"/>
      <c r="J469" s="188"/>
      <c r="K469" s="187"/>
      <c r="L469" s="187"/>
      <c r="M469" s="187"/>
      <c r="N469" s="188"/>
      <c r="O469" s="187"/>
      <c r="Q469" s="187"/>
      <c r="R469" s="190"/>
      <c r="S469" s="187"/>
    </row>
    <row r="470">
      <c r="B470" s="103"/>
      <c r="G470" s="191"/>
      <c r="H470" s="187"/>
      <c r="I470" s="187"/>
      <c r="J470" s="188"/>
      <c r="K470" s="187"/>
      <c r="L470" s="187"/>
      <c r="M470" s="187"/>
      <c r="N470" s="188"/>
      <c r="O470" s="187"/>
      <c r="Q470" s="187"/>
      <c r="R470" s="190"/>
      <c r="S470" s="187"/>
    </row>
    <row r="471">
      <c r="B471" s="103"/>
      <c r="G471" s="191"/>
      <c r="H471" s="187"/>
      <c r="I471" s="187"/>
      <c r="J471" s="188"/>
      <c r="K471" s="187"/>
      <c r="L471" s="187"/>
      <c r="M471" s="187"/>
      <c r="N471" s="188"/>
      <c r="O471" s="187"/>
      <c r="Q471" s="187"/>
      <c r="R471" s="190"/>
      <c r="S471" s="187"/>
    </row>
    <row r="472">
      <c r="B472" s="103"/>
      <c r="G472" s="191"/>
      <c r="H472" s="187"/>
      <c r="I472" s="187"/>
      <c r="J472" s="188"/>
      <c r="K472" s="187"/>
      <c r="L472" s="187"/>
      <c r="M472" s="187"/>
      <c r="N472" s="188"/>
      <c r="O472" s="187"/>
      <c r="Q472" s="187"/>
      <c r="R472" s="190"/>
      <c r="S472" s="187"/>
    </row>
    <row r="473">
      <c r="B473" s="103"/>
      <c r="G473" s="191"/>
      <c r="H473" s="187"/>
      <c r="I473" s="187"/>
      <c r="J473" s="188"/>
      <c r="K473" s="187"/>
      <c r="L473" s="187"/>
      <c r="M473" s="187"/>
      <c r="N473" s="188"/>
      <c r="O473" s="187"/>
      <c r="Q473" s="187"/>
      <c r="R473" s="190"/>
      <c r="S473" s="187"/>
    </row>
    <row r="474">
      <c r="B474" s="103"/>
      <c r="G474" s="191"/>
      <c r="H474" s="187"/>
      <c r="I474" s="187"/>
      <c r="J474" s="188"/>
      <c r="K474" s="187"/>
      <c r="L474" s="187"/>
      <c r="M474" s="187"/>
      <c r="N474" s="188"/>
      <c r="O474" s="187"/>
      <c r="Q474" s="187"/>
      <c r="R474" s="190"/>
      <c r="S474" s="187"/>
    </row>
    <row r="475">
      <c r="B475" s="103"/>
      <c r="G475" s="191"/>
      <c r="H475" s="187"/>
      <c r="I475" s="187"/>
      <c r="J475" s="188"/>
      <c r="K475" s="187"/>
      <c r="L475" s="187"/>
      <c r="M475" s="187"/>
      <c r="N475" s="188"/>
      <c r="O475" s="187"/>
      <c r="Q475" s="187"/>
      <c r="R475" s="190"/>
      <c r="S475" s="187"/>
    </row>
    <row r="476">
      <c r="B476" s="103"/>
      <c r="G476" s="191"/>
      <c r="H476" s="187"/>
      <c r="I476" s="187"/>
      <c r="J476" s="188"/>
      <c r="K476" s="187"/>
      <c r="L476" s="187"/>
      <c r="M476" s="187"/>
      <c r="N476" s="188"/>
      <c r="O476" s="187"/>
      <c r="Q476" s="187"/>
      <c r="R476" s="190"/>
      <c r="S476" s="187"/>
    </row>
    <row r="477">
      <c r="B477" s="103"/>
      <c r="G477" s="191"/>
      <c r="H477" s="187"/>
      <c r="I477" s="187"/>
      <c r="J477" s="188"/>
      <c r="K477" s="187"/>
      <c r="L477" s="187"/>
      <c r="M477" s="187"/>
      <c r="N477" s="188"/>
      <c r="O477" s="187"/>
      <c r="Q477" s="187"/>
      <c r="R477" s="190"/>
      <c r="S477" s="187"/>
    </row>
    <row r="478">
      <c r="B478" s="103"/>
      <c r="G478" s="191"/>
      <c r="H478" s="187"/>
      <c r="I478" s="187"/>
      <c r="J478" s="188"/>
      <c r="K478" s="187"/>
      <c r="L478" s="187"/>
      <c r="M478" s="187"/>
      <c r="N478" s="188"/>
      <c r="O478" s="187"/>
      <c r="Q478" s="187"/>
      <c r="R478" s="190"/>
      <c r="S478" s="187"/>
    </row>
    <row r="479">
      <c r="B479" s="103"/>
      <c r="G479" s="191"/>
      <c r="H479" s="187"/>
      <c r="I479" s="187"/>
      <c r="J479" s="188"/>
      <c r="K479" s="187"/>
      <c r="L479" s="187"/>
      <c r="M479" s="187"/>
      <c r="N479" s="188"/>
      <c r="O479" s="187"/>
      <c r="Q479" s="187"/>
      <c r="R479" s="190"/>
      <c r="S479" s="187"/>
    </row>
    <row r="480">
      <c r="B480" s="103"/>
      <c r="G480" s="191"/>
      <c r="H480" s="187"/>
      <c r="I480" s="187"/>
      <c r="J480" s="188"/>
      <c r="K480" s="187"/>
      <c r="L480" s="187"/>
      <c r="M480" s="187"/>
      <c r="N480" s="188"/>
      <c r="O480" s="187"/>
      <c r="Q480" s="187"/>
      <c r="R480" s="190"/>
      <c r="S480" s="187"/>
    </row>
    <row r="481">
      <c r="B481" s="103"/>
      <c r="G481" s="191"/>
      <c r="H481" s="187"/>
      <c r="I481" s="187"/>
      <c r="J481" s="188"/>
      <c r="K481" s="187"/>
      <c r="L481" s="187"/>
      <c r="M481" s="187"/>
      <c r="N481" s="188"/>
      <c r="O481" s="187"/>
      <c r="Q481" s="187"/>
      <c r="R481" s="190"/>
      <c r="S481" s="187"/>
    </row>
    <row r="482">
      <c r="B482" s="103"/>
      <c r="G482" s="191"/>
      <c r="H482" s="187"/>
      <c r="I482" s="187"/>
      <c r="J482" s="188"/>
      <c r="K482" s="187"/>
      <c r="L482" s="187"/>
      <c r="M482" s="187"/>
      <c r="N482" s="188"/>
      <c r="O482" s="187"/>
      <c r="Q482" s="187"/>
      <c r="R482" s="190"/>
      <c r="S482" s="187"/>
    </row>
    <row r="483">
      <c r="B483" s="103"/>
      <c r="G483" s="191"/>
      <c r="H483" s="187"/>
      <c r="I483" s="187"/>
      <c r="J483" s="188"/>
      <c r="K483" s="187"/>
      <c r="L483" s="187"/>
      <c r="M483" s="187"/>
      <c r="N483" s="188"/>
      <c r="O483" s="187"/>
      <c r="Q483" s="187"/>
      <c r="R483" s="190"/>
      <c r="S483" s="187"/>
    </row>
    <row r="484">
      <c r="B484" s="103"/>
      <c r="G484" s="191"/>
      <c r="H484" s="187"/>
      <c r="I484" s="187"/>
      <c r="J484" s="188"/>
      <c r="K484" s="187"/>
      <c r="L484" s="187"/>
      <c r="M484" s="187"/>
      <c r="N484" s="188"/>
      <c r="O484" s="187"/>
      <c r="Q484" s="187"/>
      <c r="R484" s="190"/>
      <c r="S484" s="187"/>
    </row>
    <row r="485">
      <c r="B485" s="103"/>
      <c r="G485" s="191"/>
      <c r="H485" s="187"/>
      <c r="I485" s="187"/>
      <c r="J485" s="188"/>
      <c r="K485" s="187"/>
      <c r="L485" s="187"/>
      <c r="M485" s="187"/>
      <c r="N485" s="188"/>
      <c r="O485" s="187"/>
      <c r="Q485" s="187"/>
      <c r="R485" s="190"/>
      <c r="S485" s="187"/>
    </row>
    <row r="486">
      <c r="B486" s="103"/>
      <c r="G486" s="191"/>
      <c r="H486" s="187"/>
      <c r="I486" s="187"/>
      <c r="J486" s="188"/>
      <c r="K486" s="187"/>
      <c r="L486" s="187"/>
      <c r="M486" s="187"/>
      <c r="N486" s="188"/>
      <c r="O486" s="187"/>
      <c r="Q486" s="187"/>
      <c r="R486" s="190"/>
      <c r="S486" s="187"/>
    </row>
    <row r="487">
      <c r="B487" s="103"/>
      <c r="G487" s="191"/>
      <c r="H487" s="187"/>
      <c r="I487" s="187"/>
      <c r="J487" s="188"/>
      <c r="K487" s="187"/>
      <c r="L487" s="187"/>
      <c r="M487" s="187"/>
      <c r="N487" s="188"/>
      <c r="O487" s="187"/>
      <c r="Q487" s="187"/>
      <c r="R487" s="190"/>
      <c r="S487" s="187"/>
    </row>
    <row r="488">
      <c r="B488" s="103"/>
      <c r="G488" s="191"/>
      <c r="H488" s="187"/>
      <c r="I488" s="187"/>
      <c r="J488" s="188"/>
      <c r="K488" s="187"/>
      <c r="L488" s="187"/>
      <c r="M488" s="187"/>
      <c r="N488" s="188"/>
      <c r="O488" s="187"/>
      <c r="Q488" s="187"/>
      <c r="R488" s="190"/>
      <c r="S488" s="187"/>
    </row>
    <row r="489">
      <c r="B489" s="103"/>
      <c r="G489" s="191"/>
      <c r="H489" s="187"/>
      <c r="I489" s="187"/>
      <c r="J489" s="188"/>
      <c r="K489" s="187"/>
      <c r="L489" s="187"/>
      <c r="M489" s="187"/>
      <c r="N489" s="188"/>
      <c r="O489" s="187"/>
      <c r="Q489" s="187"/>
      <c r="R489" s="190"/>
      <c r="S489" s="187"/>
    </row>
    <row r="490">
      <c r="B490" s="103"/>
      <c r="G490" s="191"/>
      <c r="H490" s="187"/>
      <c r="I490" s="187"/>
      <c r="J490" s="188"/>
      <c r="K490" s="187"/>
      <c r="L490" s="187"/>
      <c r="M490" s="187"/>
      <c r="N490" s="188"/>
      <c r="O490" s="187"/>
      <c r="Q490" s="187"/>
      <c r="R490" s="190"/>
      <c r="S490" s="187"/>
    </row>
    <row r="491">
      <c r="B491" s="103"/>
      <c r="G491" s="191"/>
      <c r="H491" s="187"/>
      <c r="I491" s="187"/>
      <c r="J491" s="188"/>
      <c r="K491" s="187"/>
      <c r="L491" s="187"/>
      <c r="M491" s="187"/>
      <c r="N491" s="188"/>
      <c r="O491" s="187"/>
      <c r="Q491" s="187"/>
      <c r="R491" s="190"/>
      <c r="S491" s="187"/>
    </row>
    <row r="492">
      <c r="B492" s="103"/>
      <c r="G492" s="191"/>
      <c r="H492" s="187"/>
      <c r="I492" s="187"/>
      <c r="J492" s="188"/>
      <c r="K492" s="187"/>
      <c r="L492" s="187"/>
      <c r="M492" s="187"/>
      <c r="N492" s="188"/>
      <c r="O492" s="187"/>
      <c r="Q492" s="187"/>
      <c r="R492" s="190"/>
      <c r="S492" s="187"/>
    </row>
    <row r="493">
      <c r="B493" s="103"/>
      <c r="G493" s="191"/>
      <c r="H493" s="187"/>
      <c r="I493" s="187"/>
      <c r="J493" s="188"/>
      <c r="K493" s="187"/>
      <c r="L493" s="187"/>
      <c r="M493" s="187"/>
      <c r="N493" s="188"/>
      <c r="O493" s="187"/>
      <c r="Q493" s="187"/>
      <c r="R493" s="190"/>
      <c r="S493" s="187"/>
    </row>
    <row r="494">
      <c r="B494" s="103"/>
      <c r="G494" s="191"/>
      <c r="H494" s="187"/>
      <c r="I494" s="187"/>
      <c r="J494" s="188"/>
      <c r="K494" s="187"/>
      <c r="L494" s="187"/>
      <c r="M494" s="187"/>
      <c r="N494" s="188"/>
      <c r="O494" s="187"/>
      <c r="Q494" s="187"/>
      <c r="R494" s="190"/>
      <c r="S494" s="187"/>
    </row>
    <row r="495">
      <c r="B495" s="103"/>
      <c r="G495" s="191"/>
      <c r="H495" s="187"/>
      <c r="I495" s="187"/>
      <c r="J495" s="188"/>
      <c r="K495" s="187"/>
      <c r="L495" s="187"/>
      <c r="M495" s="187"/>
      <c r="N495" s="188"/>
      <c r="O495" s="187"/>
      <c r="Q495" s="187"/>
      <c r="R495" s="190"/>
      <c r="S495" s="187"/>
    </row>
    <row r="496">
      <c r="B496" s="103"/>
      <c r="G496" s="191"/>
      <c r="H496" s="187"/>
      <c r="I496" s="187"/>
      <c r="J496" s="188"/>
      <c r="K496" s="187"/>
      <c r="L496" s="187"/>
      <c r="M496" s="187"/>
      <c r="N496" s="188"/>
      <c r="O496" s="187"/>
      <c r="Q496" s="187"/>
      <c r="R496" s="190"/>
      <c r="S496" s="187"/>
    </row>
    <row r="497">
      <c r="B497" s="103"/>
      <c r="G497" s="191"/>
      <c r="H497" s="187"/>
      <c r="I497" s="187"/>
      <c r="J497" s="188"/>
      <c r="K497" s="187"/>
      <c r="L497" s="187"/>
      <c r="M497" s="187"/>
      <c r="N497" s="188"/>
      <c r="O497" s="187"/>
      <c r="Q497" s="187"/>
      <c r="R497" s="190"/>
      <c r="S497" s="187"/>
    </row>
    <row r="498">
      <c r="B498" s="103"/>
      <c r="G498" s="191"/>
      <c r="H498" s="187"/>
      <c r="I498" s="187"/>
      <c r="J498" s="188"/>
      <c r="K498" s="187"/>
      <c r="L498" s="187"/>
      <c r="M498" s="187"/>
      <c r="N498" s="188"/>
      <c r="O498" s="187"/>
      <c r="Q498" s="187"/>
      <c r="R498" s="190"/>
      <c r="S498" s="187"/>
    </row>
    <row r="499">
      <c r="B499" s="103"/>
      <c r="G499" s="191"/>
      <c r="H499" s="187"/>
      <c r="I499" s="187"/>
      <c r="J499" s="188"/>
      <c r="K499" s="187"/>
      <c r="L499" s="187"/>
      <c r="M499" s="187"/>
      <c r="N499" s="188"/>
      <c r="O499" s="187"/>
      <c r="Q499" s="187"/>
      <c r="R499" s="190"/>
      <c r="S499" s="187"/>
    </row>
    <row r="500">
      <c r="B500" s="103"/>
      <c r="G500" s="191"/>
      <c r="H500" s="187"/>
      <c r="I500" s="187"/>
      <c r="J500" s="188"/>
      <c r="K500" s="187"/>
      <c r="L500" s="187"/>
      <c r="M500" s="187"/>
      <c r="N500" s="188"/>
      <c r="O500" s="187"/>
      <c r="Q500" s="187"/>
      <c r="R500" s="190"/>
      <c r="S500" s="187"/>
    </row>
    <row r="501">
      <c r="B501" s="103"/>
      <c r="G501" s="191"/>
      <c r="H501" s="187"/>
      <c r="I501" s="187"/>
      <c r="J501" s="188"/>
      <c r="K501" s="187"/>
      <c r="L501" s="187"/>
      <c r="M501" s="187"/>
      <c r="N501" s="188"/>
      <c r="O501" s="187"/>
      <c r="Q501" s="187"/>
      <c r="R501" s="190"/>
      <c r="S501" s="187"/>
    </row>
    <row r="502">
      <c r="B502" s="103"/>
      <c r="G502" s="191"/>
      <c r="H502" s="187"/>
      <c r="I502" s="187"/>
      <c r="J502" s="188"/>
      <c r="K502" s="187"/>
      <c r="L502" s="187"/>
      <c r="M502" s="187"/>
      <c r="N502" s="188"/>
      <c r="O502" s="187"/>
      <c r="Q502" s="187"/>
      <c r="R502" s="190"/>
      <c r="S502" s="187"/>
    </row>
    <row r="503">
      <c r="B503" s="103"/>
      <c r="G503" s="191"/>
      <c r="H503" s="187"/>
      <c r="I503" s="187"/>
      <c r="J503" s="188"/>
      <c r="K503" s="187"/>
      <c r="L503" s="187"/>
      <c r="M503" s="187"/>
      <c r="N503" s="188"/>
      <c r="O503" s="187"/>
      <c r="Q503" s="187"/>
      <c r="R503" s="190"/>
      <c r="S503" s="187"/>
    </row>
    <row r="504">
      <c r="B504" s="103"/>
      <c r="G504" s="191"/>
      <c r="H504" s="187"/>
      <c r="I504" s="187"/>
      <c r="J504" s="188"/>
      <c r="K504" s="187"/>
      <c r="L504" s="187"/>
      <c r="M504" s="187"/>
      <c r="N504" s="188"/>
      <c r="O504" s="187"/>
      <c r="Q504" s="187"/>
      <c r="R504" s="190"/>
      <c r="S504" s="187"/>
    </row>
    <row r="505">
      <c r="B505" s="103"/>
      <c r="G505" s="191"/>
      <c r="H505" s="187"/>
      <c r="I505" s="187"/>
      <c r="J505" s="188"/>
      <c r="K505" s="187"/>
      <c r="L505" s="187"/>
      <c r="M505" s="187"/>
      <c r="N505" s="188"/>
      <c r="O505" s="187"/>
      <c r="Q505" s="187"/>
      <c r="R505" s="190"/>
      <c r="S505" s="187"/>
    </row>
    <row r="506">
      <c r="B506" s="103"/>
      <c r="G506" s="191"/>
      <c r="H506" s="187"/>
      <c r="I506" s="187"/>
      <c r="J506" s="188"/>
      <c r="K506" s="187"/>
      <c r="L506" s="187"/>
      <c r="M506" s="187"/>
      <c r="N506" s="188"/>
      <c r="O506" s="187"/>
      <c r="Q506" s="187"/>
      <c r="R506" s="190"/>
      <c r="S506" s="187"/>
    </row>
    <row r="507">
      <c r="B507" s="103"/>
      <c r="G507" s="191"/>
      <c r="H507" s="187"/>
      <c r="I507" s="187"/>
      <c r="J507" s="188"/>
      <c r="K507" s="187"/>
      <c r="L507" s="187"/>
      <c r="M507" s="187"/>
      <c r="N507" s="188"/>
      <c r="O507" s="187"/>
      <c r="Q507" s="187"/>
      <c r="R507" s="190"/>
      <c r="S507" s="187"/>
    </row>
    <row r="508">
      <c r="B508" s="103"/>
      <c r="G508" s="191"/>
      <c r="H508" s="187"/>
      <c r="I508" s="187"/>
      <c r="J508" s="188"/>
      <c r="K508" s="187"/>
      <c r="L508" s="187"/>
      <c r="M508" s="187"/>
      <c r="N508" s="188"/>
      <c r="O508" s="187"/>
      <c r="Q508" s="187"/>
      <c r="R508" s="190"/>
      <c r="S508" s="187"/>
    </row>
    <row r="509">
      <c r="B509" s="103"/>
      <c r="G509" s="191"/>
      <c r="H509" s="187"/>
      <c r="I509" s="187"/>
      <c r="J509" s="188"/>
      <c r="K509" s="187"/>
      <c r="L509" s="187"/>
      <c r="M509" s="187"/>
      <c r="N509" s="188"/>
      <c r="O509" s="187"/>
      <c r="Q509" s="187"/>
      <c r="R509" s="190"/>
      <c r="S509" s="187"/>
    </row>
    <row r="510">
      <c r="B510" s="103"/>
      <c r="G510" s="191"/>
      <c r="H510" s="187"/>
      <c r="I510" s="187"/>
      <c r="J510" s="188"/>
      <c r="K510" s="187"/>
      <c r="L510" s="187"/>
      <c r="M510" s="187"/>
      <c r="N510" s="188"/>
      <c r="O510" s="187"/>
      <c r="Q510" s="187"/>
      <c r="R510" s="190"/>
      <c r="S510" s="187"/>
    </row>
    <row r="511">
      <c r="B511" s="103"/>
      <c r="G511" s="191"/>
      <c r="H511" s="187"/>
      <c r="I511" s="187"/>
      <c r="J511" s="188"/>
      <c r="K511" s="187"/>
      <c r="L511" s="187"/>
      <c r="M511" s="187"/>
      <c r="N511" s="188"/>
      <c r="O511" s="187"/>
      <c r="Q511" s="187"/>
      <c r="R511" s="190"/>
      <c r="S511" s="187"/>
    </row>
    <row r="512">
      <c r="B512" s="103"/>
      <c r="G512" s="191"/>
      <c r="H512" s="187"/>
      <c r="I512" s="187"/>
      <c r="J512" s="188"/>
      <c r="K512" s="187"/>
      <c r="L512" s="187"/>
      <c r="M512" s="187"/>
      <c r="N512" s="188"/>
      <c r="O512" s="187"/>
      <c r="Q512" s="187"/>
      <c r="R512" s="190"/>
      <c r="S512" s="187"/>
    </row>
    <row r="513">
      <c r="B513" s="103"/>
      <c r="G513" s="191"/>
      <c r="H513" s="187"/>
      <c r="I513" s="187"/>
      <c r="J513" s="188"/>
      <c r="K513" s="187"/>
      <c r="L513" s="187"/>
      <c r="M513" s="187"/>
      <c r="N513" s="188"/>
      <c r="O513" s="187"/>
      <c r="Q513" s="187"/>
      <c r="R513" s="190"/>
      <c r="S513" s="187"/>
    </row>
    <row r="514">
      <c r="B514" s="103"/>
      <c r="G514" s="191"/>
      <c r="H514" s="187"/>
      <c r="I514" s="187"/>
      <c r="J514" s="188"/>
      <c r="K514" s="187"/>
      <c r="L514" s="187"/>
      <c r="M514" s="187"/>
      <c r="N514" s="188"/>
      <c r="O514" s="187"/>
      <c r="Q514" s="187"/>
      <c r="R514" s="190"/>
      <c r="S514" s="187"/>
    </row>
    <row r="515">
      <c r="B515" s="103"/>
      <c r="G515" s="191"/>
      <c r="H515" s="187"/>
      <c r="I515" s="187"/>
      <c r="J515" s="188"/>
      <c r="K515" s="187"/>
      <c r="L515" s="187"/>
      <c r="M515" s="187"/>
      <c r="N515" s="188"/>
      <c r="O515" s="187"/>
      <c r="Q515" s="187"/>
      <c r="R515" s="190"/>
      <c r="S515" s="187"/>
    </row>
    <row r="516">
      <c r="B516" s="103"/>
      <c r="G516" s="191"/>
      <c r="H516" s="187"/>
      <c r="I516" s="187"/>
      <c r="J516" s="188"/>
      <c r="K516" s="187"/>
      <c r="L516" s="187"/>
      <c r="M516" s="187"/>
      <c r="N516" s="188"/>
      <c r="O516" s="187"/>
      <c r="Q516" s="187"/>
      <c r="R516" s="190"/>
      <c r="S516" s="187"/>
    </row>
    <row r="517">
      <c r="B517" s="103"/>
      <c r="G517" s="191"/>
      <c r="H517" s="187"/>
      <c r="I517" s="187"/>
      <c r="J517" s="188"/>
      <c r="K517" s="187"/>
      <c r="L517" s="187"/>
      <c r="M517" s="187"/>
      <c r="N517" s="188"/>
      <c r="O517" s="187"/>
      <c r="Q517" s="187"/>
      <c r="R517" s="190"/>
      <c r="S517" s="187"/>
    </row>
    <row r="518">
      <c r="B518" s="103"/>
      <c r="G518" s="191"/>
      <c r="H518" s="187"/>
      <c r="I518" s="187"/>
      <c r="J518" s="188"/>
      <c r="K518" s="187"/>
      <c r="L518" s="187"/>
      <c r="M518" s="187"/>
      <c r="N518" s="188"/>
      <c r="O518" s="187"/>
      <c r="Q518" s="187"/>
      <c r="R518" s="190"/>
      <c r="S518" s="187"/>
    </row>
    <row r="519">
      <c r="B519" s="103"/>
      <c r="G519" s="191"/>
      <c r="H519" s="187"/>
      <c r="I519" s="187"/>
      <c r="J519" s="188"/>
      <c r="K519" s="187"/>
      <c r="L519" s="187"/>
      <c r="M519" s="187"/>
      <c r="N519" s="188"/>
      <c r="O519" s="187"/>
      <c r="Q519" s="187"/>
      <c r="R519" s="190"/>
      <c r="S519" s="187"/>
    </row>
    <row r="520">
      <c r="B520" s="103"/>
      <c r="G520" s="191"/>
      <c r="H520" s="187"/>
      <c r="I520" s="187"/>
      <c r="J520" s="188"/>
      <c r="K520" s="187"/>
      <c r="L520" s="187"/>
      <c r="M520" s="187"/>
      <c r="N520" s="188"/>
      <c r="O520" s="187"/>
      <c r="Q520" s="187"/>
      <c r="R520" s="190"/>
      <c r="S520" s="187"/>
    </row>
    <row r="521">
      <c r="B521" s="103"/>
      <c r="G521" s="191"/>
      <c r="H521" s="187"/>
      <c r="I521" s="187"/>
      <c r="J521" s="188"/>
      <c r="K521" s="187"/>
      <c r="L521" s="187"/>
      <c r="M521" s="187"/>
      <c r="N521" s="188"/>
      <c r="O521" s="187"/>
      <c r="Q521" s="187"/>
      <c r="R521" s="190"/>
      <c r="S521" s="187"/>
    </row>
    <row r="522">
      <c r="B522" s="103"/>
      <c r="G522" s="191"/>
      <c r="H522" s="187"/>
      <c r="I522" s="187"/>
      <c r="J522" s="188"/>
      <c r="K522" s="187"/>
      <c r="L522" s="187"/>
      <c r="M522" s="187"/>
      <c r="N522" s="188"/>
      <c r="O522" s="187"/>
      <c r="Q522" s="187"/>
      <c r="R522" s="190"/>
      <c r="S522" s="187"/>
    </row>
    <row r="523">
      <c r="B523" s="103"/>
      <c r="G523" s="191"/>
      <c r="H523" s="187"/>
      <c r="I523" s="187"/>
      <c r="J523" s="188"/>
      <c r="K523" s="187"/>
      <c r="L523" s="187"/>
      <c r="M523" s="187"/>
      <c r="N523" s="188"/>
      <c r="O523" s="187"/>
      <c r="Q523" s="187"/>
      <c r="R523" s="190"/>
      <c r="S523" s="187"/>
    </row>
    <row r="524">
      <c r="B524" s="103"/>
      <c r="G524" s="191"/>
      <c r="H524" s="187"/>
      <c r="I524" s="187"/>
      <c r="J524" s="188"/>
      <c r="K524" s="187"/>
      <c r="L524" s="187"/>
      <c r="M524" s="187"/>
      <c r="N524" s="188"/>
      <c r="O524" s="187"/>
      <c r="Q524" s="187"/>
      <c r="R524" s="190"/>
      <c r="S524" s="187"/>
    </row>
    <row r="525">
      <c r="B525" s="103"/>
      <c r="G525" s="191"/>
      <c r="H525" s="187"/>
      <c r="I525" s="187"/>
      <c r="J525" s="188"/>
      <c r="K525" s="187"/>
      <c r="L525" s="187"/>
      <c r="M525" s="187"/>
      <c r="N525" s="188"/>
      <c r="O525" s="187"/>
      <c r="Q525" s="187"/>
      <c r="R525" s="190"/>
      <c r="S525" s="187"/>
    </row>
    <row r="526">
      <c r="B526" s="103"/>
      <c r="G526" s="191"/>
      <c r="H526" s="187"/>
      <c r="I526" s="187"/>
      <c r="J526" s="188"/>
      <c r="K526" s="187"/>
      <c r="L526" s="187"/>
      <c r="M526" s="187"/>
      <c r="N526" s="188"/>
      <c r="O526" s="187"/>
      <c r="Q526" s="187"/>
      <c r="R526" s="190"/>
      <c r="S526" s="187"/>
    </row>
    <row r="527">
      <c r="B527" s="103"/>
      <c r="G527" s="191"/>
      <c r="H527" s="187"/>
      <c r="I527" s="187"/>
      <c r="J527" s="188"/>
      <c r="K527" s="187"/>
      <c r="L527" s="187"/>
      <c r="M527" s="187"/>
      <c r="N527" s="188"/>
      <c r="O527" s="187"/>
      <c r="Q527" s="187"/>
      <c r="R527" s="190"/>
      <c r="S527" s="187"/>
    </row>
    <row r="528">
      <c r="B528" s="103"/>
      <c r="G528" s="191"/>
      <c r="H528" s="187"/>
      <c r="I528" s="187"/>
      <c r="J528" s="188"/>
      <c r="K528" s="187"/>
      <c r="L528" s="187"/>
      <c r="M528" s="187"/>
      <c r="N528" s="188"/>
      <c r="O528" s="187"/>
      <c r="Q528" s="187"/>
      <c r="R528" s="190"/>
      <c r="S528" s="187"/>
    </row>
    <row r="529">
      <c r="B529" s="103"/>
      <c r="G529" s="191"/>
      <c r="H529" s="187"/>
      <c r="I529" s="187"/>
      <c r="J529" s="188"/>
      <c r="K529" s="187"/>
      <c r="L529" s="187"/>
      <c r="M529" s="187"/>
      <c r="N529" s="188"/>
      <c r="O529" s="187"/>
      <c r="Q529" s="187"/>
      <c r="R529" s="190"/>
      <c r="S529" s="187"/>
    </row>
    <row r="530">
      <c r="B530" s="103"/>
      <c r="G530" s="191"/>
      <c r="H530" s="187"/>
      <c r="I530" s="187"/>
      <c r="J530" s="188"/>
      <c r="K530" s="187"/>
      <c r="L530" s="187"/>
      <c r="M530" s="187"/>
      <c r="N530" s="188"/>
      <c r="O530" s="187"/>
      <c r="Q530" s="187"/>
      <c r="R530" s="190"/>
      <c r="S530" s="187"/>
    </row>
    <row r="531">
      <c r="B531" s="103"/>
      <c r="G531" s="191"/>
      <c r="H531" s="187"/>
      <c r="I531" s="187"/>
      <c r="J531" s="188"/>
      <c r="K531" s="187"/>
      <c r="L531" s="187"/>
      <c r="M531" s="187"/>
      <c r="N531" s="188"/>
      <c r="O531" s="187"/>
      <c r="Q531" s="187"/>
      <c r="R531" s="190"/>
      <c r="S531" s="187"/>
    </row>
    <row r="532">
      <c r="B532" s="103"/>
      <c r="G532" s="191"/>
      <c r="H532" s="187"/>
      <c r="I532" s="187"/>
      <c r="J532" s="188"/>
      <c r="K532" s="187"/>
      <c r="L532" s="187"/>
      <c r="M532" s="187"/>
      <c r="N532" s="188"/>
      <c r="O532" s="187"/>
      <c r="Q532" s="187"/>
      <c r="R532" s="190"/>
      <c r="S532" s="187"/>
    </row>
    <row r="533">
      <c r="B533" s="103"/>
      <c r="G533" s="191"/>
      <c r="H533" s="187"/>
      <c r="I533" s="187"/>
      <c r="J533" s="188"/>
      <c r="K533" s="187"/>
      <c r="L533" s="187"/>
      <c r="M533" s="187"/>
      <c r="N533" s="188"/>
      <c r="O533" s="187"/>
      <c r="Q533" s="187"/>
      <c r="R533" s="190"/>
      <c r="S533" s="187"/>
    </row>
    <row r="534">
      <c r="B534" s="103"/>
      <c r="G534" s="191"/>
      <c r="H534" s="187"/>
      <c r="I534" s="187"/>
      <c r="J534" s="188"/>
      <c r="K534" s="187"/>
      <c r="L534" s="187"/>
      <c r="M534" s="187"/>
      <c r="N534" s="188"/>
      <c r="O534" s="187"/>
      <c r="Q534" s="187"/>
      <c r="R534" s="190"/>
      <c r="S534" s="187"/>
    </row>
    <row r="535">
      <c r="B535" s="103"/>
      <c r="G535" s="191"/>
      <c r="H535" s="187"/>
      <c r="I535" s="187"/>
      <c r="J535" s="188"/>
      <c r="K535" s="187"/>
      <c r="L535" s="187"/>
      <c r="M535" s="187"/>
      <c r="N535" s="188"/>
      <c r="O535" s="187"/>
      <c r="Q535" s="187"/>
      <c r="R535" s="190"/>
      <c r="S535" s="187"/>
    </row>
    <row r="536">
      <c r="B536" s="103"/>
      <c r="G536" s="191"/>
      <c r="H536" s="187"/>
      <c r="I536" s="187"/>
      <c r="J536" s="188"/>
      <c r="K536" s="187"/>
      <c r="L536" s="187"/>
      <c r="M536" s="187"/>
      <c r="N536" s="188"/>
      <c r="O536" s="187"/>
      <c r="Q536" s="187"/>
      <c r="R536" s="190"/>
      <c r="S536" s="187"/>
    </row>
    <row r="537">
      <c r="B537" s="103"/>
      <c r="G537" s="191"/>
      <c r="H537" s="187"/>
      <c r="I537" s="187"/>
      <c r="J537" s="188"/>
      <c r="K537" s="187"/>
      <c r="L537" s="187"/>
      <c r="M537" s="187"/>
      <c r="N537" s="188"/>
      <c r="O537" s="187"/>
      <c r="Q537" s="187"/>
      <c r="R537" s="190"/>
      <c r="S537" s="187"/>
    </row>
    <row r="538">
      <c r="B538" s="103"/>
      <c r="G538" s="191"/>
      <c r="H538" s="187"/>
      <c r="I538" s="187"/>
      <c r="J538" s="188"/>
      <c r="K538" s="187"/>
      <c r="L538" s="187"/>
      <c r="M538" s="187"/>
      <c r="N538" s="188"/>
      <c r="O538" s="187"/>
      <c r="Q538" s="187"/>
      <c r="R538" s="190"/>
      <c r="S538" s="187"/>
    </row>
    <row r="539">
      <c r="B539" s="103"/>
      <c r="G539" s="191"/>
      <c r="H539" s="187"/>
      <c r="I539" s="187"/>
      <c r="J539" s="188"/>
      <c r="K539" s="187"/>
      <c r="L539" s="187"/>
      <c r="M539" s="187"/>
      <c r="N539" s="188"/>
      <c r="O539" s="187"/>
      <c r="Q539" s="187"/>
      <c r="R539" s="190"/>
      <c r="S539" s="187"/>
    </row>
    <row r="540">
      <c r="B540" s="103"/>
      <c r="G540" s="191"/>
      <c r="H540" s="187"/>
      <c r="I540" s="187"/>
      <c r="J540" s="188"/>
      <c r="K540" s="187"/>
      <c r="L540" s="187"/>
      <c r="M540" s="187"/>
      <c r="N540" s="188"/>
      <c r="O540" s="187"/>
      <c r="Q540" s="187"/>
      <c r="R540" s="190"/>
      <c r="S540" s="187"/>
    </row>
    <row r="541">
      <c r="B541" s="103"/>
      <c r="G541" s="191"/>
      <c r="H541" s="187"/>
      <c r="I541" s="187"/>
      <c r="J541" s="188"/>
      <c r="K541" s="187"/>
      <c r="L541" s="187"/>
      <c r="M541" s="187"/>
      <c r="N541" s="188"/>
      <c r="O541" s="187"/>
      <c r="Q541" s="187"/>
      <c r="R541" s="190"/>
      <c r="S541" s="187"/>
    </row>
    <row r="542">
      <c r="B542" s="103"/>
      <c r="G542" s="191"/>
      <c r="H542" s="187"/>
      <c r="I542" s="187"/>
      <c r="J542" s="188"/>
      <c r="K542" s="187"/>
      <c r="L542" s="187"/>
      <c r="M542" s="187"/>
      <c r="N542" s="188"/>
      <c r="O542" s="187"/>
      <c r="Q542" s="187"/>
      <c r="R542" s="190"/>
      <c r="S542" s="187"/>
    </row>
    <row r="543">
      <c r="B543" s="103"/>
      <c r="G543" s="191"/>
      <c r="H543" s="187"/>
      <c r="I543" s="187"/>
      <c r="J543" s="188"/>
      <c r="K543" s="187"/>
      <c r="L543" s="187"/>
      <c r="M543" s="187"/>
      <c r="N543" s="188"/>
      <c r="O543" s="187"/>
      <c r="Q543" s="187"/>
      <c r="R543" s="190"/>
      <c r="S543" s="187"/>
    </row>
    <row r="544">
      <c r="B544" s="103"/>
      <c r="G544" s="191"/>
      <c r="H544" s="187"/>
      <c r="I544" s="187"/>
      <c r="J544" s="188"/>
      <c r="K544" s="187"/>
      <c r="L544" s="187"/>
      <c r="M544" s="187"/>
      <c r="N544" s="188"/>
      <c r="O544" s="187"/>
      <c r="Q544" s="187"/>
      <c r="R544" s="190"/>
      <c r="S544" s="187"/>
    </row>
    <row r="545">
      <c r="B545" s="103"/>
      <c r="G545" s="191"/>
      <c r="H545" s="187"/>
      <c r="I545" s="187"/>
      <c r="J545" s="188"/>
      <c r="K545" s="187"/>
      <c r="L545" s="187"/>
      <c r="M545" s="187"/>
      <c r="N545" s="188"/>
      <c r="O545" s="187"/>
      <c r="Q545" s="187"/>
      <c r="R545" s="190"/>
      <c r="S545" s="187"/>
    </row>
    <row r="546">
      <c r="B546" s="103"/>
      <c r="G546" s="191"/>
      <c r="H546" s="187"/>
      <c r="I546" s="187"/>
      <c r="J546" s="188"/>
      <c r="K546" s="187"/>
      <c r="L546" s="187"/>
      <c r="M546" s="187"/>
      <c r="N546" s="188"/>
      <c r="O546" s="187"/>
      <c r="Q546" s="187"/>
      <c r="R546" s="190"/>
      <c r="S546" s="187"/>
    </row>
    <row r="547">
      <c r="B547" s="103"/>
      <c r="G547" s="191"/>
      <c r="H547" s="187"/>
      <c r="I547" s="187"/>
      <c r="J547" s="188"/>
      <c r="K547" s="187"/>
      <c r="L547" s="187"/>
      <c r="M547" s="187"/>
      <c r="N547" s="188"/>
      <c r="O547" s="187"/>
      <c r="Q547" s="187"/>
      <c r="R547" s="190"/>
      <c r="S547" s="187"/>
    </row>
    <row r="548">
      <c r="B548" s="103"/>
      <c r="G548" s="191"/>
      <c r="H548" s="187"/>
      <c r="I548" s="187"/>
      <c r="J548" s="188"/>
      <c r="K548" s="187"/>
      <c r="L548" s="187"/>
      <c r="M548" s="187"/>
      <c r="N548" s="188"/>
      <c r="O548" s="187"/>
      <c r="Q548" s="187"/>
      <c r="R548" s="190"/>
      <c r="S548" s="187"/>
    </row>
    <row r="549">
      <c r="B549" s="103"/>
      <c r="G549" s="191"/>
      <c r="H549" s="187"/>
      <c r="I549" s="187"/>
      <c r="J549" s="188"/>
      <c r="K549" s="187"/>
      <c r="L549" s="187"/>
      <c r="M549" s="187"/>
      <c r="N549" s="188"/>
      <c r="O549" s="187"/>
      <c r="Q549" s="187"/>
      <c r="R549" s="190"/>
      <c r="S549" s="187"/>
    </row>
    <row r="550">
      <c r="B550" s="103"/>
      <c r="G550" s="191"/>
      <c r="H550" s="187"/>
      <c r="I550" s="187"/>
      <c r="J550" s="188"/>
      <c r="K550" s="187"/>
      <c r="L550" s="187"/>
      <c r="M550" s="187"/>
      <c r="N550" s="188"/>
      <c r="O550" s="187"/>
      <c r="Q550" s="187"/>
      <c r="R550" s="190"/>
      <c r="S550" s="187"/>
    </row>
    <row r="551">
      <c r="B551" s="103"/>
      <c r="G551" s="191"/>
      <c r="H551" s="187"/>
      <c r="I551" s="187"/>
      <c r="J551" s="188"/>
      <c r="K551" s="187"/>
      <c r="L551" s="187"/>
      <c r="M551" s="187"/>
      <c r="N551" s="188"/>
      <c r="O551" s="187"/>
      <c r="Q551" s="187"/>
      <c r="R551" s="190"/>
      <c r="S551" s="187"/>
    </row>
    <row r="552">
      <c r="B552" s="103"/>
      <c r="G552" s="191"/>
      <c r="H552" s="187"/>
      <c r="I552" s="187"/>
      <c r="J552" s="188"/>
      <c r="K552" s="187"/>
      <c r="L552" s="187"/>
      <c r="M552" s="187"/>
      <c r="N552" s="188"/>
      <c r="O552" s="187"/>
      <c r="Q552" s="187"/>
      <c r="R552" s="190"/>
      <c r="S552" s="187"/>
    </row>
    <row r="553">
      <c r="B553" s="103"/>
      <c r="G553" s="191"/>
      <c r="H553" s="187"/>
      <c r="I553" s="187"/>
      <c r="J553" s="188"/>
      <c r="K553" s="187"/>
      <c r="L553" s="187"/>
      <c r="M553" s="187"/>
      <c r="N553" s="188"/>
      <c r="O553" s="187"/>
      <c r="Q553" s="187"/>
      <c r="R553" s="190"/>
      <c r="S553" s="187"/>
    </row>
    <row r="554">
      <c r="B554" s="103"/>
      <c r="G554" s="191"/>
      <c r="H554" s="187"/>
      <c r="I554" s="187"/>
      <c r="J554" s="188"/>
      <c r="K554" s="187"/>
      <c r="L554" s="187"/>
      <c r="M554" s="187"/>
      <c r="N554" s="188"/>
      <c r="O554" s="187"/>
      <c r="Q554" s="187"/>
      <c r="R554" s="190"/>
      <c r="S554" s="187"/>
    </row>
    <row r="555">
      <c r="B555" s="103"/>
      <c r="G555" s="191"/>
      <c r="H555" s="187"/>
      <c r="I555" s="187"/>
      <c r="J555" s="188"/>
      <c r="K555" s="187"/>
      <c r="L555" s="187"/>
      <c r="M555" s="187"/>
      <c r="N555" s="188"/>
      <c r="O555" s="187"/>
      <c r="Q555" s="187"/>
      <c r="R555" s="190"/>
      <c r="S555" s="187"/>
    </row>
    <row r="556">
      <c r="B556" s="103"/>
      <c r="G556" s="191"/>
      <c r="H556" s="187"/>
      <c r="I556" s="187"/>
      <c r="J556" s="188"/>
      <c r="K556" s="187"/>
      <c r="L556" s="187"/>
      <c r="M556" s="187"/>
      <c r="N556" s="188"/>
      <c r="O556" s="187"/>
      <c r="Q556" s="187"/>
      <c r="R556" s="190"/>
      <c r="S556" s="187"/>
    </row>
    <row r="557">
      <c r="B557" s="103"/>
      <c r="G557" s="191"/>
      <c r="H557" s="187"/>
      <c r="I557" s="187"/>
      <c r="J557" s="188"/>
      <c r="K557" s="187"/>
      <c r="L557" s="187"/>
      <c r="M557" s="187"/>
      <c r="N557" s="188"/>
      <c r="O557" s="187"/>
      <c r="Q557" s="187"/>
      <c r="R557" s="190"/>
      <c r="S557" s="187"/>
    </row>
    <row r="558">
      <c r="B558" s="103"/>
      <c r="G558" s="191"/>
      <c r="H558" s="187"/>
      <c r="I558" s="187"/>
      <c r="J558" s="188"/>
      <c r="K558" s="187"/>
      <c r="L558" s="187"/>
      <c r="M558" s="187"/>
      <c r="N558" s="188"/>
      <c r="O558" s="187"/>
      <c r="Q558" s="187"/>
      <c r="R558" s="190"/>
      <c r="S558" s="187"/>
    </row>
    <row r="559">
      <c r="B559" s="103"/>
      <c r="G559" s="191"/>
      <c r="H559" s="187"/>
      <c r="I559" s="187"/>
      <c r="J559" s="188"/>
      <c r="K559" s="187"/>
      <c r="L559" s="187"/>
      <c r="M559" s="187"/>
      <c r="N559" s="188"/>
      <c r="O559" s="187"/>
      <c r="Q559" s="187"/>
      <c r="R559" s="190"/>
      <c r="S559" s="187"/>
    </row>
    <row r="560">
      <c r="B560" s="103"/>
      <c r="G560" s="191"/>
      <c r="H560" s="187"/>
      <c r="I560" s="187"/>
      <c r="J560" s="188"/>
      <c r="K560" s="187"/>
      <c r="L560" s="187"/>
      <c r="M560" s="187"/>
      <c r="N560" s="188"/>
      <c r="O560" s="187"/>
      <c r="Q560" s="187"/>
      <c r="R560" s="190"/>
      <c r="S560" s="187"/>
    </row>
    <row r="561">
      <c r="B561" s="103"/>
      <c r="G561" s="191"/>
      <c r="H561" s="187"/>
      <c r="I561" s="187"/>
      <c r="J561" s="188"/>
      <c r="K561" s="187"/>
      <c r="L561" s="187"/>
      <c r="M561" s="187"/>
      <c r="N561" s="188"/>
      <c r="O561" s="187"/>
      <c r="Q561" s="187"/>
      <c r="R561" s="190"/>
      <c r="S561" s="187"/>
    </row>
    <row r="562">
      <c r="B562" s="103"/>
      <c r="G562" s="191"/>
      <c r="H562" s="187"/>
      <c r="I562" s="187"/>
      <c r="J562" s="188"/>
      <c r="K562" s="187"/>
      <c r="L562" s="187"/>
      <c r="M562" s="187"/>
      <c r="N562" s="188"/>
      <c r="O562" s="187"/>
      <c r="Q562" s="187"/>
      <c r="R562" s="190"/>
      <c r="S562" s="187"/>
    </row>
    <row r="563">
      <c r="B563" s="103"/>
      <c r="G563" s="191"/>
      <c r="H563" s="187"/>
      <c r="I563" s="187"/>
      <c r="J563" s="188"/>
      <c r="K563" s="187"/>
      <c r="L563" s="187"/>
      <c r="M563" s="187"/>
      <c r="N563" s="188"/>
      <c r="O563" s="187"/>
      <c r="Q563" s="187"/>
      <c r="R563" s="190"/>
      <c r="S563" s="187"/>
    </row>
    <row r="564">
      <c r="B564" s="103"/>
      <c r="G564" s="191"/>
      <c r="H564" s="187"/>
      <c r="I564" s="187"/>
      <c r="J564" s="188"/>
      <c r="K564" s="187"/>
      <c r="L564" s="187"/>
      <c r="M564" s="187"/>
      <c r="N564" s="188"/>
      <c r="O564" s="187"/>
      <c r="Q564" s="187"/>
      <c r="R564" s="190"/>
      <c r="S564" s="187"/>
    </row>
    <row r="565">
      <c r="B565" s="103"/>
      <c r="G565" s="191"/>
      <c r="H565" s="187"/>
      <c r="I565" s="187"/>
      <c r="J565" s="188"/>
      <c r="K565" s="187"/>
      <c r="L565" s="187"/>
      <c r="M565" s="187"/>
      <c r="N565" s="188"/>
      <c r="O565" s="187"/>
      <c r="Q565" s="187"/>
      <c r="R565" s="190"/>
      <c r="S565" s="187"/>
    </row>
    <row r="566">
      <c r="B566" s="103"/>
      <c r="G566" s="191"/>
      <c r="H566" s="187"/>
      <c r="I566" s="187"/>
      <c r="J566" s="188"/>
      <c r="K566" s="187"/>
      <c r="L566" s="187"/>
      <c r="M566" s="187"/>
      <c r="N566" s="188"/>
      <c r="O566" s="187"/>
      <c r="Q566" s="187"/>
      <c r="R566" s="190"/>
      <c r="S566" s="187"/>
    </row>
    <row r="567">
      <c r="B567" s="103"/>
      <c r="G567" s="191"/>
      <c r="H567" s="187"/>
      <c r="I567" s="187"/>
      <c r="J567" s="188"/>
      <c r="K567" s="187"/>
      <c r="L567" s="187"/>
      <c r="M567" s="187"/>
      <c r="N567" s="188"/>
      <c r="O567" s="187"/>
      <c r="Q567" s="187"/>
      <c r="R567" s="190"/>
      <c r="S567" s="187"/>
    </row>
    <row r="568">
      <c r="B568" s="103"/>
      <c r="G568" s="191"/>
      <c r="H568" s="187"/>
      <c r="I568" s="187"/>
      <c r="J568" s="188"/>
      <c r="K568" s="187"/>
      <c r="L568" s="187"/>
      <c r="M568" s="187"/>
      <c r="N568" s="188"/>
      <c r="O568" s="187"/>
      <c r="Q568" s="187"/>
      <c r="R568" s="190"/>
      <c r="S568" s="187"/>
    </row>
    <row r="569">
      <c r="B569" s="103"/>
      <c r="G569" s="191"/>
      <c r="H569" s="187"/>
      <c r="I569" s="187"/>
      <c r="J569" s="188"/>
      <c r="K569" s="187"/>
      <c r="L569" s="187"/>
      <c r="M569" s="187"/>
      <c r="N569" s="188"/>
      <c r="O569" s="187"/>
      <c r="Q569" s="187"/>
      <c r="R569" s="190"/>
      <c r="S569" s="187"/>
    </row>
    <row r="570">
      <c r="B570" s="103"/>
      <c r="G570" s="191"/>
      <c r="H570" s="187"/>
      <c r="I570" s="187"/>
      <c r="J570" s="188"/>
      <c r="K570" s="187"/>
      <c r="L570" s="187"/>
      <c r="M570" s="187"/>
      <c r="N570" s="188"/>
      <c r="O570" s="187"/>
      <c r="Q570" s="187"/>
      <c r="R570" s="190"/>
      <c r="S570" s="187"/>
    </row>
    <row r="571">
      <c r="B571" s="103"/>
      <c r="G571" s="191"/>
      <c r="H571" s="187"/>
      <c r="I571" s="187"/>
      <c r="J571" s="188"/>
      <c r="K571" s="187"/>
      <c r="L571" s="187"/>
      <c r="M571" s="187"/>
      <c r="N571" s="188"/>
      <c r="O571" s="187"/>
      <c r="Q571" s="187"/>
      <c r="R571" s="190"/>
      <c r="S571" s="187"/>
    </row>
    <row r="572">
      <c r="B572" s="103"/>
      <c r="G572" s="191"/>
      <c r="H572" s="187"/>
      <c r="I572" s="187"/>
      <c r="J572" s="188"/>
      <c r="K572" s="187"/>
      <c r="L572" s="187"/>
      <c r="M572" s="187"/>
      <c r="N572" s="188"/>
      <c r="O572" s="187"/>
      <c r="Q572" s="187"/>
      <c r="R572" s="190"/>
      <c r="S572" s="187"/>
    </row>
    <row r="573">
      <c r="B573" s="103"/>
      <c r="G573" s="191"/>
      <c r="H573" s="187"/>
      <c r="I573" s="187"/>
      <c r="J573" s="188"/>
      <c r="K573" s="187"/>
      <c r="L573" s="187"/>
      <c r="M573" s="187"/>
      <c r="N573" s="188"/>
      <c r="O573" s="187"/>
      <c r="Q573" s="187"/>
      <c r="R573" s="190"/>
      <c r="S573" s="187"/>
    </row>
    <row r="574">
      <c r="B574" s="103"/>
      <c r="G574" s="191"/>
      <c r="H574" s="187"/>
      <c r="I574" s="187"/>
      <c r="J574" s="188"/>
      <c r="K574" s="187"/>
      <c r="L574" s="187"/>
      <c r="M574" s="187"/>
      <c r="N574" s="188"/>
      <c r="O574" s="187"/>
      <c r="Q574" s="187"/>
      <c r="R574" s="190"/>
      <c r="S574" s="187"/>
    </row>
    <row r="575">
      <c r="B575" s="103"/>
      <c r="G575" s="191"/>
      <c r="H575" s="187"/>
      <c r="I575" s="187"/>
      <c r="J575" s="188"/>
      <c r="K575" s="187"/>
      <c r="L575" s="187"/>
      <c r="M575" s="187"/>
      <c r="N575" s="188"/>
      <c r="O575" s="187"/>
      <c r="Q575" s="187"/>
      <c r="R575" s="190"/>
      <c r="S575" s="187"/>
    </row>
    <row r="576">
      <c r="B576" s="103"/>
      <c r="G576" s="191"/>
      <c r="H576" s="187"/>
      <c r="I576" s="187"/>
      <c r="J576" s="188"/>
      <c r="K576" s="187"/>
      <c r="L576" s="187"/>
      <c r="M576" s="187"/>
      <c r="N576" s="188"/>
      <c r="O576" s="187"/>
      <c r="Q576" s="187"/>
      <c r="R576" s="190"/>
      <c r="S576" s="187"/>
    </row>
    <row r="577">
      <c r="B577" s="103"/>
      <c r="G577" s="191"/>
      <c r="H577" s="187"/>
      <c r="I577" s="187"/>
      <c r="J577" s="188"/>
      <c r="K577" s="187"/>
      <c r="L577" s="187"/>
      <c r="M577" s="187"/>
      <c r="N577" s="188"/>
      <c r="O577" s="187"/>
      <c r="Q577" s="187"/>
      <c r="R577" s="190"/>
      <c r="S577" s="187"/>
    </row>
    <row r="578">
      <c r="B578" s="103"/>
      <c r="G578" s="191"/>
      <c r="H578" s="187"/>
      <c r="I578" s="187"/>
      <c r="J578" s="188"/>
      <c r="K578" s="187"/>
      <c r="L578" s="187"/>
      <c r="M578" s="187"/>
      <c r="N578" s="188"/>
      <c r="O578" s="187"/>
      <c r="Q578" s="187"/>
      <c r="R578" s="190"/>
      <c r="S578" s="187"/>
    </row>
    <row r="579">
      <c r="B579" s="103"/>
      <c r="G579" s="191"/>
      <c r="H579" s="187"/>
      <c r="I579" s="187"/>
      <c r="J579" s="188"/>
      <c r="K579" s="187"/>
      <c r="L579" s="187"/>
      <c r="M579" s="187"/>
      <c r="N579" s="188"/>
      <c r="O579" s="187"/>
      <c r="Q579" s="187"/>
      <c r="R579" s="190"/>
      <c r="S579" s="187"/>
    </row>
    <row r="580">
      <c r="B580" s="103"/>
      <c r="G580" s="191"/>
      <c r="H580" s="187"/>
      <c r="I580" s="187"/>
      <c r="J580" s="188"/>
      <c r="K580" s="187"/>
      <c r="L580" s="187"/>
      <c r="M580" s="187"/>
      <c r="N580" s="188"/>
      <c r="O580" s="187"/>
      <c r="Q580" s="187"/>
      <c r="R580" s="190"/>
      <c r="S580" s="187"/>
    </row>
    <row r="581">
      <c r="B581" s="103"/>
      <c r="G581" s="191"/>
      <c r="H581" s="187"/>
      <c r="I581" s="187"/>
      <c r="J581" s="188"/>
      <c r="K581" s="187"/>
      <c r="L581" s="187"/>
      <c r="M581" s="187"/>
      <c r="N581" s="188"/>
      <c r="O581" s="187"/>
      <c r="Q581" s="187"/>
      <c r="R581" s="190"/>
      <c r="S581" s="187"/>
    </row>
    <row r="582">
      <c r="B582" s="103"/>
      <c r="G582" s="191"/>
      <c r="H582" s="187"/>
      <c r="I582" s="187"/>
      <c r="J582" s="188"/>
      <c r="K582" s="187"/>
      <c r="L582" s="187"/>
      <c r="M582" s="187"/>
      <c r="N582" s="188"/>
      <c r="O582" s="187"/>
      <c r="Q582" s="187"/>
      <c r="R582" s="190"/>
      <c r="S582" s="187"/>
    </row>
    <row r="583">
      <c r="B583" s="103"/>
      <c r="G583" s="191"/>
      <c r="H583" s="187"/>
      <c r="I583" s="187"/>
      <c r="J583" s="188"/>
      <c r="K583" s="187"/>
      <c r="L583" s="187"/>
      <c r="M583" s="187"/>
      <c r="N583" s="188"/>
      <c r="O583" s="187"/>
      <c r="Q583" s="187"/>
      <c r="R583" s="190"/>
      <c r="S583" s="187"/>
    </row>
    <row r="584">
      <c r="B584" s="103"/>
      <c r="G584" s="191"/>
      <c r="H584" s="187"/>
      <c r="I584" s="187"/>
      <c r="J584" s="188"/>
      <c r="K584" s="187"/>
      <c r="L584" s="187"/>
      <c r="M584" s="187"/>
      <c r="N584" s="188"/>
      <c r="O584" s="187"/>
      <c r="Q584" s="187"/>
      <c r="R584" s="190"/>
      <c r="S584" s="187"/>
    </row>
    <row r="585">
      <c r="B585" s="103"/>
      <c r="G585" s="191"/>
      <c r="H585" s="187"/>
      <c r="I585" s="187"/>
      <c r="J585" s="188"/>
      <c r="K585" s="187"/>
      <c r="L585" s="187"/>
      <c r="M585" s="187"/>
      <c r="N585" s="188"/>
      <c r="O585" s="187"/>
      <c r="Q585" s="187"/>
      <c r="R585" s="190"/>
      <c r="S585" s="187"/>
    </row>
    <row r="586">
      <c r="B586" s="103"/>
      <c r="G586" s="191"/>
      <c r="H586" s="187"/>
      <c r="I586" s="187"/>
      <c r="J586" s="188"/>
      <c r="K586" s="187"/>
      <c r="L586" s="187"/>
      <c r="M586" s="187"/>
      <c r="N586" s="188"/>
      <c r="O586" s="187"/>
      <c r="Q586" s="187"/>
      <c r="R586" s="190"/>
      <c r="S586" s="187"/>
    </row>
    <row r="587">
      <c r="B587" s="103"/>
      <c r="G587" s="191"/>
      <c r="H587" s="187"/>
      <c r="I587" s="187"/>
      <c r="J587" s="188"/>
      <c r="K587" s="187"/>
      <c r="L587" s="187"/>
      <c r="M587" s="187"/>
      <c r="N587" s="188"/>
      <c r="O587" s="187"/>
      <c r="Q587" s="187"/>
      <c r="R587" s="190"/>
      <c r="S587" s="187"/>
    </row>
    <row r="588">
      <c r="B588" s="103"/>
      <c r="G588" s="191"/>
      <c r="H588" s="187"/>
      <c r="I588" s="187"/>
      <c r="J588" s="188"/>
      <c r="K588" s="187"/>
      <c r="L588" s="187"/>
      <c r="M588" s="187"/>
      <c r="N588" s="188"/>
      <c r="O588" s="187"/>
      <c r="Q588" s="187"/>
      <c r="R588" s="190"/>
      <c r="S588" s="187"/>
    </row>
    <row r="589">
      <c r="B589" s="103"/>
      <c r="G589" s="191"/>
      <c r="H589" s="187"/>
      <c r="I589" s="187"/>
      <c r="J589" s="188"/>
      <c r="K589" s="187"/>
      <c r="L589" s="187"/>
      <c r="M589" s="187"/>
      <c r="N589" s="188"/>
      <c r="O589" s="187"/>
      <c r="Q589" s="187"/>
      <c r="R589" s="190"/>
      <c r="S589" s="187"/>
    </row>
    <row r="590">
      <c r="B590" s="103"/>
      <c r="G590" s="191"/>
      <c r="H590" s="187"/>
      <c r="I590" s="187"/>
      <c r="J590" s="188"/>
      <c r="K590" s="187"/>
      <c r="L590" s="187"/>
      <c r="M590" s="187"/>
      <c r="N590" s="188"/>
      <c r="O590" s="187"/>
      <c r="Q590" s="187"/>
      <c r="R590" s="190"/>
      <c r="S590" s="187"/>
    </row>
    <row r="591">
      <c r="B591" s="103"/>
      <c r="G591" s="191"/>
      <c r="H591" s="187"/>
      <c r="I591" s="187"/>
      <c r="J591" s="188"/>
      <c r="K591" s="187"/>
      <c r="L591" s="187"/>
      <c r="M591" s="187"/>
      <c r="N591" s="188"/>
      <c r="O591" s="187"/>
      <c r="Q591" s="187"/>
      <c r="R591" s="190"/>
      <c r="S591" s="187"/>
    </row>
    <row r="592">
      <c r="B592" s="103"/>
      <c r="G592" s="191"/>
      <c r="H592" s="187"/>
      <c r="I592" s="187"/>
      <c r="J592" s="188"/>
      <c r="K592" s="187"/>
      <c r="L592" s="187"/>
      <c r="M592" s="187"/>
      <c r="N592" s="188"/>
      <c r="O592" s="187"/>
      <c r="Q592" s="187"/>
      <c r="R592" s="190"/>
      <c r="S592" s="187"/>
    </row>
    <row r="593">
      <c r="B593" s="103"/>
      <c r="G593" s="191"/>
      <c r="H593" s="187"/>
      <c r="I593" s="187"/>
      <c r="J593" s="188"/>
      <c r="K593" s="187"/>
      <c r="L593" s="187"/>
      <c r="M593" s="187"/>
      <c r="N593" s="188"/>
      <c r="O593" s="187"/>
      <c r="Q593" s="187"/>
      <c r="R593" s="190"/>
      <c r="S593" s="187"/>
    </row>
    <row r="594">
      <c r="B594" s="103"/>
      <c r="G594" s="191"/>
      <c r="H594" s="187"/>
      <c r="I594" s="187"/>
      <c r="J594" s="188"/>
      <c r="K594" s="187"/>
      <c r="L594" s="187"/>
      <c r="M594" s="187"/>
      <c r="N594" s="188"/>
      <c r="O594" s="187"/>
      <c r="Q594" s="187"/>
      <c r="R594" s="190"/>
      <c r="S594" s="187"/>
    </row>
    <row r="595">
      <c r="B595" s="103"/>
      <c r="G595" s="191"/>
      <c r="H595" s="187"/>
      <c r="I595" s="187"/>
      <c r="J595" s="188"/>
      <c r="K595" s="187"/>
      <c r="L595" s="187"/>
      <c r="M595" s="187"/>
      <c r="N595" s="188"/>
      <c r="O595" s="187"/>
      <c r="Q595" s="187"/>
      <c r="R595" s="190"/>
      <c r="S595" s="187"/>
    </row>
    <row r="596">
      <c r="B596" s="103"/>
      <c r="G596" s="191"/>
      <c r="H596" s="187"/>
      <c r="I596" s="187"/>
      <c r="J596" s="188"/>
      <c r="K596" s="187"/>
      <c r="L596" s="187"/>
      <c r="M596" s="187"/>
      <c r="N596" s="188"/>
      <c r="O596" s="187"/>
      <c r="Q596" s="187"/>
      <c r="R596" s="190"/>
      <c r="S596" s="187"/>
    </row>
    <row r="597">
      <c r="B597" s="103"/>
      <c r="G597" s="191"/>
      <c r="H597" s="187"/>
      <c r="I597" s="187"/>
      <c r="J597" s="188"/>
      <c r="K597" s="187"/>
      <c r="L597" s="187"/>
      <c r="M597" s="187"/>
      <c r="N597" s="188"/>
      <c r="O597" s="187"/>
      <c r="Q597" s="187"/>
      <c r="R597" s="190"/>
      <c r="S597" s="187"/>
    </row>
    <row r="598">
      <c r="B598" s="103"/>
      <c r="G598" s="191"/>
      <c r="H598" s="187"/>
      <c r="I598" s="187"/>
      <c r="J598" s="188"/>
      <c r="K598" s="187"/>
      <c r="L598" s="187"/>
      <c r="M598" s="187"/>
      <c r="N598" s="188"/>
      <c r="O598" s="187"/>
      <c r="Q598" s="187"/>
      <c r="R598" s="190"/>
      <c r="S598" s="187"/>
    </row>
    <row r="599">
      <c r="B599" s="103"/>
      <c r="G599" s="191"/>
      <c r="H599" s="187"/>
      <c r="I599" s="187"/>
      <c r="J599" s="188"/>
      <c r="K599" s="187"/>
      <c r="L599" s="187"/>
      <c r="M599" s="187"/>
      <c r="N599" s="188"/>
      <c r="O599" s="187"/>
      <c r="Q599" s="187"/>
      <c r="R599" s="190"/>
      <c r="S599" s="187"/>
    </row>
    <row r="600">
      <c r="B600" s="103"/>
      <c r="G600" s="191"/>
      <c r="H600" s="187"/>
      <c r="I600" s="187"/>
      <c r="J600" s="188"/>
      <c r="K600" s="187"/>
      <c r="L600" s="187"/>
      <c r="M600" s="187"/>
      <c r="N600" s="188"/>
      <c r="O600" s="187"/>
      <c r="Q600" s="187"/>
      <c r="R600" s="190"/>
      <c r="S600" s="187"/>
    </row>
    <row r="601">
      <c r="B601" s="103"/>
      <c r="G601" s="191"/>
      <c r="H601" s="187"/>
      <c r="I601" s="187"/>
      <c r="J601" s="188"/>
      <c r="K601" s="187"/>
      <c r="L601" s="187"/>
      <c r="M601" s="187"/>
      <c r="N601" s="188"/>
      <c r="O601" s="187"/>
      <c r="Q601" s="187"/>
      <c r="R601" s="190"/>
      <c r="S601" s="187"/>
    </row>
    <row r="602">
      <c r="B602" s="103"/>
      <c r="G602" s="191"/>
      <c r="H602" s="187"/>
      <c r="I602" s="187"/>
      <c r="J602" s="188"/>
      <c r="K602" s="187"/>
      <c r="L602" s="187"/>
      <c r="M602" s="187"/>
      <c r="N602" s="188"/>
      <c r="O602" s="187"/>
      <c r="Q602" s="187"/>
      <c r="R602" s="190"/>
      <c r="S602" s="187"/>
    </row>
    <row r="603">
      <c r="B603" s="103"/>
      <c r="G603" s="191"/>
      <c r="H603" s="187"/>
      <c r="I603" s="187"/>
      <c r="J603" s="188"/>
      <c r="K603" s="187"/>
      <c r="L603" s="187"/>
      <c r="M603" s="187"/>
      <c r="N603" s="188"/>
      <c r="O603" s="187"/>
      <c r="Q603" s="187"/>
      <c r="R603" s="190"/>
      <c r="S603" s="187"/>
    </row>
    <row r="604">
      <c r="B604" s="103"/>
      <c r="G604" s="191"/>
      <c r="H604" s="187"/>
      <c r="I604" s="187"/>
      <c r="J604" s="188"/>
      <c r="K604" s="187"/>
      <c r="L604" s="187"/>
      <c r="M604" s="187"/>
      <c r="N604" s="188"/>
      <c r="O604" s="187"/>
      <c r="Q604" s="187"/>
      <c r="R604" s="190"/>
      <c r="S604" s="187"/>
    </row>
    <row r="605">
      <c r="B605" s="103"/>
      <c r="G605" s="191"/>
      <c r="H605" s="187"/>
      <c r="I605" s="187"/>
      <c r="J605" s="188"/>
      <c r="K605" s="187"/>
      <c r="L605" s="187"/>
      <c r="M605" s="187"/>
      <c r="N605" s="188"/>
      <c r="O605" s="187"/>
      <c r="Q605" s="187"/>
      <c r="R605" s="190"/>
      <c r="S605" s="187"/>
    </row>
    <row r="606">
      <c r="B606" s="103"/>
      <c r="G606" s="191"/>
      <c r="H606" s="187"/>
      <c r="I606" s="187"/>
      <c r="J606" s="188"/>
      <c r="K606" s="187"/>
      <c r="L606" s="187"/>
      <c r="M606" s="187"/>
      <c r="N606" s="188"/>
      <c r="O606" s="187"/>
      <c r="Q606" s="187"/>
      <c r="R606" s="190"/>
      <c r="S606" s="187"/>
    </row>
    <row r="607">
      <c r="B607" s="103"/>
      <c r="G607" s="191"/>
      <c r="H607" s="187"/>
      <c r="I607" s="187"/>
      <c r="J607" s="188"/>
      <c r="K607" s="187"/>
      <c r="L607" s="187"/>
      <c r="M607" s="187"/>
      <c r="N607" s="188"/>
      <c r="O607" s="187"/>
      <c r="Q607" s="187"/>
      <c r="R607" s="190"/>
      <c r="S607" s="187"/>
    </row>
    <row r="608">
      <c r="B608" s="103"/>
      <c r="G608" s="191"/>
      <c r="H608" s="187"/>
      <c r="I608" s="187"/>
      <c r="J608" s="188"/>
      <c r="K608" s="187"/>
      <c r="L608" s="187"/>
      <c r="M608" s="187"/>
      <c r="N608" s="188"/>
      <c r="O608" s="187"/>
      <c r="Q608" s="187"/>
      <c r="R608" s="190"/>
      <c r="S608" s="187"/>
    </row>
    <row r="609">
      <c r="B609" s="103"/>
      <c r="G609" s="191"/>
      <c r="H609" s="187"/>
      <c r="I609" s="187"/>
      <c r="J609" s="188"/>
      <c r="K609" s="187"/>
      <c r="L609" s="187"/>
      <c r="M609" s="187"/>
      <c r="N609" s="188"/>
      <c r="O609" s="187"/>
      <c r="Q609" s="187"/>
      <c r="R609" s="190"/>
      <c r="S609" s="187"/>
    </row>
    <row r="610">
      <c r="B610" s="103"/>
      <c r="G610" s="191"/>
      <c r="H610" s="187"/>
      <c r="I610" s="187"/>
      <c r="J610" s="188"/>
      <c r="K610" s="187"/>
      <c r="L610" s="187"/>
      <c r="M610" s="187"/>
      <c r="N610" s="188"/>
      <c r="O610" s="187"/>
      <c r="Q610" s="187"/>
      <c r="R610" s="190"/>
      <c r="S610" s="187"/>
    </row>
    <row r="611">
      <c r="B611" s="103"/>
      <c r="G611" s="191"/>
      <c r="H611" s="187"/>
      <c r="I611" s="187"/>
      <c r="J611" s="188"/>
      <c r="K611" s="187"/>
      <c r="L611" s="187"/>
      <c r="M611" s="187"/>
      <c r="N611" s="188"/>
      <c r="O611" s="187"/>
      <c r="Q611" s="187"/>
      <c r="R611" s="190"/>
      <c r="S611" s="187"/>
    </row>
    <row r="612">
      <c r="B612" s="103"/>
      <c r="G612" s="191"/>
      <c r="H612" s="187"/>
      <c r="I612" s="187"/>
      <c r="J612" s="188"/>
      <c r="K612" s="187"/>
      <c r="L612" s="187"/>
      <c r="M612" s="187"/>
      <c r="N612" s="188"/>
      <c r="O612" s="187"/>
      <c r="Q612" s="187"/>
      <c r="R612" s="190"/>
      <c r="S612" s="187"/>
    </row>
    <row r="613">
      <c r="B613" s="103"/>
      <c r="G613" s="191"/>
      <c r="H613" s="187"/>
      <c r="I613" s="187"/>
      <c r="J613" s="188"/>
      <c r="K613" s="187"/>
      <c r="L613" s="187"/>
      <c r="M613" s="187"/>
      <c r="N613" s="188"/>
      <c r="O613" s="187"/>
      <c r="Q613" s="187"/>
      <c r="R613" s="190"/>
      <c r="S613" s="187"/>
    </row>
    <row r="614">
      <c r="B614" s="103"/>
      <c r="G614" s="191"/>
      <c r="H614" s="187"/>
      <c r="I614" s="187"/>
      <c r="J614" s="188"/>
      <c r="K614" s="187"/>
      <c r="L614" s="187"/>
      <c r="M614" s="187"/>
      <c r="N614" s="188"/>
      <c r="O614" s="187"/>
      <c r="Q614" s="187"/>
      <c r="R614" s="190"/>
      <c r="S614" s="187"/>
    </row>
    <row r="615">
      <c r="B615" s="103"/>
      <c r="G615" s="191"/>
      <c r="H615" s="187"/>
      <c r="I615" s="187"/>
      <c r="J615" s="188"/>
      <c r="K615" s="187"/>
      <c r="L615" s="187"/>
      <c r="M615" s="187"/>
      <c r="N615" s="188"/>
      <c r="O615" s="187"/>
      <c r="Q615" s="187"/>
      <c r="R615" s="190"/>
      <c r="S615" s="187"/>
    </row>
    <row r="616">
      <c r="B616" s="103"/>
      <c r="G616" s="191"/>
      <c r="H616" s="187"/>
      <c r="I616" s="187"/>
      <c r="J616" s="188"/>
      <c r="K616" s="187"/>
      <c r="L616" s="187"/>
      <c r="M616" s="187"/>
      <c r="N616" s="188"/>
      <c r="O616" s="187"/>
      <c r="Q616" s="187"/>
      <c r="R616" s="190"/>
      <c r="S616" s="187"/>
    </row>
    <row r="617">
      <c r="B617" s="103"/>
      <c r="G617" s="191"/>
      <c r="H617" s="187"/>
      <c r="I617" s="187"/>
      <c r="J617" s="188"/>
      <c r="K617" s="187"/>
      <c r="L617" s="187"/>
      <c r="M617" s="187"/>
      <c r="N617" s="188"/>
      <c r="O617" s="187"/>
      <c r="Q617" s="187"/>
      <c r="R617" s="190"/>
      <c r="S617" s="187"/>
    </row>
    <row r="618">
      <c r="B618" s="103"/>
      <c r="G618" s="191"/>
      <c r="H618" s="187"/>
      <c r="I618" s="187"/>
      <c r="J618" s="188"/>
      <c r="K618" s="187"/>
      <c r="L618" s="187"/>
      <c r="M618" s="187"/>
      <c r="N618" s="188"/>
      <c r="O618" s="187"/>
      <c r="Q618" s="187"/>
      <c r="R618" s="190"/>
      <c r="S618" s="187"/>
    </row>
    <row r="619">
      <c r="B619" s="103"/>
      <c r="G619" s="191"/>
      <c r="H619" s="187"/>
      <c r="I619" s="187"/>
      <c r="J619" s="188"/>
      <c r="K619" s="187"/>
      <c r="L619" s="187"/>
      <c r="M619" s="187"/>
      <c r="N619" s="188"/>
      <c r="O619" s="187"/>
      <c r="Q619" s="187"/>
      <c r="R619" s="190"/>
      <c r="S619" s="187"/>
    </row>
    <row r="620">
      <c r="B620" s="103"/>
      <c r="G620" s="191"/>
      <c r="H620" s="187"/>
      <c r="I620" s="187"/>
      <c r="J620" s="188"/>
      <c r="K620" s="187"/>
      <c r="L620" s="187"/>
      <c r="M620" s="187"/>
      <c r="N620" s="188"/>
      <c r="O620" s="187"/>
      <c r="Q620" s="187"/>
      <c r="R620" s="190"/>
      <c r="S620" s="187"/>
    </row>
    <row r="621">
      <c r="B621" s="103"/>
      <c r="G621" s="191"/>
      <c r="H621" s="187"/>
      <c r="I621" s="187"/>
      <c r="J621" s="188"/>
      <c r="K621" s="187"/>
      <c r="L621" s="187"/>
      <c r="M621" s="187"/>
      <c r="N621" s="188"/>
      <c r="O621" s="187"/>
      <c r="Q621" s="187"/>
      <c r="R621" s="190"/>
      <c r="S621" s="187"/>
    </row>
    <row r="622">
      <c r="B622" s="103"/>
      <c r="G622" s="191"/>
      <c r="H622" s="187"/>
      <c r="I622" s="187"/>
      <c r="J622" s="188"/>
      <c r="K622" s="187"/>
      <c r="L622" s="187"/>
      <c r="M622" s="187"/>
      <c r="N622" s="188"/>
      <c r="O622" s="187"/>
      <c r="Q622" s="187"/>
      <c r="R622" s="190"/>
      <c r="S622" s="187"/>
    </row>
    <row r="623">
      <c r="B623" s="103"/>
      <c r="G623" s="191"/>
      <c r="H623" s="187"/>
      <c r="I623" s="187"/>
      <c r="J623" s="188"/>
      <c r="K623" s="187"/>
      <c r="L623" s="187"/>
      <c r="M623" s="187"/>
      <c r="N623" s="188"/>
      <c r="O623" s="187"/>
      <c r="Q623" s="187"/>
      <c r="R623" s="190"/>
      <c r="S623" s="187"/>
    </row>
    <row r="624">
      <c r="B624" s="103"/>
      <c r="G624" s="191"/>
      <c r="H624" s="187"/>
      <c r="I624" s="187"/>
      <c r="J624" s="188"/>
      <c r="K624" s="187"/>
      <c r="L624" s="187"/>
      <c r="M624" s="187"/>
      <c r="N624" s="188"/>
      <c r="O624" s="187"/>
      <c r="Q624" s="187"/>
      <c r="R624" s="190"/>
      <c r="S624" s="187"/>
    </row>
    <row r="625">
      <c r="B625" s="103"/>
      <c r="G625" s="191"/>
      <c r="H625" s="187"/>
      <c r="I625" s="187"/>
      <c r="J625" s="188"/>
      <c r="K625" s="187"/>
      <c r="L625" s="187"/>
      <c r="M625" s="187"/>
      <c r="N625" s="188"/>
      <c r="O625" s="187"/>
      <c r="Q625" s="187"/>
      <c r="R625" s="190"/>
      <c r="S625" s="187"/>
    </row>
    <row r="626">
      <c r="B626" s="103"/>
      <c r="G626" s="191"/>
      <c r="H626" s="187"/>
      <c r="I626" s="187"/>
      <c r="J626" s="188"/>
      <c r="K626" s="187"/>
      <c r="L626" s="187"/>
      <c r="M626" s="187"/>
      <c r="N626" s="188"/>
      <c r="O626" s="187"/>
      <c r="Q626" s="187"/>
      <c r="R626" s="190"/>
      <c r="S626" s="187"/>
    </row>
    <row r="627">
      <c r="B627" s="103"/>
      <c r="G627" s="191"/>
      <c r="H627" s="187"/>
      <c r="I627" s="187"/>
      <c r="J627" s="188"/>
      <c r="K627" s="187"/>
      <c r="L627" s="187"/>
      <c r="M627" s="187"/>
      <c r="N627" s="188"/>
      <c r="O627" s="187"/>
      <c r="Q627" s="187"/>
      <c r="R627" s="190"/>
      <c r="S627" s="187"/>
    </row>
    <row r="628">
      <c r="B628" s="103"/>
      <c r="G628" s="191"/>
      <c r="H628" s="187"/>
      <c r="I628" s="187"/>
      <c r="J628" s="188"/>
      <c r="K628" s="187"/>
      <c r="L628" s="187"/>
      <c r="M628" s="187"/>
      <c r="N628" s="188"/>
      <c r="O628" s="187"/>
      <c r="Q628" s="187"/>
      <c r="R628" s="190"/>
      <c r="S628" s="187"/>
    </row>
    <row r="629">
      <c r="B629" s="103"/>
      <c r="G629" s="191"/>
      <c r="H629" s="187"/>
      <c r="I629" s="187"/>
      <c r="J629" s="188"/>
      <c r="K629" s="187"/>
      <c r="L629" s="187"/>
      <c r="M629" s="187"/>
      <c r="N629" s="188"/>
      <c r="O629" s="187"/>
      <c r="Q629" s="187"/>
      <c r="R629" s="190"/>
      <c r="S629" s="187"/>
    </row>
    <row r="630">
      <c r="B630" s="103"/>
      <c r="G630" s="191"/>
      <c r="H630" s="187"/>
      <c r="I630" s="187"/>
      <c r="J630" s="188"/>
      <c r="K630" s="187"/>
      <c r="L630" s="187"/>
      <c r="M630" s="187"/>
      <c r="N630" s="188"/>
      <c r="O630" s="187"/>
      <c r="Q630" s="187"/>
      <c r="R630" s="190"/>
      <c r="S630" s="187"/>
    </row>
    <row r="631">
      <c r="B631" s="103"/>
      <c r="G631" s="191"/>
      <c r="H631" s="187"/>
      <c r="I631" s="187"/>
      <c r="J631" s="188"/>
      <c r="K631" s="187"/>
      <c r="L631" s="187"/>
      <c r="M631" s="187"/>
      <c r="N631" s="188"/>
      <c r="O631" s="187"/>
      <c r="Q631" s="187"/>
      <c r="R631" s="190"/>
      <c r="S631" s="187"/>
    </row>
    <row r="632">
      <c r="B632" s="103"/>
      <c r="G632" s="191"/>
      <c r="H632" s="187"/>
      <c r="I632" s="187"/>
      <c r="J632" s="188"/>
      <c r="K632" s="187"/>
      <c r="L632" s="187"/>
      <c r="M632" s="187"/>
      <c r="N632" s="188"/>
      <c r="O632" s="187"/>
      <c r="Q632" s="187"/>
      <c r="R632" s="190"/>
      <c r="S632" s="187"/>
    </row>
    <row r="633">
      <c r="B633" s="103"/>
      <c r="G633" s="191"/>
      <c r="H633" s="187"/>
      <c r="I633" s="187"/>
      <c r="J633" s="188"/>
      <c r="K633" s="187"/>
      <c r="L633" s="187"/>
      <c r="M633" s="187"/>
      <c r="N633" s="188"/>
      <c r="O633" s="187"/>
      <c r="Q633" s="187"/>
      <c r="R633" s="190"/>
      <c r="S633" s="187"/>
    </row>
    <row r="634">
      <c r="B634" s="103"/>
      <c r="G634" s="191"/>
      <c r="H634" s="187"/>
      <c r="I634" s="187"/>
      <c r="J634" s="188"/>
      <c r="K634" s="187"/>
      <c r="L634" s="187"/>
      <c r="M634" s="187"/>
      <c r="N634" s="188"/>
      <c r="O634" s="187"/>
      <c r="Q634" s="187"/>
      <c r="R634" s="190"/>
      <c r="S634" s="187"/>
    </row>
    <row r="635">
      <c r="B635" s="103"/>
      <c r="G635" s="191"/>
      <c r="H635" s="187"/>
      <c r="I635" s="187"/>
      <c r="J635" s="188"/>
      <c r="K635" s="187"/>
      <c r="L635" s="187"/>
      <c r="M635" s="187"/>
      <c r="N635" s="188"/>
      <c r="O635" s="187"/>
      <c r="Q635" s="187"/>
      <c r="R635" s="190"/>
      <c r="S635" s="187"/>
    </row>
    <row r="636">
      <c r="B636" s="103"/>
      <c r="G636" s="191"/>
      <c r="H636" s="187"/>
      <c r="I636" s="187"/>
      <c r="J636" s="188"/>
      <c r="K636" s="187"/>
      <c r="L636" s="187"/>
      <c r="M636" s="187"/>
      <c r="N636" s="188"/>
      <c r="O636" s="187"/>
      <c r="Q636" s="187"/>
      <c r="R636" s="190"/>
      <c r="S636" s="187"/>
    </row>
    <row r="637">
      <c r="B637" s="103"/>
      <c r="G637" s="191"/>
      <c r="H637" s="187"/>
      <c r="I637" s="187"/>
      <c r="J637" s="188"/>
      <c r="K637" s="187"/>
      <c r="L637" s="187"/>
      <c r="M637" s="187"/>
      <c r="N637" s="188"/>
      <c r="O637" s="187"/>
      <c r="Q637" s="187"/>
      <c r="R637" s="190"/>
      <c r="S637" s="187"/>
    </row>
    <row r="638">
      <c r="B638" s="103"/>
      <c r="G638" s="191"/>
      <c r="H638" s="187"/>
      <c r="I638" s="187"/>
      <c r="J638" s="188"/>
      <c r="K638" s="187"/>
      <c r="L638" s="187"/>
      <c r="M638" s="187"/>
      <c r="N638" s="188"/>
      <c r="O638" s="187"/>
      <c r="Q638" s="187"/>
      <c r="R638" s="190"/>
      <c r="S638" s="187"/>
    </row>
    <row r="639">
      <c r="B639" s="103"/>
      <c r="G639" s="191"/>
      <c r="H639" s="187"/>
      <c r="I639" s="187"/>
      <c r="J639" s="188"/>
      <c r="K639" s="187"/>
      <c r="L639" s="187"/>
      <c r="M639" s="187"/>
      <c r="N639" s="188"/>
      <c r="O639" s="187"/>
      <c r="Q639" s="187"/>
      <c r="R639" s="190"/>
      <c r="S639" s="187"/>
    </row>
    <row r="640">
      <c r="B640" s="103"/>
      <c r="G640" s="191"/>
      <c r="H640" s="187"/>
      <c r="I640" s="187"/>
      <c r="J640" s="188"/>
      <c r="K640" s="187"/>
      <c r="L640" s="187"/>
      <c r="M640" s="187"/>
      <c r="N640" s="188"/>
      <c r="O640" s="187"/>
      <c r="Q640" s="187"/>
      <c r="R640" s="190"/>
      <c r="S640" s="187"/>
    </row>
    <row r="641">
      <c r="B641" s="103"/>
      <c r="G641" s="191"/>
      <c r="H641" s="187"/>
      <c r="I641" s="187"/>
      <c r="J641" s="188"/>
      <c r="K641" s="187"/>
      <c r="L641" s="187"/>
      <c r="M641" s="187"/>
      <c r="N641" s="188"/>
      <c r="O641" s="187"/>
      <c r="Q641" s="187"/>
      <c r="R641" s="190"/>
      <c r="S641" s="187"/>
    </row>
    <row r="642">
      <c r="B642" s="103"/>
      <c r="G642" s="191"/>
      <c r="H642" s="187"/>
      <c r="I642" s="187"/>
      <c r="J642" s="188"/>
      <c r="K642" s="187"/>
      <c r="L642" s="187"/>
      <c r="M642" s="187"/>
      <c r="N642" s="188"/>
      <c r="O642" s="187"/>
      <c r="Q642" s="187"/>
      <c r="R642" s="190"/>
      <c r="S642" s="187"/>
    </row>
    <row r="643">
      <c r="B643" s="103"/>
      <c r="G643" s="191"/>
      <c r="H643" s="187"/>
      <c r="I643" s="187"/>
      <c r="J643" s="188"/>
      <c r="K643" s="187"/>
      <c r="L643" s="187"/>
      <c r="M643" s="187"/>
      <c r="N643" s="188"/>
      <c r="O643" s="187"/>
      <c r="Q643" s="187"/>
      <c r="R643" s="190"/>
      <c r="S643" s="187"/>
    </row>
    <row r="644">
      <c r="B644" s="103"/>
      <c r="G644" s="191"/>
      <c r="H644" s="187"/>
      <c r="I644" s="187"/>
      <c r="J644" s="188"/>
      <c r="K644" s="187"/>
      <c r="L644" s="187"/>
      <c r="M644" s="187"/>
      <c r="N644" s="188"/>
      <c r="O644" s="187"/>
      <c r="Q644" s="187"/>
      <c r="R644" s="190"/>
      <c r="S644" s="187"/>
    </row>
    <row r="645">
      <c r="B645" s="103"/>
      <c r="G645" s="191"/>
      <c r="H645" s="187"/>
      <c r="I645" s="187"/>
      <c r="J645" s="188"/>
      <c r="K645" s="187"/>
      <c r="L645" s="187"/>
      <c r="M645" s="187"/>
      <c r="N645" s="188"/>
      <c r="O645" s="187"/>
      <c r="Q645" s="187"/>
      <c r="R645" s="190"/>
      <c r="S645" s="187"/>
    </row>
    <row r="646">
      <c r="B646" s="103"/>
      <c r="G646" s="191"/>
      <c r="H646" s="187"/>
      <c r="I646" s="187"/>
      <c r="J646" s="188"/>
      <c r="K646" s="187"/>
      <c r="L646" s="187"/>
      <c r="M646" s="187"/>
      <c r="N646" s="188"/>
      <c r="O646" s="187"/>
      <c r="Q646" s="187"/>
      <c r="R646" s="190"/>
      <c r="S646" s="187"/>
    </row>
    <row r="647">
      <c r="B647" s="103"/>
      <c r="G647" s="191"/>
      <c r="H647" s="187"/>
      <c r="I647" s="187"/>
      <c r="J647" s="188"/>
      <c r="K647" s="187"/>
      <c r="L647" s="187"/>
      <c r="M647" s="187"/>
      <c r="N647" s="188"/>
      <c r="O647" s="187"/>
      <c r="Q647" s="187"/>
      <c r="R647" s="190"/>
      <c r="S647" s="187"/>
    </row>
    <row r="648">
      <c r="B648" s="103"/>
      <c r="G648" s="191"/>
      <c r="H648" s="187"/>
      <c r="I648" s="187"/>
      <c r="J648" s="188"/>
      <c r="K648" s="187"/>
      <c r="L648" s="187"/>
      <c r="M648" s="187"/>
      <c r="N648" s="188"/>
      <c r="O648" s="187"/>
      <c r="Q648" s="187"/>
      <c r="R648" s="190"/>
      <c r="S648" s="187"/>
    </row>
    <row r="649">
      <c r="B649" s="103"/>
      <c r="G649" s="191"/>
      <c r="H649" s="187"/>
      <c r="I649" s="187"/>
      <c r="J649" s="188"/>
      <c r="K649" s="187"/>
      <c r="L649" s="187"/>
      <c r="M649" s="187"/>
      <c r="N649" s="188"/>
      <c r="O649" s="187"/>
      <c r="Q649" s="187"/>
      <c r="R649" s="190"/>
      <c r="S649" s="187"/>
    </row>
    <row r="650">
      <c r="B650" s="103"/>
      <c r="G650" s="191"/>
      <c r="H650" s="187"/>
      <c r="I650" s="187"/>
      <c r="J650" s="188"/>
      <c r="K650" s="187"/>
      <c r="L650" s="187"/>
      <c r="M650" s="187"/>
      <c r="N650" s="188"/>
      <c r="O650" s="187"/>
      <c r="Q650" s="187"/>
      <c r="R650" s="190"/>
      <c r="S650" s="187"/>
    </row>
    <row r="651">
      <c r="B651" s="103"/>
      <c r="G651" s="191"/>
      <c r="H651" s="187"/>
      <c r="I651" s="187"/>
      <c r="J651" s="188"/>
      <c r="K651" s="187"/>
      <c r="L651" s="187"/>
      <c r="M651" s="187"/>
      <c r="N651" s="188"/>
      <c r="O651" s="187"/>
      <c r="Q651" s="187"/>
      <c r="R651" s="190"/>
      <c r="S651" s="187"/>
    </row>
    <row r="652">
      <c r="B652" s="103"/>
      <c r="G652" s="191"/>
      <c r="H652" s="187"/>
      <c r="I652" s="187"/>
      <c r="J652" s="188"/>
      <c r="K652" s="187"/>
      <c r="L652" s="187"/>
      <c r="M652" s="187"/>
      <c r="N652" s="188"/>
      <c r="O652" s="187"/>
      <c r="Q652" s="187"/>
      <c r="R652" s="190"/>
      <c r="S652" s="187"/>
    </row>
    <row r="653">
      <c r="B653" s="103"/>
      <c r="G653" s="191"/>
      <c r="H653" s="187"/>
      <c r="I653" s="187"/>
      <c r="J653" s="188"/>
      <c r="K653" s="187"/>
      <c r="L653" s="187"/>
      <c r="M653" s="187"/>
      <c r="N653" s="188"/>
      <c r="O653" s="187"/>
      <c r="Q653" s="187"/>
      <c r="R653" s="190"/>
      <c r="S653" s="187"/>
    </row>
    <row r="654">
      <c r="B654" s="103"/>
      <c r="G654" s="191"/>
      <c r="H654" s="187"/>
      <c r="I654" s="187"/>
      <c r="J654" s="188"/>
      <c r="K654" s="187"/>
      <c r="L654" s="187"/>
      <c r="M654" s="187"/>
      <c r="N654" s="188"/>
      <c r="O654" s="187"/>
      <c r="Q654" s="187"/>
      <c r="R654" s="190"/>
      <c r="S654" s="187"/>
    </row>
    <row r="655">
      <c r="B655" s="103"/>
      <c r="G655" s="191"/>
      <c r="H655" s="187"/>
      <c r="I655" s="187"/>
      <c r="J655" s="188"/>
      <c r="K655" s="187"/>
      <c r="L655" s="187"/>
      <c r="M655" s="187"/>
      <c r="N655" s="188"/>
      <c r="O655" s="187"/>
      <c r="Q655" s="187"/>
      <c r="R655" s="190"/>
      <c r="S655" s="187"/>
    </row>
    <row r="656">
      <c r="B656" s="103"/>
      <c r="G656" s="191"/>
      <c r="H656" s="187"/>
      <c r="I656" s="187"/>
      <c r="J656" s="188"/>
      <c r="K656" s="187"/>
      <c r="L656" s="187"/>
      <c r="M656" s="187"/>
      <c r="N656" s="188"/>
      <c r="O656" s="187"/>
      <c r="Q656" s="187"/>
      <c r="R656" s="190"/>
      <c r="S656" s="187"/>
    </row>
    <row r="657">
      <c r="B657" s="103"/>
      <c r="G657" s="191"/>
      <c r="H657" s="187"/>
      <c r="I657" s="187"/>
      <c r="J657" s="188"/>
      <c r="K657" s="187"/>
      <c r="L657" s="187"/>
      <c r="M657" s="187"/>
      <c r="N657" s="188"/>
      <c r="O657" s="187"/>
      <c r="Q657" s="187"/>
      <c r="R657" s="190"/>
      <c r="S657" s="187"/>
    </row>
    <row r="658">
      <c r="B658" s="103"/>
      <c r="G658" s="191"/>
      <c r="H658" s="187"/>
      <c r="I658" s="187"/>
      <c r="J658" s="188"/>
      <c r="K658" s="187"/>
      <c r="L658" s="187"/>
      <c r="M658" s="187"/>
      <c r="N658" s="188"/>
      <c r="O658" s="187"/>
      <c r="Q658" s="187"/>
      <c r="R658" s="190"/>
      <c r="S658" s="187"/>
    </row>
    <row r="659">
      <c r="B659" s="103"/>
      <c r="G659" s="191"/>
      <c r="H659" s="187"/>
      <c r="I659" s="187"/>
      <c r="J659" s="188"/>
      <c r="K659" s="187"/>
      <c r="L659" s="187"/>
      <c r="M659" s="187"/>
      <c r="N659" s="188"/>
      <c r="O659" s="187"/>
      <c r="Q659" s="187"/>
      <c r="R659" s="190"/>
      <c r="S659" s="187"/>
    </row>
    <row r="660">
      <c r="B660" s="103"/>
      <c r="G660" s="191"/>
      <c r="H660" s="187"/>
      <c r="I660" s="187"/>
      <c r="J660" s="188"/>
      <c r="K660" s="187"/>
      <c r="L660" s="187"/>
      <c r="M660" s="187"/>
      <c r="N660" s="188"/>
      <c r="O660" s="187"/>
      <c r="Q660" s="187"/>
      <c r="R660" s="190"/>
      <c r="S660" s="187"/>
    </row>
    <row r="661">
      <c r="B661" s="103"/>
      <c r="G661" s="191"/>
      <c r="H661" s="187"/>
      <c r="I661" s="187"/>
      <c r="J661" s="188"/>
      <c r="K661" s="187"/>
      <c r="L661" s="187"/>
      <c r="M661" s="187"/>
      <c r="N661" s="188"/>
      <c r="O661" s="187"/>
      <c r="Q661" s="187"/>
      <c r="R661" s="190"/>
      <c r="S661" s="187"/>
    </row>
    <row r="662">
      <c r="B662" s="103"/>
      <c r="G662" s="191"/>
      <c r="H662" s="187"/>
      <c r="I662" s="187"/>
      <c r="J662" s="188"/>
      <c r="K662" s="187"/>
      <c r="L662" s="187"/>
      <c r="M662" s="187"/>
      <c r="N662" s="188"/>
      <c r="O662" s="187"/>
      <c r="Q662" s="187"/>
      <c r="R662" s="190"/>
      <c r="S662" s="187"/>
    </row>
    <row r="663">
      <c r="B663" s="103"/>
      <c r="G663" s="191"/>
      <c r="H663" s="187"/>
      <c r="I663" s="187"/>
      <c r="J663" s="188"/>
      <c r="K663" s="187"/>
      <c r="L663" s="187"/>
      <c r="M663" s="187"/>
      <c r="N663" s="188"/>
      <c r="O663" s="187"/>
      <c r="Q663" s="187"/>
      <c r="R663" s="190"/>
      <c r="S663" s="187"/>
    </row>
    <row r="664">
      <c r="B664" s="103"/>
      <c r="G664" s="191"/>
      <c r="H664" s="187"/>
      <c r="I664" s="187"/>
      <c r="J664" s="188"/>
      <c r="K664" s="187"/>
      <c r="L664" s="187"/>
      <c r="M664" s="187"/>
      <c r="N664" s="188"/>
      <c r="O664" s="187"/>
      <c r="Q664" s="187"/>
      <c r="R664" s="190"/>
      <c r="S664" s="187"/>
    </row>
    <row r="665">
      <c r="B665" s="103"/>
      <c r="G665" s="191"/>
      <c r="H665" s="187"/>
      <c r="I665" s="187"/>
      <c r="J665" s="188"/>
      <c r="K665" s="187"/>
      <c r="L665" s="187"/>
      <c r="M665" s="187"/>
      <c r="N665" s="188"/>
      <c r="O665" s="187"/>
      <c r="Q665" s="187"/>
      <c r="R665" s="190"/>
      <c r="S665" s="187"/>
    </row>
    <row r="666">
      <c r="B666" s="103"/>
      <c r="G666" s="191"/>
      <c r="H666" s="187"/>
      <c r="I666" s="187"/>
      <c r="J666" s="188"/>
      <c r="K666" s="187"/>
      <c r="L666" s="187"/>
      <c r="M666" s="187"/>
      <c r="N666" s="188"/>
      <c r="O666" s="187"/>
      <c r="Q666" s="187"/>
      <c r="R666" s="190"/>
      <c r="S666" s="187"/>
    </row>
    <row r="667">
      <c r="B667" s="103"/>
      <c r="G667" s="191"/>
      <c r="H667" s="187"/>
      <c r="I667" s="187"/>
      <c r="J667" s="188"/>
      <c r="K667" s="187"/>
      <c r="L667" s="187"/>
      <c r="M667" s="187"/>
      <c r="N667" s="188"/>
      <c r="O667" s="187"/>
      <c r="Q667" s="187"/>
      <c r="R667" s="190"/>
      <c r="S667" s="187"/>
    </row>
    <row r="668">
      <c r="B668" s="103"/>
      <c r="G668" s="191"/>
      <c r="H668" s="187"/>
      <c r="I668" s="187"/>
      <c r="J668" s="188"/>
      <c r="K668" s="187"/>
      <c r="L668" s="187"/>
      <c r="M668" s="187"/>
      <c r="N668" s="188"/>
      <c r="O668" s="187"/>
      <c r="Q668" s="187"/>
      <c r="R668" s="190"/>
      <c r="S668" s="187"/>
    </row>
    <row r="669">
      <c r="B669" s="103"/>
      <c r="G669" s="191"/>
      <c r="H669" s="187"/>
      <c r="I669" s="187"/>
      <c r="J669" s="188"/>
      <c r="K669" s="187"/>
      <c r="L669" s="187"/>
      <c r="M669" s="187"/>
      <c r="N669" s="188"/>
      <c r="O669" s="187"/>
      <c r="Q669" s="187"/>
      <c r="R669" s="190"/>
      <c r="S669" s="187"/>
    </row>
    <row r="670">
      <c r="B670" s="103"/>
      <c r="G670" s="191"/>
      <c r="H670" s="187"/>
      <c r="I670" s="187"/>
      <c r="J670" s="188"/>
      <c r="K670" s="187"/>
      <c r="L670" s="187"/>
      <c r="M670" s="187"/>
      <c r="N670" s="188"/>
      <c r="O670" s="187"/>
      <c r="Q670" s="187"/>
      <c r="R670" s="190"/>
      <c r="S670" s="187"/>
    </row>
    <row r="671">
      <c r="B671" s="103"/>
      <c r="G671" s="191"/>
      <c r="H671" s="187"/>
      <c r="I671" s="187"/>
      <c r="J671" s="188"/>
      <c r="K671" s="187"/>
      <c r="L671" s="187"/>
      <c r="M671" s="187"/>
      <c r="N671" s="188"/>
      <c r="O671" s="187"/>
      <c r="Q671" s="187"/>
      <c r="R671" s="190"/>
      <c r="S671" s="187"/>
    </row>
    <row r="672">
      <c r="B672" s="103"/>
      <c r="G672" s="191"/>
      <c r="H672" s="187"/>
      <c r="I672" s="187"/>
      <c r="J672" s="188"/>
      <c r="K672" s="187"/>
      <c r="L672" s="187"/>
      <c r="M672" s="187"/>
      <c r="N672" s="188"/>
      <c r="O672" s="187"/>
      <c r="Q672" s="187"/>
      <c r="R672" s="190"/>
      <c r="S672" s="187"/>
    </row>
    <row r="673">
      <c r="B673" s="103"/>
      <c r="G673" s="191"/>
      <c r="H673" s="187"/>
      <c r="I673" s="187"/>
      <c r="J673" s="188"/>
      <c r="K673" s="187"/>
      <c r="L673" s="187"/>
      <c r="M673" s="187"/>
      <c r="N673" s="188"/>
      <c r="O673" s="187"/>
      <c r="Q673" s="187"/>
      <c r="R673" s="190"/>
      <c r="S673" s="187"/>
    </row>
    <row r="674">
      <c r="B674" s="103"/>
      <c r="G674" s="191"/>
      <c r="H674" s="187"/>
      <c r="I674" s="187"/>
      <c r="J674" s="188"/>
      <c r="K674" s="187"/>
      <c r="L674" s="187"/>
      <c r="M674" s="187"/>
      <c r="N674" s="188"/>
      <c r="O674" s="187"/>
      <c r="Q674" s="187"/>
      <c r="R674" s="190"/>
      <c r="S674" s="187"/>
    </row>
    <row r="675">
      <c r="B675" s="103"/>
      <c r="G675" s="191"/>
      <c r="H675" s="187"/>
      <c r="I675" s="187"/>
      <c r="J675" s="188"/>
      <c r="K675" s="187"/>
      <c r="L675" s="187"/>
      <c r="M675" s="187"/>
      <c r="N675" s="188"/>
      <c r="O675" s="187"/>
      <c r="Q675" s="187"/>
      <c r="R675" s="190"/>
      <c r="S675" s="187"/>
    </row>
    <row r="676">
      <c r="B676" s="103"/>
      <c r="G676" s="191"/>
      <c r="H676" s="187"/>
      <c r="I676" s="187"/>
      <c r="J676" s="188"/>
      <c r="K676" s="187"/>
      <c r="L676" s="187"/>
      <c r="M676" s="187"/>
      <c r="N676" s="188"/>
      <c r="O676" s="187"/>
      <c r="Q676" s="187"/>
      <c r="R676" s="190"/>
      <c r="S676" s="187"/>
    </row>
    <row r="677">
      <c r="B677" s="103"/>
      <c r="G677" s="191"/>
      <c r="H677" s="187"/>
      <c r="I677" s="187"/>
      <c r="J677" s="188"/>
      <c r="K677" s="187"/>
      <c r="L677" s="187"/>
      <c r="M677" s="187"/>
      <c r="N677" s="188"/>
      <c r="O677" s="187"/>
      <c r="Q677" s="187"/>
      <c r="R677" s="190"/>
      <c r="S677" s="187"/>
    </row>
    <row r="678">
      <c r="B678" s="103"/>
      <c r="G678" s="191"/>
      <c r="H678" s="187"/>
      <c r="I678" s="187"/>
      <c r="J678" s="188"/>
      <c r="K678" s="187"/>
      <c r="L678" s="187"/>
      <c r="M678" s="187"/>
      <c r="N678" s="188"/>
      <c r="O678" s="187"/>
      <c r="Q678" s="187"/>
      <c r="R678" s="190"/>
      <c r="S678" s="187"/>
    </row>
    <row r="679">
      <c r="B679" s="103"/>
      <c r="G679" s="191"/>
      <c r="H679" s="187"/>
      <c r="I679" s="187"/>
      <c r="J679" s="188"/>
      <c r="K679" s="187"/>
      <c r="L679" s="187"/>
      <c r="M679" s="187"/>
      <c r="N679" s="188"/>
      <c r="O679" s="187"/>
      <c r="Q679" s="187"/>
      <c r="R679" s="190"/>
      <c r="S679" s="187"/>
    </row>
    <row r="680">
      <c r="B680" s="103"/>
      <c r="G680" s="191"/>
      <c r="H680" s="187"/>
      <c r="I680" s="187"/>
      <c r="J680" s="188"/>
      <c r="K680" s="187"/>
      <c r="L680" s="187"/>
      <c r="M680" s="187"/>
      <c r="N680" s="188"/>
      <c r="O680" s="187"/>
      <c r="Q680" s="187"/>
      <c r="R680" s="190"/>
      <c r="S680" s="187"/>
    </row>
    <row r="681">
      <c r="B681" s="103"/>
      <c r="G681" s="191"/>
      <c r="H681" s="187"/>
      <c r="I681" s="187"/>
      <c r="J681" s="188"/>
      <c r="K681" s="187"/>
      <c r="L681" s="187"/>
      <c r="M681" s="187"/>
      <c r="N681" s="188"/>
      <c r="O681" s="187"/>
      <c r="Q681" s="187"/>
      <c r="R681" s="190"/>
      <c r="S681" s="187"/>
    </row>
    <row r="682">
      <c r="B682" s="103"/>
      <c r="G682" s="191"/>
      <c r="H682" s="187"/>
      <c r="I682" s="187"/>
      <c r="J682" s="188"/>
      <c r="K682" s="187"/>
      <c r="L682" s="187"/>
      <c r="M682" s="187"/>
      <c r="N682" s="188"/>
      <c r="O682" s="187"/>
      <c r="Q682" s="187"/>
      <c r="R682" s="190"/>
      <c r="S682" s="187"/>
    </row>
    <row r="683">
      <c r="B683" s="103"/>
      <c r="G683" s="191"/>
      <c r="H683" s="187"/>
      <c r="I683" s="187"/>
      <c r="J683" s="188"/>
      <c r="K683" s="187"/>
      <c r="L683" s="187"/>
      <c r="M683" s="187"/>
      <c r="N683" s="188"/>
      <c r="O683" s="187"/>
      <c r="Q683" s="187"/>
      <c r="R683" s="190"/>
      <c r="S683" s="187"/>
    </row>
    <row r="684">
      <c r="B684" s="103"/>
      <c r="G684" s="191"/>
      <c r="H684" s="187"/>
      <c r="I684" s="187"/>
      <c r="J684" s="188"/>
      <c r="K684" s="187"/>
      <c r="L684" s="187"/>
      <c r="M684" s="187"/>
      <c r="N684" s="188"/>
      <c r="O684" s="187"/>
      <c r="Q684" s="187"/>
      <c r="R684" s="190"/>
      <c r="S684" s="187"/>
    </row>
    <row r="685">
      <c r="B685" s="103"/>
      <c r="G685" s="191"/>
      <c r="H685" s="187"/>
      <c r="I685" s="187"/>
      <c r="J685" s="188"/>
      <c r="K685" s="187"/>
      <c r="L685" s="187"/>
      <c r="M685" s="187"/>
      <c r="N685" s="188"/>
      <c r="O685" s="187"/>
      <c r="Q685" s="187"/>
      <c r="R685" s="190"/>
      <c r="S685" s="187"/>
    </row>
    <row r="686">
      <c r="B686" s="103"/>
      <c r="G686" s="191"/>
      <c r="H686" s="187"/>
      <c r="I686" s="187"/>
      <c r="J686" s="188"/>
      <c r="K686" s="187"/>
      <c r="L686" s="187"/>
      <c r="M686" s="187"/>
      <c r="N686" s="188"/>
      <c r="O686" s="187"/>
      <c r="Q686" s="187"/>
      <c r="R686" s="190"/>
      <c r="S686" s="187"/>
    </row>
    <row r="687">
      <c r="B687" s="103"/>
      <c r="G687" s="191"/>
      <c r="H687" s="187"/>
      <c r="I687" s="187"/>
      <c r="J687" s="188"/>
      <c r="K687" s="187"/>
      <c r="L687" s="187"/>
      <c r="M687" s="187"/>
      <c r="N687" s="188"/>
      <c r="O687" s="187"/>
      <c r="Q687" s="187"/>
      <c r="R687" s="190"/>
      <c r="S687" s="187"/>
    </row>
    <row r="688">
      <c r="B688" s="103"/>
      <c r="G688" s="191"/>
      <c r="H688" s="187"/>
      <c r="I688" s="187"/>
      <c r="J688" s="188"/>
      <c r="K688" s="187"/>
      <c r="L688" s="187"/>
      <c r="M688" s="187"/>
      <c r="N688" s="188"/>
      <c r="O688" s="187"/>
      <c r="Q688" s="187"/>
      <c r="R688" s="190"/>
      <c r="S688" s="187"/>
    </row>
    <row r="689">
      <c r="B689" s="103"/>
      <c r="G689" s="191"/>
      <c r="H689" s="187"/>
      <c r="I689" s="187"/>
      <c r="J689" s="188"/>
      <c r="K689" s="187"/>
      <c r="L689" s="187"/>
      <c r="M689" s="187"/>
      <c r="N689" s="188"/>
      <c r="O689" s="187"/>
      <c r="Q689" s="187"/>
      <c r="R689" s="190"/>
      <c r="S689" s="187"/>
    </row>
    <row r="690">
      <c r="B690" s="103"/>
      <c r="G690" s="191"/>
      <c r="H690" s="187"/>
      <c r="I690" s="187"/>
      <c r="J690" s="188"/>
      <c r="K690" s="187"/>
      <c r="L690" s="187"/>
      <c r="M690" s="187"/>
      <c r="N690" s="188"/>
      <c r="O690" s="187"/>
      <c r="Q690" s="187"/>
      <c r="R690" s="190"/>
      <c r="S690" s="187"/>
    </row>
    <row r="691">
      <c r="B691" s="103"/>
      <c r="G691" s="191"/>
      <c r="H691" s="187"/>
      <c r="I691" s="187"/>
      <c r="J691" s="188"/>
      <c r="K691" s="187"/>
      <c r="L691" s="187"/>
      <c r="M691" s="187"/>
      <c r="N691" s="188"/>
      <c r="O691" s="187"/>
      <c r="Q691" s="187"/>
      <c r="R691" s="190"/>
      <c r="S691" s="187"/>
    </row>
    <row r="692">
      <c r="B692" s="103"/>
      <c r="G692" s="191"/>
      <c r="H692" s="187"/>
      <c r="I692" s="187"/>
      <c r="J692" s="188"/>
      <c r="K692" s="187"/>
      <c r="L692" s="187"/>
      <c r="M692" s="187"/>
      <c r="N692" s="188"/>
      <c r="O692" s="187"/>
      <c r="Q692" s="187"/>
      <c r="R692" s="190"/>
      <c r="S692" s="187"/>
    </row>
    <row r="693">
      <c r="B693" s="103"/>
      <c r="G693" s="191"/>
      <c r="H693" s="187"/>
      <c r="I693" s="187"/>
      <c r="J693" s="188"/>
      <c r="K693" s="187"/>
      <c r="L693" s="187"/>
      <c r="M693" s="187"/>
      <c r="N693" s="188"/>
      <c r="O693" s="187"/>
      <c r="Q693" s="187"/>
      <c r="R693" s="190"/>
      <c r="S693" s="187"/>
    </row>
    <row r="694">
      <c r="B694" s="103"/>
      <c r="G694" s="191"/>
      <c r="H694" s="187"/>
      <c r="I694" s="187"/>
      <c r="J694" s="188"/>
      <c r="K694" s="187"/>
      <c r="L694" s="187"/>
      <c r="M694" s="187"/>
      <c r="N694" s="188"/>
      <c r="O694" s="187"/>
      <c r="Q694" s="187"/>
      <c r="R694" s="190"/>
      <c r="S694" s="187"/>
    </row>
    <row r="695">
      <c r="B695" s="103"/>
      <c r="G695" s="191"/>
      <c r="H695" s="187"/>
      <c r="I695" s="187"/>
      <c r="J695" s="188"/>
      <c r="K695" s="187"/>
      <c r="L695" s="187"/>
      <c r="M695" s="187"/>
      <c r="N695" s="188"/>
      <c r="O695" s="187"/>
      <c r="Q695" s="187"/>
      <c r="R695" s="190"/>
      <c r="S695" s="187"/>
    </row>
    <row r="696">
      <c r="B696" s="103"/>
      <c r="G696" s="191"/>
      <c r="H696" s="187"/>
      <c r="I696" s="187"/>
      <c r="J696" s="188"/>
      <c r="K696" s="187"/>
      <c r="L696" s="187"/>
      <c r="M696" s="187"/>
      <c r="N696" s="188"/>
      <c r="O696" s="187"/>
      <c r="Q696" s="187"/>
      <c r="R696" s="190"/>
      <c r="S696" s="187"/>
    </row>
    <row r="697">
      <c r="B697" s="103"/>
      <c r="G697" s="191"/>
      <c r="H697" s="187"/>
      <c r="I697" s="187"/>
      <c r="J697" s="188"/>
      <c r="K697" s="187"/>
      <c r="L697" s="187"/>
      <c r="M697" s="187"/>
      <c r="N697" s="188"/>
      <c r="O697" s="187"/>
      <c r="Q697" s="187"/>
      <c r="R697" s="190"/>
      <c r="S697" s="187"/>
    </row>
    <row r="698">
      <c r="B698" s="103"/>
      <c r="G698" s="191"/>
      <c r="H698" s="187"/>
      <c r="I698" s="187"/>
      <c r="J698" s="188"/>
      <c r="K698" s="187"/>
      <c r="L698" s="187"/>
      <c r="M698" s="187"/>
      <c r="N698" s="188"/>
      <c r="O698" s="187"/>
      <c r="Q698" s="187"/>
      <c r="R698" s="190"/>
      <c r="S698" s="187"/>
    </row>
    <row r="699">
      <c r="B699" s="103"/>
      <c r="G699" s="191"/>
      <c r="H699" s="187"/>
      <c r="I699" s="187"/>
      <c r="J699" s="188"/>
      <c r="K699" s="187"/>
      <c r="L699" s="187"/>
      <c r="M699" s="187"/>
      <c r="N699" s="188"/>
      <c r="O699" s="187"/>
      <c r="Q699" s="187"/>
      <c r="R699" s="190"/>
      <c r="S699" s="187"/>
    </row>
    <row r="700">
      <c r="B700" s="103"/>
      <c r="G700" s="191"/>
      <c r="H700" s="187"/>
      <c r="I700" s="187"/>
      <c r="J700" s="188"/>
      <c r="K700" s="187"/>
      <c r="L700" s="187"/>
      <c r="M700" s="187"/>
      <c r="N700" s="188"/>
      <c r="O700" s="187"/>
      <c r="Q700" s="187"/>
      <c r="R700" s="190"/>
      <c r="S700" s="187"/>
    </row>
    <row r="701">
      <c r="B701" s="103"/>
      <c r="G701" s="191"/>
      <c r="H701" s="187"/>
      <c r="I701" s="187"/>
      <c r="J701" s="188"/>
      <c r="K701" s="187"/>
      <c r="L701" s="187"/>
      <c r="M701" s="187"/>
      <c r="N701" s="188"/>
      <c r="O701" s="187"/>
      <c r="Q701" s="187"/>
      <c r="R701" s="190"/>
      <c r="S701" s="187"/>
    </row>
    <row r="702">
      <c r="B702" s="103"/>
      <c r="G702" s="191"/>
      <c r="H702" s="187"/>
      <c r="I702" s="187"/>
      <c r="J702" s="188"/>
      <c r="K702" s="187"/>
      <c r="L702" s="187"/>
      <c r="M702" s="187"/>
      <c r="N702" s="188"/>
      <c r="O702" s="187"/>
      <c r="Q702" s="187"/>
      <c r="R702" s="190"/>
      <c r="S702" s="187"/>
    </row>
    <row r="703">
      <c r="B703" s="103"/>
      <c r="G703" s="191"/>
      <c r="H703" s="187"/>
      <c r="I703" s="187"/>
      <c r="J703" s="188"/>
      <c r="K703" s="187"/>
      <c r="L703" s="187"/>
      <c r="M703" s="187"/>
      <c r="N703" s="188"/>
      <c r="O703" s="187"/>
      <c r="Q703" s="187"/>
      <c r="R703" s="190"/>
      <c r="S703" s="187"/>
    </row>
    <row r="704">
      <c r="B704" s="103"/>
      <c r="G704" s="191"/>
      <c r="H704" s="187"/>
      <c r="I704" s="187"/>
      <c r="J704" s="188"/>
      <c r="K704" s="187"/>
      <c r="L704" s="187"/>
      <c r="M704" s="187"/>
      <c r="N704" s="188"/>
      <c r="O704" s="187"/>
      <c r="Q704" s="187"/>
      <c r="R704" s="190"/>
      <c r="S704" s="187"/>
    </row>
    <row r="705">
      <c r="B705" s="103"/>
      <c r="G705" s="191"/>
      <c r="H705" s="187"/>
      <c r="I705" s="187"/>
      <c r="J705" s="188"/>
      <c r="K705" s="187"/>
      <c r="L705" s="187"/>
      <c r="M705" s="187"/>
      <c r="N705" s="188"/>
      <c r="O705" s="187"/>
      <c r="Q705" s="187"/>
      <c r="R705" s="190"/>
      <c r="S705" s="187"/>
    </row>
    <row r="706">
      <c r="B706" s="103"/>
      <c r="G706" s="191"/>
      <c r="H706" s="187"/>
      <c r="I706" s="187"/>
      <c r="J706" s="188"/>
      <c r="K706" s="187"/>
      <c r="L706" s="187"/>
      <c r="M706" s="187"/>
      <c r="N706" s="188"/>
      <c r="O706" s="187"/>
      <c r="Q706" s="187"/>
      <c r="R706" s="190"/>
      <c r="S706" s="187"/>
    </row>
    <row r="707">
      <c r="B707" s="103"/>
      <c r="G707" s="191"/>
      <c r="H707" s="187"/>
      <c r="I707" s="187"/>
      <c r="J707" s="188"/>
      <c r="K707" s="187"/>
      <c r="L707" s="187"/>
      <c r="M707" s="187"/>
      <c r="N707" s="188"/>
      <c r="O707" s="187"/>
      <c r="Q707" s="187"/>
      <c r="R707" s="190"/>
      <c r="S707" s="187"/>
    </row>
    <row r="708">
      <c r="B708" s="103"/>
      <c r="G708" s="191"/>
      <c r="H708" s="187"/>
      <c r="I708" s="187"/>
      <c r="J708" s="188"/>
      <c r="K708" s="187"/>
      <c r="L708" s="187"/>
      <c r="M708" s="187"/>
      <c r="N708" s="188"/>
      <c r="O708" s="187"/>
      <c r="Q708" s="187"/>
      <c r="R708" s="190"/>
      <c r="S708" s="187"/>
    </row>
    <row r="709">
      <c r="B709" s="103"/>
      <c r="G709" s="191"/>
      <c r="H709" s="187"/>
      <c r="I709" s="187"/>
      <c r="J709" s="188"/>
      <c r="K709" s="187"/>
      <c r="L709" s="187"/>
      <c r="M709" s="187"/>
      <c r="N709" s="188"/>
      <c r="O709" s="187"/>
      <c r="Q709" s="187"/>
      <c r="R709" s="190"/>
      <c r="S709" s="187"/>
    </row>
    <row r="710">
      <c r="B710" s="103"/>
      <c r="G710" s="191"/>
      <c r="H710" s="187"/>
      <c r="I710" s="187"/>
      <c r="J710" s="188"/>
      <c r="K710" s="187"/>
      <c r="L710" s="187"/>
      <c r="M710" s="187"/>
      <c r="N710" s="188"/>
      <c r="O710" s="187"/>
      <c r="Q710" s="187"/>
      <c r="R710" s="190"/>
      <c r="S710" s="187"/>
    </row>
    <row r="711">
      <c r="B711" s="103"/>
      <c r="G711" s="191"/>
      <c r="H711" s="187"/>
      <c r="I711" s="187"/>
      <c r="J711" s="188"/>
      <c r="K711" s="187"/>
      <c r="L711" s="187"/>
      <c r="M711" s="187"/>
      <c r="N711" s="188"/>
      <c r="O711" s="187"/>
      <c r="Q711" s="187"/>
      <c r="R711" s="190"/>
      <c r="S711" s="187"/>
    </row>
    <row r="712">
      <c r="B712" s="103"/>
      <c r="G712" s="191"/>
      <c r="H712" s="187"/>
      <c r="I712" s="187"/>
      <c r="J712" s="188"/>
      <c r="K712" s="187"/>
      <c r="L712" s="187"/>
      <c r="M712" s="187"/>
      <c r="N712" s="188"/>
      <c r="O712" s="187"/>
      <c r="Q712" s="187"/>
      <c r="R712" s="190"/>
      <c r="S712" s="187"/>
    </row>
    <row r="713">
      <c r="B713" s="103"/>
      <c r="G713" s="191"/>
      <c r="H713" s="187"/>
      <c r="I713" s="187"/>
      <c r="J713" s="188"/>
      <c r="K713" s="187"/>
      <c r="L713" s="187"/>
      <c r="M713" s="187"/>
      <c r="N713" s="188"/>
      <c r="O713" s="187"/>
      <c r="Q713" s="187"/>
      <c r="R713" s="190"/>
      <c r="S713" s="187"/>
    </row>
    <row r="714">
      <c r="B714" s="103"/>
      <c r="G714" s="191"/>
      <c r="H714" s="187"/>
      <c r="I714" s="187"/>
      <c r="J714" s="188"/>
      <c r="K714" s="187"/>
      <c r="L714" s="187"/>
      <c r="M714" s="187"/>
      <c r="N714" s="188"/>
      <c r="O714" s="187"/>
      <c r="Q714" s="187"/>
      <c r="R714" s="190"/>
      <c r="S714" s="187"/>
    </row>
    <row r="715">
      <c r="B715" s="103"/>
      <c r="G715" s="191"/>
      <c r="H715" s="187"/>
      <c r="I715" s="187"/>
      <c r="J715" s="188"/>
      <c r="K715" s="187"/>
      <c r="L715" s="187"/>
      <c r="M715" s="187"/>
      <c r="N715" s="188"/>
      <c r="O715" s="187"/>
      <c r="Q715" s="187"/>
      <c r="R715" s="190"/>
      <c r="S715" s="187"/>
    </row>
    <row r="716">
      <c r="B716" s="103"/>
      <c r="G716" s="191"/>
      <c r="H716" s="187"/>
      <c r="I716" s="187"/>
      <c r="J716" s="188"/>
      <c r="K716" s="187"/>
      <c r="L716" s="187"/>
      <c r="M716" s="187"/>
      <c r="N716" s="188"/>
      <c r="O716" s="187"/>
      <c r="Q716" s="187"/>
      <c r="R716" s="190"/>
      <c r="S716" s="187"/>
    </row>
    <row r="717">
      <c r="B717" s="103"/>
      <c r="G717" s="191"/>
      <c r="H717" s="187"/>
      <c r="I717" s="187"/>
      <c r="J717" s="188"/>
      <c r="K717" s="187"/>
      <c r="L717" s="187"/>
      <c r="M717" s="187"/>
      <c r="N717" s="188"/>
      <c r="O717" s="187"/>
      <c r="Q717" s="187"/>
      <c r="R717" s="190"/>
      <c r="S717" s="187"/>
    </row>
    <row r="718">
      <c r="B718" s="103"/>
      <c r="G718" s="191"/>
      <c r="H718" s="187"/>
      <c r="I718" s="187"/>
      <c r="J718" s="188"/>
      <c r="K718" s="187"/>
      <c r="L718" s="187"/>
      <c r="M718" s="187"/>
      <c r="N718" s="188"/>
      <c r="O718" s="187"/>
      <c r="Q718" s="187"/>
      <c r="R718" s="190"/>
      <c r="S718" s="187"/>
    </row>
    <row r="719">
      <c r="B719" s="103"/>
      <c r="G719" s="191"/>
      <c r="H719" s="187"/>
      <c r="I719" s="187"/>
      <c r="J719" s="188"/>
      <c r="K719" s="187"/>
      <c r="L719" s="187"/>
      <c r="M719" s="187"/>
      <c r="N719" s="188"/>
      <c r="O719" s="187"/>
      <c r="Q719" s="187"/>
      <c r="R719" s="190"/>
      <c r="S719" s="187"/>
    </row>
    <row r="720">
      <c r="B720" s="103"/>
      <c r="G720" s="191"/>
      <c r="H720" s="187"/>
      <c r="I720" s="187"/>
      <c r="J720" s="188"/>
      <c r="K720" s="187"/>
      <c r="L720" s="187"/>
      <c r="M720" s="187"/>
      <c r="N720" s="188"/>
      <c r="O720" s="187"/>
      <c r="Q720" s="187"/>
      <c r="R720" s="190"/>
      <c r="S720" s="187"/>
    </row>
    <row r="721">
      <c r="B721" s="103"/>
      <c r="G721" s="191"/>
      <c r="H721" s="187"/>
      <c r="I721" s="187"/>
      <c r="J721" s="188"/>
      <c r="K721" s="187"/>
      <c r="L721" s="187"/>
      <c r="M721" s="187"/>
      <c r="N721" s="188"/>
      <c r="O721" s="187"/>
      <c r="Q721" s="187"/>
      <c r="R721" s="190"/>
      <c r="S721" s="187"/>
    </row>
    <row r="722">
      <c r="B722" s="103"/>
      <c r="G722" s="191"/>
      <c r="H722" s="187"/>
      <c r="I722" s="187"/>
      <c r="J722" s="188"/>
      <c r="K722" s="187"/>
      <c r="L722" s="187"/>
      <c r="M722" s="187"/>
      <c r="N722" s="188"/>
      <c r="O722" s="187"/>
      <c r="Q722" s="187"/>
      <c r="R722" s="190"/>
      <c r="S722" s="187"/>
    </row>
    <row r="723">
      <c r="B723" s="103"/>
      <c r="G723" s="191"/>
      <c r="H723" s="187"/>
      <c r="I723" s="187"/>
      <c r="J723" s="188"/>
      <c r="K723" s="187"/>
      <c r="L723" s="187"/>
      <c r="M723" s="187"/>
      <c r="N723" s="188"/>
      <c r="O723" s="187"/>
      <c r="Q723" s="187"/>
      <c r="R723" s="190"/>
      <c r="S723" s="187"/>
    </row>
    <row r="724">
      <c r="B724" s="103"/>
      <c r="G724" s="191"/>
      <c r="H724" s="187"/>
      <c r="I724" s="187"/>
      <c r="J724" s="188"/>
      <c r="K724" s="187"/>
      <c r="L724" s="187"/>
      <c r="M724" s="187"/>
      <c r="N724" s="188"/>
      <c r="O724" s="187"/>
      <c r="Q724" s="187"/>
      <c r="R724" s="190"/>
      <c r="S724" s="187"/>
    </row>
    <row r="725">
      <c r="B725" s="103"/>
      <c r="G725" s="191"/>
      <c r="H725" s="187"/>
      <c r="I725" s="187"/>
      <c r="J725" s="188"/>
      <c r="K725" s="187"/>
      <c r="L725" s="187"/>
      <c r="M725" s="187"/>
      <c r="N725" s="188"/>
      <c r="O725" s="187"/>
      <c r="Q725" s="187"/>
      <c r="R725" s="190"/>
      <c r="S725" s="187"/>
    </row>
    <row r="726">
      <c r="B726" s="103"/>
      <c r="G726" s="191"/>
      <c r="H726" s="187"/>
      <c r="I726" s="187"/>
      <c r="J726" s="188"/>
      <c r="K726" s="187"/>
      <c r="L726" s="187"/>
      <c r="M726" s="187"/>
      <c r="N726" s="188"/>
      <c r="O726" s="187"/>
      <c r="Q726" s="187"/>
      <c r="R726" s="190"/>
      <c r="S726" s="187"/>
    </row>
    <row r="727">
      <c r="B727" s="103"/>
      <c r="G727" s="191"/>
      <c r="H727" s="187"/>
      <c r="I727" s="187"/>
      <c r="J727" s="188"/>
      <c r="K727" s="187"/>
      <c r="L727" s="187"/>
      <c r="M727" s="187"/>
      <c r="N727" s="188"/>
      <c r="O727" s="187"/>
      <c r="Q727" s="187"/>
      <c r="R727" s="190"/>
      <c r="S727" s="187"/>
    </row>
    <row r="728">
      <c r="B728" s="103"/>
      <c r="G728" s="191"/>
      <c r="H728" s="187"/>
      <c r="I728" s="187"/>
      <c r="J728" s="188"/>
      <c r="K728" s="187"/>
      <c r="L728" s="187"/>
      <c r="M728" s="187"/>
      <c r="N728" s="188"/>
      <c r="O728" s="187"/>
      <c r="Q728" s="187"/>
      <c r="R728" s="190"/>
      <c r="S728" s="187"/>
    </row>
    <row r="729">
      <c r="B729" s="103"/>
      <c r="G729" s="191"/>
      <c r="H729" s="187"/>
      <c r="I729" s="187"/>
      <c r="J729" s="188"/>
      <c r="K729" s="187"/>
      <c r="L729" s="187"/>
      <c r="M729" s="187"/>
      <c r="N729" s="188"/>
      <c r="O729" s="187"/>
      <c r="Q729" s="187"/>
      <c r="R729" s="190"/>
      <c r="S729" s="187"/>
    </row>
    <row r="730">
      <c r="B730" s="103"/>
      <c r="G730" s="191"/>
      <c r="H730" s="187"/>
      <c r="I730" s="187"/>
      <c r="J730" s="188"/>
      <c r="K730" s="187"/>
      <c r="L730" s="187"/>
      <c r="M730" s="187"/>
      <c r="N730" s="188"/>
      <c r="O730" s="187"/>
      <c r="Q730" s="187"/>
      <c r="R730" s="190"/>
      <c r="S730" s="187"/>
    </row>
    <row r="731">
      <c r="B731" s="103"/>
      <c r="G731" s="191"/>
      <c r="H731" s="187"/>
      <c r="I731" s="187"/>
      <c r="J731" s="188"/>
      <c r="K731" s="187"/>
      <c r="L731" s="187"/>
      <c r="M731" s="187"/>
      <c r="N731" s="188"/>
      <c r="O731" s="187"/>
      <c r="Q731" s="187"/>
      <c r="R731" s="190"/>
      <c r="S731" s="187"/>
    </row>
    <row r="732">
      <c r="B732" s="103"/>
      <c r="G732" s="191"/>
      <c r="H732" s="187"/>
      <c r="I732" s="187"/>
      <c r="J732" s="188"/>
      <c r="K732" s="187"/>
      <c r="L732" s="187"/>
      <c r="M732" s="187"/>
      <c r="N732" s="188"/>
      <c r="O732" s="187"/>
      <c r="Q732" s="187"/>
      <c r="R732" s="190"/>
      <c r="S732" s="187"/>
    </row>
    <row r="733">
      <c r="B733" s="103"/>
      <c r="G733" s="191"/>
      <c r="H733" s="187"/>
      <c r="I733" s="187"/>
      <c r="J733" s="188"/>
      <c r="K733" s="187"/>
      <c r="L733" s="187"/>
      <c r="M733" s="187"/>
      <c r="N733" s="188"/>
      <c r="O733" s="187"/>
      <c r="Q733" s="187"/>
      <c r="R733" s="190"/>
      <c r="S733" s="187"/>
    </row>
    <row r="734">
      <c r="B734" s="103"/>
      <c r="G734" s="191"/>
      <c r="H734" s="187"/>
      <c r="I734" s="187"/>
      <c r="J734" s="188"/>
      <c r="K734" s="187"/>
      <c r="L734" s="187"/>
      <c r="M734" s="187"/>
      <c r="N734" s="188"/>
      <c r="O734" s="187"/>
      <c r="Q734" s="187"/>
      <c r="R734" s="190"/>
      <c r="S734" s="187"/>
    </row>
    <row r="735">
      <c r="B735" s="103"/>
      <c r="G735" s="191"/>
      <c r="H735" s="187"/>
      <c r="I735" s="187"/>
      <c r="J735" s="188"/>
      <c r="K735" s="187"/>
      <c r="L735" s="187"/>
      <c r="M735" s="187"/>
      <c r="N735" s="188"/>
      <c r="O735" s="187"/>
      <c r="Q735" s="187"/>
      <c r="R735" s="190"/>
      <c r="S735" s="187"/>
    </row>
    <row r="736">
      <c r="B736" s="103"/>
      <c r="G736" s="191"/>
      <c r="H736" s="187"/>
      <c r="I736" s="187"/>
      <c r="J736" s="188"/>
      <c r="K736" s="187"/>
      <c r="L736" s="187"/>
      <c r="M736" s="187"/>
      <c r="N736" s="188"/>
      <c r="O736" s="187"/>
      <c r="Q736" s="187"/>
      <c r="R736" s="190"/>
      <c r="S736" s="187"/>
    </row>
    <row r="737">
      <c r="B737" s="103"/>
      <c r="G737" s="191"/>
      <c r="H737" s="187"/>
      <c r="I737" s="187"/>
      <c r="J737" s="188"/>
      <c r="K737" s="187"/>
      <c r="L737" s="187"/>
      <c r="M737" s="187"/>
      <c r="N737" s="188"/>
      <c r="O737" s="187"/>
      <c r="Q737" s="187"/>
      <c r="R737" s="190"/>
      <c r="S737" s="187"/>
    </row>
    <row r="738">
      <c r="B738" s="103"/>
      <c r="G738" s="191"/>
      <c r="H738" s="187"/>
      <c r="I738" s="187"/>
      <c r="J738" s="188"/>
      <c r="K738" s="187"/>
      <c r="L738" s="187"/>
      <c r="M738" s="187"/>
      <c r="N738" s="188"/>
      <c r="O738" s="187"/>
      <c r="Q738" s="187"/>
      <c r="R738" s="190"/>
      <c r="S738" s="187"/>
    </row>
    <row r="739">
      <c r="B739" s="103"/>
      <c r="G739" s="191"/>
      <c r="H739" s="187"/>
      <c r="I739" s="187"/>
      <c r="J739" s="188"/>
      <c r="K739" s="187"/>
      <c r="L739" s="187"/>
      <c r="M739" s="187"/>
      <c r="N739" s="188"/>
      <c r="O739" s="187"/>
      <c r="Q739" s="187"/>
      <c r="R739" s="190"/>
      <c r="S739" s="187"/>
    </row>
    <row r="740">
      <c r="B740" s="103"/>
      <c r="G740" s="191"/>
      <c r="H740" s="187"/>
      <c r="I740" s="187"/>
      <c r="J740" s="188"/>
      <c r="K740" s="187"/>
      <c r="L740" s="187"/>
      <c r="M740" s="187"/>
      <c r="N740" s="188"/>
      <c r="O740" s="187"/>
      <c r="Q740" s="187"/>
      <c r="R740" s="190"/>
      <c r="S740" s="187"/>
    </row>
    <row r="741">
      <c r="B741" s="103"/>
      <c r="G741" s="191"/>
      <c r="H741" s="187"/>
      <c r="I741" s="187"/>
      <c r="J741" s="188"/>
      <c r="K741" s="187"/>
      <c r="L741" s="187"/>
      <c r="M741" s="187"/>
      <c r="N741" s="188"/>
      <c r="O741" s="187"/>
      <c r="Q741" s="187"/>
      <c r="R741" s="190"/>
      <c r="S741" s="187"/>
    </row>
    <row r="742">
      <c r="B742" s="103"/>
      <c r="G742" s="191"/>
      <c r="H742" s="187"/>
      <c r="I742" s="187"/>
      <c r="J742" s="188"/>
      <c r="K742" s="187"/>
      <c r="L742" s="187"/>
      <c r="M742" s="187"/>
      <c r="N742" s="188"/>
      <c r="O742" s="187"/>
      <c r="Q742" s="187"/>
      <c r="R742" s="190"/>
      <c r="S742" s="187"/>
    </row>
    <row r="743">
      <c r="B743" s="103"/>
      <c r="G743" s="191"/>
      <c r="H743" s="187"/>
      <c r="I743" s="187"/>
      <c r="J743" s="188"/>
      <c r="K743" s="187"/>
      <c r="L743" s="187"/>
      <c r="M743" s="187"/>
      <c r="N743" s="188"/>
      <c r="O743" s="187"/>
      <c r="Q743" s="187"/>
      <c r="R743" s="190"/>
      <c r="S743" s="187"/>
    </row>
    <row r="744">
      <c r="B744" s="103"/>
      <c r="G744" s="191"/>
      <c r="H744" s="187"/>
      <c r="I744" s="187"/>
      <c r="J744" s="188"/>
      <c r="K744" s="187"/>
      <c r="L744" s="187"/>
      <c r="M744" s="187"/>
      <c r="N744" s="188"/>
      <c r="O744" s="187"/>
      <c r="Q744" s="187"/>
      <c r="R744" s="190"/>
      <c r="S744" s="187"/>
    </row>
    <row r="745">
      <c r="B745" s="103"/>
      <c r="G745" s="191"/>
      <c r="H745" s="187"/>
      <c r="I745" s="187"/>
      <c r="J745" s="188"/>
      <c r="K745" s="187"/>
      <c r="L745" s="187"/>
      <c r="M745" s="187"/>
      <c r="N745" s="188"/>
      <c r="O745" s="187"/>
      <c r="Q745" s="187"/>
      <c r="R745" s="190"/>
      <c r="S745" s="187"/>
    </row>
    <row r="746">
      <c r="B746" s="103"/>
      <c r="G746" s="191"/>
      <c r="H746" s="187"/>
      <c r="I746" s="187"/>
      <c r="J746" s="188"/>
      <c r="K746" s="187"/>
      <c r="L746" s="187"/>
      <c r="M746" s="187"/>
      <c r="N746" s="188"/>
      <c r="O746" s="187"/>
      <c r="Q746" s="187"/>
      <c r="R746" s="190"/>
      <c r="S746" s="187"/>
    </row>
    <row r="747">
      <c r="B747" s="103"/>
      <c r="G747" s="191"/>
      <c r="H747" s="187"/>
      <c r="I747" s="187"/>
      <c r="J747" s="188"/>
      <c r="K747" s="187"/>
      <c r="L747" s="187"/>
      <c r="M747" s="187"/>
      <c r="N747" s="188"/>
      <c r="O747" s="187"/>
      <c r="Q747" s="187"/>
      <c r="R747" s="190"/>
      <c r="S747" s="187"/>
    </row>
    <row r="748">
      <c r="B748" s="103"/>
      <c r="G748" s="191"/>
      <c r="H748" s="187"/>
      <c r="I748" s="187"/>
      <c r="J748" s="188"/>
      <c r="K748" s="187"/>
      <c r="L748" s="187"/>
      <c r="M748" s="187"/>
      <c r="N748" s="188"/>
      <c r="O748" s="187"/>
      <c r="Q748" s="187"/>
      <c r="R748" s="190"/>
      <c r="S748" s="187"/>
    </row>
    <row r="749">
      <c r="B749" s="103"/>
      <c r="G749" s="191"/>
      <c r="H749" s="187"/>
      <c r="I749" s="187"/>
      <c r="J749" s="188"/>
      <c r="K749" s="187"/>
      <c r="L749" s="187"/>
      <c r="M749" s="187"/>
      <c r="N749" s="188"/>
      <c r="O749" s="187"/>
      <c r="Q749" s="187"/>
      <c r="R749" s="190"/>
      <c r="S749" s="187"/>
    </row>
    <row r="750">
      <c r="B750" s="103"/>
      <c r="G750" s="191"/>
      <c r="H750" s="187"/>
      <c r="I750" s="187"/>
      <c r="J750" s="188"/>
      <c r="K750" s="187"/>
      <c r="L750" s="187"/>
      <c r="M750" s="187"/>
      <c r="N750" s="188"/>
      <c r="O750" s="187"/>
      <c r="Q750" s="187"/>
      <c r="R750" s="190"/>
      <c r="S750" s="187"/>
    </row>
    <row r="751">
      <c r="B751" s="103"/>
      <c r="G751" s="191"/>
      <c r="H751" s="187"/>
      <c r="I751" s="187"/>
      <c r="J751" s="188"/>
      <c r="K751" s="187"/>
      <c r="L751" s="187"/>
      <c r="M751" s="187"/>
      <c r="N751" s="188"/>
      <c r="O751" s="187"/>
      <c r="Q751" s="187"/>
      <c r="R751" s="190"/>
      <c r="S751" s="187"/>
    </row>
    <row r="752">
      <c r="B752" s="103"/>
      <c r="G752" s="191"/>
      <c r="H752" s="187"/>
      <c r="I752" s="187"/>
      <c r="J752" s="188"/>
      <c r="K752" s="187"/>
      <c r="L752" s="187"/>
      <c r="M752" s="187"/>
      <c r="N752" s="188"/>
      <c r="O752" s="187"/>
      <c r="Q752" s="187"/>
      <c r="R752" s="190"/>
      <c r="S752" s="187"/>
    </row>
    <row r="753">
      <c r="B753" s="103"/>
      <c r="G753" s="191"/>
      <c r="H753" s="187"/>
      <c r="I753" s="187"/>
      <c r="J753" s="188"/>
      <c r="K753" s="187"/>
      <c r="L753" s="187"/>
      <c r="M753" s="187"/>
      <c r="N753" s="188"/>
      <c r="O753" s="187"/>
      <c r="Q753" s="187"/>
      <c r="R753" s="190"/>
      <c r="S753" s="187"/>
    </row>
    <row r="754">
      <c r="B754" s="103"/>
      <c r="G754" s="191"/>
      <c r="H754" s="187"/>
      <c r="I754" s="187"/>
      <c r="J754" s="188"/>
      <c r="K754" s="187"/>
      <c r="L754" s="187"/>
      <c r="M754" s="187"/>
      <c r="N754" s="188"/>
      <c r="O754" s="187"/>
      <c r="Q754" s="187"/>
      <c r="R754" s="190"/>
      <c r="S754" s="187"/>
    </row>
    <row r="755">
      <c r="B755" s="103"/>
      <c r="G755" s="191"/>
      <c r="H755" s="187"/>
      <c r="I755" s="187"/>
      <c r="J755" s="188"/>
      <c r="K755" s="187"/>
      <c r="L755" s="187"/>
      <c r="M755" s="187"/>
      <c r="N755" s="188"/>
      <c r="O755" s="187"/>
      <c r="Q755" s="187"/>
      <c r="R755" s="190"/>
      <c r="S755" s="187"/>
    </row>
    <row r="756">
      <c r="B756" s="103"/>
      <c r="G756" s="191"/>
      <c r="H756" s="187"/>
      <c r="I756" s="187"/>
      <c r="J756" s="188"/>
      <c r="K756" s="187"/>
      <c r="L756" s="187"/>
      <c r="M756" s="187"/>
      <c r="N756" s="188"/>
      <c r="O756" s="187"/>
      <c r="Q756" s="187"/>
      <c r="R756" s="190"/>
      <c r="S756" s="187"/>
    </row>
    <row r="757">
      <c r="B757" s="103"/>
      <c r="G757" s="191"/>
      <c r="H757" s="187"/>
      <c r="I757" s="187"/>
      <c r="J757" s="188"/>
      <c r="K757" s="187"/>
      <c r="L757" s="187"/>
      <c r="M757" s="187"/>
      <c r="N757" s="188"/>
      <c r="O757" s="187"/>
      <c r="Q757" s="187"/>
      <c r="R757" s="190"/>
      <c r="S757" s="187"/>
    </row>
    <row r="758">
      <c r="B758" s="103"/>
      <c r="G758" s="191"/>
      <c r="H758" s="187"/>
      <c r="I758" s="187"/>
      <c r="J758" s="188"/>
      <c r="K758" s="187"/>
      <c r="L758" s="187"/>
      <c r="M758" s="187"/>
      <c r="N758" s="188"/>
      <c r="O758" s="187"/>
      <c r="Q758" s="187"/>
      <c r="R758" s="190"/>
      <c r="S758" s="187"/>
    </row>
    <row r="759">
      <c r="B759" s="103"/>
      <c r="G759" s="191"/>
      <c r="H759" s="187"/>
      <c r="I759" s="187"/>
      <c r="J759" s="188"/>
      <c r="K759" s="187"/>
      <c r="L759" s="187"/>
      <c r="M759" s="187"/>
      <c r="N759" s="188"/>
      <c r="O759" s="187"/>
      <c r="Q759" s="187"/>
      <c r="R759" s="190"/>
      <c r="S759" s="187"/>
    </row>
    <row r="760">
      <c r="B760" s="103"/>
      <c r="G760" s="191"/>
      <c r="H760" s="187"/>
      <c r="I760" s="187"/>
      <c r="J760" s="188"/>
      <c r="K760" s="187"/>
      <c r="L760" s="187"/>
      <c r="M760" s="187"/>
      <c r="N760" s="188"/>
      <c r="O760" s="187"/>
      <c r="Q760" s="187"/>
      <c r="R760" s="190"/>
      <c r="S760" s="187"/>
    </row>
    <row r="761">
      <c r="B761" s="103"/>
      <c r="G761" s="191"/>
      <c r="H761" s="187"/>
      <c r="I761" s="187"/>
      <c r="J761" s="188"/>
      <c r="K761" s="187"/>
      <c r="L761" s="187"/>
      <c r="M761" s="187"/>
      <c r="N761" s="188"/>
      <c r="O761" s="187"/>
      <c r="Q761" s="187"/>
      <c r="R761" s="190"/>
      <c r="S761" s="187"/>
    </row>
    <row r="762">
      <c r="B762" s="103"/>
      <c r="G762" s="191"/>
      <c r="H762" s="187"/>
      <c r="I762" s="187"/>
      <c r="J762" s="188"/>
      <c r="K762" s="187"/>
      <c r="L762" s="187"/>
      <c r="M762" s="187"/>
      <c r="N762" s="188"/>
      <c r="O762" s="187"/>
      <c r="Q762" s="187"/>
      <c r="R762" s="190"/>
      <c r="S762" s="187"/>
    </row>
    <row r="763">
      <c r="B763" s="103"/>
      <c r="G763" s="191"/>
      <c r="H763" s="187"/>
      <c r="I763" s="187"/>
      <c r="J763" s="188"/>
      <c r="K763" s="187"/>
      <c r="L763" s="187"/>
      <c r="M763" s="187"/>
      <c r="N763" s="188"/>
      <c r="O763" s="187"/>
      <c r="Q763" s="187"/>
      <c r="R763" s="190"/>
      <c r="S763" s="187"/>
    </row>
    <row r="764">
      <c r="B764" s="103"/>
      <c r="G764" s="191"/>
      <c r="H764" s="187"/>
      <c r="I764" s="187"/>
      <c r="J764" s="188"/>
      <c r="K764" s="187"/>
      <c r="L764" s="187"/>
      <c r="M764" s="187"/>
      <c r="N764" s="188"/>
      <c r="O764" s="187"/>
      <c r="Q764" s="187"/>
      <c r="R764" s="190"/>
      <c r="S764" s="187"/>
    </row>
    <row r="765">
      <c r="B765" s="103"/>
      <c r="G765" s="191"/>
      <c r="H765" s="187"/>
      <c r="I765" s="187"/>
      <c r="J765" s="188"/>
      <c r="K765" s="187"/>
      <c r="L765" s="187"/>
      <c r="M765" s="187"/>
      <c r="N765" s="188"/>
      <c r="O765" s="187"/>
      <c r="Q765" s="187"/>
      <c r="R765" s="190"/>
      <c r="S765" s="187"/>
    </row>
    <row r="766">
      <c r="B766" s="103"/>
      <c r="G766" s="191"/>
      <c r="H766" s="187"/>
      <c r="I766" s="187"/>
      <c r="J766" s="188"/>
      <c r="K766" s="187"/>
      <c r="L766" s="187"/>
      <c r="M766" s="187"/>
      <c r="N766" s="188"/>
      <c r="O766" s="187"/>
      <c r="Q766" s="187"/>
      <c r="R766" s="190"/>
      <c r="S766" s="187"/>
    </row>
    <row r="767">
      <c r="B767" s="103"/>
      <c r="G767" s="191"/>
      <c r="H767" s="187"/>
      <c r="I767" s="187"/>
      <c r="J767" s="188"/>
      <c r="K767" s="187"/>
      <c r="L767" s="187"/>
      <c r="M767" s="187"/>
      <c r="N767" s="188"/>
      <c r="O767" s="187"/>
      <c r="Q767" s="187"/>
      <c r="R767" s="190"/>
      <c r="S767" s="187"/>
    </row>
    <row r="768">
      <c r="B768" s="103"/>
      <c r="G768" s="191"/>
      <c r="H768" s="187"/>
      <c r="I768" s="187"/>
      <c r="J768" s="188"/>
      <c r="K768" s="187"/>
      <c r="L768" s="187"/>
      <c r="M768" s="187"/>
      <c r="N768" s="188"/>
      <c r="O768" s="187"/>
      <c r="Q768" s="187"/>
      <c r="R768" s="190"/>
      <c r="S768" s="187"/>
    </row>
    <row r="769">
      <c r="B769" s="103"/>
      <c r="G769" s="191"/>
      <c r="H769" s="187"/>
      <c r="I769" s="187"/>
      <c r="J769" s="188"/>
      <c r="K769" s="187"/>
      <c r="L769" s="187"/>
      <c r="M769" s="187"/>
      <c r="N769" s="188"/>
      <c r="O769" s="187"/>
      <c r="Q769" s="187"/>
      <c r="R769" s="190"/>
      <c r="S769" s="187"/>
    </row>
    <row r="770">
      <c r="B770" s="103"/>
      <c r="G770" s="191"/>
      <c r="H770" s="187"/>
      <c r="I770" s="187"/>
      <c r="J770" s="188"/>
      <c r="K770" s="187"/>
      <c r="L770" s="187"/>
      <c r="M770" s="187"/>
      <c r="N770" s="188"/>
      <c r="O770" s="187"/>
      <c r="Q770" s="187"/>
      <c r="R770" s="190"/>
      <c r="S770" s="187"/>
    </row>
    <row r="771">
      <c r="B771" s="103"/>
      <c r="G771" s="191"/>
      <c r="H771" s="187"/>
      <c r="I771" s="187"/>
      <c r="J771" s="188"/>
      <c r="K771" s="187"/>
      <c r="L771" s="187"/>
      <c r="M771" s="187"/>
      <c r="N771" s="188"/>
      <c r="O771" s="187"/>
      <c r="Q771" s="187"/>
      <c r="R771" s="190"/>
      <c r="S771" s="187"/>
    </row>
    <row r="772">
      <c r="B772" s="103"/>
      <c r="G772" s="191"/>
      <c r="H772" s="187"/>
      <c r="I772" s="187"/>
      <c r="J772" s="188"/>
      <c r="K772" s="187"/>
      <c r="L772" s="187"/>
      <c r="M772" s="187"/>
      <c r="N772" s="188"/>
      <c r="O772" s="187"/>
      <c r="Q772" s="187"/>
      <c r="R772" s="190"/>
      <c r="S772" s="187"/>
    </row>
    <row r="773">
      <c r="B773" s="103"/>
      <c r="G773" s="191"/>
      <c r="H773" s="187"/>
      <c r="I773" s="187"/>
      <c r="J773" s="188"/>
      <c r="K773" s="187"/>
      <c r="L773" s="187"/>
      <c r="M773" s="187"/>
      <c r="N773" s="188"/>
      <c r="O773" s="187"/>
      <c r="Q773" s="187"/>
      <c r="R773" s="190"/>
      <c r="S773" s="187"/>
    </row>
    <row r="774">
      <c r="B774" s="103"/>
      <c r="G774" s="191"/>
      <c r="H774" s="187"/>
      <c r="I774" s="187"/>
      <c r="J774" s="188"/>
      <c r="K774" s="187"/>
      <c r="L774" s="187"/>
      <c r="M774" s="187"/>
      <c r="N774" s="188"/>
      <c r="O774" s="187"/>
      <c r="Q774" s="187"/>
      <c r="R774" s="190"/>
      <c r="S774" s="187"/>
    </row>
    <row r="775">
      <c r="B775" s="103"/>
      <c r="G775" s="191"/>
      <c r="H775" s="187"/>
      <c r="I775" s="187"/>
      <c r="J775" s="188"/>
      <c r="K775" s="187"/>
      <c r="L775" s="187"/>
      <c r="M775" s="187"/>
      <c r="N775" s="188"/>
      <c r="O775" s="187"/>
      <c r="Q775" s="187"/>
      <c r="R775" s="190"/>
      <c r="S775" s="187"/>
    </row>
    <row r="776">
      <c r="B776" s="103"/>
      <c r="G776" s="191"/>
      <c r="H776" s="187"/>
      <c r="I776" s="187"/>
      <c r="J776" s="188"/>
      <c r="K776" s="187"/>
      <c r="L776" s="187"/>
      <c r="M776" s="187"/>
      <c r="N776" s="188"/>
      <c r="O776" s="187"/>
      <c r="Q776" s="187"/>
      <c r="R776" s="190"/>
      <c r="S776" s="187"/>
    </row>
    <row r="777">
      <c r="B777" s="103"/>
      <c r="G777" s="191"/>
      <c r="H777" s="187"/>
      <c r="I777" s="187"/>
      <c r="J777" s="188"/>
      <c r="K777" s="187"/>
      <c r="L777" s="187"/>
      <c r="M777" s="187"/>
      <c r="N777" s="188"/>
      <c r="O777" s="187"/>
      <c r="Q777" s="187"/>
      <c r="R777" s="190"/>
      <c r="S777" s="187"/>
    </row>
    <row r="778">
      <c r="B778" s="103"/>
      <c r="G778" s="191"/>
      <c r="H778" s="187"/>
      <c r="I778" s="187"/>
      <c r="J778" s="188"/>
      <c r="K778" s="187"/>
      <c r="L778" s="187"/>
      <c r="M778" s="187"/>
      <c r="N778" s="188"/>
      <c r="O778" s="187"/>
      <c r="Q778" s="187"/>
      <c r="R778" s="190"/>
      <c r="S778" s="187"/>
    </row>
    <row r="779">
      <c r="B779" s="103"/>
      <c r="G779" s="191"/>
      <c r="H779" s="187"/>
      <c r="I779" s="187"/>
      <c r="J779" s="188"/>
      <c r="K779" s="187"/>
      <c r="L779" s="187"/>
      <c r="M779" s="187"/>
      <c r="N779" s="188"/>
      <c r="O779" s="187"/>
      <c r="Q779" s="187"/>
      <c r="R779" s="190"/>
      <c r="S779" s="187"/>
    </row>
    <row r="780">
      <c r="B780" s="103"/>
      <c r="G780" s="191"/>
      <c r="H780" s="187"/>
      <c r="I780" s="187"/>
      <c r="J780" s="188"/>
      <c r="K780" s="187"/>
      <c r="L780" s="187"/>
      <c r="M780" s="187"/>
      <c r="N780" s="188"/>
      <c r="O780" s="187"/>
      <c r="Q780" s="187"/>
      <c r="R780" s="190"/>
      <c r="S780" s="187"/>
    </row>
    <row r="781">
      <c r="B781" s="103"/>
      <c r="G781" s="191"/>
      <c r="H781" s="187"/>
      <c r="I781" s="187"/>
      <c r="J781" s="188"/>
      <c r="K781" s="187"/>
      <c r="L781" s="187"/>
      <c r="M781" s="187"/>
      <c r="N781" s="188"/>
      <c r="O781" s="187"/>
      <c r="Q781" s="187"/>
      <c r="R781" s="190"/>
      <c r="S781" s="187"/>
    </row>
    <row r="782">
      <c r="B782" s="103"/>
      <c r="G782" s="191"/>
      <c r="H782" s="187"/>
      <c r="I782" s="187"/>
      <c r="J782" s="188"/>
      <c r="K782" s="187"/>
      <c r="L782" s="187"/>
      <c r="M782" s="187"/>
      <c r="N782" s="188"/>
      <c r="O782" s="187"/>
      <c r="Q782" s="187"/>
      <c r="R782" s="190"/>
      <c r="S782" s="187"/>
    </row>
    <row r="783">
      <c r="B783" s="103"/>
      <c r="G783" s="191"/>
      <c r="H783" s="187"/>
      <c r="I783" s="187"/>
      <c r="J783" s="188"/>
      <c r="K783" s="187"/>
      <c r="L783" s="187"/>
      <c r="M783" s="187"/>
      <c r="N783" s="188"/>
      <c r="O783" s="187"/>
      <c r="Q783" s="187"/>
      <c r="R783" s="190"/>
      <c r="S783" s="187"/>
    </row>
    <row r="784">
      <c r="B784" s="103"/>
      <c r="G784" s="191"/>
      <c r="H784" s="187"/>
      <c r="I784" s="187"/>
      <c r="J784" s="188"/>
      <c r="K784" s="187"/>
      <c r="L784" s="187"/>
      <c r="M784" s="187"/>
      <c r="N784" s="188"/>
      <c r="O784" s="187"/>
      <c r="Q784" s="187"/>
      <c r="R784" s="190"/>
      <c r="S784" s="187"/>
    </row>
    <row r="785">
      <c r="B785" s="103"/>
      <c r="G785" s="191"/>
      <c r="H785" s="187"/>
      <c r="I785" s="187"/>
      <c r="J785" s="188"/>
      <c r="K785" s="187"/>
      <c r="L785" s="187"/>
      <c r="M785" s="187"/>
      <c r="N785" s="188"/>
      <c r="O785" s="187"/>
      <c r="Q785" s="187"/>
      <c r="R785" s="190"/>
      <c r="S785" s="187"/>
    </row>
    <row r="786">
      <c r="B786" s="103"/>
      <c r="G786" s="191"/>
      <c r="H786" s="187"/>
      <c r="I786" s="187"/>
      <c r="J786" s="188"/>
      <c r="K786" s="187"/>
      <c r="L786" s="187"/>
      <c r="M786" s="187"/>
      <c r="N786" s="188"/>
      <c r="O786" s="187"/>
      <c r="Q786" s="187"/>
      <c r="R786" s="190"/>
      <c r="S786" s="187"/>
    </row>
    <row r="787">
      <c r="B787" s="103"/>
      <c r="G787" s="191"/>
      <c r="H787" s="187"/>
      <c r="I787" s="187"/>
      <c r="J787" s="188"/>
      <c r="K787" s="187"/>
      <c r="L787" s="187"/>
      <c r="M787" s="187"/>
      <c r="N787" s="188"/>
      <c r="O787" s="187"/>
      <c r="Q787" s="187"/>
      <c r="R787" s="190"/>
      <c r="S787" s="187"/>
    </row>
    <row r="788">
      <c r="B788" s="103"/>
      <c r="G788" s="191"/>
      <c r="H788" s="187"/>
      <c r="I788" s="187"/>
      <c r="J788" s="188"/>
      <c r="K788" s="187"/>
      <c r="L788" s="187"/>
      <c r="M788" s="187"/>
      <c r="N788" s="188"/>
      <c r="O788" s="187"/>
      <c r="Q788" s="187"/>
      <c r="R788" s="190"/>
      <c r="S788" s="187"/>
    </row>
    <row r="789">
      <c r="B789" s="103"/>
      <c r="G789" s="191"/>
      <c r="H789" s="187"/>
      <c r="I789" s="187"/>
      <c r="J789" s="188"/>
      <c r="K789" s="187"/>
      <c r="L789" s="187"/>
      <c r="M789" s="187"/>
      <c r="N789" s="188"/>
      <c r="O789" s="187"/>
      <c r="Q789" s="187"/>
      <c r="R789" s="190"/>
      <c r="S789" s="187"/>
    </row>
    <row r="790">
      <c r="B790" s="103"/>
      <c r="G790" s="191"/>
      <c r="H790" s="187"/>
      <c r="I790" s="187"/>
      <c r="J790" s="188"/>
      <c r="K790" s="187"/>
      <c r="L790" s="187"/>
      <c r="M790" s="187"/>
      <c r="N790" s="188"/>
      <c r="O790" s="187"/>
      <c r="Q790" s="187"/>
      <c r="R790" s="190"/>
      <c r="S790" s="187"/>
    </row>
    <row r="791">
      <c r="B791" s="103"/>
      <c r="G791" s="191"/>
      <c r="H791" s="187"/>
      <c r="I791" s="187"/>
      <c r="J791" s="188"/>
      <c r="K791" s="187"/>
      <c r="L791" s="187"/>
      <c r="M791" s="187"/>
      <c r="N791" s="188"/>
      <c r="O791" s="187"/>
      <c r="Q791" s="187"/>
      <c r="R791" s="190"/>
      <c r="S791" s="187"/>
    </row>
    <row r="792">
      <c r="B792" s="103"/>
      <c r="G792" s="191"/>
      <c r="H792" s="187"/>
      <c r="I792" s="187"/>
      <c r="J792" s="188"/>
      <c r="K792" s="187"/>
      <c r="L792" s="187"/>
      <c r="M792" s="187"/>
      <c r="N792" s="188"/>
      <c r="O792" s="187"/>
      <c r="Q792" s="187"/>
      <c r="R792" s="190"/>
      <c r="S792" s="187"/>
    </row>
    <row r="793">
      <c r="B793" s="103"/>
      <c r="G793" s="191"/>
      <c r="H793" s="187"/>
      <c r="I793" s="187"/>
      <c r="J793" s="188"/>
      <c r="K793" s="187"/>
      <c r="L793" s="187"/>
      <c r="M793" s="187"/>
      <c r="N793" s="188"/>
      <c r="O793" s="187"/>
      <c r="Q793" s="187"/>
      <c r="R793" s="190"/>
      <c r="S793" s="187"/>
    </row>
    <row r="794">
      <c r="B794" s="103"/>
      <c r="G794" s="191"/>
      <c r="H794" s="187"/>
      <c r="I794" s="187"/>
      <c r="J794" s="188"/>
      <c r="K794" s="187"/>
      <c r="L794" s="187"/>
      <c r="M794" s="187"/>
      <c r="N794" s="188"/>
      <c r="O794" s="187"/>
      <c r="Q794" s="187"/>
      <c r="R794" s="190"/>
      <c r="S794" s="187"/>
    </row>
    <row r="795">
      <c r="B795" s="103"/>
      <c r="G795" s="191"/>
      <c r="H795" s="187"/>
      <c r="I795" s="187"/>
      <c r="J795" s="188"/>
      <c r="K795" s="187"/>
      <c r="L795" s="187"/>
      <c r="M795" s="187"/>
      <c r="N795" s="188"/>
      <c r="O795" s="187"/>
      <c r="Q795" s="187"/>
      <c r="R795" s="190"/>
      <c r="S795" s="187"/>
    </row>
    <row r="796">
      <c r="B796" s="103"/>
      <c r="G796" s="191"/>
      <c r="H796" s="187"/>
      <c r="I796" s="187"/>
      <c r="J796" s="188"/>
      <c r="K796" s="187"/>
      <c r="L796" s="187"/>
      <c r="M796" s="187"/>
      <c r="N796" s="188"/>
      <c r="O796" s="187"/>
      <c r="Q796" s="187"/>
      <c r="R796" s="190"/>
      <c r="S796" s="187"/>
    </row>
    <row r="797">
      <c r="B797" s="103"/>
      <c r="G797" s="191"/>
      <c r="H797" s="187"/>
      <c r="I797" s="187"/>
      <c r="J797" s="188"/>
      <c r="K797" s="187"/>
      <c r="L797" s="187"/>
      <c r="M797" s="187"/>
      <c r="N797" s="188"/>
      <c r="O797" s="187"/>
      <c r="Q797" s="187"/>
      <c r="R797" s="190"/>
      <c r="S797" s="187"/>
    </row>
    <row r="798">
      <c r="B798" s="103"/>
      <c r="G798" s="191"/>
      <c r="H798" s="187"/>
      <c r="I798" s="187"/>
      <c r="J798" s="188"/>
      <c r="K798" s="187"/>
      <c r="L798" s="187"/>
      <c r="M798" s="187"/>
      <c r="N798" s="188"/>
      <c r="O798" s="187"/>
      <c r="Q798" s="187"/>
      <c r="R798" s="190"/>
      <c r="S798" s="187"/>
    </row>
    <row r="799">
      <c r="B799" s="103"/>
      <c r="G799" s="191"/>
      <c r="H799" s="187"/>
      <c r="I799" s="187"/>
      <c r="J799" s="188"/>
      <c r="K799" s="187"/>
      <c r="L799" s="187"/>
      <c r="M799" s="187"/>
      <c r="N799" s="188"/>
      <c r="O799" s="187"/>
      <c r="Q799" s="187"/>
      <c r="R799" s="190"/>
      <c r="S799" s="187"/>
    </row>
    <row r="800">
      <c r="B800" s="103"/>
      <c r="G800" s="191"/>
      <c r="H800" s="187"/>
      <c r="I800" s="187"/>
      <c r="J800" s="188"/>
      <c r="K800" s="187"/>
      <c r="L800" s="187"/>
      <c r="M800" s="187"/>
      <c r="N800" s="188"/>
      <c r="O800" s="187"/>
      <c r="Q800" s="187"/>
      <c r="R800" s="190"/>
      <c r="S800" s="187"/>
    </row>
    <row r="801">
      <c r="B801" s="103"/>
      <c r="G801" s="191"/>
      <c r="H801" s="187"/>
      <c r="I801" s="187"/>
      <c r="J801" s="188"/>
      <c r="K801" s="187"/>
      <c r="L801" s="187"/>
      <c r="M801" s="187"/>
      <c r="N801" s="188"/>
      <c r="O801" s="187"/>
      <c r="Q801" s="187"/>
      <c r="R801" s="190"/>
      <c r="S801" s="187"/>
    </row>
    <row r="802">
      <c r="B802" s="103"/>
      <c r="G802" s="191"/>
      <c r="H802" s="187"/>
      <c r="I802" s="187"/>
      <c r="J802" s="188"/>
      <c r="K802" s="187"/>
      <c r="L802" s="187"/>
      <c r="M802" s="187"/>
      <c r="N802" s="188"/>
      <c r="O802" s="187"/>
      <c r="Q802" s="187"/>
      <c r="R802" s="190"/>
      <c r="S802" s="187"/>
    </row>
    <row r="803">
      <c r="B803" s="103"/>
      <c r="G803" s="191"/>
      <c r="H803" s="187"/>
      <c r="I803" s="187"/>
      <c r="J803" s="188"/>
      <c r="K803" s="187"/>
      <c r="L803" s="187"/>
      <c r="M803" s="187"/>
      <c r="N803" s="188"/>
      <c r="O803" s="187"/>
      <c r="Q803" s="187"/>
      <c r="R803" s="190"/>
      <c r="S803" s="187"/>
    </row>
    <row r="804">
      <c r="B804" s="103"/>
      <c r="G804" s="191"/>
      <c r="H804" s="187"/>
      <c r="I804" s="187"/>
      <c r="J804" s="188"/>
      <c r="K804" s="187"/>
      <c r="L804" s="187"/>
      <c r="M804" s="187"/>
      <c r="N804" s="188"/>
      <c r="O804" s="187"/>
      <c r="Q804" s="187"/>
      <c r="R804" s="190"/>
      <c r="S804" s="187"/>
    </row>
    <row r="805">
      <c r="B805" s="103"/>
      <c r="G805" s="191"/>
      <c r="H805" s="187"/>
      <c r="I805" s="187"/>
      <c r="J805" s="188"/>
      <c r="K805" s="187"/>
      <c r="L805" s="187"/>
      <c r="M805" s="187"/>
      <c r="N805" s="188"/>
      <c r="O805" s="187"/>
      <c r="Q805" s="187"/>
      <c r="R805" s="190"/>
      <c r="S805" s="187"/>
    </row>
    <row r="806">
      <c r="B806" s="103"/>
      <c r="G806" s="191"/>
      <c r="H806" s="187"/>
      <c r="I806" s="187"/>
      <c r="J806" s="188"/>
      <c r="K806" s="187"/>
      <c r="L806" s="187"/>
      <c r="M806" s="187"/>
      <c r="N806" s="188"/>
      <c r="O806" s="187"/>
      <c r="Q806" s="187"/>
      <c r="R806" s="190"/>
      <c r="S806" s="187"/>
    </row>
    <row r="807">
      <c r="B807" s="103"/>
      <c r="G807" s="191"/>
      <c r="H807" s="187"/>
      <c r="I807" s="187"/>
      <c r="J807" s="188"/>
      <c r="K807" s="187"/>
      <c r="L807" s="187"/>
      <c r="M807" s="187"/>
      <c r="N807" s="188"/>
      <c r="O807" s="187"/>
      <c r="Q807" s="187"/>
      <c r="R807" s="190"/>
      <c r="S807" s="187"/>
    </row>
    <row r="808">
      <c r="B808" s="103"/>
      <c r="G808" s="191"/>
      <c r="H808" s="187"/>
      <c r="I808" s="187"/>
      <c r="J808" s="188"/>
      <c r="K808" s="187"/>
      <c r="L808" s="187"/>
      <c r="M808" s="187"/>
      <c r="N808" s="188"/>
      <c r="O808" s="187"/>
      <c r="Q808" s="187"/>
      <c r="R808" s="190"/>
      <c r="S808" s="187"/>
    </row>
    <row r="809">
      <c r="B809" s="103"/>
      <c r="G809" s="191"/>
      <c r="H809" s="187"/>
      <c r="I809" s="187"/>
      <c r="J809" s="188"/>
      <c r="K809" s="187"/>
      <c r="L809" s="187"/>
      <c r="M809" s="187"/>
      <c r="N809" s="188"/>
      <c r="O809" s="187"/>
      <c r="Q809" s="187"/>
      <c r="R809" s="190"/>
      <c r="S809" s="187"/>
    </row>
    <row r="810">
      <c r="B810" s="103"/>
      <c r="G810" s="191"/>
      <c r="H810" s="187"/>
      <c r="I810" s="187"/>
      <c r="J810" s="188"/>
      <c r="K810" s="187"/>
      <c r="L810" s="187"/>
      <c r="M810" s="187"/>
      <c r="N810" s="188"/>
      <c r="O810" s="187"/>
      <c r="Q810" s="187"/>
      <c r="R810" s="190"/>
      <c r="S810" s="187"/>
    </row>
    <row r="811">
      <c r="B811" s="103"/>
      <c r="G811" s="191"/>
      <c r="H811" s="187"/>
      <c r="I811" s="187"/>
      <c r="J811" s="188"/>
      <c r="K811" s="187"/>
      <c r="L811" s="187"/>
      <c r="M811" s="187"/>
      <c r="N811" s="188"/>
      <c r="O811" s="187"/>
      <c r="Q811" s="187"/>
      <c r="R811" s="190"/>
      <c r="S811" s="187"/>
    </row>
    <row r="812">
      <c r="B812" s="103"/>
      <c r="G812" s="191"/>
      <c r="H812" s="187"/>
      <c r="I812" s="187"/>
      <c r="J812" s="188"/>
      <c r="K812" s="187"/>
      <c r="L812" s="187"/>
      <c r="M812" s="187"/>
      <c r="N812" s="188"/>
      <c r="O812" s="187"/>
      <c r="Q812" s="187"/>
      <c r="R812" s="190"/>
      <c r="S812" s="187"/>
    </row>
    <row r="813">
      <c r="B813" s="103"/>
      <c r="G813" s="191"/>
      <c r="H813" s="187"/>
      <c r="I813" s="187"/>
      <c r="J813" s="188"/>
      <c r="K813" s="187"/>
      <c r="L813" s="187"/>
      <c r="M813" s="187"/>
      <c r="N813" s="188"/>
      <c r="O813" s="187"/>
      <c r="Q813" s="187"/>
      <c r="R813" s="190"/>
      <c r="S813" s="187"/>
    </row>
    <row r="814">
      <c r="B814" s="103"/>
      <c r="G814" s="191"/>
      <c r="H814" s="187"/>
      <c r="I814" s="187"/>
      <c r="J814" s="188"/>
      <c r="K814" s="187"/>
      <c r="L814" s="187"/>
      <c r="M814" s="187"/>
      <c r="N814" s="188"/>
      <c r="O814" s="187"/>
      <c r="Q814" s="187"/>
      <c r="R814" s="190"/>
      <c r="S814" s="187"/>
    </row>
    <row r="815">
      <c r="B815" s="103"/>
      <c r="G815" s="191"/>
      <c r="H815" s="187"/>
      <c r="I815" s="187"/>
      <c r="J815" s="188"/>
      <c r="K815" s="187"/>
      <c r="L815" s="187"/>
      <c r="M815" s="187"/>
      <c r="N815" s="188"/>
      <c r="O815" s="187"/>
      <c r="Q815" s="187"/>
      <c r="R815" s="190"/>
      <c r="S815" s="187"/>
    </row>
    <row r="816">
      <c r="B816" s="103"/>
      <c r="G816" s="191"/>
      <c r="H816" s="187"/>
      <c r="I816" s="187"/>
      <c r="J816" s="188"/>
      <c r="K816" s="187"/>
      <c r="L816" s="187"/>
      <c r="M816" s="187"/>
      <c r="N816" s="188"/>
      <c r="O816" s="187"/>
      <c r="Q816" s="187"/>
      <c r="R816" s="190"/>
      <c r="S816" s="187"/>
    </row>
    <row r="817">
      <c r="B817" s="103"/>
      <c r="G817" s="191"/>
      <c r="H817" s="187"/>
      <c r="I817" s="187"/>
      <c r="J817" s="188"/>
      <c r="K817" s="187"/>
      <c r="L817" s="187"/>
      <c r="M817" s="187"/>
      <c r="N817" s="188"/>
      <c r="O817" s="187"/>
      <c r="Q817" s="187"/>
      <c r="R817" s="190"/>
      <c r="S817" s="187"/>
    </row>
    <row r="818">
      <c r="B818" s="103"/>
      <c r="G818" s="191"/>
      <c r="H818" s="187"/>
      <c r="I818" s="187"/>
      <c r="J818" s="188"/>
      <c r="K818" s="187"/>
      <c r="L818" s="187"/>
      <c r="M818" s="187"/>
      <c r="N818" s="188"/>
      <c r="O818" s="187"/>
      <c r="Q818" s="187"/>
      <c r="R818" s="190"/>
      <c r="S818" s="187"/>
    </row>
    <row r="819">
      <c r="B819" s="103"/>
      <c r="G819" s="191"/>
      <c r="H819" s="187"/>
      <c r="I819" s="187"/>
      <c r="J819" s="188"/>
      <c r="K819" s="187"/>
      <c r="L819" s="187"/>
      <c r="M819" s="187"/>
      <c r="N819" s="188"/>
      <c r="O819" s="187"/>
      <c r="Q819" s="187"/>
      <c r="R819" s="190"/>
      <c r="S819" s="187"/>
    </row>
    <row r="820">
      <c r="B820" s="103"/>
      <c r="G820" s="191"/>
      <c r="H820" s="187"/>
      <c r="I820" s="187"/>
      <c r="J820" s="188"/>
      <c r="K820" s="187"/>
      <c r="L820" s="187"/>
      <c r="M820" s="187"/>
      <c r="N820" s="188"/>
      <c r="O820" s="187"/>
      <c r="Q820" s="187"/>
      <c r="R820" s="190"/>
      <c r="S820" s="187"/>
    </row>
    <row r="821">
      <c r="B821" s="103"/>
      <c r="G821" s="191"/>
      <c r="H821" s="187"/>
      <c r="I821" s="187"/>
      <c r="J821" s="188"/>
      <c r="K821" s="187"/>
      <c r="L821" s="187"/>
      <c r="M821" s="187"/>
      <c r="N821" s="188"/>
      <c r="O821" s="187"/>
      <c r="Q821" s="187"/>
      <c r="R821" s="190"/>
      <c r="S821" s="187"/>
    </row>
    <row r="822">
      <c r="B822" s="103"/>
      <c r="G822" s="191"/>
      <c r="H822" s="187"/>
      <c r="I822" s="187"/>
      <c r="J822" s="188"/>
      <c r="K822" s="187"/>
      <c r="L822" s="187"/>
      <c r="M822" s="187"/>
      <c r="N822" s="188"/>
      <c r="O822" s="187"/>
      <c r="Q822" s="187"/>
      <c r="R822" s="190"/>
      <c r="S822" s="187"/>
    </row>
    <row r="823">
      <c r="B823" s="103"/>
      <c r="G823" s="191"/>
      <c r="H823" s="187"/>
      <c r="I823" s="187"/>
      <c r="J823" s="188"/>
      <c r="K823" s="187"/>
      <c r="L823" s="187"/>
      <c r="M823" s="187"/>
      <c r="N823" s="188"/>
      <c r="O823" s="187"/>
      <c r="Q823" s="187"/>
      <c r="R823" s="190"/>
      <c r="S823" s="187"/>
    </row>
    <row r="824">
      <c r="B824" s="103"/>
      <c r="G824" s="191"/>
      <c r="H824" s="187"/>
      <c r="I824" s="187"/>
      <c r="J824" s="188"/>
      <c r="K824" s="187"/>
      <c r="L824" s="187"/>
      <c r="M824" s="187"/>
      <c r="N824" s="188"/>
      <c r="O824" s="187"/>
      <c r="Q824" s="187"/>
      <c r="R824" s="190"/>
      <c r="S824" s="187"/>
    </row>
    <row r="825">
      <c r="B825" s="103"/>
      <c r="G825" s="191"/>
      <c r="H825" s="187"/>
      <c r="I825" s="187"/>
      <c r="J825" s="188"/>
      <c r="K825" s="187"/>
      <c r="L825" s="187"/>
      <c r="M825" s="187"/>
      <c r="N825" s="188"/>
      <c r="O825" s="187"/>
      <c r="Q825" s="187"/>
      <c r="R825" s="190"/>
      <c r="S825" s="187"/>
    </row>
    <row r="826">
      <c r="B826" s="103"/>
      <c r="G826" s="191"/>
      <c r="H826" s="187"/>
      <c r="I826" s="187"/>
      <c r="J826" s="188"/>
      <c r="K826" s="187"/>
      <c r="L826" s="187"/>
      <c r="M826" s="187"/>
      <c r="N826" s="188"/>
      <c r="O826" s="187"/>
      <c r="Q826" s="187"/>
      <c r="R826" s="190"/>
      <c r="S826" s="187"/>
    </row>
    <row r="827">
      <c r="B827" s="103"/>
      <c r="G827" s="191"/>
      <c r="H827" s="187"/>
      <c r="I827" s="187"/>
      <c r="J827" s="188"/>
      <c r="K827" s="187"/>
      <c r="L827" s="187"/>
      <c r="M827" s="187"/>
      <c r="N827" s="188"/>
      <c r="O827" s="187"/>
      <c r="Q827" s="187"/>
      <c r="R827" s="190"/>
      <c r="S827" s="187"/>
    </row>
    <row r="828">
      <c r="B828" s="103"/>
      <c r="G828" s="191"/>
      <c r="H828" s="187"/>
      <c r="I828" s="187"/>
      <c r="J828" s="188"/>
      <c r="K828" s="187"/>
      <c r="L828" s="187"/>
      <c r="M828" s="187"/>
      <c r="N828" s="188"/>
      <c r="O828" s="187"/>
      <c r="Q828" s="187"/>
      <c r="R828" s="190"/>
      <c r="S828" s="187"/>
    </row>
    <row r="829">
      <c r="B829" s="103"/>
      <c r="G829" s="191"/>
      <c r="H829" s="187"/>
      <c r="I829" s="187"/>
      <c r="J829" s="188"/>
      <c r="K829" s="187"/>
      <c r="L829" s="187"/>
      <c r="M829" s="187"/>
      <c r="N829" s="188"/>
      <c r="O829" s="187"/>
      <c r="Q829" s="187"/>
      <c r="R829" s="190"/>
      <c r="S829" s="187"/>
    </row>
    <row r="830">
      <c r="B830" s="103"/>
      <c r="G830" s="191"/>
      <c r="H830" s="187"/>
      <c r="I830" s="187"/>
      <c r="J830" s="188"/>
      <c r="K830" s="187"/>
      <c r="L830" s="187"/>
      <c r="M830" s="187"/>
      <c r="N830" s="188"/>
      <c r="O830" s="187"/>
      <c r="Q830" s="187"/>
      <c r="R830" s="190"/>
      <c r="S830" s="187"/>
    </row>
    <row r="831">
      <c r="B831" s="103"/>
      <c r="G831" s="191"/>
      <c r="H831" s="187"/>
      <c r="I831" s="187"/>
      <c r="J831" s="188"/>
      <c r="K831" s="187"/>
      <c r="L831" s="187"/>
      <c r="M831" s="187"/>
      <c r="N831" s="188"/>
      <c r="O831" s="187"/>
      <c r="Q831" s="187"/>
      <c r="R831" s="190"/>
      <c r="S831" s="187"/>
    </row>
    <row r="832">
      <c r="B832" s="103"/>
      <c r="G832" s="191"/>
      <c r="H832" s="187"/>
      <c r="I832" s="187"/>
      <c r="J832" s="188"/>
      <c r="K832" s="187"/>
      <c r="L832" s="187"/>
      <c r="M832" s="187"/>
      <c r="N832" s="188"/>
      <c r="O832" s="187"/>
      <c r="Q832" s="187"/>
      <c r="R832" s="190"/>
      <c r="S832" s="187"/>
    </row>
    <row r="833">
      <c r="B833" s="103"/>
      <c r="G833" s="191"/>
      <c r="H833" s="187"/>
      <c r="I833" s="187"/>
      <c r="J833" s="188"/>
      <c r="K833" s="187"/>
      <c r="L833" s="187"/>
      <c r="M833" s="187"/>
      <c r="N833" s="188"/>
      <c r="O833" s="187"/>
      <c r="Q833" s="187"/>
      <c r="R833" s="190"/>
      <c r="S833" s="187"/>
    </row>
    <row r="834">
      <c r="B834" s="103"/>
      <c r="G834" s="191"/>
      <c r="H834" s="187"/>
      <c r="I834" s="187"/>
      <c r="J834" s="188"/>
      <c r="K834" s="187"/>
      <c r="L834" s="187"/>
      <c r="M834" s="187"/>
      <c r="N834" s="188"/>
      <c r="O834" s="187"/>
      <c r="Q834" s="187"/>
      <c r="R834" s="190"/>
      <c r="S834" s="187"/>
    </row>
    <row r="835">
      <c r="B835" s="103"/>
      <c r="G835" s="191"/>
      <c r="H835" s="187"/>
      <c r="I835" s="187"/>
      <c r="J835" s="188"/>
      <c r="K835" s="187"/>
      <c r="L835" s="187"/>
      <c r="M835" s="187"/>
      <c r="N835" s="188"/>
      <c r="O835" s="187"/>
      <c r="Q835" s="187"/>
      <c r="R835" s="190"/>
      <c r="S835" s="187"/>
    </row>
    <row r="836">
      <c r="B836" s="103"/>
      <c r="G836" s="191"/>
      <c r="H836" s="187"/>
      <c r="I836" s="187"/>
      <c r="J836" s="188"/>
      <c r="K836" s="187"/>
      <c r="L836" s="187"/>
      <c r="M836" s="187"/>
      <c r="N836" s="188"/>
      <c r="O836" s="187"/>
      <c r="Q836" s="187"/>
      <c r="R836" s="190"/>
      <c r="S836" s="187"/>
    </row>
    <row r="837">
      <c r="B837" s="103"/>
      <c r="G837" s="191"/>
      <c r="H837" s="187"/>
      <c r="I837" s="187"/>
      <c r="J837" s="188"/>
      <c r="K837" s="187"/>
      <c r="L837" s="187"/>
      <c r="M837" s="187"/>
      <c r="N837" s="188"/>
      <c r="O837" s="187"/>
      <c r="Q837" s="187"/>
      <c r="R837" s="190"/>
      <c r="S837" s="187"/>
    </row>
    <row r="838">
      <c r="B838" s="103"/>
      <c r="G838" s="191"/>
      <c r="H838" s="187"/>
      <c r="I838" s="187"/>
      <c r="J838" s="188"/>
      <c r="K838" s="187"/>
      <c r="L838" s="187"/>
      <c r="M838" s="187"/>
      <c r="N838" s="188"/>
      <c r="O838" s="187"/>
      <c r="Q838" s="187"/>
      <c r="R838" s="190"/>
      <c r="S838" s="187"/>
    </row>
    <row r="839">
      <c r="B839" s="103"/>
      <c r="G839" s="191"/>
      <c r="H839" s="187"/>
      <c r="I839" s="187"/>
      <c r="J839" s="188"/>
      <c r="K839" s="187"/>
      <c r="L839" s="187"/>
      <c r="M839" s="187"/>
      <c r="N839" s="188"/>
      <c r="O839" s="187"/>
      <c r="Q839" s="187"/>
      <c r="R839" s="190"/>
      <c r="S839" s="187"/>
    </row>
    <row r="840">
      <c r="B840" s="103"/>
      <c r="G840" s="191"/>
      <c r="H840" s="187"/>
      <c r="I840" s="187"/>
      <c r="J840" s="188"/>
      <c r="K840" s="187"/>
      <c r="L840" s="187"/>
      <c r="M840" s="187"/>
      <c r="N840" s="188"/>
      <c r="O840" s="187"/>
      <c r="Q840" s="187"/>
      <c r="R840" s="190"/>
      <c r="S840" s="187"/>
    </row>
    <row r="841">
      <c r="B841" s="103"/>
      <c r="G841" s="191"/>
      <c r="H841" s="187"/>
      <c r="I841" s="187"/>
      <c r="J841" s="188"/>
      <c r="K841" s="187"/>
      <c r="L841" s="187"/>
      <c r="M841" s="187"/>
      <c r="N841" s="188"/>
      <c r="O841" s="187"/>
      <c r="Q841" s="187"/>
      <c r="R841" s="190"/>
      <c r="S841" s="187"/>
    </row>
    <row r="842">
      <c r="B842" s="103"/>
      <c r="G842" s="191"/>
      <c r="H842" s="187"/>
      <c r="I842" s="187"/>
      <c r="J842" s="188"/>
      <c r="K842" s="187"/>
      <c r="L842" s="187"/>
      <c r="M842" s="187"/>
      <c r="N842" s="188"/>
      <c r="O842" s="187"/>
      <c r="Q842" s="187"/>
      <c r="R842" s="190"/>
      <c r="S842" s="187"/>
    </row>
    <row r="843">
      <c r="B843" s="103"/>
      <c r="G843" s="191"/>
      <c r="H843" s="187"/>
      <c r="I843" s="187"/>
      <c r="J843" s="188"/>
      <c r="K843" s="187"/>
      <c r="L843" s="187"/>
      <c r="M843" s="187"/>
      <c r="N843" s="188"/>
      <c r="O843" s="187"/>
      <c r="Q843" s="187"/>
      <c r="R843" s="190"/>
      <c r="S843" s="187"/>
    </row>
    <row r="844">
      <c r="B844" s="103"/>
      <c r="G844" s="191"/>
      <c r="H844" s="187"/>
      <c r="I844" s="187"/>
      <c r="J844" s="188"/>
      <c r="K844" s="187"/>
      <c r="L844" s="187"/>
      <c r="M844" s="187"/>
      <c r="N844" s="188"/>
      <c r="O844" s="187"/>
      <c r="Q844" s="187"/>
      <c r="R844" s="190"/>
      <c r="S844" s="187"/>
    </row>
    <row r="845">
      <c r="B845" s="103"/>
      <c r="G845" s="191"/>
      <c r="H845" s="187"/>
      <c r="I845" s="187"/>
      <c r="J845" s="188"/>
      <c r="K845" s="187"/>
      <c r="L845" s="187"/>
      <c r="M845" s="187"/>
      <c r="N845" s="188"/>
      <c r="O845" s="187"/>
      <c r="Q845" s="187"/>
      <c r="R845" s="190"/>
      <c r="S845" s="187"/>
    </row>
    <row r="846">
      <c r="B846" s="103"/>
      <c r="G846" s="191"/>
      <c r="H846" s="187"/>
      <c r="I846" s="187"/>
      <c r="J846" s="188"/>
      <c r="K846" s="187"/>
      <c r="L846" s="187"/>
      <c r="M846" s="187"/>
      <c r="N846" s="188"/>
      <c r="O846" s="187"/>
      <c r="Q846" s="187"/>
      <c r="R846" s="190"/>
      <c r="S846" s="187"/>
    </row>
    <row r="847">
      <c r="B847" s="103"/>
      <c r="G847" s="191"/>
      <c r="H847" s="187"/>
      <c r="I847" s="187"/>
      <c r="J847" s="188"/>
      <c r="K847" s="187"/>
      <c r="L847" s="187"/>
      <c r="M847" s="187"/>
      <c r="N847" s="188"/>
      <c r="O847" s="187"/>
      <c r="Q847" s="187"/>
      <c r="R847" s="190"/>
      <c r="S847" s="187"/>
    </row>
    <row r="848">
      <c r="B848" s="103"/>
      <c r="G848" s="191"/>
      <c r="H848" s="187"/>
      <c r="I848" s="187"/>
      <c r="J848" s="188"/>
      <c r="K848" s="187"/>
      <c r="L848" s="187"/>
      <c r="M848" s="187"/>
      <c r="N848" s="188"/>
      <c r="O848" s="187"/>
      <c r="Q848" s="187"/>
      <c r="R848" s="190"/>
      <c r="S848" s="187"/>
    </row>
    <row r="849">
      <c r="B849" s="103"/>
      <c r="G849" s="191"/>
      <c r="H849" s="187"/>
      <c r="I849" s="187"/>
      <c r="J849" s="188"/>
      <c r="K849" s="187"/>
      <c r="L849" s="187"/>
      <c r="M849" s="187"/>
      <c r="N849" s="188"/>
      <c r="O849" s="187"/>
      <c r="Q849" s="187"/>
      <c r="R849" s="190"/>
      <c r="S849" s="187"/>
    </row>
    <row r="850">
      <c r="B850" s="103"/>
      <c r="G850" s="191"/>
      <c r="H850" s="187"/>
      <c r="I850" s="187"/>
      <c r="J850" s="188"/>
      <c r="K850" s="187"/>
      <c r="L850" s="187"/>
      <c r="M850" s="187"/>
      <c r="N850" s="188"/>
      <c r="O850" s="187"/>
      <c r="Q850" s="187"/>
      <c r="R850" s="190"/>
      <c r="S850" s="187"/>
    </row>
    <row r="851">
      <c r="B851" s="103"/>
      <c r="G851" s="191"/>
      <c r="H851" s="187"/>
      <c r="I851" s="187"/>
      <c r="J851" s="188"/>
      <c r="K851" s="187"/>
      <c r="L851" s="187"/>
      <c r="M851" s="187"/>
      <c r="N851" s="188"/>
      <c r="O851" s="187"/>
      <c r="Q851" s="187"/>
      <c r="R851" s="190"/>
      <c r="S851" s="187"/>
    </row>
    <row r="852">
      <c r="B852" s="103"/>
      <c r="G852" s="191"/>
      <c r="H852" s="187"/>
      <c r="I852" s="187"/>
      <c r="J852" s="188"/>
      <c r="K852" s="187"/>
      <c r="L852" s="187"/>
      <c r="M852" s="187"/>
      <c r="N852" s="188"/>
      <c r="O852" s="187"/>
      <c r="Q852" s="187"/>
      <c r="R852" s="190"/>
      <c r="S852" s="187"/>
    </row>
    <row r="853">
      <c r="B853" s="103"/>
      <c r="G853" s="191"/>
      <c r="H853" s="187"/>
      <c r="I853" s="187"/>
      <c r="J853" s="188"/>
      <c r="K853" s="187"/>
      <c r="L853" s="187"/>
      <c r="M853" s="187"/>
      <c r="N853" s="188"/>
      <c r="O853" s="187"/>
      <c r="Q853" s="187"/>
      <c r="R853" s="190"/>
      <c r="S853" s="187"/>
    </row>
    <row r="854">
      <c r="B854" s="103"/>
      <c r="G854" s="191"/>
      <c r="H854" s="187"/>
      <c r="I854" s="187"/>
      <c r="J854" s="188"/>
      <c r="K854" s="187"/>
      <c r="L854" s="187"/>
      <c r="M854" s="187"/>
      <c r="N854" s="188"/>
      <c r="O854" s="187"/>
      <c r="Q854" s="187"/>
      <c r="R854" s="190"/>
      <c r="S854" s="187"/>
    </row>
    <row r="855">
      <c r="B855" s="103"/>
      <c r="G855" s="191"/>
      <c r="H855" s="187"/>
      <c r="I855" s="187"/>
      <c r="J855" s="188"/>
      <c r="K855" s="187"/>
      <c r="L855" s="187"/>
      <c r="M855" s="187"/>
      <c r="N855" s="188"/>
      <c r="O855" s="187"/>
      <c r="Q855" s="187"/>
      <c r="R855" s="190"/>
      <c r="S855" s="187"/>
    </row>
    <row r="856">
      <c r="B856" s="103"/>
      <c r="G856" s="191"/>
      <c r="H856" s="187"/>
      <c r="I856" s="187"/>
      <c r="J856" s="188"/>
      <c r="K856" s="187"/>
      <c r="L856" s="187"/>
      <c r="M856" s="187"/>
      <c r="N856" s="188"/>
      <c r="O856" s="187"/>
      <c r="Q856" s="187"/>
      <c r="R856" s="190"/>
      <c r="S856" s="187"/>
    </row>
    <row r="857">
      <c r="B857" s="103"/>
      <c r="G857" s="191"/>
      <c r="H857" s="187"/>
      <c r="I857" s="187"/>
      <c r="J857" s="188"/>
      <c r="K857" s="187"/>
      <c r="L857" s="187"/>
      <c r="M857" s="187"/>
      <c r="N857" s="188"/>
      <c r="O857" s="187"/>
      <c r="Q857" s="187"/>
      <c r="R857" s="190"/>
      <c r="S857" s="187"/>
    </row>
    <row r="858">
      <c r="B858" s="103"/>
      <c r="G858" s="191"/>
      <c r="H858" s="187"/>
      <c r="I858" s="187"/>
      <c r="J858" s="188"/>
      <c r="K858" s="187"/>
      <c r="L858" s="187"/>
      <c r="M858" s="187"/>
      <c r="N858" s="188"/>
      <c r="O858" s="187"/>
      <c r="Q858" s="187"/>
      <c r="R858" s="190"/>
      <c r="S858" s="187"/>
    </row>
    <row r="859">
      <c r="B859" s="103"/>
      <c r="G859" s="191"/>
      <c r="H859" s="187"/>
      <c r="I859" s="187"/>
      <c r="J859" s="188"/>
      <c r="K859" s="187"/>
      <c r="L859" s="187"/>
      <c r="M859" s="187"/>
      <c r="N859" s="188"/>
      <c r="O859" s="187"/>
      <c r="Q859" s="187"/>
      <c r="R859" s="190"/>
      <c r="S859" s="187"/>
    </row>
    <row r="860">
      <c r="B860" s="103"/>
      <c r="G860" s="191"/>
      <c r="H860" s="187"/>
      <c r="I860" s="187"/>
      <c r="J860" s="188"/>
      <c r="K860" s="187"/>
      <c r="L860" s="187"/>
      <c r="M860" s="187"/>
      <c r="N860" s="188"/>
      <c r="O860" s="187"/>
      <c r="Q860" s="187"/>
      <c r="R860" s="190"/>
      <c r="S860" s="187"/>
    </row>
    <row r="861">
      <c r="B861" s="103"/>
      <c r="G861" s="191"/>
      <c r="H861" s="187"/>
      <c r="I861" s="187"/>
      <c r="J861" s="188"/>
      <c r="K861" s="187"/>
      <c r="L861" s="187"/>
      <c r="M861" s="187"/>
      <c r="N861" s="188"/>
      <c r="O861" s="187"/>
      <c r="Q861" s="187"/>
      <c r="R861" s="190"/>
      <c r="S861" s="187"/>
    </row>
    <row r="862">
      <c r="B862" s="103"/>
      <c r="G862" s="191"/>
      <c r="H862" s="187"/>
      <c r="I862" s="187"/>
      <c r="J862" s="188"/>
      <c r="K862" s="187"/>
      <c r="L862" s="187"/>
      <c r="M862" s="187"/>
      <c r="N862" s="188"/>
      <c r="O862" s="187"/>
      <c r="Q862" s="187"/>
      <c r="R862" s="190"/>
      <c r="S862" s="187"/>
    </row>
    <row r="863">
      <c r="B863" s="103"/>
      <c r="G863" s="191"/>
      <c r="H863" s="187"/>
      <c r="I863" s="187"/>
      <c r="J863" s="188"/>
      <c r="K863" s="187"/>
      <c r="L863" s="187"/>
      <c r="M863" s="187"/>
      <c r="N863" s="188"/>
      <c r="O863" s="187"/>
      <c r="Q863" s="187"/>
      <c r="R863" s="190"/>
      <c r="S863" s="187"/>
    </row>
    <row r="864">
      <c r="B864" s="103"/>
      <c r="G864" s="191"/>
      <c r="H864" s="187"/>
      <c r="I864" s="187"/>
      <c r="J864" s="188"/>
      <c r="K864" s="187"/>
      <c r="L864" s="187"/>
      <c r="M864" s="187"/>
      <c r="N864" s="188"/>
      <c r="O864" s="187"/>
      <c r="Q864" s="187"/>
      <c r="R864" s="190"/>
      <c r="S864" s="187"/>
    </row>
    <row r="865">
      <c r="B865" s="103"/>
      <c r="G865" s="191"/>
      <c r="H865" s="187"/>
      <c r="I865" s="187"/>
      <c r="J865" s="188"/>
      <c r="K865" s="187"/>
      <c r="L865" s="187"/>
      <c r="M865" s="187"/>
      <c r="N865" s="188"/>
      <c r="O865" s="187"/>
      <c r="Q865" s="187"/>
      <c r="R865" s="190"/>
      <c r="S865" s="187"/>
    </row>
    <row r="866">
      <c r="B866" s="103"/>
      <c r="G866" s="191"/>
      <c r="H866" s="187"/>
      <c r="I866" s="187"/>
      <c r="J866" s="188"/>
      <c r="K866" s="187"/>
      <c r="L866" s="187"/>
      <c r="M866" s="187"/>
      <c r="N866" s="188"/>
      <c r="O866" s="187"/>
      <c r="Q866" s="187"/>
      <c r="R866" s="190"/>
      <c r="S866" s="187"/>
    </row>
    <row r="867">
      <c r="B867" s="103"/>
      <c r="G867" s="191"/>
      <c r="H867" s="187"/>
      <c r="I867" s="187"/>
      <c r="J867" s="188"/>
      <c r="K867" s="187"/>
      <c r="L867" s="187"/>
      <c r="M867" s="187"/>
      <c r="N867" s="188"/>
      <c r="O867" s="187"/>
      <c r="Q867" s="187"/>
      <c r="R867" s="190"/>
      <c r="S867" s="187"/>
    </row>
    <row r="868">
      <c r="B868" s="103"/>
      <c r="G868" s="191"/>
      <c r="H868" s="187"/>
      <c r="I868" s="187"/>
      <c r="J868" s="188"/>
      <c r="K868" s="187"/>
      <c r="L868" s="187"/>
      <c r="M868" s="187"/>
      <c r="N868" s="188"/>
      <c r="O868" s="187"/>
      <c r="Q868" s="187"/>
      <c r="R868" s="190"/>
      <c r="S868" s="187"/>
    </row>
    <row r="869">
      <c r="B869" s="103"/>
      <c r="G869" s="191"/>
      <c r="H869" s="187"/>
      <c r="I869" s="187"/>
      <c r="J869" s="188"/>
      <c r="K869" s="187"/>
      <c r="L869" s="187"/>
      <c r="M869" s="187"/>
      <c r="N869" s="188"/>
      <c r="O869" s="187"/>
      <c r="Q869" s="187"/>
      <c r="R869" s="190"/>
      <c r="S869" s="187"/>
    </row>
    <row r="870">
      <c r="B870" s="103"/>
      <c r="G870" s="191"/>
      <c r="H870" s="187"/>
      <c r="I870" s="187"/>
      <c r="J870" s="188"/>
      <c r="K870" s="187"/>
      <c r="L870" s="187"/>
      <c r="M870" s="187"/>
      <c r="N870" s="188"/>
      <c r="O870" s="187"/>
      <c r="Q870" s="187"/>
      <c r="R870" s="190"/>
      <c r="S870" s="187"/>
    </row>
    <row r="871">
      <c r="B871" s="103"/>
      <c r="G871" s="191"/>
      <c r="H871" s="187"/>
      <c r="I871" s="187"/>
      <c r="J871" s="188"/>
      <c r="K871" s="187"/>
      <c r="L871" s="187"/>
      <c r="M871" s="187"/>
      <c r="N871" s="188"/>
      <c r="O871" s="187"/>
      <c r="Q871" s="187"/>
      <c r="R871" s="190"/>
      <c r="S871" s="187"/>
    </row>
    <row r="872">
      <c r="B872" s="103"/>
      <c r="G872" s="191"/>
      <c r="H872" s="187"/>
      <c r="I872" s="187"/>
      <c r="J872" s="188"/>
      <c r="K872" s="187"/>
      <c r="L872" s="187"/>
      <c r="M872" s="187"/>
      <c r="N872" s="188"/>
      <c r="O872" s="187"/>
      <c r="Q872" s="187"/>
      <c r="R872" s="190"/>
      <c r="S872" s="187"/>
    </row>
    <row r="873">
      <c r="B873" s="103"/>
      <c r="G873" s="191"/>
      <c r="H873" s="187"/>
      <c r="I873" s="187"/>
      <c r="J873" s="188"/>
      <c r="K873" s="187"/>
      <c r="L873" s="187"/>
      <c r="M873" s="187"/>
      <c r="N873" s="188"/>
      <c r="O873" s="187"/>
      <c r="Q873" s="187"/>
      <c r="R873" s="190"/>
      <c r="S873" s="187"/>
    </row>
    <row r="874">
      <c r="B874" s="103"/>
      <c r="G874" s="191"/>
      <c r="H874" s="187"/>
      <c r="I874" s="187"/>
      <c r="J874" s="188"/>
      <c r="K874" s="187"/>
      <c r="L874" s="187"/>
      <c r="M874" s="187"/>
      <c r="N874" s="188"/>
      <c r="O874" s="187"/>
      <c r="Q874" s="187"/>
      <c r="R874" s="190"/>
      <c r="S874" s="187"/>
    </row>
    <row r="875">
      <c r="B875" s="103"/>
      <c r="G875" s="191"/>
      <c r="H875" s="187"/>
      <c r="I875" s="187"/>
      <c r="J875" s="188"/>
      <c r="K875" s="187"/>
      <c r="L875" s="187"/>
      <c r="M875" s="187"/>
      <c r="N875" s="188"/>
      <c r="O875" s="187"/>
      <c r="Q875" s="187"/>
      <c r="R875" s="190"/>
      <c r="S875" s="187"/>
    </row>
    <row r="876">
      <c r="B876" s="103"/>
      <c r="G876" s="191"/>
      <c r="H876" s="187"/>
      <c r="I876" s="187"/>
      <c r="J876" s="188"/>
      <c r="K876" s="187"/>
      <c r="L876" s="187"/>
      <c r="M876" s="187"/>
      <c r="N876" s="188"/>
      <c r="O876" s="187"/>
      <c r="Q876" s="187"/>
      <c r="R876" s="190"/>
      <c r="S876" s="187"/>
    </row>
    <row r="877">
      <c r="B877" s="103"/>
      <c r="G877" s="191"/>
      <c r="H877" s="187"/>
      <c r="I877" s="187"/>
      <c r="J877" s="188"/>
      <c r="K877" s="187"/>
      <c r="L877" s="187"/>
      <c r="M877" s="187"/>
      <c r="N877" s="188"/>
      <c r="O877" s="187"/>
      <c r="Q877" s="187"/>
      <c r="R877" s="190"/>
      <c r="S877" s="187"/>
    </row>
    <row r="878">
      <c r="B878" s="103"/>
      <c r="G878" s="191"/>
      <c r="H878" s="187"/>
      <c r="I878" s="187"/>
      <c r="J878" s="188"/>
      <c r="K878" s="187"/>
      <c r="L878" s="187"/>
      <c r="M878" s="187"/>
      <c r="N878" s="188"/>
      <c r="O878" s="187"/>
      <c r="Q878" s="187"/>
      <c r="R878" s="190"/>
      <c r="S878" s="187"/>
    </row>
    <row r="879">
      <c r="B879" s="103"/>
      <c r="G879" s="191"/>
      <c r="H879" s="187"/>
      <c r="I879" s="187"/>
      <c r="J879" s="188"/>
      <c r="K879" s="187"/>
      <c r="L879" s="187"/>
      <c r="M879" s="187"/>
      <c r="N879" s="188"/>
      <c r="O879" s="187"/>
      <c r="Q879" s="187"/>
      <c r="R879" s="190"/>
      <c r="S879" s="187"/>
    </row>
    <row r="880">
      <c r="B880" s="103"/>
      <c r="G880" s="191"/>
      <c r="H880" s="187"/>
      <c r="I880" s="187"/>
      <c r="J880" s="188"/>
      <c r="K880" s="187"/>
      <c r="L880" s="187"/>
      <c r="M880" s="187"/>
      <c r="N880" s="188"/>
      <c r="O880" s="187"/>
      <c r="Q880" s="187"/>
      <c r="R880" s="190"/>
      <c r="S880" s="187"/>
    </row>
    <row r="881">
      <c r="B881" s="103"/>
      <c r="G881" s="191"/>
      <c r="H881" s="187"/>
      <c r="I881" s="187"/>
      <c r="J881" s="188"/>
      <c r="K881" s="187"/>
      <c r="L881" s="187"/>
      <c r="M881" s="187"/>
      <c r="N881" s="188"/>
      <c r="O881" s="187"/>
      <c r="Q881" s="187"/>
      <c r="R881" s="190"/>
      <c r="S881" s="187"/>
    </row>
    <row r="882">
      <c r="B882" s="103"/>
      <c r="G882" s="191"/>
      <c r="H882" s="187"/>
      <c r="I882" s="187"/>
      <c r="J882" s="188"/>
      <c r="K882" s="187"/>
      <c r="L882" s="187"/>
      <c r="M882" s="187"/>
      <c r="N882" s="188"/>
      <c r="O882" s="187"/>
      <c r="Q882" s="187"/>
      <c r="R882" s="190"/>
      <c r="S882" s="187"/>
    </row>
    <row r="883">
      <c r="B883" s="103"/>
      <c r="G883" s="191"/>
      <c r="H883" s="187"/>
      <c r="I883" s="187"/>
      <c r="J883" s="188"/>
      <c r="K883" s="187"/>
      <c r="L883" s="187"/>
      <c r="M883" s="187"/>
      <c r="N883" s="188"/>
      <c r="O883" s="187"/>
      <c r="Q883" s="187"/>
      <c r="R883" s="190"/>
      <c r="S883" s="187"/>
    </row>
    <row r="884">
      <c r="B884" s="103"/>
      <c r="G884" s="191"/>
      <c r="H884" s="187"/>
      <c r="I884" s="187"/>
      <c r="J884" s="188"/>
      <c r="K884" s="187"/>
      <c r="L884" s="187"/>
      <c r="M884" s="187"/>
      <c r="N884" s="188"/>
      <c r="O884" s="187"/>
      <c r="Q884" s="187"/>
      <c r="R884" s="190"/>
      <c r="S884" s="187"/>
    </row>
    <row r="885">
      <c r="B885" s="103"/>
      <c r="G885" s="191"/>
      <c r="H885" s="187"/>
      <c r="I885" s="187"/>
      <c r="J885" s="188"/>
      <c r="K885" s="187"/>
      <c r="L885" s="187"/>
      <c r="M885" s="187"/>
      <c r="N885" s="188"/>
      <c r="O885" s="187"/>
      <c r="Q885" s="187"/>
      <c r="R885" s="190"/>
      <c r="S885" s="187"/>
    </row>
    <row r="886">
      <c r="B886" s="103"/>
      <c r="G886" s="191"/>
      <c r="H886" s="187"/>
      <c r="I886" s="187"/>
      <c r="J886" s="188"/>
      <c r="K886" s="187"/>
      <c r="L886" s="187"/>
      <c r="M886" s="187"/>
      <c r="N886" s="188"/>
      <c r="O886" s="187"/>
      <c r="Q886" s="187"/>
      <c r="R886" s="190"/>
      <c r="S886" s="187"/>
    </row>
    <row r="887">
      <c r="B887" s="103"/>
      <c r="G887" s="191"/>
      <c r="H887" s="187"/>
      <c r="I887" s="187"/>
      <c r="J887" s="188"/>
      <c r="K887" s="187"/>
      <c r="L887" s="187"/>
      <c r="M887" s="187"/>
      <c r="N887" s="188"/>
      <c r="O887" s="187"/>
      <c r="Q887" s="187"/>
      <c r="R887" s="190"/>
      <c r="S887" s="187"/>
    </row>
    <row r="888">
      <c r="B888" s="103"/>
      <c r="G888" s="191"/>
      <c r="H888" s="187"/>
      <c r="I888" s="187"/>
      <c r="J888" s="188"/>
      <c r="K888" s="187"/>
      <c r="L888" s="187"/>
      <c r="M888" s="187"/>
      <c r="N888" s="188"/>
      <c r="O888" s="187"/>
      <c r="Q888" s="187"/>
      <c r="R888" s="190"/>
      <c r="S888" s="187"/>
    </row>
    <row r="889">
      <c r="B889" s="103"/>
      <c r="G889" s="191"/>
      <c r="H889" s="187"/>
      <c r="I889" s="187"/>
      <c r="J889" s="188"/>
      <c r="K889" s="187"/>
      <c r="L889" s="187"/>
      <c r="M889" s="187"/>
      <c r="N889" s="188"/>
      <c r="O889" s="187"/>
      <c r="Q889" s="187"/>
      <c r="R889" s="190"/>
      <c r="S889" s="187"/>
    </row>
    <row r="890">
      <c r="B890" s="103"/>
      <c r="G890" s="191"/>
      <c r="H890" s="187"/>
      <c r="I890" s="187"/>
      <c r="J890" s="188"/>
      <c r="K890" s="187"/>
      <c r="L890" s="187"/>
      <c r="M890" s="187"/>
      <c r="N890" s="188"/>
      <c r="O890" s="187"/>
      <c r="Q890" s="187"/>
      <c r="R890" s="190"/>
      <c r="S890" s="187"/>
    </row>
    <row r="891">
      <c r="B891" s="103"/>
      <c r="G891" s="191"/>
      <c r="H891" s="187"/>
      <c r="I891" s="187"/>
      <c r="J891" s="188"/>
      <c r="K891" s="187"/>
      <c r="L891" s="187"/>
      <c r="M891" s="187"/>
      <c r="N891" s="188"/>
      <c r="O891" s="187"/>
      <c r="Q891" s="187"/>
      <c r="R891" s="190"/>
      <c r="S891" s="187"/>
    </row>
    <row r="892">
      <c r="B892" s="103"/>
      <c r="G892" s="191"/>
      <c r="H892" s="187"/>
      <c r="I892" s="187"/>
      <c r="J892" s="188"/>
      <c r="K892" s="187"/>
      <c r="L892" s="187"/>
      <c r="M892" s="187"/>
      <c r="N892" s="188"/>
      <c r="O892" s="187"/>
      <c r="Q892" s="187"/>
      <c r="R892" s="190"/>
      <c r="S892" s="187"/>
    </row>
    <row r="893">
      <c r="B893" s="103"/>
      <c r="G893" s="191"/>
      <c r="H893" s="187"/>
      <c r="I893" s="187"/>
      <c r="J893" s="188"/>
      <c r="K893" s="187"/>
      <c r="L893" s="187"/>
      <c r="M893" s="187"/>
      <c r="N893" s="188"/>
      <c r="O893" s="187"/>
      <c r="Q893" s="187"/>
      <c r="R893" s="190"/>
      <c r="S893" s="187"/>
    </row>
    <row r="894">
      <c r="B894" s="103"/>
      <c r="G894" s="191"/>
      <c r="H894" s="187"/>
      <c r="I894" s="187"/>
      <c r="J894" s="188"/>
      <c r="K894" s="187"/>
      <c r="L894" s="187"/>
      <c r="M894" s="187"/>
      <c r="N894" s="188"/>
      <c r="O894" s="187"/>
      <c r="Q894" s="187"/>
      <c r="R894" s="190"/>
      <c r="S894" s="187"/>
    </row>
    <row r="895">
      <c r="B895" s="103"/>
      <c r="G895" s="191"/>
      <c r="H895" s="187"/>
      <c r="I895" s="187"/>
      <c r="J895" s="188"/>
      <c r="K895" s="187"/>
      <c r="L895" s="187"/>
      <c r="M895" s="187"/>
      <c r="N895" s="188"/>
      <c r="O895" s="187"/>
      <c r="Q895" s="187"/>
      <c r="R895" s="190"/>
      <c r="S895" s="187"/>
    </row>
    <row r="896">
      <c r="B896" s="103"/>
      <c r="G896" s="191"/>
      <c r="H896" s="187"/>
      <c r="I896" s="187"/>
      <c r="J896" s="188"/>
      <c r="K896" s="187"/>
      <c r="L896" s="187"/>
      <c r="M896" s="187"/>
      <c r="N896" s="188"/>
      <c r="O896" s="187"/>
      <c r="Q896" s="187"/>
      <c r="R896" s="190"/>
      <c r="S896" s="187"/>
    </row>
    <row r="897">
      <c r="B897" s="103"/>
      <c r="G897" s="191"/>
      <c r="H897" s="187"/>
      <c r="I897" s="187"/>
      <c r="J897" s="188"/>
      <c r="K897" s="187"/>
      <c r="L897" s="187"/>
      <c r="M897" s="187"/>
      <c r="N897" s="188"/>
      <c r="O897" s="187"/>
      <c r="Q897" s="187"/>
      <c r="R897" s="190"/>
      <c r="S897" s="187"/>
    </row>
    <row r="898">
      <c r="B898" s="103"/>
      <c r="G898" s="191"/>
      <c r="H898" s="187"/>
      <c r="I898" s="187"/>
      <c r="J898" s="188"/>
      <c r="K898" s="187"/>
      <c r="L898" s="187"/>
      <c r="M898" s="187"/>
      <c r="N898" s="188"/>
      <c r="O898" s="187"/>
      <c r="Q898" s="187"/>
      <c r="R898" s="190"/>
      <c r="S898" s="187"/>
    </row>
    <row r="899">
      <c r="B899" s="103"/>
      <c r="G899" s="191"/>
      <c r="H899" s="187"/>
      <c r="I899" s="187"/>
      <c r="J899" s="188"/>
      <c r="K899" s="187"/>
      <c r="L899" s="187"/>
      <c r="M899" s="187"/>
      <c r="N899" s="188"/>
      <c r="O899" s="187"/>
      <c r="Q899" s="187"/>
      <c r="R899" s="190"/>
      <c r="S899" s="187"/>
    </row>
    <row r="900">
      <c r="B900" s="103"/>
      <c r="G900" s="191"/>
      <c r="H900" s="187"/>
      <c r="I900" s="187"/>
      <c r="J900" s="188"/>
      <c r="K900" s="187"/>
      <c r="L900" s="187"/>
      <c r="M900" s="187"/>
      <c r="N900" s="188"/>
      <c r="O900" s="187"/>
      <c r="Q900" s="187"/>
      <c r="R900" s="190"/>
      <c r="S900" s="187"/>
    </row>
    <row r="901">
      <c r="B901" s="103"/>
      <c r="G901" s="191"/>
      <c r="H901" s="187"/>
      <c r="I901" s="187"/>
      <c r="J901" s="188"/>
      <c r="K901" s="187"/>
      <c r="L901" s="187"/>
      <c r="M901" s="187"/>
      <c r="N901" s="188"/>
      <c r="O901" s="187"/>
      <c r="Q901" s="187"/>
      <c r="R901" s="190"/>
      <c r="S901" s="187"/>
    </row>
    <row r="902">
      <c r="B902" s="103"/>
      <c r="G902" s="191"/>
      <c r="H902" s="187"/>
      <c r="I902" s="187"/>
      <c r="J902" s="188"/>
      <c r="K902" s="187"/>
      <c r="L902" s="187"/>
      <c r="M902" s="187"/>
      <c r="N902" s="188"/>
      <c r="O902" s="187"/>
      <c r="Q902" s="187"/>
      <c r="R902" s="190"/>
      <c r="S902" s="187"/>
    </row>
    <row r="903">
      <c r="B903" s="103"/>
      <c r="G903" s="191"/>
      <c r="H903" s="187"/>
      <c r="I903" s="187"/>
      <c r="J903" s="188"/>
      <c r="K903" s="187"/>
      <c r="L903" s="187"/>
      <c r="M903" s="187"/>
      <c r="N903" s="188"/>
      <c r="O903" s="187"/>
      <c r="Q903" s="187"/>
      <c r="R903" s="190"/>
      <c r="S903" s="187"/>
    </row>
    <row r="904">
      <c r="B904" s="103"/>
      <c r="G904" s="191"/>
      <c r="H904" s="187"/>
      <c r="I904" s="187"/>
      <c r="J904" s="188"/>
      <c r="K904" s="187"/>
      <c r="L904" s="187"/>
      <c r="M904" s="187"/>
      <c r="N904" s="188"/>
      <c r="O904" s="187"/>
      <c r="Q904" s="187"/>
      <c r="R904" s="190"/>
      <c r="S904" s="187"/>
    </row>
    <row r="905">
      <c r="B905" s="103"/>
      <c r="G905" s="191"/>
      <c r="H905" s="187"/>
      <c r="I905" s="187"/>
      <c r="J905" s="188"/>
      <c r="K905" s="187"/>
      <c r="L905" s="187"/>
      <c r="M905" s="187"/>
      <c r="N905" s="188"/>
      <c r="O905" s="187"/>
      <c r="Q905" s="187"/>
      <c r="R905" s="190"/>
      <c r="S905" s="187"/>
    </row>
    <row r="906">
      <c r="B906" s="103"/>
      <c r="G906" s="191"/>
      <c r="H906" s="187"/>
      <c r="I906" s="187"/>
      <c r="J906" s="188"/>
      <c r="K906" s="187"/>
      <c r="L906" s="187"/>
      <c r="M906" s="187"/>
      <c r="N906" s="188"/>
      <c r="O906" s="187"/>
      <c r="Q906" s="187"/>
      <c r="R906" s="190"/>
      <c r="S906" s="187"/>
    </row>
    <row r="907">
      <c r="B907" s="103"/>
      <c r="G907" s="191"/>
      <c r="H907" s="187"/>
      <c r="I907" s="187"/>
      <c r="J907" s="188"/>
      <c r="K907" s="187"/>
      <c r="L907" s="187"/>
      <c r="M907" s="187"/>
      <c r="N907" s="188"/>
      <c r="O907" s="187"/>
      <c r="Q907" s="187"/>
      <c r="R907" s="190"/>
      <c r="S907" s="187"/>
    </row>
    <row r="908">
      <c r="B908" s="103"/>
      <c r="G908" s="191"/>
      <c r="H908" s="187"/>
      <c r="I908" s="187"/>
      <c r="J908" s="188"/>
      <c r="K908" s="187"/>
      <c r="L908" s="187"/>
      <c r="M908" s="187"/>
      <c r="N908" s="188"/>
      <c r="O908" s="187"/>
      <c r="Q908" s="187"/>
      <c r="R908" s="190"/>
      <c r="S908" s="187"/>
    </row>
    <row r="909">
      <c r="B909" s="103"/>
      <c r="G909" s="191"/>
      <c r="H909" s="187"/>
      <c r="I909" s="187"/>
      <c r="J909" s="188"/>
      <c r="K909" s="187"/>
      <c r="L909" s="187"/>
      <c r="M909" s="187"/>
      <c r="N909" s="188"/>
      <c r="O909" s="187"/>
      <c r="Q909" s="187"/>
      <c r="R909" s="190"/>
      <c r="S909" s="187"/>
    </row>
    <row r="910">
      <c r="B910" s="103"/>
      <c r="G910" s="191"/>
      <c r="H910" s="187"/>
      <c r="I910" s="187"/>
      <c r="J910" s="188"/>
      <c r="K910" s="187"/>
      <c r="L910" s="187"/>
      <c r="M910" s="187"/>
      <c r="N910" s="188"/>
      <c r="O910" s="187"/>
      <c r="Q910" s="187"/>
      <c r="R910" s="190"/>
      <c r="S910" s="187"/>
    </row>
    <row r="911">
      <c r="B911" s="103"/>
      <c r="G911" s="191"/>
      <c r="H911" s="187"/>
      <c r="I911" s="187"/>
      <c r="J911" s="188"/>
      <c r="K911" s="187"/>
      <c r="L911" s="187"/>
      <c r="M911" s="187"/>
      <c r="N911" s="188"/>
      <c r="O911" s="187"/>
      <c r="Q911" s="187"/>
      <c r="R911" s="190"/>
      <c r="S911" s="187"/>
    </row>
    <row r="912">
      <c r="B912" s="103"/>
      <c r="G912" s="191"/>
      <c r="H912" s="187"/>
      <c r="I912" s="187"/>
      <c r="J912" s="188"/>
      <c r="K912" s="187"/>
      <c r="L912" s="187"/>
      <c r="M912" s="187"/>
      <c r="N912" s="188"/>
      <c r="O912" s="187"/>
      <c r="Q912" s="187"/>
      <c r="R912" s="190"/>
      <c r="S912" s="187"/>
    </row>
    <row r="913">
      <c r="B913" s="103"/>
      <c r="G913" s="191"/>
      <c r="H913" s="187"/>
      <c r="I913" s="187"/>
      <c r="J913" s="188"/>
      <c r="K913" s="187"/>
      <c r="L913" s="187"/>
      <c r="M913" s="187"/>
      <c r="N913" s="188"/>
      <c r="O913" s="187"/>
      <c r="Q913" s="187"/>
      <c r="R913" s="190"/>
      <c r="S913" s="187"/>
    </row>
    <row r="914">
      <c r="B914" s="103"/>
      <c r="G914" s="191"/>
      <c r="H914" s="187"/>
      <c r="I914" s="187"/>
      <c r="J914" s="188"/>
      <c r="K914" s="187"/>
      <c r="L914" s="187"/>
      <c r="M914" s="187"/>
      <c r="N914" s="188"/>
      <c r="O914" s="187"/>
      <c r="Q914" s="187"/>
      <c r="R914" s="190"/>
      <c r="S914" s="187"/>
    </row>
    <row r="915">
      <c r="B915" s="103"/>
      <c r="G915" s="191"/>
      <c r="H915" s="187"/>
      <c r="I915" s="187"/>
      <c r="J915" s="188"/>
      <c r="K915" s="187"/>
      <c r="L915" s="187"/>
      <c r="M915" s="187"/>
      <c r="N915" s="188"/>
      <c r="O915" s="187"/>
      <c r="Q915" s="187"/>
      <c r="R915" s="190"/>
      <c r="S915" s="187"/>
    </row>
    <row r="916">
      <c r="B916" s="103"/>
      <c r="G916" s="191"/>
      <c r="H916" s="187"/>
      <c r="I916" s="187"/>
      <c r="J916" s="188"/>
      <c r="K916" s="187"/>
      <c r="L916" s="187"/>
      <c r="M916" s="187"/>
      <c r="N916" s="188"/>
      <c r="O916" s="187"/>
      <c r="Q916" s="187"/>
      <c r="R916" s="190"/>
      <c r="S916" s="187"/>
    </row>
    <row r="917">
      <c r="B917" s="103"/>
      <c r="G917" s="191"/>
      <c r="H917" s="187"/>
      <c r="I917" s="187"/>
      <c r="J917" s="188"/>
      <c r="K917" s="187"/>
      <c r="L917" s="187"/>
      <c r="M917" s="187"/>
      <c r="N917" s="188"/>
      <c r="O917" s="187"/>
      <c r="Q917" s="187"/>
      <c r="R917" s="190"/>
      <c r="S917" s="187"/>
    </row>
    <row r="918">
      <c r="B918" s="103"/>
      <c r="G918" s="191"/>
      <c r="H918" s="187"/>
      <c r="I918" s="187"/>
      <c r="J918" s="188"/>
      <c r="K918" s="187"/>
      <c r="L918" s="187"/>
      <c r="M918" s="187"/>
      <c r="N918" s="188"/>
      <c r="O918" s="187"/>
      <c r="Q918" s="187"/>
      <c r="R918" s="190"/>
      <c r="S918" s="187"/>
    </row>
    <row r="919">
      <c r="B919" s="103"/>
      <c r="G919" s="191"/>
      <c r="H919" s="187"/>
      <c r="I919" s="187"/>
      <c r="J919" s="188"/>
      <c r="K919" s="187"/>
      <c r="L919" s="187"/>
      <c r="M919" s="187"/>
      <c r="N919" s="188"/>
      <c r="O919" s="187"/>
      <c r="Q919" s="187"/>
      <c r="R919" s="190"/>
      <c r="S919" s="187"/>
    </row>
    <row r="920">
      <c r="B920" s="103"/>
      <c r="G920" s="191"/>
      <c r="H920" s="187"/>
      <c r="I920" s="187"/>
      <c r="J920" s="188"/>
      <c r="K920" s="187"/>
      <c r="L920" s="187"/>
      <c r="M920" s="187"/>
      <c r="N920" s="188"/>
      <c r="O920" s="187"/>
      <c r="Q920" s="187"/>
      <c r="R920" s="190"/>
      <c r="S920" s="187"/>
    </row>
    <row r="921">
      <c r="B921" s="103"/>
      <c r="G921" s="191"/>
      <c r="H921" s="187"/>
      <c r="I921" s="187"/>
      <c r="J921" s="188"/>
      <c r="K921" s="187"/>
      <c r="L921" s="187"/>
      <c r="M921" s="187"/>
      <c r="N921" s="188"/>
      <c r="O921" s="187"/>
      <c r="Q921" s="187"/>
      <c r="R921" s="190"/>
      <c r="S921" s="187"/>
    </row>
    <row r="922">
      <c r="B922" s="103"/>
      <c r="G922" s="191"/>
      <c r="H922" s="187"/>
      <c r="I922" s="187"/>
      <c r="J922" s="188"/>
      <c r="K922" s="187"/>
      <c r="L922" s="187"/>
      <c r="M922" s="187"/>
      <c r="N922" s="188"/>
      <c r="O922" s="187"/>
      <c r="Q922" s="187"/>
      <c r="R922" s="190"/>
      <c r="S922" s="187"/>
    </row>
    <row r="923">
      <c r="B923" s="103"/>
      <c r="G923" s="191"/>
      <c r="H923" s="187"/>
      <c r="I923" s="187"/>
      <c r="J923" s="188"/>
      <c r="K923" s="187"/>
      <c r="L923" s="187"/>
      <c r="M923" s="187"/>
      <c r="N923" s="188"/>
      <c r="O923" s="187"/>
      <c r="Q923" s="187"/>
      <c r="R923" s="190"/>
      <c r="S923" s="187"/>
    </row>
    <row r="924">
      <c r="B924" s="103"/>
      <c r="G924" s="191"/>
      <c r="H924" s="187"/>
      <c r="I924" s="187"/>
      <c r="J924" s="188"/>
      <c r="K924" s="187"/>
      <c r="L924" s="187"/>
      <c r="M924" s="187"/>
      <c r="N924" s="188"/>
      <c r="O924" s="187"/>
      <c r="Q924" s="187"/>
      <c r="R924" s="190"/>
      <c r="S924" s="187"/>
    </row>
    <row r="925">
      <c r="B925" s="103"/>
      <c r="G925" s="191"/>
      <c r="H925" s="187"/>
      <c r="I925" s="187"/>
      <c r="J925" s="188"/>
      <c r="K925" s="187"/>
      <c r="L925" s="187"/>
      <c r="M925" s="187"/>
      <c r="N925" s="188"/>
      <c r="O925" s="187"/>
      <c r="Q925" s="187"/>
      <c r="R925" s="190"/>
      <c r="S925" s="187"/>
    </row>
    <row r="926">
      <c r="B926" s="103"/>
      <c r="G926" s="191"/>
      <c r="H926" s="187"/>
      <c r="I926" s="187"/>
      <c r="J926" s="188"/>
      <c r="K926" s="187"/>
      <c r="L926" s="187"/>
      <c r="M926" s="187"/>
      <c r="N926" s="188"/>
      <c r="O926" s="187"/>
      <c r="Q926" s="187"/>
      <c r="R926" s="190"/>
      <c r="S926" s="187"/>
    </row>
    <row r="927">
      <c r="B927" s="103"/>
      <c r="G927" s="191"/>
      <c r="H927" s="187"/>
      <c r="I927" s="187"/>
      <c r="J927" s="188"/>
      <c r="K927" s="187"/>
      <c r="L927" s="187"/>
      <c r="M927" s="187"/>
      <c r="N927" s="188"/>
      <c r="O927" s="187"/>
      <c r="Q927" s="187"/>
      <c r="R927" s="190"/>
      <c r="S927" s="187"/>
    </row>
    <row r="928">
      <c r="B928" s="103"/>
      <c r="G928" s="191"/>
      <c r="H928" s="187"/>
      <c r="I928" s="187"/>
      <c r="J928" s="188"/>
      <c r="K928" s="187"/>
      <c r="L928" s="187"/>
      <c r="M928" s="187"/>
      <c r="N928" s="188"/>
      <c r="O928" s="187"/>
      <c r="Q928" s="187"/>
      <c r="R928" s="190"/>
      <c r="S928" s="187"/>
    </row>
    <row r="929">
      <c r="B929" s="103"/>
      <c r="G929" s="191"/>
      <c r="H929" s="187"/>
      <c r="I929" s="187"/>
      <c r="J929" s="188"/>
      <c r="K929" s="187"/>
      <c r="L929" s="187"/>
      <c r="M929" s="187"/>
      <c r="N929" s="188"/>
      <c r="O929" s="187"/>
      <c r="Q929" s="187"/>
      <c r="R929" s="190"/>
      <c r="S929" s="187"/>
    </row>
    <row r="930">
      <c r="B930" s="103"/>
      <c r="G930" s="191"/>
      <c r="H930" s="187"/>
      <c r="I930" s="187"/>
      <c r="J930" s="188"/>
      <c r="K930" s="187"/>
      <c r="L930" s="187"/>
      <c r="M930" s="187"/>
      <c r="N930" s="188"/>
      <c r="O930" s="187"/>
      <c r="Q930" s="187"/>
      <c r="R930" s="190"/>
      <c r="S930" s="187"/>
    </row>
    <row r="931">
      <c r="B931" s="103"/>
      <c r="G931" s="191"/>
      <c r="H931" s="187"/>
      <c r="I931" s="187"/>
      <c r="J931" s="188"/>
      <c r="K931" s="187"/>
      <c r="L931" s="187"/>
      <c r="M931" s="187"/>
      <c r="N931" s="188"/>
      <c r="O931" s="187"/>
      <c r="Q931" s="187"/>
      <c r="R931" s="190"/>
      <c r="S931" s="187"/>
    </row>
    <row r="932">
      <c r="B932" s="103"/>
      <c r="G932" s="191"/>
      <c r="H932" s="187"/>
      <c r="I932" s="187"/>
      <c r="J932" s="188"/>
      <c r="K932" s="187"/>
      <c r="L932" s="187"/>
      <c r="M932" s="187"/>
      <c r="N932" s="188"/>
      <c r="O932" s="187"/>
      <c r="Q932" s="187"/>
      <c r="R932" s="190"/>
      <c r="S932" s="187"/>
    </row>
    <row r="933">
      <c r="B933" s="103"/>
      <c r="G933" s="191"/>
      <c r="H933" s="187"/>
      <c r="I933" s="187"/>
      <c r="J933" s="188"/>
      <c r="K933" s="187"/>
      <c r="L933" s="187"/>
      <c r="M933" s="187"/>
      <c r="N933" s="188"/>
      <c r="O933" s="187"/>
      <c r="Q933" s="187"/>
      <c r="R933" s="190"/>
      <c r="S933" s="187"/>
    </row>
    <row r="934">
      <c r="B934" s="103"/>
      <c r="G934" s="191"/>
      <c r="H934" s="187"/>
      <c r="I934" s="187"/>
      <c r="J934" s="188"/>
      <c r="K934" s="187"/>
      <c r="L934" s="187"/>
      <c r="M934" s="187"/>
      <c r="N934" s="188"/>
      <c r="O934" s="187"/>
      <c r="Q934" s="187"/>
      <c r="R934" s="190"/>
      <c r="S934" s="187"/>
    </row>
    <row r="935">
      <c r="B935" s="103"/>
      <c r="G935" s="191"/>
      <c r="H935" s="187"/>
      <c r="I935" s="187"/>
      <c r="J935" s="188"/>
      <c r="K935" s="187"/>
      <c r="L935" s="187"/>
      <c r="M935" s="187"/>
      <c r="N935" s="188"/>
      <c r="O935" s="187"/>
      <c r="Q935" s="187"/>
      <c r="R935" s="190"/>
      <c r="S935" s="187"/>
    </row>
    <row r="936">
      <c r="B936" s="103"/>
      <c r="G936" s="191"/>
      <c r="H936" s="187"/>
      <c r="I936" s="187"/>
      <c r="J936" s="188"/>
      <c r="K936" s="187"/>
      <c r="L936" s="187"/>
      <c r="M936" s="187"/>
      <c r="N936" s="188"/>
      <c r="O936" s="187"/>
      <c r="Q936" s="187"/>
      <c r="R936" s="190"/>
      <c r="S936" s="187"/>
    </row>
    <row r="937">
      <c r="B937" s="103"/>
      <c r="G937" s="191"/>
      <c r="H937" s="187"/>
      <c r="I937" s="187"/>
      <c r="J937" s="188"/>
      <c r="K937" s="187"/>
      <c r="L937" s="187"/>
      <c r="M937" s="187"/>
      <c r="N937" s="188"/>
      <c r="O937" s="187"/>
      <c r="Q937" s="187"/>
      <c r="R937" s="190"/>
      <c r="S937" s="187"/>
    </row>
    <row r="938">
      <c r="B938" s="103"/>
      <c r="G938" s="191"/>
      <c r="H938" s="187"/>
      <c r="I938" s="187"/>
      <c r="J938" s="188"/>
      <c r="K938" s="187"/>
      <c r="L938" s="187"/>
      <c r="M938" s="187"/>
      <c r="N938" s="188"/>
      <c r="O938" s="187"/>
      <c r="Q938" s="187"/>
      <c r="R938" s="190"/>
      <c r="S938" s="187"/>
    </row>
    <row r="939">
      <c r="B939" s="103"/>
      <c r="G939" s="191"/>
      <c r="H939" s="187"/>
      <c r="I939" s="187"/>
      <c r="J939" s="188"/>
      <c r="K939" s="187"/>
      <c r="L939" s="187"/>
      <c r="M939" s="187"/>
      <c r="N939" s="188"/>
      <c r="O939" s="187"/>
      <c r="Q939" s="187"/>
      <c r="R939" s="190"/>
      <c r="S939" s="187"/>
    </row>
    <row r="940">
      <c r="B940" s="103"/>
      <c r="G940" s="191"/>
      <c r="H940" s="187"/>
      <c r="I940" s="187"/>
      <c r="J940" s="188"/>
      <c r="K940" s="187"/>
      <c r="L940" s="187"/>
      <c r="M940" s="187"/>
      <c r="N940" s="188"/>
      <c r="O940" s="187"/>
      <c r="Q940" s="187"/>
      <c r="R940" s="190"/>
      <c r="S940" s="187"/>
    </row>
    <row r="941">
      <c r="B941" s="103"/>
      <c r="G941" s="191"/>
      <c r="H941" s="187"/>
      <c r="I941" s="187"/>
      <c r="J941" s="188"/>
      <c r="K941" s="187"/>
      <c r="L941" s="187"/>
      <c r="M941" s="187"/>
      <c r="N941" s="188"/>
      <c r="O941" s="187"/>
      <c r="Q941" s="187"/>
      <c r="R941" s="190"/>
      <c r="S941" s="187"/>
    </row>
    <row r="942">
      <c r="B942" s="103"/>
      <c r="G942" s="191"/>
      <c r="H942" s="187"/>
      <c r="I942" s="187"/>
      <c r="J942" s="188"/>
      <c r="K942" s="187"/>
      <c r="L942" s="187"/>
      <c r="M942" s="187"/>
      <c r="N942" s="188"/>
      <c r="O942" s="187"/>
      <c r="Q942" s="187"/>
      <c r="R942" s="190"/>
      <c r="S942" s="187"/>
    </row>
    <row r="943">
      <c r="B943" s="103"/>
      <c r="G943" s="191"/>
      <c r="H943" s="187"/>
      <c r="I943" s="187"/>
      <c r="J943" s="188"/>
      <c r="K943" s="187"/>
      <c r="L943" s="187"/>
      <c r="M943" s="187"/>
      <c r="N943" s="188"/>
      <c r="O943" s="187"/>
      <c r="Q943" s="187"/>
      <c r="R943" s="190"/>
      <c r="S943" s="187"/>
    </row>
    <row r="944">
      <c r="B944" s="103"/>
      <c r="G944" s="191"/>
      <c r="H944" s="187"/>
      <c r="I944" s="187"/>
      <c r="J944" s="188"/>
      <c r="K944" s="187"/>
      <c r="L944" s="187"/>
      <c r="M944" s="187"/>
      <c r="N944" s="188"/>
      <c r="O944" s="187"/>
      <c r="Q944" s="187"/>
      <c r="R944" s="190"/>
      <c r="S944" s="187"/>
    </row>
    <row r="945">
      <c r="B945" s="103"/>
      <c r="G945" s="191"/>
      <c r="H945" s="187"/>
      <c r="I945" s="187"/>
      <c r="J945" s="188"/>
      <c r="K945" s="187"/>
      <c r="L945" s="187"/>
      <c r="M945" s="187"/>
      <c r="N945" s="188"/>
      <c r="O945" s="187"/>
      <c r="Q945" s="187"/>
      <c r="R945" s="190"/>
      <c r="S945" s="187"/>
    </row>
    <row r="946">
      <c r="B946" s="103"/>
      <c r="G946" s="191"/>
      <c r="H946" s="187"/>
      <c r="I946" s="187"/>
      <c r="J946" s="188"/>
      <c r="K946" s="187"/>
      <c r="L946" s="187"/>
      <c r="M946" s="187"/>
      <c r="N946" s="188"/>
      <c r="O946" s="187"/>
      <c r="Q946" s="187"/>
      <c r="R946" s="190"/>
      <c r="S946" s="187"/>
    </row>
    <row r="947">
      <c r="B947" s="103"/>
      <c r="G947" s="191"/>
      <c r="H947" s="187"/>
      <c r="I947" s="187"/>
      <c r="J947" s="188"/>
      <c r="K947" s="187"/>
      <c r="L947" s="187"/>
      <c r="M947" s="187"/>
      <c r="N947" s="188"/>
      <c r="O947" s="187"/>
      <c r="Q947" s="187"/>
      <c r="R947" s="190"/>
      <c r="S947" s="187"/>
    </row>
    <row r="948">
      <c r="B948" s="103"/>
      <c r="G948" s="191"/>
      <c r="H948" s="187"/>
      <c r="I948" s="187"/>
      <c r="J948" s="188"/>
      <c r="K948" s="187"/>
      <c r="L948" s="187"/>
      <c r="M948" s="187"/>
      <c r="N948" s="188"/>
      <c r="O948" s="187"/>
      <c r="Q948" s="187"/>
      <c r="R948" s="190"/>
      <c r="S948" s="187"/>
    </row>
    <row r="949">
      <c r="B949" s="103"/>
      <c r="G949" s="191"/>
      <c r="H949" s="187"/>
      <c r="I949" s="187"/>
      <c r="J949" s="188"/>
      <c r="K949" s="187"/>
      <c r="L949" s="187"/>
      <c r="M949" s="187"/>
      <c r="N949" s="188"/>
      <c r="O949" s="187"/>
      <c r="Q949" s="187"/>
      <c r="R949" s="190"/>
      <c r="S949" s="187"/>
    </row>
    <row r="950">
      <c r="B950" s="103"/>
      <c r="G950" s="191"/>
      <c r="H950" s="187"/>
      <c r="I950" s="187"/>
      <c r="J950" s="188"/>
      <c r="K950" s="187"/>
      <c r="L950" s="187"/>
      <c r="M950" s="187"/>
      <c r="N950" s="188"/>
      <c r="O950" s="187"/>
      <c r="Q950" s="187"/>
      <c r="R950" s="190"/>
      <c r="S950" s="187"/>
    </row>
    <row r="951">
      <c r="B951" s="103"/>
      <c r="G951" s="191"/>
      <c r="H951" s="187"/>
      <c r="I951" s="187"/>
      <c r="J951" s="188"/>
      <c r="K951" s="187"/>
      <c r="L951" s="187"/>
      <c r="M951" s="187"/>
      <c r="N951" s="188"/>
      <c r="O951" s="187"/>
      <c r="Q951" s="187"/>
      <c r="R951" s="190"/>
      <c r="S951" s="187"/>
    </row>
    <row r="952">
      <c r="B952" s="103"/>
      <c r="G952" s="191"/>
      <c r="H952" s="187"/>
      <c r="I952" s="187"/>
      <c r="J952" s="188"/>
      <c r="K952" s="187"/>
      <c r="L952" s="187"/>
      <c r="M952" s="187"/>
      <c r="N952" s="188"/>
      <c r="O952" s="187"/>
      <c r="Q952" s="187"/>
      <c r="R952" s="190"/>
      <c r="S952" s="187"/>
    </row>
    <row r="953">
      <c r="B953" s="103"/>
      <c r="G953" s="191"/>
      <c r="H953" s="187"/>
      <c r="I953" s="187"/>
      <c r="J953" s="188"/>
      <c r="K953" s="187"/>
      <c r="L953" s="187"/>
      <c r="M953" s="187"/>
      <c r="N953" s="188"/>
      <c r="O953" s="187"/>
      <c r="Q953" s="187"/>
      <c r="R953" s="190"/>
      <c r="S953" s="187"/>
    </row>
    <row r="954">
      <c r="B954" s="103"/>
      <c r="G954" s="191"/>
      <c r="H954" s="187"/>
      <c r="I954" s="187"/>
      <c r="J954" s="188"/>
      <c r="K954" s="187"/>
      <c r="L954" s="187"/>
      <c r="M954" s="187"/>
      <c r="N954" s="188"/>
      <c r="O954" s="187"/>
      <c r="Q954" s="187"/>
      <c r="R954" s="190"/>
      <c r="S954" s="187"/>
    </row>
    <row r="955">
      <c r="B955" s="103"/>
      <c r="G955" s="191"/>
      <c r="H955" s="187"/>
      <c r="I955" s="187"/>
      <c r="J955" s="188"/>
      <c r="K955" s="187"/>
      <c r="L955" s="187"/>
      <c r="M955" s="187"/>
      <c r="N955" s="188"/>
      <c r="O955" s="187"/>
      <c r="Q955" s="187"/>
      <c r="R955" s="190"/>
      <c r="S955" s="187"/>
    </row>
    <row r="956">
      <c r="B956" s="103"/>
      <c r="G956" s="191"/>
      <c r="H956" s="187"/>
      <c r="I956" s="187"/>
      <c r="J956" s="188"/>
      <c r="K956" s="187"/>
      <c r="L956" s="187"/>
      <c r="M956" s="187"/>
      <c r="N956" s="188"/>
      <c r="O956" s="187"/>
      <c r="Q956" s="187"/>
      <c r="R956" s="190"/>
      <c r="S956" s="187"/>
    </row>
    <row r="957">
      <c r="B957" s="103"/>
      <c r="G957" s="191"/>
      <c r="H957" s="187"/>
      <c r="I957" s="187"/>
      <c r="J957" s="188"/>
      <c r="K957" s="187"/>
      <c r="L957" s="187"/>
      <c r="M957" s="187"/>
      <c r="N957" s="188"/>
      <c r="O957" s="187"/>
      <c r="Q957" s="187"/>
      <c r="R957" s="190"/>
      <c r="S957" s="187"/>
    </row>
    <row r="958">
      <c r="B958" s="103"/>
      <c r="G958" s="191"/>
      <c r="H958" s="187"/>
      <c r="I958" s="187"/>
      <c r="J958" s="188"/>
      <c r="K958" s="187"/>
      <c r="L958" s="187"/>
      <c r="M958" s="187"/>
      <c r="N958" s="188"/>
      <c r="O958" s="187"/>
      <c r="Q958" s="187"/>
      <c r="R958" s="190"/>
      <c r="S958" s="187"/>
    </row>
    <row r="959">
      <c r="B959" s="103"/>
      <c r="G959" s="191"/>
      <c r="H959" s="187"/>
      <c r="I959" s="187"/>
      <c r="J959" s="188"/>
      <c r="K959" s="187"/>
      <c r="L959" s="187"/>
      <c r="M959" s="187"/>
      <c r="N959" s="188"/>
      <c r="O959" s="187"/>
      <c r="Q959" s="187"/>
      <c r="R959" s="190"/>
      <c r="S959" s="187"/>
    </row>
    <row r="960">
      <c r="B960" s="103"/>
      <c r="G960" s="191"/>
      <c r="H960" s="187"/>
      <c r="I960" s="187"/>
      <c r="J960" s="188"/>
      <c r="K960" s="187"/>
      <c r="L960" s="187"/>
      <c r="M960" s="187"/>
      <c r="N960" s="188"/>
      <c r="O960" s="187"/>
      <c r="Q960" s="187"/>
      <c r="R960" s="190"/>
      <c r="S960" s="187"/>
    </row>
    <row r="961">
      <c r="B961" s="103"/>
      <c r="G961" s="191"/>
      <c r="H961" s="187"/>
      <c r="I961" s="187"/>
      <c r="J961" s="188"/>
      <c r="K961" s="187"/>
      <c r="L961" s="187"/>
      <c r="M961" s="187"/>
      <c r="N961" s="188"/>
      <c r="O961" s="187"/>
      <c r="Q961" s="187"/>
      <c r="R961" s="190"/>
      <c r="S961" s="187"/>
    </row>
    <row r="962">
      <c r="B962" s="103"/>
      <c r="G962" s="191"/>
      <c r="H962" s="187"/>
      <c r="I962" s="187"/>
      <c r="J962" s="188"/>
      <c r="K962" s="187"/>
      <c r="L962" s="187"/>
      <c r="M962" s="187"/>
      <c r="N962" s="188"/>
      <c r="O962" s="187"/>
      <c r="Q962" s="187"/>
      <c r="R962" s="190"/>
      <c r="S962" s="187"/>
    </row>
    <row r="963">
      <c r="B963" s="103"/>
      <c r="G963" s="191"/>
      <c r="H963" s="187"/>
      <c r="I963" s="187"/>
      <c r="J963" s="188"/>
      <c r="K963" s="187"/>
      <c r="L963" s="187"/>
      <c r="M963" s="187"/>
      <c r="N963" s="188"/>
      <c r="O963" s="187"/>
      <c r="Q963" s="187"/>
      <c r="R963" s="190"/>
      <c r="S963" s="187"/>
    </row>
    <row r="964">
      <c r="B964" s="103"/>
      <c r="G964" s="191"/>
      <c r="H964" s="187"/>
      <c r="I964" s="187"/>
      <c r="J964" s="188"/>
      <c r="K964" s="187"/>
      <c r="L964" s="187"/>
      <c r="M964" s="187"/>
      <c r="N964" s="188"/>
      <c r="O964" s="187"/>
      <c r="Q964" s="187"/>
      <c r="R964" s="190"/>
      <c r="S964" s="187"/>
    </row>
    <row r="965">
      <c r="B965" s="103"/>
      <c r="G965" s="191"/>
      <c r="H965" s="187"/>
      <c r="I965" s="187"/>
      <c r="J965" s="188"/>
      <c r="K965" s="187"/>
      <c r="L965" s="187"/>
      <c r="M965" s="187"/>
      <c r="N965" s="188"/>
      <c r="O965" s="187"/>
      <c r="Q965" s="187"/>
      <c r="R965" s="190"/>
      <c r="S965" s="187"/>
    </row>
    <row r="966">
      <c r="B966" s="103"/>
      <c r="G966" s="191"/>
      <c r="H966" s="187"/>
      <c r="I966" s="187"/>
      <c r="J966" s="188"/>
      <c r="K966" s="187"/>
      <c r="L966" s="187"/>
      <c r="M966" s="187"/>
      <c r="N966" s="188"/>
      <c r="O966" s="187"/>
      <c r="Q966" s="187"/>
      <c r="R966" s="190"/>
      <c r="S966" s="187"/>
    </row>
    <row r="967">
      <c r="B967" s="103"/>
      <c r="G967" s="191"/>
      <c r="H967" s="187"/>
      <c r="I967" s="187"/>
      <c r="J967" s="188"/>
      <c r="K967" s="187"/>
      <c r="L967" s="187"/>
      <c r="M967" s="187"/>
      <c r="N967" s="188"/>
      <c r="O967" s="187"/>
      <c r="Q967" s="187"/>
      <c r="R967" s="190"/>
      <c r="S967" s="187"/>
    </row>
    <row r="968">
      <c r="B968" s="103"/>
      <c r="G968" s="191"/>
      <c r="H968" s="187"/>
      <c r="I968" s="187"/>
      <c r="J968" s="188"/>
      <c r="K968" s="187"/>
      <c r="L968" s="187"/>
      <c r="M968" s="187"/>
      <c r="N968" s="188"/>
      <c r="O968" s="187"/>
      <c r="Q968" s="187"/>
      <c r="R968" s="190"/>
      <c r="S968" s="187"/>
    </row>
    <row r="969">
      <c r="B969" s="103"/>
      <c r="G969" s="191"/>
      <c r="H969" s="187"/>
      <c r="I969" s="187"/>
      <c r="J969" s="188"/>
      <c r="K969" s="187"/>
      <c r="L969" s="187"/>
      <c r="M969" s="187"/>
      <c r="N969" s="188"/>
      <c r="O969" s="187"/>
      <c r="Q969" s="187"/>
      <c r="R969" s="190"/>
      <c r="S969" s="187"/>
    </row>
    <row r="970">
      <c r="B970" s="103"/>
      <c r="G970" s="191"/>
      <c r="H970" s="187"/>
      <c r="I970" s="187"/>
      <c r="J970" s="188"/>
      <c r="K970" s="187"/>
      <c r="L970" s="187"/>
      <c r="M970" s="187"/>
      <c r="N970" s="188"/>
      <c r="O970" s="187"/>
      <c r="Q970" s="187"/>
      <c r="R970" s="190"/>
      <c r="S970" s="187"/>
    </row>
    <row r="971">
      <c r="B971" s="103"/>
      <c r="G971" s="191"/>
      <c r="H971" s="187"/>
      <c r="I971" s="187"/>
      <c r="J971" s="188"/>
      <c r="K971" s="187"/>
      <c r="L971" s="187"/>
      <c r="M971" s="187"/>
      <c r="N971" s="188"/>
      <c r="O971" s="187"/>
      <c r="Q971" s="187"/>
      <c r="R971" s="190"/>
      <c r="S971" s="187"/>
    </row>
    <row r="972">
      <c r="B972" s="103"/>
      <c r="G972" s="191"/>
      <c r="H972" s="187"/>
      <c r="I972" s="187"/>
      <c r="J972" s="188"/>
      <c r="K972" s="187"/>
      <c r="L972" s="187"/>
      <c r="M972" s="187"/>
      <c r="N972" s="188"/>
      <c r="O972" s="187"/>
      <c r="Q972" s="187"/>
      <c r="R972" s="190"/>
      <c r="S972" s="187"/>
    </row>
    <row r="973">
      <c r="B973" s="103"/>
      <c r="G973" s="191"/>
      <c r="H973" s="187"/>
      <c r="I973" s="187"/>
      <c r="J973" s="188"/>
      <c r="K973" s="187"/>
      <c r="L973" s="187"/>
      <c r="M973" s="187"/>
      <c r="N973" s="188"/>
      <c r="O973" s="187"/>
      <c r="Q973" s="187"/>
      <c r="R973" s="190"/>
      <c r="S973" s="187"/>
    </row>
    <row r="974">
      <c r="B974" s="103"/>
      <c r="G974" s="191"/>
      <c r="H974" s="187"/>
      <c r="I974" s="187"/>
      <c r="J974" s="188"/>
      <c r="K974" s="187"/>
      <c r="L974" s="187"/>
      <c r="M974" s="187"/>
      <c r="N974" s="188"/>
      <c r="O974" s="187"/>
      <c r="Q974" s="187"/>
      <c r="R974" s="190"/>
      <c r="S974" s="187"/>
    </row>
    <row r="975">
      <c r="B975" s="103"/>
      <c r="G975" s="191"/>
      <c r="H975" s="187"/>
      <c r="I975" s="187"/>
      <c r="J975" s="188"/>
      <c r="K975" s="187"/>
      <c r="L975" s="187"/>
      <c r="M975" s="187"/>
      <c r="N975" s="188"/>
      <c r="O975" s="187"/>
      <c r="Q975" s="187"/>
      <c r="R975" s="190"/>
      <c r="S975" s="187"/>
    </row>
    <row r="976">
      <c r="B976" s="103"/>
      <c r="G976" s="191"/>
      <c r="H976" s="187"/>
      <c r="I976" s="187"/>
      <c r="J976" s="188"/>
      <c r="K976" s="187"/>
      <c r="L976" s="187"/>
      <c r="M976" s="187"/>
      <c r="N976" s="188"/>
      <c r="O976" s="187"/>
      <c r="Q976" s="187"/>
      <c r="R976" s="190"/>
      <c r="S976" s="187"/>
    </row>
    <row r="977">
      <c r="B977" s="103"/>
      <c r="G977" s="191"/>
      <c r="H977" s="187"/>
      <c r="I977" s="187"/>
      <c r="J977" s="188"/>
      <c r="K977" s="187"/>
      <c r="L977" s="187"/>
      <c r="M977" s="187"/>
      <c r="N977" s="188"/>
      <c r="O977" s="187"/>
      <c r="Q977" s="187"/>
      <c r="R977" s="190"/>
      <c r="S977" s="187"/>
    </row>
    <row r="978">
      <c r="B978" s="103"/>
      <c r="G978" s="191"/>
      <c r="H978" s="187"/>
      <c r="I978" s="187"/>
      <c r="J978" s="188"/>
      <c r="K978" s="187"/>
      <c r="L978" s="187"/>
      <c r="M978" s="187"/>
      <c r="N978" s="188"/>
      <c r="O978" s="187"/>
      <c r="Q978" s="187"/>
      <c r="R978" s="190"/>
      <c r="S978" s="187"/>
    </row>
    <row r="979">
      <c r="B979" s="103"/>
      <c r="G979" s="191"/>
      <c r="H979" s="187"/>
      <c r="I979" s="187"/>
      <c r="J979" s="188"/>
      <c r="K979" s="187"/>
      <c r="L979" s="187"/>
      <c r="M979" s="187"/>
      <c r="N979" s="188"/>
      <c r="O979" s="187"/>
      <c r="Q979" s="187"/>
      <c r="R979" s="190"/>
      <c r="S979" s="187"/>
    </row>
    <row r="980">
      <c r="B980" s="103"/>
      <c r="G980" s="191"/>
      <c r="H980" s="187"/>
      <c r="I980" s="187"/>
      <c r="J980" s="188"/>
      <c r="K980" s="187"/>
      <c r="L980" s="187"/>
      <c r="M980" s="187"/>
      <c r="N980" s="188"/>
      <c r="O980" s="187"/>
      <c r="Q980" s="187"/>
      <c r="R980" s="190"/>
      <c r="S980" s="187"/>
    </row>
    <row r="981">
      <c r="B981" s="103"/>
      <c r="G981" s="191"/>
      <c r="H981" s="187"/>
      <c r="I981" s="187"/>
      <c r="J981" s="188"/>
      <c r="K981" s="187"/>
      <c r="L981" s="187"/>
      <c r="M981" s="187"/>
      <c r="N981" s="188"/>
      <c r="O981" s="187"/>
      <c r="Q981" s="187"/>
      <c r="R981" s="190"/>
      <c r="S981" s="187"/>
    </row>
    <row r="982">
      <c r="B982" s="103"/>
      <c r="G982" s="191"/>
      <c r="H982" s="187"/>
      <c r="I982" s="187"/>
      <c r="J982" s="188"/>
      <c r="K982" s="187"/>
      <c r="L982" s="187"/>
      <c r="M982" s="187"/>
      <c r="N982" s="188"/>
      <c r="O982" s="187"/>
      <c r="Q982" s="187"/>
      <c r="R982" s="190"/>
      <c r="S982" s="187"/>
    </row>
    <row r="983">
      <c r="B983" s="103"/>
      <c r="G983" s="191"/>
      <c r="H983" s="187"/>
      <c r="I983" s="187"/>
      <c r="J983" s="188"/>
      <c r="K983" s="187"/>
      <c r="L983" s="187"/>
      <c r="M983" s="187"/>
      <c r="N983" s="188"/>
      <c r="O983" s="187"/>
      <c r="Q983" s="187"/>
      <c r="R983" s="190"/>
      <c r="S983" s="187"/>
    </row>
    <row r="984">
      <c r="B984" s="103"/>
      <c r="G984" s="191"/>
      <c r="H984" s="187"/>
      <c r="I984" s="187"/>
      <c r="J984" s="188"/>
      <c r="K984" s="187"/>
      <c r="L984" s="187"/>
      <c r="M984" s="187"/>
      <c r="N984" s="188"/>
      <c r="O984" s="187"/>
      <c r="Q984" s="187"/>
      <c r="R984" s="190"/>
      <c r="S984" s="187"/>
    </row>
    <row r="985">
      <c r="B985" s="103"/>
      <c r="G985" s="191"/>
      <c r="H985" s="187"/>
      <c r="I985" s="187"/>
      <c r="J985" s="188"/>
      <c r="K985" s="187"/>
      <c r="L985" s="187"/>
      <c r="M985" s="187"/>
      <c r="N985" s="188"/>
      <c r="O985" s="187"/>
      <c r="Q985" s="187"/>
      <c r="R985" s="190"/>
      <c r="S985" s="187"/>
    </row>
    <row r="986">
      <c r="B986" s="103"/>
      <c r="G986" s="191"/>
      <c r="H986" s="187"/>
      <c r="I986" s="187"/>
      <c r="J986" s="188"/>
      <c r="K986" s="187"/>
      <c r="L986" s="187"/>
      <c r="M986" s="187"/>
      <c r="N986" s="188"/>
      <c r="O986" s="187"/>
      <c r="Q986" s="187"/>
      <c r="R986" s="190"/>
      <c r="S986" s="187"/>
    </row>
    <row r="987">
      <c r="B987" s="103"/>
      <c r="G987" s="191"/>
      <c r="H987" s="187"/>
      <c r="I987" s="187"/>
      <c r="J987" s="188"/>
      <c r="K987" s="187"/>
      <c r="L987" s="187"/>
      <c r="M987" s="187"/>
      <c r="N987" s="188"/>
      <c r="O987" s="187"/>
      <c r="Q987" s="187"/>
      <c r="R987" s="190"/>
      <c r="S987" s="187"/>
    </row>
    <row r="988">
      <c r="B988" s="103"/>
      <c r="G988" s="191"/>
      <c r="H988" s="187"/>
      <c r="I988" s="187"/>
      <c r="J988" s="188"/>
      <c r="K988" s="187"/>
      <c r="L988" s="187"/>
      <c r="M988" s="187"/>
      <c r="N988" s="188"/>
      <c r="O988" s="187"/>
      <c r="Q988" s="187"/>
      <c r="R988" s="190"/>
      <c r="S988" s="187"/>
    </row>
    <row r="989">
      <c r="B989" s="103"/>
      <c r="G989" s="191"/>
      <c r="H989" s="187"/>
      <c r="I989" s="187"/>
      <c r="J989" s="188"/>
      <c r="K989" s="187"/>
      <c r="L989" s="187"/>
      <c r="M989" s="187"/>
      <c r="N989" s="188"/>
      <c r="O989" s="187"/>
      <c r="Q989" s="187"/>
      <c r="R989" s="190"/>
      <c r="S989" s="187"/>
    </row>
    <row r="990">
      <c r="B990" s="103"/>
      <c r="G990" s="191"/>
      <c r="H990" s="187"/>
      <c r="I990" s="187"/>
      <c r="J990" s="188"/>
      <c r="K990" s="187"/>
      <c r="L990" s="187"/>
      <c r="M990" s="187"/>
      <c r="N990" s="188"/>
      <c r="O990" s="187"/>
      <c r="Q990" s="187"/>
      <c r="R990" s="190"/>
      <c r="S990" s="187"/>
    </row>
    <row r="991">
      <c r="B991" s="103"/>
      <c r="G991" s="191"/>
      <c r="H991" s="187"/>
      <c r="I991" s="187"/>
      <c r="J991" s="188"/>
      <c r="K991" s="187"/>
      <c r="L991" s="187"/>
      <c r="M991" s="187"/>
      <c r="N991" s="188"/>
      <c r="O991" s="187"/>
      <c r="Q991" s="187"/>
      <c r="R991" s="190"/>
      <c r="S991" s="187"/>
    </row>
    <row r="992">
      <c r="B992" s="103"/>
      <c r="G992" s="191"/>
      <c r="H992" s="187"/>
      <c r="I992" s="187"/>
      <c r="J992" s="188"/>
      <c r="K992" s="187"/>
      <c r="L992" s="187"/>
      <c r="M992" s="187"/>
      <c r="N992" s="188"/>
      <c r="O992" s="187"/>
      <c r="Q992" s="187"/>
      <c r="R992" s="190"/>
      <c r="S992" s="187"/>
    </row>
    <row r="993">
      <c r="B993" s="103"/>
      <c r="G993" s="191"/>
      <c r="H993" s="187"/>
      <c r="I993" s="187"/>
      <c r="J993" s="188"/>
      <c r="K993" s="187"/>
      <c r="L993" s="187"/>
      <c r="M993" s="187"/>
      <c r="N993" s="188"/>
      <c r="O993" s="187"/>
      <c r="Q993" s="187"/>
      <c r="R993" s="190"/>
      <c r="S993" s="187"/>
    </row>
    <row r="994">
      <c r="B994" s="103"/>
      <c r="G994" s="191"/>
      <c r="H994" s="187"/>
      <c r="I994" s="187"/>
      <c r="J994" s="188"/>
      <c r="K994" s="187"/>
      <c r="L994" s="187"/>
      <c r="M994" s="187"/>
      <c r="N994" s="188"/>
      <c r="O994" s="187"/>
      <c r="Q994" s="187"/>
      <c r="R994" s="190"/>
      <c r="S994" s="187"/>
    </row>
    <row r="995">
      <c r="B995" s="103"/>
      <c r="G995" s="191"/>
      <c r="H995" s="187"/>
      <c r="I995" s="187"/>
      <c r="J995" s="188"/>
      <c r="K995" s="187"/>
      <c r="L995" s="187"/>
      <c r="M995" s="187"/>
      <c r="N995" s="188"/>
      <c r="O995" s="187"/>
      <c r="Q995" s="187"/>
      <c r="R995" s="190"/>
      <c r="S995" s="187"/>
    </row>
    <row r="996">
      <c r="B996" s="103"/>
      <c r="G996" s="191"/>
      <c r="H996" s="187"/>
      <c r="I996" s="187"/>
      <c r="J996" s="188"/>
      <c r="K996" s="187"/>
      <c r="L996" s="187"/>
      <c r="M996" s="187"/>
      <c r="N996" s="188"/>
      <c r="O996" s="187"/>
      <c r="Q996" s="187"/>
      <c r="R996" s="190"/>
      <c r="S996" s="187"/>
    </row>
    <row r="997">
      <c r="B997" s="103"/>
      <c r="G997" s="191"/>
      <c r="H997" s="187"/>
      <c r="I997" s="187"/>
      <c r="J997" s="188"/>
      <c r="K997" s="187"/>
      <c r="L997" s="187"/>
      <c r="M997" s="187"/>
      <c r="N997" s="188"/>
      <c r="O997" s="187"/>
      <c r="Q997" s="187"/>
      <c r="R997" s="190"/>
      <c r="S997" s="187"/>
    </row>
    <row r="998">
      <c r="B998" s="103"/>
      <c r="G998" s="191"/>
      <c r="H998" s="187"/>
      <c r="I998" s="187"/>
      <c r="J998" s="188"/>
      <c r="K998" s="187"/>
      <c r="L998" s="187"/>
      <c r="M998" s="187"/>
      <c r="N998" s="188"/>
      <c r="O998" s="187"/>
      <c r="Q998" s="187"/>
      <c r="R998" s="190"/>
      <c r="S998" s="187"/>
    </row>
    <row r="999">
      <c r="B999" s="103"/>
      <c r="G999" s="191"/>
      <c r="H999" s="187"/>
      <c r="I999" s="187"/>
      <c r="J999" s="188"/>
      <c r="K999" s="187"/>
      <c r="L999" s="187"/>
      <c r="M999" s="187"/>
      <c r="N999" s="188"/>
      <c r="O999" s="187"/>
      <c r="Q999" s="187"/>
      <c r="R999" s="190"/>
      <c r="S999" s="187"/>
    </row>
    <row r="1000">
      <c r="B1000" s="103"/>
      <c r="G1000" s="191"/>
      <c r="H1000" s="187"/>
      <c r="I1000" s="187"/>
      <c r="J1000" s="188"/>
      <c r="K1000" s="187"/>
      <c r="L1000" s="187"/>
      <c r="M1000" s="187"/>
      <c r="N1000" s="188"/>
      <c r="O1000" s="187"/>
      <c r="Q1000" s="187"/>
      <c r="R1000" s="190"/>
      <c r="S1000" s="187"/>
    </row>
    <row r="1001">
      <c r="B1001" s="103"/>
      <c r="G1001" s="191"/>
      <c r="H1001" s="187"/>
      <c r="I1001" s="187"/>
      <c r="J1001" s="188"/>
      <c r="K1001" s="187"/>
      <c r="L1001" s="187"/>
      <c r="M1001" s="187"/>
      <c r="N1001" s="188"/>
      <c r="O1001" s="187"/>
      <c r="Q1001" s="187"/>
      <c r="R1001" s="190"/>
      <c r="S1001" s="187"/>
    </row>
    <row r="1002">
      <c r="B1002" s="103"/>
      <c r="G1002" s="191"/>
      <c r="H1002" s="187"/>
      <c r="I1002" s="187"/>
      <c r="J1002" s="188"/>
      <c r="K1002" s="187"/>
      <c r="L1002" s="187"/>
      <c r="M1002" s="187"/>
      <c r="N1002" s="188"/>
      <c r="O1002" s="187"/>
      <c r="Q1002" s="187"/>
      <c r="R1002" s="190"/>
      <c r="S1002" s="187"/>
    </row>
    <row r="1003">
      <c r="B1003" s="103"/>
      <c r="G1003" s="191"/>
      <c r="H1003" s="187"/>
      <c r="I1003" s="187"/>
      <c r="J1003" s="188"/>
      <c r="K1003" s="187"/>
      <c r="L1003" s="187"/>
      <c r="M1003" s="187"/>
      <c r="N1003" s="188"/>
      <c r="O1003" s="187"/>
      <c r="Q1003" s="187"/>
      <c r="R1003" s="190"/>
      <c r="S1003" s="187"/>
    </row>
    <row r="1004">
      <c r="B1004" s="103"/>
      <c r="G1004" s="191"/>
      <c r="H1004" s="187"/>
      <c r="I1004" s="187"/>
      <c r="J1004" s="188"/>
      <c r="K1004" s="187"/>
      <c r="L1004" s="187"/>
      <c r="M1004" s="187"/>
      <c r="N1004" s="188"/>
      <c r="O1004" s="187"/>
      <c r="Q1004" s="187"/>
      <c r="R1004" s="190"/>
      <c r="S1004" s="187"/>
    </row>
    <row r="1005">
      <c r="B1005" s="103"/>
      <c r="G1005" s="191"/>
      <c r="H1005" s="187"/>
      <c r="I1005" s="187"/>
      <c r="J1005" s="188"/>
      <c r="K1005" s="187"/>
      <c r="L1005" s="187"/>
      <c r="M1005" s="187"/>
      <c r="N1005" s="188"/>
      <c r="O1005" s="187"/>
      <c r="Q1005" s="187"/>
      <c r="R1005" s="190"/>
      <c r="S1005" s="187"/>
    </row>
    <row r="1006">
      <c r="B1006" s="103"/>
      <c r="G1006" s="191"/>
      <c r="H1006" s="187"/>
      <c r="I1006" s="187"/>
      <c r="J1006" s="188"/>
      <c r="K1006" s="187"/>
      <c r="L1006" s="187"/>
      <c r="M1006" s="187"/>
      <c r="N1006" s="188"/>
      <c r="O1006" s="187"/>
      <c r="Q1006" s="187"/>
      <c r="R1006" s="190"/>
      <c r="S1006" s="187"/>
    </row>
    <row r="1007">
      <c r="B1007" s="103"/>
      <c r="G1007" s="191"/>
      <c r="H1007" s="187"/>
      <c r="I1007" s="187"/>
      <c r="J1007" s="188"/>
      <c r="K1007" s="187"/>
      <c r="L1007" s="187"/>
      <c r="M1007" s="187"/>
      <c r="N1007" s="188"/>
      <c r="O1007" s="187"/>
      <c r="Q1007" s="187"/>
      <c r="R1007" s="190"/>
      <c r="S1007" s="187"/>
    </row>
    <row r="1008">
      <c r="B1008" s="103"/>
      <c r="G1008" s="191"/>
      <c r="H1008" s="187"/>
      <c r="I1008" s="187"/>
      <c r="J1008" s="188"/>
      <c r="K1008" s="187"/>
      <c r="L1008" s="187"/>
      <c r="M1008" s="187"/>
      <c r="N1008" s="188"/>
      <c r="O1008" s="187"/>
      <c r="Q1008" s="187"/>
      <c r="R1008" s="190"/>
      <c r="S1008" s="187"/>
    </row>
    <row r="1009">
      <c r="B1009" s="103"/>
      <c r="G1009" s="191"/>
      <c r="H1009" s="187"/>
      <c r="I1009" s="187"/>
      <c r="J1009" s="188"/>
      <c r="K1009" s="187"/>
      <c r="L1009" s="187"/>
      <c r="M1009" s="187"/>
      <c r="N1009" s="188"/>
      <c r="O1009" s="187"/>
      <c r="Q1009" s="187"/>
      <c r="R1009" s="190"/>
      <c r="S1009" s="187"/>
    </row>
    <row r="1010">
      <c r="B1010" s="103"/>
      <c r="G1010" s="191"/>
      <c r="H1010" s="187"/>
      <c r="I1010" s="187"/>
      <c r="J1010" s="188"/>
      <c r="K1010" s="187"/>
      <c r="L1010" s="187"/>
      <c r="M1010" s="187"/>
      <c r="N1010" s="188"/>
      <c r="O1010" s="187"/>
      <c r="Q1010" s="187"/>
      <c r="R1010" s="190"/>
      <c r="S1010" s="187"/>
    </row>
    <row r="1011">
      <c r="B1011" s="103"/>
      <c r="G1011" s="191"/>
      <c r="H1011" s="187"/>
      <c r="I1011" s="187"/>
      <c r="J1011" s="188"/>
      <c r="K1011" s="187"/>
      <c r="L1011" s="187"/>
      <c r="M1011" s="187"/>
      <c r="N1011" s="188"/>
      <c r="O1011" s="187"/>
      <c r="Q1011" s="187"/>
      <c r="R1011" s="190"/>
      <c r="S1011" s="187"/>
    </row>
  </sheetData>
  <dataValidations>
    <dataValidation type="custom" allowBlank="1" showDropDown="1" sqref="R2:R28">
      <formula1>AND(ISNUMBER(R2),(NOT(OR(NOT(ISERROR(DATEVALUE(R2))), AND(ISNUMBER(R2), LEFT(CELL("format", R2))="D")))))</formula1>
    </dataValidation>
    <dataValidation allowBlank="1" showDropDown="1" sqref="D2:E12"/>
  </dataValidations>
  <hyperlinks>
    <hyperlink r:id="rId1" location="gid=769626108" ref="C8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9.75"/>
    <col customWidth="1" min="3" max="3" width="19.0"/>
  </cols>
  <sheetData>
    <row r="1" ht="22.5" customHeight="1">
      <c r="A1" s="192" t="s">
        <v>8</v>
      </c>
      <c r="B1" s="192" t="s">
        <v>180</v>
      </c>
      <c r="C1" s="192" t="s">
        <v>181</v>
      </c>
    </row>
    <row r="2" ht="22.5" customHeight="1">
      <c r="A2" s="67" t="s">
        <v>104</v>
      </c>
      <c r="B2" s="67" t="s">
        <v>182</v>
      </c>
      <c r="C2" s="193">
        <v>46143.0</v>
      </c>
    </row>
    <row r="3" ht="22.5" customHeight="1">
      <c r="A3" s="67" t="s">
        <v>90</v>
      </c>
      <c r="B3" s="67" t="s">
        <v>183</v>
      </c>
      <c r="C3" s="193">
        <v>46143.0</v>
      </c>
    </row>
    <row r="4" ht="22.5" customHeight="1">
      <c r="A4" s="67" t="s">
        <v>122</v>
      </c>
      <c r="B4" s="67" t="s">
        <v>184</v>
      </c>
      <c r="C4" s="193">
        <v>46143.0</v>
      </c>
    </row>
  </sheetData>
  <dataValidations>
    <dataValidation type="custom" allowBlank="1" showDropDown="1" sqref="C2:C4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185</v>
      </c>
      <c r="B1" s="194" t="s">
        <v>186</v>
      </c>
      <c r="C1" s="194" t="s">
        <v>187</v>
      </c>
      <c r="D1" s="194" t="s">
        <v>188</v>
      </c>
      <c r="E1" s="194" t="s">
        <v>189</v>
      </c>
      <c r="F1" s="194" t="s">
        <v>190</v>
      </c>
      <c r="G1" s="194" t="s">
        <v>191</v>
      </c>
      <c r="H1" s="194" t="s">
        <v>192</v>
      </c>
    </row>
    <row r="2">
      <c r="A2" s="195" t="s">
        <v>193</v>
      </c>
      <c r="B2" s="195" t="s">
        <v>194</v>
      </c>
      <c r="C2" s="195" t="s">
        <v>195</v>
      </c>
      <c r="D2" s="195" t="s">
        <v>196</v>
      </c>
      <c r="E2" s="195" t="s">
        <v>197</v>
      </c>
      <c r="F2" s="196">
        <v>46113.0</v>
      </c>
      <c r="G2" s="197">
        <v>4.5</v>
      </c>
      <c r="H2" s="195" t="s">
        <v>198</v>
      </c>
    </row>
    <row r="3">
      <c r="A3" s="195" t="s">
        <v>199</v>
      </c>
      <c r="B3" s="195" t="s">
        <v>200</v>
      </c>
      <c r="C3" s="195" t="s">
        <v>201</v>
      </c>
      <c r="D3" s="195" t="s">
        <v>196</v>
      </c>
      <c r="E3" s="195" t="s">
        <v>197</v>
      </c>
      <c r="F3" s="196">
        <v>46113.0</v>
      </c>
      <c r="G3" s="197">
        <v>4.5</v>
      </c>
      <c r="H3" s="195" t="s">
        <v>198</v>
      </c>
    </row>
    <row r="4">
      <c r="A4" s="195" t="s">
        <v>202</v>
      </c>
      <c r="B4" s="195" t="s">
        <v>203</v>
      </c>
      <c r="C4" s="195" t="s">
        <v>204</v>
      </c>
      <c r="D4" s="195" t="s">
        <v>196</v>
      </c>
      <c r="E4" s="195" t="s">
        <v>197</v>
      </c>
      <c r="F4" s="196">
        <v>46113.0</v>
      </c>
      <c r="G4" s="197">
        <v>4.6</v>
      </c>
      <c r="H4" s="195" t="s">
        <v>198</v>
      </c>
    </row>
    <row r="5">
      <c r="A5" s="195" t="s">
        <v>205</v>
      </c>
      <c r="B5" s="195" t="s">
        <v>206</v>
      </c>
      <c r="C5" s="195" t="s">
        <v>207</v>
      </c>
      <c r="D5" s="195" t="s">
        <v>196</v>
      </c>
      <c r="E5" s="195" t="s">
        <v>197</v>
      </c>
      <c r="F5" s="196">
        <v>46113.0</v>
      </c>
      <c r="G5" s="197">
        <v>4.6</v>
      </c>
      <c r="H5" s="195" t="s">
        <v>198</v>
      </c>
    </row>
    <row r="6">
      <c r="A6" s="195" t="s">
        <v>208</v>
      </c>
      <c r="B6" s="195" t="s">
        <v>209</v>
      </c>
      <c r="C6" s="195" t="s">
        <v>210</v>
      </c>
      <c r="D6" s="195" t="s">
        <v>196</v>
      </c>
      <c r="E6" s="195" t="s">
        <v>197</v>
      </c>
      <c r="F6" s="196">
        <v>46113.0</v>
      </c>
      <c r="G6" s="197">
        <v>4.5</v>
      </c>
      <c r="H6" s="195" t="s">
        <v>198</v>
      </c>
    </row>
    <row r="7">
      <c r="A7" s="195" t="s">
        <v>211</v>
      </c>
      <c r="B7" s="195" t="s">
        <v>212</v>
      </c>
      <c r="C7" s="195" t="s">
        <v>213</v>
      </c>
      <c r="D7" s="195" t="s">
        <v>196</v>
      </c>
      <c r="E7" s="195" t="s">
        <v>197</v>
      </c>
      <c r="F7" s="196">
        <v>46143.0</v>
      </c>
      <c r="G7" s="197">
        <v>4.5</v>
      </c>
      <c r="H7" s="195" t="s">
        <v>198</v>
      </c>
    </row>
    <row r="8">
      <c r="A8" s="195" t="s">
        <v>214</v>
      </c>
      <c r="B8" s="195" t="s">
        <v>215</v>
      </c>
      <c r="C8" s="195" t="s">
        <v>216</v>
      </c>
      <c r="D8" s="195" t="s">
        <v>196</v>
      </c>
      <c r="E8" s="195" t="s">
        <v>197</v>
      </c>
      <c r="F8" s="196">
        <v>46143.0</v>
      </c>
      <c r="G8" s="197">
        <v>4.7</v>
      </c>
      <c r="H8" s="195" t="s">
        <v>198</v>
      </c>
    </row>
    <row r="9">
      <c r="A9" s="195" t="s">
        <v>217</v>
      </c>
      <c r="B9" s="195" t="s">
        <v>218</v>
      </c>
      <c r="C9" s="195" t="s">
        <v>219</v>
      </c>
      <c r="D9" s="195" t="s">
        <v>196</v>
      </c>
      <c r="E9" s="195" t="s">
        <v>197</v>
      </c>
      <c r="F9" s="196">
        <v>46113.0</v>
      </c>
      <c r="G9" s="197">
        <v>4.7</v>
      </c>
      <c r="H9" s="195" t="s">
        <v>198</v>
      </c>
    </row>
    <row r="10">
      <c r="A10" s="195" t="s">
        <v>220</v>
      </c>
      <c r="B10" s="195" t="s">
        <v>221</v>
      </c>
      <c r="C10" s="195" t="s">
        <v>222</v>
      </c>
      <c r="D10" s="195" t="s">
        <v>223</v>
      </c>
      <c r="E10" s="195" t="s">
        <v>197</v>
      </c>
      <c r="F10" s="196">
        <v>46113.0</v>
      </c>
      <c r="G10" s="197">
        <v>4.8</v>
      </c>
      <c r="H10" s="195" t="s">
        <v>198</v>
      </c>
    </row>
    <row r="11">
      <c r="A11" s="195" t="s">
        <v>224</v>
      </c>
      <c r="B11" s="195" t="s">
        <v>225</v>
      </c>
      <c r="C11" s="195" t="s">
        <v>226</v>
      </c>
      <c r="D11" s="195" t="s">
        <v>223</v>
      </c>
      <c r="E11" s="195" t="s">
        <v>197</v>
      </c>
      <c r="F11" s="196">
        <v>46113.0</v>
      </c>
      <c r="G11" s="197">
        <v>4.8</v>
      </c>
      <c r="H11" s="195" t="s">
        <v>198</v>
      </c>
    </row>
    <row r="12">
      <c r="A12" s="195" t="s">
        <v>227</v>
      </c>
      <c r="B12" s="195" t="s">
        <v>228</v>
      </c>
      <c r="C12" s="195" t="s">
        <v>229</v>
      </c>
      <c r="D12" s="195" t="s">
        <v>196</v>
      </c>
      <c r="E12" s="195" t="s">
        <v>197</v>
      </c>
      <c r="F12" s="196">
        <v>46143.0</v>
      </c>
      <c r="G12" s="197">
        <v>4.7</v>
      </c>
      <c r="H12" s="195" t="s">
        <v>198</v>
      </c>
    </row>
    <row r="13">
      <c r="A13" s="195" t="s">
        <v>230</v>
      </c>
      <c r="B13" s="195" t="s">
        <v>231</v>
      </c>
      <c r="C13" s="195" t="s">
        <v>232</v>
      </c>
      <c r="D13" s="195" t="s">
        <v>196</v>
      </c>
      <c r="E13" s="195" t="s">
        <v>197</v>
      </c>
      <c r="F13" s="196">
        <v>46143.0</v>
      </c>
      <c r="G13" s="197">
        <v>4.7</v>
      </c>
      <c r="H13" s="195" t="s">
        <v>198</v>
      </c>
    </row>
    <row r="14">
      <c r="A14" s="195" t="s">
        <v>233</v>
      </c>
      <c r="B14" s="195" t="s">
        <v>234</v>
      </c>
      <c r="C14" s="195" t="s">
        <v>235</v>
      </c>
      <c r="D14" s="195" t="s">
        <v>196</v>
      </c>
      <c r="E14" s="195" t="s">
        <v>197</v>
      </c>
      <c r="F14" s="196">
        <v>46143.0</v>
      </c>
      <c r="G14" s="197">
        <v>4.7</v>
      </c>
      <c r="H14" s="195" t="s">
        <v>198</v>
      </c>
    </row>
    <row r="15">
      <c r="A15" s="195" t="s">
        <v>236</v>
      </c>
      <c r="B15" s="195" t="s">
        <v>237</v>
      </c>
      <c r="C15" s="195" t="s">
        <v>238</v>
      </c>
      <c r="D15" s="195" t="s">
        <v>196</v>
      </c>
      <c r="E15" s="195" t="s">
        <v>197</v>
      </c>
      <c r="F15" s="196">
        <v>46113.0</v>
      </c>
      <c r="G15" s="197">
        <v>4.7</v>
      </c>
      <c r="H15" s="195" t="s">
        <v>198</v>
      </c>
    </row>
    <row r="16">
      <c r="A16" s="195" t="s">
        <v>239</v>
      </c>
      <c r="B16" s="195" t="s">
        <v>240</v>
      </c>
      <c r="C16" s="195" t="s">
        <v>241</v>
      </c>
      <c r="D16" s="195" t="s">
        <v>196</v>
      </c>
      <c r="E16" s="195" t="s">
        <v>197</v>
      </c>
      <c r="F16" s="196">
        <v>46113.0</v>
      </c>
      <c r="G16" s="197">
        <v>4.7</v>
      </c>
      <c r="H16" s="195" t="s">
        <v>198</v>
      </c>
    </row>
    <row r="17">
      <c r="A17" s="195" t="s">
        <v>242</v>
      </c>
      <c r="B17" s="195" t="s">
        <v>243</v>
      </c>
      <c r="C17" s="195" t="s">
        <v>244</v>
      </c>
      <c r="D17" s="195" t="s">
        <v>196</v>
      </c>
      <c r="E17" s="195" t="s">
        <v>197</v>
      </c>
      <c r="F17" s="196">
        <v>46113.0</v>
      </c>
      <c r="G17" s="197">
        <v>4.7</v>
      </c>
      <c r="H17" s="195" t="s">
        <v>198</v>
      </c>
    </row>
    <row r="18">
      <c r="A18" s="195" t="s">
        <v>245</v>
      </c>
      <c r="B18" s="195" t="s">
        <v>246</v>
      </c>
      <c r="C18" s="195" t="s">
        <v>247</v>
      </c>
      <c r="D18" s="195" t="s">
        <v>196</v>
      </c>
      <c r="E18" s="195" t="s">
        <v>197</v>
      </c>
      <c r="F18" s="196">
        <v>46113.0</v>
      </c>
      <c r="G18" s="197">
        <v>4.7</v>
      </c>
      <c r="H18" s="195" t="s">
        <v>198</v>
      </c>
    </row>
    <row r="19">
      <c r="A19" s="195" t="s">
        <v>248</v>
      </c>
      <c r="B19" s="195" t="s">
        <v>249</v>
      </c>
      <c r="C19" s="195" t="s">
        <v>250</v>
      </c>
      <c r="D19" s="195" t="s">
        <v>196</v>
      </c>
      <c r="E19" s="195" t="s">
        <v>197</v>
      </c>
      <c r="F19" s="196">
        <v>46113.0</v>
      </c>
      <c r="G19" s="197">
        <v>4.7</v>
      </c>
      <c r="H19" s="195" t="s">
        <v>198</v>
      </c>
    </row>
    <row r="20">
      <c r="A20" s="195" t="s">
        <v>251</v>
      </c>
      <c r="B20" s="195" t="s">
        <v>252</v>
      </c>
      <c r="C20" s="195" t="s">
        <v>253</v>
      </c>
      <c r="D20" s="195" t="s">
        <v>223</v>
      </c>
      <c r="E20" s="195" t="s">
        <v>197</v>
      </c>
      <c r="F20" s="196">
        <v>46113.0</v>
      </c>
      <c r="G20" s="197">
        <v>4.8</v>
      </c>
      <c r="H20" s="195" t="s">
        <v>198</v>
      </c>
    </row>
    <row r="21">
      <c r="A21" s="195" t="s">
        <v>254</v>
      </c>
      <c r="B21" s="195" t="s">
        <v>255</v>
      </c>
      <c r="C21" s="195" t="s">
        <v>256</v>
      </c>
      <c r="D21" s="195" t="s">
        <v>223</v>
      </c>
      <c r="E21" s="195" t="s">
        <v>197</v>
      </c>
      <c r="F21" s="196">
        <v>46143.0</v>
      </c>
      <c r="G21" s="197">
        <v>4.7</v>
      </c>
      <c r="H21" s="195" t="s">
        <v>198</v>
      </c>
    </row>
    <row r="22">
      <c r="A22" s="195" t="s">
        <v>257</v>
      </c>
      <c r="B22" s="195" t="s">
        <v>258</v>
      </c>
      <c r="C22" s="195" t="s">
        <v>259</v>
      </c>
      <c r="D22" s="195" t="s">
        <v>223</v>
      </c>
      <c r="E22" s="195" t="s">
        <v>197</v>
      </c>
      <c r="F22" s="196">
        <v>46113.0</v>
      </c>
      <c r="G22" s="197">
        <v>4.8</v>
      </c>
      <c r="H22" s="195" t="s">
        <v>198</v>
      </c>
    </row>
    <row r="23">
      <c r="A23" s="195" t="s">
        <v>260</v>
      </c>
      <c r="B23" s="195" t="s">
        <v>261</v>
      </c>
      <c r="C23" s="195" t="s">
        <v>262</v>
      </c>
      <c r="D23" s="195" t="s">
        <v>223</v>
      </c>
      <c r="E23" s="195" t="s">
        <v>197</v>
      </c>
      <c r="F23" s="196">
        <v>46113.0</v>
      </c>
      <c r="G23" s="197">
        <v>4.8</v>
      </c>
      <c r="H23" s="195" t="s">
        <v>198</v>
      </c>
    </row>
    <row r="24">
      <c r="A24" s="195" t="s">
        <v>263</v>
      </c>
      <c r="B24" s="195" t="s">
        <v>264</v>
      </c>
      <c r="C24" s="195" t="s">
        <v>265</v>
      </c>
      <c r="D24" s="195" t="s">
        <v>196</v>
      </c>
      <c r="E24" s="195" t="s">
        <v>197</v>
      </c>
      <c r="F24" s="196">
        <v>46113.0</v>
      </c>
      <c r="G24" s="197">
        <v>4.7</v>
      </c>
      <c r="H24" s="195" t="s">
        <v>198</v>
      </c>
    </row>
    <row r="25">
      <c r="A25" s="195" t="s">
        <v>266</v>
      </c>
      <c r="B25" s="195" t="s">
        <v>267</v>
      </c>
      <c r="C25" s="195" t="s">
        <v>268</v>
      </c>
      <c r="D25" s="195" t="s">
        <v>196</v>
      </c>
      <c r="E25" s="195" t="s">
        <v>197</v>
      </c>
      <c r="F25" s="196">
        <v>46143.0</v>
      </c>
      <c r="G25" s="197">
        <v>4.7</v>
      </c>
      <c r="H25" s="195" t="s">
        <v>198</v>
      </c>
    </row>
    <row r="26">
      <c r="A26" s="195" t="s">
        <v>269</v>
      </c>
      <c r="B26" s="195" t="s">
        <v>270</v>
      </c>
      <c r="C26" s="195" t="s">
        <v>271</v>
      </c>
      <c r="D26" s="195" t="s">
        <v>196</v>
      </c>
      <c r="E26" s="195" t="s">
        <v>197</v>
      </c>
      <c r="F26" s="196">
        <v>46143.0</v>
      </c>
      <c r="G26" s="197">
        <v>4.7</v>
      </c>
      <c r="H26" s="195" t="s">
        <v>198</v>
      </c>
    </row>
    <row r="27">
      <c r="A27" s="195" t="s">
        <v>272</v>
      </c>
      <c r="B27" s="195" t="s">
        <v>273</v>
      </c>
      <c r="C27" s="195" t="s">
        <v>274</v>
      </c>
      <c r="D27" s="195" t="s">
        <v>223</v>
      </c>
      <c r="E27" s="195" t="s">
        <v>275</v>
      </c>
      <c r="F27" s="196">
        <v>46143.0</v>
      </c>
      <c r="G27" s="197">
        <v>4.6</v>
      </c>
      <c r="H27" s="195" t="s">
        <v>198</v>
      </c>
    </row>
    <row r="28">
      <c r="A28" s="195" t="s">
        <v>276</v>
      </c>
      <c r="B28" s="195" t="s">
        <v>277</v>
      </c>
      <c r="C28" s="195" t="s">
        <v>278</v>
      </c>
      <c r="D28" s="195" t="s">
        <v>223</v>
      </c>
      <c r="E28" s="195" t="s">
        <v>275</v>
      </c>
      <c r="F28" s="196">
        <v>46143.0</v>
      </c>
      <c r="G28" s="197">
        <v>4.6</v>
      </c>
      <c r="H28" s="195" t="s">
        <v>198</v>
      </c>
    </row>
    <row r="29">
      <c r="A29" s="195" t="s">
        <v>279</v>
      </c>
      <c r="B29" s="195" t="s">
        <v>280</v>
      </c>
      <c r="C29" s="195" t="s">
        <v>281</v>
      </c>
      <c r="D29" s="195" t="s">
        <v>223</v>
      </c>
      <c r="E29" s="195" t="s">
        <v>275</v>
      </c>
      <c r="F29" s="196">
        <v>46143.0</v>
      </c>
      <c r="G29" s="197">
        <v>4.6</v>
      </c>
      <c r="H29" s="195" t="s">
        <v>198</v>
      </c>
    </row>
    <row r="30">
      <c r="A30" s="195" t="s">
        <v>282</v>
      </c>
      <c r="B30" s="195" t="s">
        <v>283</v>
      </c>
      <c r="C30" s="195" t="s">
        <v>284</v>
      </c>
      <c r="D30" s="195" t="s">
        <v>223</v>
      </c>
      <c r="E30" s="195" t="s">
        <v>275</v>
      </c>
      <c r="F30" s="196">
        <v>46143.0</v>
      </c>
      <c r="G30" s="197">
        <v>4.6</v>
      </c>
      <c r="H30" s="195" t="s">
        <v>198</v>
      </c>
    </row>
    <row r="31">
      <c r="A31" s="195" t="s">
        <v>285</v>
      </c>
      <c r="B31" s="195" t="s">
        <v>286</v>
      </c>
      <c r="C31" s="195" t="s">
        <v>287</v>
      </c>
      <c r="D31" s="195" t="s">
        <v>223</v>
      </c>
      <c r="E31" s="195" t="s">
        <v>275</v>
      </c>
      <c r="F31" s="196">
        <v>46143.0</v>
      </c>
      <c r="G31" s="197">
        <v>4.6</v>
      </c>
      <c r="H31" s="195" t="s">
        <v>198</v>
      </c>
    </row>
    <row r="32">
      <c r="A32" s="195" t="s">
        <v>288</v>
      </c>
      <c r="B32" s="195" t="s">
        <v>289</v>
      </c>
      <c r="C32" s="195" t="s">
        <v>290</v>
      </c>
      <c r="D32" s="195" t="s">
        <v>223</v>
      </c>
      <c r="E32" s="195" t="s">
        <v>275</v>
      </c>
      <c r="F32" s="196">
        <v>46143.0</v>
      </c>
      <c r="G32" s="197">
        <v>4.6</v>
      </c>
      <c r="H32" s="195" t="s">
        <v>198</v>
      </c>
    </row>
    <row r="33">
      <c r="A33" s="195" t="s">
        <v>291</v>
      </c>
      <c r="B33" s="195" t="s">
        <v>292</v>
      </c>
      <c r="C33" s="195" t="s">
        <v>293</v>
      </c>
      <c r="D33" s="195" t="s">
        <v>223</v>
      </c>
      <c r="E33" s="195" t="s">
        <v>275</v>
      </c>
      <c r="F33" s="196">
        <v>46143.0</v>
      </c>
      <c r="G33" s="197">
        <v>4.6</v>
      </c>
      <c r="H33" s="195" t="s">
        <v>198</v>
      </c>
    </row>
    <row r="34">
      <c r="A34" s="195" t="s">
        <v>294</v>
      </c>
      <c r="B34" s="195" t="s">
        <v>295</v>
      </c>
      <c r="C34" s="195" t="s">
        <v>296</v>
      </c>
      <c r="D34" s="195" t="s">
        <v>223</v>
      </c>
      <c r="E34" s="195" t="s">
        <v>275</v>
      </c>
      <c r="F34" s="196">
        <v>46143.0</v>
      </c>
      <c r="G34" s="197">
        <v>4.6</v>
      </c>
      <c r="H34" s="195" t="s">
        <v>198</v>
      </c>
    </row>
    <row r="35">
      <c r="A35" s="195" t="s">
        <v>297</v>
      </c>
      <c r="B35" s="195" t="s">
        <v>298</v>
      </c>
      <c r="C35" s="195" t="s">
        <v>299</v>
      </c>
      <c r="D35" s="195" t="s">
        <v>223</v>
      </c>
      <c r="E35" s="195" t="s">
        <v>275</v>
      </c>
      <c r="F35" s="196">
        <v>46143.0</v>
      </c>
      <c r="G35" s="197">
        <v>4.6</v>
      </c>
      <c r="H35" s="195" t="s">
        <v>198</v>
      </c>
    </row>
    <row r="36">
      <c r="A36" s="195" t="s">
        <v>300</v>
      </c>
      <c r="B36" s="195" t="s">
        <v>301</v>
      </c>
      <c r="C36" s="195" t="s">
        <v>302</v>
      </c>
      <c r="D36" s="195" t="s">
        <v>196</v>
      </c>
      <c r="E36" s="195" t="s">
        <v>197</v>
      </c>
      <c r="F36" s="196">
        <v>46113.0</v>
      </c>
      <c r="G36" s="197">
        <v>4.5</v>
      </c>
      <c r="H36" s="19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hidden="1" min="3" max="5" width="12.63"/>
    <col customWidth="1" min="6" max="6" width="18.75"/>
    <col customWidth="1" hidden="1" min="7" max="7" width="24.88"/>
    <col customWidth="1" hidden="1" min="8" max="8" width="32.75"/>
    <col customWidth="1" hidden="1" min="9" max="9" width="24.75"/>
    <col customWidth="1" hidden="1" min="10" max="10" width="14.13"/>
    <col customWidth="1" hidden="1" min="11" max="11" width="16.38"/>
    <col customWidth="1" hidden="1" min="12" max="12" width="15.25"/>
    <col customWidth="1" hidden="1" min="13" max="13" width="15.13"/>
    <col customWidth="1" hidden="1" min="14" max="14" width="17.0"/>
    <col customWidth="1" hidden="1" min="15" max="15" width="14.38"/>
    <col customWidth="1" min="16" max="16" width="15.13"/>
    <col customWidth="1" min="17" max="17" width="17.0"/>
    <col customWidth="1" min="18" max="18" width="14.38"/>
  </cols>
  <sheetData>
    <row r="1">
      <c r="A1" s="198" t="s">
        <v>303</v>
      </c>
      <c r="B1" s="199" t="s">
        <v>304</v>
      </c>
      <c r="C1" s="199" t="s">
        <v>305</v>
      </c>
      <c r="D1" s="199" t="s">
        <v>306</v>
      </c>
      <c r="E1" s="200" t="s">
        <v>307</v>
      </c>
      <c r="F1" s="201" t="s">
        <v>308</v>
      </c>
      <c r="G1" s="202" t="s">
        <v>309</v>
      </c>
      <c r="H1" s="202" t="s">
        <v>310</v>
      </c>
      <c r="I1" s="203" t="s">
        <v>311</v>
      </c>
      <c r="J1" s="204" t="s">
        <v>312</v>
      </c>
      <c r="K1" s="202" t="s">
        <v>313</v>
      </c>
      <c r="L1" s="205" t="s">
        <v>314</v>
      </c>
      <c r="M1" s="204" t="s">
        <v>315</v>
      </c>
      <c r="N1" s="202" t="s">
        <v>316</v>
      </c>
      <c r="O1" s="206" t="s">
        <v>314</v>
      </c>
      <c r="P1" s="204" t="s">
        <v>317</v>
      </c>
      <c r="Q1" s="202" t="s">
        <v>318</v>
      </c>
      <c r="R1" s="206" t="s">
        <v>314</v>
      </c>
      <c r="S1" s="204" t="s">
        <v>319</v>
      </c>
      <c r="T1" s="202" t="s">
        <v>320</v>
      </c>
      <c r="U1" s="206" t="s">
        <v>314</v>
      </c>
      <c r="V1" s="204" t="s">
        <v>321</v>
      </c>
      <c r="W1" s="202" t="s">
        <v>322</v>
      </c>
      <c r="X1" s="206" t="s">
        <v>314</v>
      </c>
      <c r="Y1" s="207"/>
      <c r="Z1" s="208"/>
    </row>
    <row r="2">
      <c r="A2" s="209" t="s">
        <v>46</v>
      </c>
      <c r="B2" s="209" t="s">
        <v>53</v>
      </c>
      <c r="C2" s="210">
        <v>26412.0</v>
      </c>
      <c r="D2" s="211">
        <v>4.6</v>
      </c>
      <c r="E2" s="210">
        <v>4.7</v>
      </c>
      <c r="F2" s="212">
        <v>4.7</v>
      </c>
      <c r="G2" s="213">
        <v>10.0</v>
      </c>
      <c r="H2" s="213">
        <v>4.0</v>
      </c>
      <c r="I2" s="214">
        <f t="shared" ref="I2:I3" si="1">H2/G2</f>
        <v>0.4</v>
      </c>
      <c r="J2" s="215">
        <v>10.0</v>
      </c>
      <c r="K2" s="216">
        <v>3.0</v>
      </c>
      <c r="L2" s="217">
        <f t="shared" ref="L2:L3" si="2">K2/J2</f>
        <v>0.3</v>
      </c>
      <c r="M2" s="215">
        <v>8.0</v>
      </c>
      <c r="N2" s="216">
        <v>3.0</v>
      </c>
      <c r="O2" s="218">
        <f t="shared" ref="O2:O3" si="3">N2/M2</f>
        <v>0.375</v>
      </c>
      <c r="P2" s="215">
        <v>16.0</v>
      </c>
      <c r="Q2" s="216">
        <v>7.0</v>
      </c>
      <c r="R2" s="219">
        <f t="shared" ref="R2:R3" si="4">Q2/P2</f>
        <v>0.4375</v>
      </c>
      <c r="S2" s="215">
        <v>13.0</v>
      </c>
      <c r="T2" s="216">
        <v>5.0</v>
      </c>
      <c r="U2" s="218">
        <f t="shared" ref="U2:U3" si="5">T2/S2</f>
        <v>0.3846153846</v>
      </c>
      <c r="V2" s="215">
        <v>13.0</v>
      </c>
      <c r="W2" s="216">
        <v>6.0</v>
      </c>
      <c r="X2" s="218">
        <f t="shared" ref="X2:X7" si="6">W2/V2</f>
        <v>0.4615384615</v>
      </c>
    </row>
    <row r="3">
      <c r="A3" s="209" t="s">
        <v>46</v>
      </c>
      <c r="B3" s="209" t="s">
        <v>64</v>
      </c>
      <c r="C3" s="210">
        <v>965.0</v>
      </c>
      <c r="D3" s="211">
        <v>4.6</v>
      </c>
      <c r="E3" s="210">
        <v>4.6</v>
      </c>
      <c r="F3" s="212">
        <v>4.7</v>
      </c>
      <c r="G3" s="213">
        <v>5.0</v>
      </c>
      <c r="H3" s="213">
        <v>2.0</v>
      </c>
      <c r="I3" s="214">
        <f t="shared" si="1"/>
        <v>0.4</v>
      </c>
      <c r="J3" s="215">
        <v>5.0</v>
      </c>
      <c r="K3" s="216">
        <v>2.0</v>
      </c>
      <c r="L3" s="217">
        <f t="shared" si="2"/>
        <v>0.4</v>
      </c>
      <c r="M3" s="215">
        <v>5.0</v>
      </c>
      <c r="N3" s="220">
        <v>1.0</v>
      </c>
      <c r="O3" s="221">
        <f t="shared" si="3"/>
        <v>0.2</v>
      </c>
      <c r="P3" s="215">
        <v>5.0</v>
      </c>
      <c r="Q3" s="216">
        <v>1.0</v>
      </c>
      <c r="R3" s="221">
        <f t="shared" si="4"/>
        <v>0.2</v>
      </c>
      <c r="S3" s="215">
        <v>5.0</v>
      </c>
      <c r="T3" s="216">
        <v>1.0</v>
      </c>
      <c r="U3" s="218">
        <f t="shared" si="5"/>
        <v>0.2</v>
      </c>
      <c r="V3" s="215">
        <v>5.0</v>
      </c>
      <c r="W3" s="216">
        <v>1.0</v>
      </c>
      <c r="X3" s="218">
        <f t="shared" si="6"/>
        <v>0.2</v>
      </c>
    </row>
    <row r="4">
      <c r="A4" s="209" t="s">
        <v>46</v>
      </c>
      <c r="B4" s="222" t="s">
        <v>75</v>
      </c>
      <c r="C4" s="210"/>
      <c r="D4" s="223"/>
      <c r="E4" s="210"/>
      <c r="F4" s="224">
        <v>4.8</v>
      </c>
      <c r="G4" s="213"/>
      <c r="H4" s="213"/>
      <c r="I4" s="214"/>
      <c r="J4" s="215"/>
      <c r="K4" s="216"/>
      <c r="L4" s="217"/>
      <c r="M4" s="215"/>
      <c r="N4" s="216"/>
      <c r="O4" s="218"/>
      <c r="P4" s="215"/>
      <c r="Q4" s="216"/>
      <c r="R4" s="218"/>
      <c r="S4" s="215"/>
      <c r="T4" s="216"/>
      <c r="U4" s="218"/>
      <c r="V4" s="215">
        <v>2.0</v>
      </c>
      <c r="W4" s="216">
        <v>2.0</v>
      </c>
      <c r="X4" s="218">
        <f t="shared" si="6"/>
        <v>1</v>
      </c>
    </row>
    <row r="5">
      <c r="A5" s="209" t="s">
        <v>46</v>
      </c>
      <c r="B5" s="222" t="s">
        <v>77</v>
      </c>
      <c r="C5" s="210">
        <v>58.0</v>
      </c>
      <c r="D5" s="223">
        <v>4.4</v>
      </c>
      <c r="E5" s="210">
        <v>4.5</v>
      </c>
      <c r="F5" s="212">
        <v>4.5</v>
      </c>
      <c r="G5" s="213">
        <v>1.0</v>
      </c>
      <c r="H5" s="213">
        <v>0.0</v>
      </c>
      <c r="I5" s="214">
        <f>H5/G5</f>
        <v>0</v>
      </c>
      <c r="J5" s="215">
        <v>1.0</v>
      </c>
      <c r="K5" s="216">
        <v>0.0</v>
      </c>
      <c r="L5" s="217">
        <f>K5/J5</f>
        <v>0</v>
      </c>
      <c r="M5" s="215">
        <v>1.0</v>
      </c>
      <c r="N5" s="216">
        <v>1.0</v>
      </c>
      <c r="O5" s="218">
        <f>N5/M5</f>
        <v>1</v>
      </c>
      <c r="P5" s="215">
        <v>1.0</v>
      </c>
      <c r="Q5" s="216">
        <v>1.0</v>
      </c>
      <c r="R5" s="218">
        <f>Q5/P5</f>
        <v>1</v>
      </c>
      <c r="S5" s="215">
        <v>1.0</v>
      </c>
      <c r="T5" s="216">
        <v>0.0</v>
      </c>
      <c r="U5" s="218">
        <f>T5/S5</f>
        <v>0</v>
      </c>
      <c r="V5" s="215">
        <v>3.0</v>
      </c>
      <c r="W5" s="216">
        <v>2.0</v>
      </c>
      <c r="X5" s="218">
        <f t="shared" si="6"/>
        <v>0.6666666667</v>
      </c>
    </row>
    <row r="6">
      <c r="A6" s="209" t="s">
        <v>46</v>
      </c>
      <c r="B6" s="222" t="s">
        <v>80</v>
      </c>
      <c r="C6" s="209"/>
      <c r="D6" s="209"/>
      <c r="E6" s="209"/>
      <c r="F6" s="224">
        <v>4.8</v>
      </c>
      <c r="G6" s="213"/>
      <c r="H6" s="213"/>
      <c r="I6" s="214"/>
      <c r="J6" s="225"/>
      <c r="L6" s="226"/>
      <c r="M6" s="225"/>
      <c r="O6" s="218"/>
      <c r="P6" s="225"/>
      <c r="R6" s="218"/>
      <c r="S6" s="225"/>
      <c r="U6" s="218"/>
      <c r="V6" s="215">
        <v>2.0</v>
      </c>
      <c r="W6" s="216">
        <v>2.0</v>
      </c>
      <c r="X6" s="218">
        <f t="shared" si="6"/>
        <v>1</v>
      </c>
    </row>
    <row r="7">
      <c r="A7" s="209" t="s">
        <v>46</v>
      </c>
      <c r="B7" s="222" t="s">
        <v>83</v>
      </c>
      <c r="C7" s="209"/>
      <c r="D7" s="209"/>
      <c r="E7" s="209"/>
      <c r="F7" s="224">
        <v>4.8</v>
      </c>
      <c r="G7" s="213"/>
      <c r="H7" s="213"/>
      <c r="I7" s="214"/>
      <c r="J7" s="225"/>
      <c r="L7" s="226"/>
      <c r="M7" s="225"/>
      <c r="O7" s="218"/>
      <c r="P7" s="225"/>
      <c r="R7" s="218"/>
      <c r="S7" s="225"/>
      <c r="U7" s="218"/>
      <c r="V7" s="215">
        <v>1.0</v>
      </c>
      <c r="W7" s="216">
        <v>1.0</v>
      </c>
      <c r="X7" s="218">
        <f t="shared" si="6"/>
        <v>1</v>
      </c>
    </row>
    <row r="8">
      <c r="A8" s="209" t="s">
        <v>46</v>
      </c>
      <c r="B8" s="222" t="s">
        <v>85</v>
      </c>
      <c r="C8" s="209"/>
      <c r="D8" s="209"/>
      <c r="E8" s="209"/>
      <c r="F8" s="224">
        <v>4.7</v>
      </c>
      <c r="G8" s="213"/>
      <c r="H8" s="213"/>
      <c r="I8" s="214"/>
      <c r="J8" s="225"/>
      <c r="L8" s="226"/>
      <c r="M8" s="225"/>
      <c r="O8" s="218"/>
      <c r="P8" s="225"/>
      <c r="R8" s="218"/>
      <c r="S8" s="225"/>
      <c r="U8" s="218"/>
      <c r="V8" s="225"/>
      <c r="X8" s="218"/>
    </row>
    <row r="9">
      <c r="A9" s="209"/>
      <c r="B9" s="209"/>
      <c r="C9" s="209"/>
      <c r="D9" s="209"/>
      <c r="E9" s="209"/>
      <c r="F9" s="212"/>
      <c r="G9" s="213"/>
      <c r="H9" s="213"/>
      <c r="I9" s="214"/>
      <c r="J9" s="225"/>
      <c r="L9" s="226"/>
      <c r="M9" s="225"/>
      <c r="O9" s="218"/>
      <c r="P9" s="225"/>
      <c r="R9" s="218"/>
      <c r="S9" s="225"/>
      <c r="U9" s="218"/>
      <c r="V9" s="225"/>
      <c r="X9" s="218"/>
    </row>
    <row r="10">
      <c r="A10" s="209" t="s">
        <v>86</v>
      </c>
      <c r="B10" s="209" t="s">
        <v>323</v>
      </c>
      <c r="C10" s="210">
        <v>2328.0</v>
      </c>
      <c r="D10" s="211">
        <v>4.5</v>
      </c>
      <c r="E10" s="210">
        <v>4.3</v>
      </c>
      <c r="F10" s="212">
        <v>4.5</v>
      </c>
      <c r="G10" s="213">
        <v>3.0</v>
      </c>
      <c r="H10" s="213">
        <v>1.0</v>
      </c>
      <c r="I10" s="214">
        <f t="shared" ref="I10:I11" si="7">H10/G10</f>
        <v>0.3333333333</v>
      </c>
      <c r="J10" s="215">
        <v>3.0</v>
      </c>
      <c r="K10" s="216">
        <v>1.0</v>
      </c>
      <c r="L10" s="217">
        <f t="shared" ref="L10:L11" si="8">K10/J10</f>
        <v>0.3333333333</v>
      </c>
      <c r="M10" s="215">
        <v>4.0</v>
      </c>
      <c r="N10" s="216">
        <v>1.0</v>
      </c>
      <c r="O10" s="218">
        <f t="shared" ref="O10:O11" si="9">N10/M10</f>
        <v>0.25</v>
      </c>
      <c r="P10" s="215">
        <v>4.0</v>
      </c>
      <c r="Q10" s="216">
        <v>1.0</v>
      </c>
      <c r="R10" s="218">
        <f t="shared" ref="R10:R11" si="10">Q10/P10</f>
        <v>0.25</v>
      </c>
      <c r="S10" s="215">
        <v>4.0</v>
      </c>
      <c r="T10" s="216">
        <v>0.0</v>
      </c>
      <c r="U10" s="218">
        <f t="shared" ref="U10:U11" si="11">T10/S10</f>
        <v>0</v>
      </c>
      <c r="V10" s="215">
        <v>4.0</v>
      </c>
      <c r="W10" s="216">
        <v>2.0</v>
      </c>
      <c r="X10" s="218">
        <f t="shared" ref="X10:X11" si="12">W10/V10</f>
        <v>0.5</v>
      </c>
    </row>
    <row r="11">
      <c r="A11" s="209" t="s">
        <v>86</v>
      </c>
      <c r="B11" s="209" t="s">
        <v>324</v>
      </c>
      <c r="C11" s="210">
        <v>301.0</v>
      </c>
      <c r="D11" s="211">
        <v>4.5</v>
      </c>
      <c r="E11" s="210">
        <v>4.5</v>
      </c>
      <c r="F11" s="212">
        <v>4.6</v>
      </c>
      <c r="G11" s="213">
        <v>2.0</v>
      </c>
      <c r="H11" s="213">
        <v>2.0</v>
      </c>
      <c r="I11" s="214">
        <f t="shared" si="7"/>
        <v>1</v>
      </c>
      <c r="J11" s="215">
        <v>2.0</v>
      </c>
      <c r="K11" s="216">
        <v>2.0</v>
      </c>
      <c r="L11" s="217">
        <f t="shared" si="8"/>
        <v>1</v>
      </c>
      <c r="M11" s="215">
        <v>4.0</v>
      </c>
      <c r="N11" s="216">
        <v>3.0</v>
      </c>
      <c r="O11" s="218">
        <f t="shared" si="9"/>
        <v>0.75</v>
      </c>
      <c r="P11" s="215">
        <v>4.0</v>
      </c>
      <c r="Q11" s="216">
        <v>3.0</v>
      </c>
      <c r="R11" s="218">
        <f t="shared" si="10"/>
        <v>0.75</v>
      </c>
      <c r="S11" s="215">
        <v>4.0</v>
      </c>
      <c r="T11" s="216">
        <v>4.0</v>
      </c>
      <c r="U11" s="218">
        <f t="shared" si="11"/>
        <v>1</v>
      </c>
      <c r="V11" s="215">
        <v>4.0</v>
      </c>
      <c r="W11" s="216">
        <v>3.0</v>
      </c>
      <c r="X11" s="218">
        <f t="shared" si="12"/>
        <v>0.75</v>
      </c>
    </row>
    <row r="12">
      <c r="A12" s="209"/>
      <c r="B12" s="209"/>
      <c r="C12" s="209"/>
      <c r="D12" s="209"/>
      <c r="E12" s="209"/>
      <c r="F12" s="212"/>
      <c r="G12" s="213"/>
      <c r="H12" s="213"/>
      <c r="I12" s="214"/>
      <c r="J12" s="225"/>
      <c r="L12" s="226"/>
      <c r="M12" s="225"/>
      <c r="O12" s="218"/>
      <c r="P12" s="225"/>
      <c r="R12" s="218"/>
      <c r="S12" s="225"/>
      <c r="U12" s="218"/>
      <c r="V12" s="225"/>
      <c r="X12" s="218"/>
    </row>
    <row r="13">
      <c r="A13" s="209" t="s">
        <v>90</v>
      </c>
      <c r="B13" s="222" t="s">
        <v>325</v>
      </c>
      <c r="C13" s="210">
        <v>25737.0</v>
      </c>
      <c r="D13" s="223">
        <v>4.6</v>
      </c>
      <c r="E13" s="210">
        <v>4.7</v>
      </c>
      <c r="F13" s="212">
        <v>4.7</v>
      </c>
      <c r="G13" s="227">
        <v>12.0</v>
      </c>
      <c r="H13" s="213">
        <v>3.0</v>
      </c>
      <c r="I13" s="214">
        <f>H13/G13</f>
        <v>0.25</v>
      </c>
      <c r="J13" s="215">
        <v>10.0</v>
      </c>
      <c r="K13" s="216">
        <v>5.0</v>
      </c>
      <c r="L13" s="217">
        <f>K13/J13</f>
        <v>0.5</v>
      </c>
      <c r="M13" s="215">
        <v>10.0</v>
      </c>
      <c r="N13" s="216">
        <v>4.0</v>
      </c>
      <c r="O13" s="218">
        <f>N13/M13</f>
        <v>0.4</v>
      </c>
      <c r="P13" s="215">
        <v>10.0</v>
      </c>
      <c r="Q13" s="220">
        <v>3.0</v>
      </c>
      <c r="R13" s="228">
        <f>Q13/P13</f>
        <v>0.3</v>
      </c>
      <c r="S13" s="215">
        <v>9.0</v>
      </c>
      <c r="T13" s="216">
        <v>4.0</v>
      </c>
      <c r="U13" s="218">
        <f>T13/S13</f>
        <v>0.4444444444</v>
      </c>
      <c r="V13" s="215">
        <v>9.0</v>
      </c>
      <c r="W13" s="216">
        <v>3.0</v>
      </c>
      <c r="X13" s="218">
        <f>W13/V13</f>
        <v>0.3333333333</v>
      </c>
    </row>
    <row r="14">
      <c r="A14" s="209"/>
      <c r="B14" s="209"/>
      <c r="C14" s="209"/>
      <c r="D14" s="209"/>
      <c r="E14" s="209"/>
      <c r="F14" s="212"/>
      <c r="G14" s="213"/>
      <c r="H14" s="213"/>
      <c r="I14" s="214"/>
      <c r="J14" s="225"/>
      <c r="L14" s="226"/>
      <c r="M14" s="225"/>
      <c r="O14" s="218"/>
      <c r="P14" s="225"/>
      <c r="R14" s="218"/>
      <c r="S14" s="225"/>
      <c r="U14" s="218"/>
      <c r="V14" s="225"/>
      <c r="X14" s="218"/>
    </row>
    <row r="15">
      <c r="A15" s="209" t="s">
        <v>326</v>
      </c>
      <c r="B15" s="209" t="s">
        <v>327</v>
      </c>
      <c r="C15" s="210">
        <v>22243.0</v>
      </c>
      <c r="D15" s="211">
        <v>4.7</v>
      </c>
      <c r="E15" s="210">
        <v>4.6</v>
      </c>
      <c r="F15" s="212">
        <v>4.7</v>
      </c>
      <c r="G15" s="213">
        <v>6.0</v>
      </c>
      <c r="H15" s="213">
        <v>6.0</v>
      </c>
      <c r="I15" s="214">
        <f t="shared" ref="I15:I16" si="13">H15/G15</f>
        <v>1</v>
      </c>
      <c r="J15" s="215">
        <v>6.0</v>
      </c>
      <c r="K15" s="216">
        <v>6.0</v>
      </c>
      <c r="L15" s="217">
        <f t="shared" ref="L15:L16" si="14">K15/J15</f>
        <v>1</v>
      </c>
      <c r="M15" s="215">
        <v>6.0</v>
      </c>
      <c r="N15" s="216">
        <v>6.0</v>
      </c>
      <c r="O15" s="218">
        <f t="shared" ref="O15:O16" si="15">N15/M15</f>
        <v>1</v>
      </c>
      <c r="P15" s="215">
        <v>6.0</v>
      </c>
      <c r="Q15" s="216">
        <v>6.0</v>
      </c>
      <c r="R15" s="218">
        <f t="shared" ref="R15:R16" si="16">Q15/P15</f>
        <v>1</v>
      </c>
      <c r="S15" s="215">
        <v>6.0</v>
      </c>
      <c r="T15" s="216">
        <v>6.0</v>
      </c>
      <c r="U15" s="218">
        <f t="shared" ref="U15:U16" si="17">T15/S15</f>
        <v>1</v>
      </c>
      <c r="V15" s="215">
        <v>6.0</v>
      </c>
      <c r="W15" s="216">
        <v>6.0</v>
      </c>
      <c r="X15" s="218">
        <f t="shared" ref="X15:X16" si="18">W15/V15</f>
        <v>1</v>
      </c>
    </row>
    <row r="16">
      <c r="A16" s="209" t="s">
        <v>326</v>
      </c>
      <c r="B16" s="209" t="s">
        <v>328</v>
      </c>
      <c r="C16" s="210">
        <v>367.0</v>
      </c>
      <c r="D16" s="223">
        <v>4.5</v>
      </c>
      <c r="E16" s="210">
        <v>4.7</v>
      </c>
      <c r="F16" s="212">
        <v>4.7</v>
      </c>
      <c r="G16" s="213">
        <v>2.0</v>
      </c>
      <c r="H16" s="213">
        <v>0.0</v>
      </c>
      <c r="I16" s="214">
        <f t="shared" si="13"/>
        <v>0</v>
      </c>
      <c r="J16" s="215">
        <v>2.0</v>
      </c>
      <c r="K16" s="216">
        <v>0.0</v>
      </c>
      <c r="L16" s="217">
        <f t="shared" si="14"/>
        <v>0</v>
      </c>
      <c r="M16" s="215">
        <v>2.0</v>
      </c>
      <c r="N16" s="216">
        <v>0.0</v>
      </c>
      <c r="O16" s="218">
        <f t="shared" si="15"/>
        <v>0</v>
      </c>
      <c r="P16" s="215">
        <v>2.0</v>
      </c>
      <c r="Q16" s="216">
        <v>0.0</v>
      </c>
      <c r="R16" s="218">
        <f t="shared" si="16"/>
        <v>0</v>
      </c>
      <c r="S16" s="215">
        <v>3.0</v>
      </c>
      <c r="T16" s="216">
        <v>0.0</v>
      </c>
      <c r="U16" s="218">
        <f t="shared" si="17"/>
        <v>0</v>
      </c>
      <c r="V16" s="215">
        <v>3.0</v>
      </c>
      <c r="W16" s="216">
        <v>0.0</v>
      </c>
      <c r="X16" s="218">
        <f t="shared" si="18"/>
        <v>0</v>
      </c>
    </row>
    <row r="17">
      <c r="A17" s="209"/>
      <c r="B17" s="209"/>
      <c r="C17" s="209"/>
      <c r="D17" s="209"/>
      <c r="E17" s="209"/>
      <c r="F17" s="212"/>
      <c r="G17" s="213"/>
      <c r="H17" s="213"/>
      <c r="I17" s="214"/>
      <c r="J17" s="225"/>
      <c r="L17" s="226"/>
      <c r="M17" s="225"/>
      <c r="O17" s="218"/>
      <c r="P17" s="225"/>
      <c r="R17" s="218"/>
      <c r="S17" s="225"/>
      <c r="U17" s="218"/>
      <c r="V17" s="225"/>
      <c r="X17" s="218"/>
    </row>
    <row r="18">
      <c r="A18" s="209" t="s">
        <v>329</v>
      </c>
      <c r="B18" s="209" t="s">
        <v>325</v>
      </c>
      <c r="C18" s="210">
        <v>121.0</v>
      </c>
      <c r="D18" s="223">
        <v>4.4</v>
      </c>
      <c r="E18" s="210">
        <v>4.6</v>
      </c>
      <c r="F18" s="212">
        <v>4.6</v>
      </c>
      <c r="G18" s="213">
        <v>1.0</v>
      </c>
      <c r="H18" s="213">
        <v>0.0</v>
      </c>
      <c r="I18" s="214">
        <f>H18/G18</f>
        <v>0</v>
      </c>
      <c r="J18" s="215">
        <v>1.0</v>
      </c>
      <c r="K18" s="216">
        <v>0.0</v>
      </c>
      <c r="L18" s="217">
        <f>K18/J18</f>
        <v>0</v>
      </c>
      <c r="M18" s="215">
        <v>1.0</v>
      </c>
      <c r="N18" s="216">
        <v>0.0</v>
      </c>
      <c r="O18" s="218">
        <f>N18/M18</f>
        <v>0</v>
      </c>
      <c r="P18" s="215">
        <v>1.0</v>
      </c>
      <c r="Q18" s="216">
        <v>0.0</v>
      </c>
      <c r="R18" s="218">
        <f>Q18/P18</f>
        <v>0</v>
      </c>
      <c r="S18" s="215">
        <v>1.0</v>
      </c>
      <c r="T18" s="216">
        <v>0.0</v>
      </c>
      <c r="U18" s="218">
        <f>T18/S18</f>
        <v>0</v>
      </c>
      <c r="V18" s="215">
        <v>1.0</v>
      </c>
      <c r="W18" s="216">
        <v>0.0</v>
      </c>
      <c r="X18" s="218">
        <f>W18/V18</f>
        <v>0</v>
      </c>
    </row>
    <row r="19">
      <c r="A19" s="209"/>
      <c r="B19" s="209"/>
      <c r="C19" s="209"/>
      <c r="D19" s="209"/>
      <c r="E19" s="209"/>
      <c r="F19" s="212"/>
      <c r="G19" s="213"/>
      <c r="H19" s="213"/>
      <c r="I19" s="214"/>
      <c r="J19" s="225"/>
      <c r="L19" s="226"/>
      <c r="M19" s="225"/>
      <c r="O19" s="218"/>
      <c r="P19" s="225"/>
      <c r="R19" s="218"/>
      <c r="S19" s="225"/>
      <c r="U19" s="218"/>
      <c r="V19" s="225"/>
      <c r="X19" s="218"/>
    </row>
    <row r="20">
      <c r="A20" s="209" t="s">
        <v>104</v>
      </c>
      <c r="B20" s="209" t="s">
        <v>325</v>
      </c>
      <c r="C20" s="210">
        <v>120.0</v>
      </c>
      <c r="D20" s="211">
        <v>4.7</v>
      </c>
      <c r="E20" s="210">
        <v>4.3</v>
      </c>
      <c r="F20" s="212">
        <v>4.7</v>
      </c>
      <c r="G20" s="213">
        <v>1.0</v>
      </c>
      <c r="H20" s="213">
        <v>1.0</v>
      </c>
      <c r="I20" s="214">
        <f>H20/G20</f>
        <v>1</v>
      </c>
      <c r="J20" s="215">
        <v>1.0</v>
      </c>
      <c r="K20" s="216">
        <v>1.0</v>
      </c>
      <c r="L20" s="217">
        <f>K20/J20</f>
        <v>1</v>
      </c>
      <c r="M20" s="215">
        <v>1.0</v>
      </c>
      <c r="N20" s="216">
        <v>1.0</v>
      </c>
      <c r="O20" s="218">
        <f>N20/M20</f>
        <v>1</v>
      </c>
      <c r="P20" s="215">
        <v>1.0</v>
      </c>
      <c r="Q20" s="216">
        <v>1.0</v>
      </c>
      <c r="R20" s="218">
        <f>Q20/P20</f>
        <v>1</v>
      </c>
      <c r="S20" s="215">
        <v>1.0</v>
      </c>
      <c r="T20" s="216">
        <v>1.0</v>
      </c>
      <c r="U20" s="218">
        <f>T20/S20</f>
        <v>1</v>
      </c>
      <c r="V20" s="215">
        <v>1.0</v>
      </c>
      <c r="W20" s="216">
        <v>0.0</v>
      </c>
      <c r="X20" s="218">
        <f>W20/V20</f>
        <v>0</v>
      </c>
    </row>
    <row r="21">
      <c r="A21" s="209"/>
      <c r="B21" s="209"/>
      <c r="C21" s="209"/>
      <c r="D21" s="209"/>
      <c r="E21" s="209"/>
      <c r="F21" s="212"/>
      <c r="G21" s="213"/>
      <c r="H21" s="213"/>
      <c r="I21" s="214"/>
      <c r="J21" s="225"/>
      <c r="L21" s="226"/>
      <c r="M21" s="225"/>
      <c r="O21" s="218"/>
      <c r="P21" s="225"/>
      <c r="R21" s="218"/>
      <c r="S21" s="225"/>
      <c r="U21" s="218"/>
      <c r="V21" s="225"/>
      <c r="X21" s="218"/>
    </row>
    <row r="22">
      <c r="A22" s="229" t="s">
        <v>176</v>
      </c>
      <c r="B22" s="209"/>
      <c r="C22" s="210">
        <v>150.0</v>
      </c>
      <c r="D22" s="211">
        <v>4.6</v>
      </c>
      <c r="E22" s="210">
        <v>4.5</v>
      </c>
      <c r="F22" s="212">
        <v>4.6</v>
      </c>
      <c r="G22" s="213">
        <v>3.0</v>
      </c>
      <c r="H22" s="213">
        <v>2.0</v>
      </c>
      <c r="I22" s="214">
        <f t="shared" ref="I22:I23" si="19">H22/G22</f>
        <v>0.6666666667</v>
      </c>
      <c r="J22" s="225"/>
      <c r="L22" s="226"/>
      <c r="M22" s="225"/>
      <c r="O22" s="218"/>
      <c r="P22" s="225"/>
      <c r="R22" s="218"/>
      <c r="S22" s="225"/>
      <c r="U22" s="218"/>
      <c r="V22" s="225"/>
      <c r="X22" s="218"/>
    </row>
    <row r="23">
      <c r="A23" s="229" t="s">
        <v>176</v>
      </c>
      <c r="B23" s="209"/>
      <c r="C23" s="210">
        <v>193.0</v>
      </c>
      <c r="D23" s="211">
        <v>4.8</v>
      </c>
      <c r="E23" s="210">
        <v>4.7</v>
      </c>
      <c r="F23" s="212">
        <v>4.6</v>
      </c>
      <c r="G23" s="213">
        <v>1.0</v>
      </c>
      <c r="H23" s="213">
        <v>1.0</v>
      </c>
      <c r="I23" s="214">
        <f t="shared" si="19"/>
        <v>1</v>
      </c>
      <c r="J23" s="225"/>
      <c r="L23" s="226"/>
      <c r="M23" s="225"/>
      <c r="O23" s="218"/>
      <c r="P23" s="225"/>
      <c r="R23" s="218"/>
      <c r="S23" s="225"/>
      <c r="U23" s="218"/>
      <c r="V23" s="225"/>
      <c r="X23" s="218"/>
    </row>
    <row r="24">
      <c r="A24" s="229"/>
      <c r="B24" s="209"/>
      <c r="C24" s="209"/>
      <c r="D24" s="209"/>
      <c r="E24" s="209"/>
      <c r="F24" s="212"/>
      <c r="G24" s="213"/>
      <c r="H24" s="213"/>
      <c r="I24" s="214"/>
      <c r="J24" s="225"/>
      <c r="L24" s="226"/>
      <c r="M24" s="225"/>
      <c r="O24" s="218"/>
      <c r="P24" s="225"/>
      <c r="R24" s="218"/>
      <c r="S24" s="225"/>
      <c r="U24" s="218"/>
      <c r="V24" s="225"/>
      <c r="X24" s="218"/>
    </row>
    <row r="25">
      <c r="A25" s="229" t="s">
        <v>330</v>
      </c>
      <c r="B25" s="209" t="s">
        <v>331</v>
      </c>
      <c r="C25" s="210">
        <v>33.0</v>
      </c>
      <c r="D25" s="223">
        <v>4.0</v>
      </c>
      <c r="E25" s="210">
        <v>4.4</v>
      </c>
      <c r="F25" s="212">
        <v>4.5</v>
      </c>
      <c r="G25" s="213">
        <v>1.0</v>
      </c>
      <c r="H25" s="213">
        <v>0.0</v>
      </c>
      <c r="I25" s="214">
        <f t="shared" ref="I25:I26" si="20">H25/G25</f>
        <v>0</v>
      </c>
      <c r="J25" s="225"/>
      <c r="L25" s="226"/>
      <c r="M25" s="225"/>
      <c r="O25" s="218"/>
      <c r="P25" s="225"/>
      <c r="R25" s="218"/>
      <c r="S25" s="225"/>
      <c r="U25" s="218"/>
      <c r="V25" s="225"/>
      <c r="X25" s="218"/>
    </row>
    <row r="26">
      <c r="A26" s="229" t="s">
        <v>332</v>
      </c>
      <c r="B26" s="209" t="s">
        <v>333</v>
      </c>
      <c r="C26" s="210">
        <v>117.0</v>
      </c>
      <c r="D26" s="223">
        <v>4.4</v>
      </c>
      <c r="E26" s="210">
        <v>4.5</v>
      </c>
      <c r="F26" s="212">
        <v>4.5</v>
      </c>
      <c r="G26" s="213">
        <v>1.0</v>
      </c>
      <c r="H26" s="213">
        <v>0.0</v>
      </c>
      <c r="I26" s="214">
        <f t="shared" si="20"/>
        <v>0</v>
      </c>
      <c r="J26" s="225"/>
      <c r="L26" s="226"/>
      <c r="M26" s="225"/>
      <c r="O26" s="218"/>
      <c r="P26" s="225"/>
      <c r="R26" s="218"/>
      <c r="S26" s="225"/>
      <c r="U26" s="218"/>
      <c r="V26" s="225"/>
      <c r="X26" s="218"/>
    </row>
    <row r="27">
      <c r="A27" s="229"/>
      <c r="B27" s="209"/>
      <c r="C27" s="209"/>
      <c r="D27" s="209"/>
      <c r="E27" s="209"/>
      <c r="F27" s="212"/>
      <c r="G27" s="213"/>
      <c r="H27" s="213"/>
      <c r="I27" s="214"/>
      <c r="J27" s="225"/>
      <c r="L27" s="226"/>
      <c r="M27" s="225"/>
      <c r="O27" s="218"/>
      <c r="P27" s="225"/>
      <c r="R27" s="218"/>
      <c r="S27" s="225"/>
      <c r="U27" s="218"/>
      <c r="V27" s="225"/>
      <c r="X27" s="218"/>
    </row>
    <row r="28">
      <c r="A28" s="229" t="s">
        <v>334</v>
      </c>
      <c r="B28" s="209" t="s">
        <v>335</v>
      </c>
      <c r="C28" s="210" t="s">
        <v>336</v>
      </c>
      <c r="D28" s="210" t="s">
        <v>336</v>
      </c>
      <c r="E28" s="210" t="s">
        <v>336</v>
      </c>
      <c r="F28" s="212">
        <v>4.6</v>
      </c>
      <c r="G28" s="213">
        <v>1.0</v>
      </c>
      <c r="H28" s="213">
        <v>1.0</v>
      </c>
      <c r="I28" s="214">
        <f>H28/G28</f>
        <v>1</v>
      </c>
      <c r="J28" s="225"/>
      <c r="L28" s="226"/>
      <c r="M28" s="225"/>
      <c r="O28" s="218"/>
      <c r="P28" s="225"/>
      <c r="R28" s="218"/>
      <c r="S28" s="225"/>
      <c r="U28" s="218"/>
      <c r="V28" s="225"/>
      <c r="X28" s="218"/>
    </row>
    <row r="29">
      <c r="A29" s="209"/>
      <c r="B29" s="209"/>
      <c r="C29" s="209"/>
      <c r="D29" s="209"/>
      <c r="E29" s="209"/>
      <c r="F29" s="212"/>
      <c r="G29" s="213"/>
      <c r="H29" s="213"/>
      <c r="I29" s="214"/>
      <c r="J29" s="225"/>
      <c r="L29" s="226"/>
      <c r="M29" s="225"/>
      <c r="O29" s="218"/>
      <c r="P29" s="225"/>
      <c r="R29" s="218"/>
      <c r="S29" s="225"/>
      <c r="U29" s="218"/>
      <c r="V29" s="225"/>
      <c r="X29" s="218"/>
    </row>
    <row r="30">
      <c r="A30" s="209" t="s">
        <v>337</v>
      </c>
      <c r="B30" s="209" t="s">
        <v>338</v>
      </c>
      <c r="C30" s="210">
        <v>1592.0</v>
      </c>
      <c r="D30" s="211">
        <v>4.6</v>
      </c>
      <c r="E30" s="210">
        <v>4.6</v>
      </c>
      <c r="F30" s="212">
        <v>4.7</v>
      </c>
      <c r="G30" s="213">
        <v>5.0</v>
      </c>
      <c r="H30" s="213">
        <v>3.0</v>
      </c>
      <c r="I30" s="214">
        <f t="shared" ref="I30:I34" si="21">H30/G30</f>
        <v>0.6</v>
      </c>
      <c r="J30" s="215">
        <v>12.0</v>
      </c>
      <c r="K30" s="216">
        <v>6.0</v>
      </c>
      <c r="L30" s="217">
        <f t="shared" ref="L30:L34" si="22">K30/J30</f>
        <v>0.5</v>
      </c>
      <c r="M30" s="215">
        <v>12.0</v>
      </c>
      <c r="N30" s="220">
        <v>5.0</v>
      </c>
      <c r="O30" s="218">
        <f t="shared" ref="O30:O34" si="23">N30/M30</f>
        <v>0.4166666667</v>
      </c>
      <c r="P30" s="215">
        <v>13.0</v>
      </c>
      <c r="Q30" s="216">
        <v>6.0</v>
      </c>
      <c r="R30" s="219">
        <f t="shared" ref="R30:R34" si="24">Q30/P30</f>
        <v>0.4615384615</v>
      </c>
      <c r="S30" s="215">
        <v>13.0</v>
      </c>
      <c r="T30" s="216">
        <v>7.0</v>
      </c>
      <c r="U30" s="218">
        <f t="shared" ref="U30:U34" si="25">T30/S30</f>
        <v>0.5384615385</v>
      </c>
      <c r="V30" s="215">
        <v>18.0</v>
      </c>
      <c r="W30" s="216">
        <v>11.0</v>
      </c>
      <c r="X30" s="218">
        <f t="shared" ref="X30:X34" si="26">W30/V30</f>
        <v>0.6111111111</v>
      </c>
    </row>
    <row r="31">
      <c r="A31" s="209" t="s">
        <v>337</v>
      </c>
      <c r="B31" s="209" t="s">
        <v>339</v>
      </c>
      <c r="C31" s="210">
        <v>207.0</v>
      </c>
      <c r="D31" s="223">
        <v>4.5</v>
      </c>
      <c r="E31" s="210">
        <v>4.7</v>
      </c>
      <c r="F31" s="212">
        <v>4.7</v>
      </c>
      <c r="G31" s="213">
        <v>2.0</v>
      </c>
      <c r="H31" s="213">
        <v>1.0</v>
      </c>
      <c r="I31" s="214">
        <f t="shared" si="21"/>
        <v>0.5</v>
      </c>
      <c r="J31" s="215">
        <v>2.0</v>
      </c>
      <c r="K31" s="216">
        <v>1.0</v>
      </c>
      <c r="L31" s="217">
        <f t="shared" si="22"/>
        <v>0.5</v>
      </c>
      <c r="M31" s="215">
        <v>2.0</v>
      </c>
      <c r="N31" s="216">
        <v>1.0</v>
      </c>
      <c r="O31" s="218">
        <f t="shared" si="23"/>
        <v>0.5</v>
      </c>
      <c r="P31" s="215">
        <v>2.0</v>
      </c>
      <c r="Q31" s="216">
        <v>1.0</v>
      </c>
      <c r="R31" s="218">
        <f t="shared" si="24"/>
        <v>0.5</v>
      </c>
      <c r="S31" s="215">
        <v>2.0</v>
      </c>
      <c r="T31" s="216">
        <v>1.0</v>
      </c>
      <c r="U31" s="218">
        <f t="shared" si="25"/>
        <v>0.5</v>
      </c>
      <c r="V31" s="215">
        <v>2.0</v>
      </c>
      <c r="W31" s="216">
        <v>1.0</v>
      </c>
      <c r="X31" s="218">
        <f t="shared" si="26"/>
        <v>0.5</v>
      </c>
    </row>
    <row r="32">
      <c r="A32" s="209" t="s">
        <v>337</v>
      </c>
      <c r="B32" s="209" t="s">
        <v>340</v>
      </c>
      <c r="C32" s="210">
        <v>124.0</v>
      </c>
      <c r="D32" s="230">
        <v>4.2</v>
      </c>
      <c r="E32" s="210">
        <v>4.8</v>
      </c>
      <c r="F32" s="224">
        <v>4.6</v>
      </c>
      <c r="G32" s="213">
        <v>2.0</v>
      </c>
      <c r="H32" s="213">
        <v>0.0</v>
      </c>
      <c r="I32" s="214">
        <f t="shared" si="21"/>
        <v>0</v>
      </c>
      <c r="J32" s="215">
        <v>2.0</v>
      </c>
      <c r="K32" s="216">
        <v>0.0</v>
      </c>
      <c r="L32" s="217">
        <f t="shared" si="22"/>
        <v>0</v>
      </c>
      <c r="M32" s="215">
        <v>2.0</v>
      </c>
      <c r="N32" s="216">
        <v>0.0</v>
      </c>
      <c r="O32" s="221">
        <f t="shared" si="23"/>
        <v>0</v>
      </c>
      <c r="P32" s="215">
        <v>6.0</v>
      </c>
      <c r="Q32" s="216">
        <v>2.0</v>
      </c>
      <c r="R32" s="221">
        <f t="shared" si="24"/>
        <v>0.3333333333</v>
      </c>
      <c r="S32" s="215">
        <v>3.0</v>
      </c>
      <c r="T32" s="216">
        <v>0.0</v>
      </c>
      <c r="U32" s="218">
        <f t="shared" si="25"/>
        <v>0</v>
      </c>
      <c r="V32" s="215">
        <v>4.0</v>
      </c>
      <c r="W32" s="216">
        <v>1.0</v>
      </c>
      <c r="X32" s="218">
        <f t="shared" si="26"/>
        <v>0.25</v>
      </c>
    </row>
    <row r="33">
      <c r="A33" s="209" t="s">
        <v>337</v>
      </c>
      <c r="B33" s="209" t="s">
        <v>112</v>
      </c>
      <c r="C33" s="210">
        <v>4274.0</v>
      </c>
      <c r="D33" s="223">
        <v>4.6</v>
      </c>
      <c r="E33" s="210">
        <v>4.7</v>
      </c>
      <c r="F33" s="212">
        <v>4.7</v>
      </c>
      <c r="G33" s="213">
        <v>4.0</v>
      </c>
      <c r="H33" s="213">
        <v>0.0</v>
      </c>
      <c r="I33" s="214">
        <f t="shared" si="21"/>
        <v>0</v>
      </c>
      <c r="J33" s="215">
        <v>4.0</v>
      </c>
      <c r="K33" s="216">
        <v>0.0</v>
      </c>
      <c r="L33" s="217">
        <f t="shared" si="22"/>
        <v>0</v>
      </c>
      <c r="M33" s="215">
        <v>4.0</v>
      </c>
      <c r="N33" s="216">
        <v>0.0</v>
      </c>
      <c r="O33" s="218">
        <f t="shared" si="23"/>
        <v>0</v>
      </c>
      <c r="P33" s="215">
        <v>7.0</v>
      </c>
      <c r="Q33" s="216">
        <v>0.0</v>
      </c>
      <c r="R33" s="218">
        <f t="shared" si="24"/>
        <v>0</v>
      </c>
      <c r="S33" s="215">
        <v>7.0</v>
      </c>
      <c r="T33" s="216">
        <v>1.0</v>
      </c>
      <c r="U33" s="218">
        <f t="shared" si="25"/>
        <v>0.1428571429</v>
      </c>
      <c r="V33" s="215">
        <v>6.0</v>
      </c>
      <c r="W33" s="216">
        <v>2.0</v>
      </c>
      <c r="X33" s="218">
        <f t="shared" si="26"/>
        <v>0.3333333333</v>
      </c>
    </row>
    <row r="34">
      <c r="A34" s="209" t="s">
        <v>337</v>
      </c>
      <c r="B34" s="209" t="s">
        <v>115</v>
      </c>
      <c r="C34" s="210">
        <v>1160.0</v>
      </c>
      <c r="D34" s="223">
        <v>4.4</v>
      </c>
      <c r="E34" s="210">
        <v>4.5</v>
      </c>
      <c r="F34" s="212">
        <v>4.5</v>
      </c>
      <c r="G34" s="213">
        <v>1.0</v>
      </c>
      <c r="H34" s="213">
        <v>0.0</v>
      </c>
      <c r="I34" s="214">
        <f t="shared" si="21"/>
        <v>0</v>
      </c>
      <c r="J34" s="215">
        <v>1.0</v>
      </c>
      <c r="K34" s="216">
        <v>0.0</v>
      </c>
      <c r="L34" s="217">
        <f t="shared" si="22"/>
        <v>0</v>
      </c>
      <c r="M34" s="215">
        <v>1.0</v>
      </c>
      <c r="N34" s="216">
        <v>0.0</v>
      </c>
      <c r="O34" s="218">
        <f t="shared" si="23"/>
        <v>0</v>
      </c>
      <c r="P34" s="215">
        <v>2.0</v>
      </c>
      <c r="Q34" s="216">
        <v>1.0</v>
      </c>
      <c r="R34" s="218">
        <f t="shared" si="24"/>
        <v>0.5</v>
      </c>
      <c r="S34" s="215">
        <v>2.0</v>
      </c>
      <c r="T34" s="216">
        <v>1.0</v>
      </c>
      <c r="U34" s="218">
        <f t="shared" si="25"/>
        <v>0.5</v>
      </c>
      <c r="V34" s="215">
        <v>3.0</v>
      </c>
      <c r="W34" s="216">
        <v>2.0</v>
      </c>
      <c r="X34" s="218">
        <f t="shared" si="26"/>
        <v>0.6666666667</v>
      </c>
    </row>
    <row r="35">
      <c r="A35" s="209"/>
      <c r="B35" s="209"/>
      <c r="C35" s="209"/>
      <c r="D35" s="209"/>
      <c r="E35" s="209"/>
      <c r="F35" s="212"/>
      <c r="G35" s="213"/>
      <c r="H35" s="213"/>
      <c r="I35" s="214"/>
      <c r="J35" s="225"/>
      <c r="L35" s="226"/>
      <c r="M35" s="225"/>
      <c r="O35" s="218"/>
      <c r="P35" s="225"/>
      <c r="R35" s="218"/>
      <c r="S35" s="225"/>
      <c r="U35" s="218"/>
      <c r="V35" s="225"/>
      <c r="X35" s="218"/>
    </row>
    <row r="36">
      <c r="A36" s="209" t="s">
        <v>116</v>
      </c>
      <c r="B36" s="209" t="s">
        <v>325</v>
      </c>
      <c r="C36" s="210">
        <v>2383.0</v>
      </c>
      <c r="D36" s="230">
        <v>4.2</v>
      </c>
      <c r="E36" s="210">
        <v>4.7</v>
      </c>
      <c r="F36" s="212">
        <v>4.6</v>
      </c>
      <c r="G36" s="213">
        <v>15.0</v>
      </c>
      <c r="H36" s="213">
        <v>4.0</v>
      </c>
      <c r="I36" s="214">
        <f>H36/G36</f>
        <v>0.2666666667</v>
      </c>
      <c r="J36" s="215">
        <v>15.0</v>
      </c>
      <c r="K36" s="216">
        <v>3.0</v>
      </c>
      <c r="L36" s="217">
        <f>K36/J36</f>
        <v>0.2</v>
      </c>
      <c r="M36" s="215">
        <v>15.0</v>
      </c>
      <c r="N36" s="216">
        <v>3.0</v>
      </c>
      <c r="O36" s="218">
        <f>N36/M36</f>
        <v>0.2</v>
      </c>
      <c r="P36" s="215">
        <v>39.0</v>
      </c>
      <c r="Q36" s="216">
        <v>12.0</v>
      </c>
      <c r="R36" s="219">
        <f>Q36/P36</f>
        <v>0.3076923077</v>
      </c>
      <c r="S36" s="215">
        <v>34.0</v>
      </c>
      <c r="T36" s="216">
        <v>11.0</v>
      </c>
      <c r="U36" s="218">
        <f>T36/S36</f>
        <v>0.3235294118</v>
      </c>
      <c r="V36" s="215">
        <v>33.0</v>
      </c>
      <c r="W36" s="216">
        <v>10.0</v>
      </c>
      <c r="X36" s="218">
        <f>W36/V36</f>
        <v>0.303030303</v>
      </c>
    </row>
    <row r="37">
      <c r="A37" s="209"/>
      <c r="B37" s="209"/>
      <c r="C37" s="209"/>
      <c r="D37" s="209"/>
      <c r="E37" s="209"/>
      <c r="F37" s="212"/>
      <c r="G37" s="213"/>
      <c r="H37" s="213"/>
      <c r="I37" s="214"/>
      <c r="J37" s="225"/>
      <c r="L37" s="226"/>
      <c r="M37" s="225"/>
      <c r="O37" s="218"/>
      <c r="P37" s="225"/>
      <c r="R37" s="218"/>
      <c r="S37" s="225"/>
      <c r="U37" s="218"/>
      <c r="V37" s="225"/>
      <c r="X37" s="218"/>
    </row>
    <row r="38">
      <c r="A38" s="209" t="s">
        <v>122</v>
      </c>
      <c r="B38" s="209" t="s">
        <v>325</v>
      </c>
      <c r="C38" s="210">
        <v>87.0</v>
      </c>
      <c r="D38" s="230">
        <v>4.3</v>
      </c>
      <c r="E38" s="210">
        <v>4.7</v>
      </c>
      <c r="F38" s="212">
        <v>4.7</v>
      </c>
      <c r="G38" s="213">
        <v>1.0</v>
      </c>
      <c r="H38" s="213">
        <v>0.0</v>
      </c>
      <c r="I38" s="214">
        <f>H38/G38</f>
        <v>0</v>
      </c>
      <c r="J38" s="215">
        <v>1.0</v>
      </c>
      <c r="K38" s="216">
        <v>0.0</v>
      </c>
      <c r="L38" s="217">
        <f>K38/J38</f>
        <v>0</v>
      </c>
      <c r="M38" s="215">
        <v>1.0</v>
      </c>
      <c r="N38" s="216">
        <v>0.0</v>
      </c>
      <c r="O38" s="218">
        <f>N38/M38</f>
        <v>0</v>
      </c>
      <c r="P38" s="215">
        <v>2.0</v>
      </c>
      <c r="Q38" s="216">
        <v>0.0</v>
      </c>
      <c r="R38" s="218">
        <f>Q38/P38</f>
        <v>0</v>
      </c>
      <c r="S38" s="215">
        <v>2.0</v>
      </c>
      <c r="T38" s="216">
        <v>0.0</v>
      </c>
      <c r="U38" s="218">
        <f>T38/S38</f>
        <v>0</v>
      </c>
      <c r="V38" s="215">
        <v>1.0</v>
      </c>
      <c r="W38" s="216">
        <v>0.0</v>
      </c>
      <c r="X38" s="218">
        <f>W38/V38</f>
        <v>0</v>
      </c>
    </row>
    <row r="39">
      <c r="A39" s="209"/>
      <c r="B39" s="209"/>
      <c r="C39" s="209"/>
      <c r="D39" s="209"/>
      <c r="E39" s="209"/>
      <c r="F39" s="212"/>
      <c r="G39" s="213"/>
      <c r="H39" s="213"/>
      <c r="I39" s="214"/>
      <c r="J39" s="225"/>
      <c r="L39" s="226"/>
      <c r="M39" s="225"/>
      <c r="O39" s="218"/>
      <c r="P39" s="225"/>
      <c r="R39" s="218"/>
      <c r="S39" s="225"/>
      <c r="U39" s="218"/>
      <c r="V39" s="225"/>
      <c r="X39" s="218"/>
    </row>
    <row r="40">
      <c r="A40" s="209" t="s">
        <v>341</v>
      </c>
      <c r="B40" s="209" t="s">
        <v>325</v>
      </c>
      <c r="C40" s="210">
        <v>906.0</v>
      </c>
      <c r="D40" s="211">
        <v>4.8</v>
      </c>
      <c r="E40" s="210">
        <v>4.8</v>
      </c>
      <c r="F40" s="212">
        <v>4.8</v>
      </c>
      <c r="G40" s="213">
        <v>2.0</v>
      </c>
      <c r="H40" s="213">
        <v>2.0</v>
      </c>
      <c r="I40" s="214">
        <f>H40/G40</f>
        <v>1</v>
      </c>
      <c r="J40" s="215">
        <v>2.0</v>
      </c>
      <c r="K40" s="216">
        <v>2.0</v>
      </c>
      <c r="L40" s="217">
        <f>K40/J40</f>
        <v>1</v>
      </c>
      <c r="M40" s="215">
        <v>2.0</v>
      </c>
      <c r="N40" s="216">
        <v>2.0</v>
      </c>
      <c r="O40" s="218">
        <f>N40/M40</f>
        <v>1</v>
      </c>
      <c r="P40" s="215">
        <v>4.0</v>
      </c>
      <c r="Q40" s="216">
        <v>2.0</v>
      </c>
      <c r="R40" s="228">
        <f>Q40/P40</f>
        <v>0.5</v>
      </c>
      <c r="S40" s="215">
        <v>4.0</v>
      </c>
      <c r="T40" s="216">
        <v>2.0</v>
      </c>
      <c r="U40" s="218">
        <f>T40/S40</f>
        <v>0.5</v>
      </c>
      <c r="V40" s="215">
        <v>5.0</v>
      </c>
      <c r="W40" s="216">
        <v>2.0</v>
      </c>
      <c r="X40" s="218">
        <f>W40/V40</f>
        <v>0.4</v>
      </c>
    </row>
    <row r="41">
      <c r="A41" s="209"/>
      <c r="B41" s="209"/>
      <c r="C41" s="209"/>
      <c r="D41" s="209"/>
      <c r="E41" s="209"/>
      <c r="F41" s="212"/>
      <c r="G41" s="213"/>
      <c r="H41" s="213"/>
      <c r="I41" s="214"/>
      <c r="J41" s="225"/>
      <c r="L41" s="226"/>
      <c r="M41" s="225"/>
      <c r="O41" s="218"/>
      <c r="P41" s="225"/>
      <c r="R41" s="218"/>
      <c r="S41" s="225"/>
      <c r="U41" s="218"/>
      <c r="V41" s="225"/>
      <c r="X41" s="226"/>
    </row>
    <row r="42">
      <c r="A42" s="229" t="s">
        <v>342</v>
      </c>
      <c r="B42" s="209" t="s">
        <v>325</v>
      </c>
      <c r="C42" s="210">
        <v>149.0</v>
      </c>
      <c r="D42" s="223">
        <v>4.5</v>
      </c>
      <c r="E42" s="210">
        <v>4.7</v>
      </c>
      <c r="F42" s="212">
        <v>4.7</v>
      </c>
      <c r="G42" s="213">
        <v>1.0</v>
      </c>
      <c r="H42" s="213">
        <v>0.0</v>
      </c>
      <c r="I42" s="214">
        <f>H42/G42</f>
        <v>0</v>
      </c>
      <c r="J42" s="225"/>
      <c r="L42" s="226"/>
      <c r="M42" s="225"/>
      <c r="O42" s="218"/>
      <c r="P42" s="225"/>
      <c r="R42" s="218"/>
      <c r="S42" s="225"/>
      <c r="U42" s="218"/>
      <c r="V42" s="225"/>
      <c r="X42" s="226"/>
    </row>
    <row r="43">
      <c r="A43" s="229"/>
      <c r="B43" s="209"/>
      <c r="C43" s="209"/>
      <c r="D43" s="209"/>
      <c r="E43" s="209"/>
      <c r="F43" s="212"/>
      <c r="G43" s="213"/>
      <c r="H43" s="213"/>
      <c r="I43" s="214"/>
      <c r="J43" s="225"/>
      <c r="L43" s="226"/>
      <c r="M43" s="225"/>
      <c r="O43" s="218"/>
      <c r="P43" s="225"/>
      <c r="R43" s="218"/>
      <c r="S43" s="225"/>
      <c r="U43" s="218"/>
      <c r="V43" s="225"/>
      <c r="X43" s="226"/>
    </row>
    <row r="44">
      <c r="A44" s="229" t="s">
        <v>343</v>
      </c>
      <c r="B44" s="209" t="s">
        <v>325</v>
      </c>
      <c r="C44" s="210">
        <v>97.0</v>
      </c>
      <c r="D44" s="223">
        <v>4.4</v>
      </c>
      <c r="E44" s="210">
        <v>4.5</v>
      </c>
      <c r="F44" s="212">
        <v>4.5</v>
      </c>
      <c r="G44" s="213">
        <v>1.0</v>
      </c>
      <c r="H44" s="213">
        <v>0.0</v>
      </c>
      <c r="I44" s="214">
        <f>H44/G44</f>
        <v>0</v>
      </c>
      <c r="J44" s="225"/>
      <c r="L44" s="226"/>
      <c r="M44" s="225"/>
      <c r="O44" s="218"/>
      <c r="P44" s="225"/>
      <c r="R44" s="218"/>
      <c r="S44" s="225"/>
      <c r="U44" s="218"/>
      <c r="V44" s="225"/>
      <c r="X44" s="226"/>
    </row>
    <row r="45">
      <c r="A45" s="229"/>
      <c r="B45" s="209"/>
      <c r="C45" s="209"/>
      <c r="D45" s="209"/>
      <c r="E45" s="209"/>
      <c r="F45" s="212"/>
      <c r="G45" s="213"/>
      <c r="H45" s="213"/>
      <c r="I45" s="214"/>
      <c r="J45" s="225"/>
      <c r="L45" s="226"/>
      <c r="M45" s="225"/>
      <c r="O45" s="218"/>
      <c r="P45" s="225"/>
      <c r="R45" s="218"/>
      <c r="S45" s="225"/>
      <c r="U45" s="218"/>
      <c r="V45" s="225"/>
      <c r="X45" s="226"/>
    </row>
    <row r="46">
      <c r="A46" s="229" t="s">
        <v>344</v>
      </c>
      <c r="B46" s="209" t="s">
        <v>325</v>
      </c>
      <c r="C46" s="210">
        <v>139.0</v>
      </c>
      <c r="D46" s="223">
        <v>4.5</v>
      </c>
      <c r="E46" s="210">
        <v>4.7</v>
      </c>
      <c r="F46" s="212">
        <v>4.7</v>
      </c>
      <c r="G46" s="213">
        <v>1.0</v>
      </c>
      <c r="H46" s="213">
        <v>0.0</v>
      </c>
      <c r="I46" s="214">
        <f>H46/G46</f>
        <v>0</v>
      </c>
      <c r="J46" s="225"/>
      <c r="L46" s="226"/>
      <c r="M46" s="225"/>
      <c r="O46" s="218"/>
      <c r="P46" s="225"/>
      <c r="R46" s="218"/>
      <c r="S46" s="225"/>
      <c r="U46" s="218"/>
      <c r="V46" s="225"/>
      <c r="X46" s="226"/>
    </row>
    <row r="47">
      <c r="A47" s="229"/>
      <c r="B47" s="209"/>
      <c r="C47" s="209"/>
      <c r="D47" s="209"/>
      <c r="E47" s="209"/>
      <c r="F47" s="212"/>
      <c r="G47" s="213"/>
      <c r="H47" s="213"/>
      <c r="I47" s="214"/>
      <c r="J47" s="225"/>
      <c r="L47" s="226"/>
      <c r="M47" s="225"/>
      <c r="O47" s="218"/>
      <c r="P47" s="225"/>
      <c r="R47" s="218"/>
      <c r="S47" s="225"/>
      <c r="U47" s="218"/>
      <c r="V47" s="225"/>
      <c r="X47" s="226"/>
    </row>
    <row r="48">
      <c r="A48" s="229" t="s">
        <v>345</v>
      </c>
      <c r="B48" s="209" t="s">
        <v>325</v>
      </c>
      <c r="C48" s="210">
        <v>478.0</v>
      </c>
      <c r="D48" s="211">
        <v>4.6</v>
      </c>
      <c r="E48" s="210">
        <v>4.6</v>
      </c>
      <c r="F48" s="212">
        <v>4.6</v>
      </c>
      <c r="G48" s="213">
        <v>3.0</v>
      </c>
      <c r="H48" s="213">
        <v>0.0</v>
      </c>
      <c r="I48" s="214">
        <f>H48/G48</f>
        <v>0</v>
      </c>
      <c r="J48" s="225"/>
      <c r="L48" s="226"/>
      <c r="M48" s="225"/>
      <c r="O48" s="218"/>
      <c r="P48" s="225"/>
      <c r="R48" s="218"/>
      <c r="S48" s="225"/>
      <c r="U48" s="218"/>
      <c r="V48" s="225"/>
      <c r="X48" s="226"/>
    </row>
    <row r="49">
      <c r="A49" s="229"/>
      <c r="B49" s="209"/>
      <c r="C49" s="209"/>
      <c r="D49" s="209"/>
      <c r="E49" s="209"/>
      <c r="F49" s="212"/>
      <c r="G49" s="213"/>
      <c r="H49" s="213"/>
      <c r="I49" s="214"/>
      <c r="J49" s="225"/>
      <c r="L49" s="226"/>
      <c r="M49" s="225"/>
      <c r="O49" s="218"/>
      <c r="P49" s="225"/>
      <c r="R49" s="218"/>
      <c r="S49" s="225"/>
      <c r="U49" s="218"/>
      <c r="V49" s="225"/>
      <c r="X49" s="226"/>
    </row>
    <row r="50">
      <c r="A50" s="229" t="s">
        <v>346</v>
      </c>
      <c r="B50" s="209" t="s">
        <v>325</v>
      </c>
      <c r="C50" s="210">
        <v>317.0</v>
      </c>
      <c r="D50" s="223">
        <v>4.4</v>
      </c>
      <c r="E50" s="210">
        <v>4.6</v>
      </c>
      <c r="F50" s="212">
        <v>4.6</v>
      </c>
      <c r="G50" s="213">
        <v>2.0</v>
      </c>
      <c r="H50" s="213">
        <v>0.0</v>
      </c>
      <c r="I50" s="214">
        <f>H50/G50</f>
        <v>0</v>
      </c>
      <c r="J50" s="225"/>
      <c r="L50" s="226"/>
      <c r="M50" s="225"/>
      <c r="O50" s="218"/>
      <c r="P50" s="225"/>
      <c r="R50" s="218"/>
      <c r="S50" s="225"/>
      <c r="U50" s="218"/>
      <c r="V50" s="225"/>
      <c r="X50" s="226"/>
    </row>
    <row r="51">
      <c r="A51" s="229"/>
      <c r="B51" s="209"/>
      <c r="C51" s="209"/>
      <c r="D51" s="209"/>
      <c r="E51" s="209"/>
      <c r="F51" s="212"/>
      <c r="G51" s="213"/>
      <c r="H51" s="213"/>
      <c r="I51" s="214"/>
      <c r="J51" s="225"/>
      <c r="L51" s="226"/>
      <c r="M51" s="225"/>
      <c r="O51" s="218"/>
      <c r="P51" s="225"/>
      <c r="R51" s="218"/>
      <c r="S51" s="225"/>
      <c r="U51" s="218"/>
      <c r="V51" s="225"/>
      <c r="X51" s="226"/>
    </row>
    <row r="52">
      <c r="A52" s="229" t="s">
        <v>347</v>
      </c>
      <c r="B52" s="209" t="s">
        <v>325</v>
      </c>
      <c r="C52" s="210">
        <v>109.0</v>
      </c>
      <c r="D52" s="211">
        <v>4.7</v>
      </c>
      <c r="E52" s="210">
        <v>4.6</v>
      </c>
      <c r="F52" s="212">
        <v>4.7</v>
      </c>
      <c r="G52" s="213">
        <v>1.0</v>
      </c>
      <c r="H52" s="213">
        <v>0.0</v>
      </c>
      <c r="I52" s="214">
        <f>H52/G52</f>
        <v>0</v>
      </c>
      <c r="J52" s="225"/>
      <c r="L52" s="226"/>
      <c r="M52" s="225"/>
      <c r="O52" s="218"/>
      <c r="P52" s="225"/>
      <c r="R52" s="218"/>
      <c r="S52" s="225"/>
      <c r="U52" s="218"/>
      <c r="V52" s="225"/>
      <c r="X52" s="226"/>
    </row>
    <row r="53">
      <c r="A53" s="229"/>
      <c r="B53" s="209"/>
      <c r="C53" s="209"/>
      <c r="D53" s="209"/>
      <c r="E53" s="209"/>
      <c r="F53" s="212"/>
      <c r="G53" s="213"/>
      <c r="H53" s="213"/>
      <c r="I53" s="214"/>
      <c r="J53" s="225"/>
      <c r="L53" s="226"/>
      <c r="M53" s="225"/>
      <c r="O53" s="218"/>
      <c r="P53" s="225"/>
      <c r="R53" s="218"/>
      <c r="S53" s="225"/>
      <c r="U53" s="218"/>
      <c r="V53" s="225"/>
      <c r="X53" s="226"/>
    </row>
    <row r="54">
      <c r="A54" s="229" t="s">
        <v>348</v>
      </c>
      <c r="B54" s="209" t="s">
        <v>325</v>
      </c>
      <c r="C54" s="210">
        <v>25.0</v>
      </c>
      <c r="D54" s="231">
        <v>3.9</v>
      </c>
      <c r="E54" s="210">
        <v>4.7</v>
      </c>
      <c r="F54" s="212">
        <v>4.7</v>
      </c>
      <c r="G54" s="213">
        <v>1.0</v>
      </c>
      <c r="H54" s="213">
        <v>0.0</v>
      </c>
      <c r="I54" s="214">
        <f>H54/G54</f>
        <v>0</v>
      </c>
      <c r="J54" s="225"/>
      <c r="L54" s="226"/>
      <c r="M54" s="225"/>
      <c r="O54" s="218"/>
      <c r="P54" s="225"/>
      <c r="R54" s="218"/>
      <c r="S54" s="225"/>
      <c r="U54" s="218"/>
      <c r="V54" s="225"/>
      <c r="X54" s="226"/>
    </row>
    <row r="55">
      <c r="A55" s="229"/>
      <c r="B55" s="209"/>
      <c r="C55" s="209"/>
      <c r="D55" s="209"/>
      <c r="E55" s="209"/>
      <c r="F55" s="212"/>
      <c r="G55" s="213"/>
      <c r="H55" s="213"/>
      <c r="I55" s="214"/>
      <c r="J55" s="225"/>
      <c r="L55" s="226"/>
      <c r="M55" s="225"/>
      <c r="O55" s="218"/>
      <c r="P55" s="225"/>
      <c r="R55" s="218"/>
      <c r="S55" s="225"/>
      <c r="U55" s="218"/>
      <c r="V55" s="225"/>
      <c r="X55" s="226"/>
    </row>
    <row r="56">
      <c r="A56" s="229" t="s">
        <v>349</v>
      </c>
      <c r="B56" s="209" t="s">
        <v>325</v>
      </c>
      <c r="C56" s="210">
        <v>171.0</v>
      </c>
      <c r="D56" s="230">
        <v>4.3</v>
      </c>
      <c r="E56" s="210">
        <v>4.7</v>
      </c>
      <c r="F56" s="212">
        <v>4.7</v>
      </c>
      <c r="G56" s="213">
        <v>3.0</v>
      </c>
      <c r="H56" s="213">
        <v>0.0</v>
      </c>
      <c r="I56" s="214">
        <f t="shared" ref="I56:I57" si="27">H56/G56</f>
        <v>0</v>
      </c>
      <c r="J56" s="225"/>
      <c r="L56" s="226"/>
      <c r="M56" s="225"/>
      <c r="O56" s="218"/>
      <c r="P56" s="225"/>
      <c r="R56" s="218"/>
      <c r="S56" s="225"/>
      <c r="U56" s="218"/>
      <c r="V56" s="225"/>
      <c r="X56" s="226"/>
    </row>
    <row r="57">
      <c r="A57" s="232" t="s">
        <v>350</v>
      </c>
      <c r="B57" s="233"/>
      <c r="C57" s="233"/>
      <c r="D57" s="233"/>
      <c r="E57" s="233"/>
      <c r="F57" s="234"/>
      <c r="G57" s="235">
        <f>SUM(G2:G56)</f>
        <v>95</v>
      </c>
      <c r="H57" s="235">
        <f>sum(H2:H56)</f>
        <v>33</v>
      </c>
      <c r="I57" s="236">
        <f t="shared" si="27"/>
        <v>0.3473684211</v>
      </c>
      <c r="J57" s="237">
        <f>SUM(J2:J56)</f>
        <v>80</v>
      </c>
      <c r="K57" s="238">
        <f>sum(K2:K56)</f>
        <v>32</v>
      </c>
      <c r="L57" s="239">
        <f>K57/J57</f>
        <v>0.4</v>
      </c>
      <c r="M57" s="237">
        <f t="shared" ref="M57:N57" si="28">sum(M2:M56)</f>
        <v>81</v>
      </c>
      <c r="N57" s="238">
        <f t="shared" si="28"/>
        <v>31</v>
      </c>
      <c r="O57" s="239">
        <f>N57/M57</f>
        <v>0.3827160494</v>
      </c>
      <c r="P57" s="237">
        <f t="shared" ref="P57:Q57" si="29">sum(P2:P56)</f>
        <v>125</v>
      </c>
      <c r="Q57" s="238">
        <f t="shared" si="29"/>
        <v>47</v>
      </c>
      <c r="R57" s="239">
        <f>Q57/P57</f>
        <v>0.376</v>
      </c>
      <c r="S57" s="237">
        <f t="shared" ref="S57:T57" si="30">sum(S2:S56)</f>
        <v>114</v>
      </c>
      <c r="T57" s="238">
        <f t="shared" si="30"/>
        <v>44</v>
      </c>
      <c r="U57" s="239">
        <f>T57/S57</f>
        <v>0.3859649123</v>
      </c>
      <c r="V57" s="237">
        <f t="shared" ref="V57:W57" si="31">SUM(V2:V56)</f>
        <v>126</v>
      </c>
      <c r="W57" s="238">
        <f t="shared" si="31"/>
        <v>57</v>
      </c>
      <c r="X57" s="239">
        <f>W57/V57</f>
        <v>0.4523809524</v>
      </c>
    </row>
    <row r="58">
      <c r="A58" s="209"/>
      <c r="B58" s="209"/>
      <c r="C58" s="209"/>
      <c r="D58" s="209"/>
      <c r="E58" s="209"/>
      <c r="F58" s="240"/>
      <c r="G58" s="213"/>
      <c r="H58" s="213"/>
      <c r="I58" s="210"/>
      <c r="O58" s="241">
        <f>100-38.27</f>
        <v>61.73</v>
      </c>
      <c r="R58" s="241">
        <f>100-37.6</f>
        <v>62.4</v>
      </c>
      <c r="U58" s="242">
        <f>100-38.6</f>
        <v>61.4</v>
      </c>
      <c r="X58" s="243">
        <f>100-45.24</f>
        <v>54.76</v>
      </c>
    </row>
    <row r="59">
      <c r="A59" s="209"/>
      <c r="B59" s="209"/>
      <c r="C59" s="209"/>
      <c r="D59" s="209"/>
      <c r="E59" s="209"/>
      <c r="F59" s="240"/>
      <c r="G59" s="227">
        <v>75.0</v>
      </c>
      <c r="H59" s="227">
        <v>29.0</v>
      </c>
      <c r="I59" s="214">
        <f>H59/G59</f>
        <v>0.3866666667</v>
      </c>
      <c r="O59" s="244"/>
      <c r="R59" s="244"/>
      <c r="U59" s="244"/>
    </row>
    <row r="60">
      <c r="A60" s="209"/>
      <c r="B60" s="209"/>
      <c r="C60" s="209"/>
      <c r="D60" s="209"/>
      <c r="E60" s="209"/>
      <c r="F60" s="240"/>
      <c r="G60" s="227"/>
      <c r="H60" s="227"/>
      <c r="I60" s="214"/>
      <c r="O60" s="244"/>
      <c r="R60" s="244"/>
      <c r="U60" s="244"/>
    </row>
    <row r="61">
      <c r="A61" s="209"/>
      <c r="B61" s="209"/>
      <c r="C61" s="209"/>
      <c r="D61" s="209"/>
      <c r="E61" s="209"/>
      <c r="F61" s="240"/>
      <c r="G61" s="213"/>
      <c r="H61" s="213"/>
      <c r="I61" s="210"/>
      <c r="O61" s="244"/>
      <c r="R61" s="244"/>
      <c r="U61" s="244"/>
    </row>
    <row r="62">
      <c r="A62" s="209"/>
      <c r="B62" s="209"/>
      <c r="C62" s="209"/>
      <c r="D62" s="209"/>
      <c r="E62" s="209"/>
      <c r="F62" s="240"/>
      <c r="G62" s="213"/>
      <c r="H62" s="213"/>
      <c r="I62" s="210"/>
      <c r="O62" s="244"/>
      <c r="R62" s="244"/>
      <c r="U62" s="244"/>
    </row>
    <row r="63">
      <c r="A63" s="209"/>
      <c r="B63" s="209"/>
      <c r="C63" s="209"/>
      <c r="D63" s="209"/>
      <c r="E63" s="209"/>
      <c r="F63" s="240"/>
      <c r="G63" s="213"/>
      <c r="H63" s="213"/>
      <c r="I63" s="210"/>
      <c r="O63" s="244"/>
      <c r="R63" s="244"/>
      <c r="U63" s="244"/>
    </row>
    <row r="64">
      <c r="A64" s="209"/>
      <c r="B64" s="209"/>
      <c r="C64" s="209"/>
      <c r="D64" s="209"/>
      <c r="E64" s="209"/>
      <c r="F64" s="240"/>
      <c r="G64" s="213"/>
      <c r="H64" s="213"/>
      <c r="I64" s="210"/>
      <c r="O64" s="244"/>
      <c r="R64" s="244"/>
      <c r="U64" s="244"/>
    </row>
    <row r="65">
      <c r="A65" s="209"/>
      <c r="B65" s="209"/>
      <c r="C65" s="209"/>
      <c r="D65" s="209"/>
      <c r="E65" s="209"/>
      <c r="F65" s="240"/>
      <c r="G65" s="213"/>
      <c r="H65" s="213"/>
      <c r="I65" s="210"/>
      <c r="O65" s="244"/>
      <c r="R65" s="244"/>
      <c r="U65" s="244"/>
    </row>
    <row r="66">
      <c r="A66" s="209"/>
      <c r="B66" s="209"/>
      <c r="C66" s="209"/>
      <c r="D66" s="209"/>
      <c r="E66" s="209"/>
      <c r="F66" s="240"/>
      <c r="G66" s="213"/>
      <c r="H66" s="213"/>
      <c r="I66" s="210"/>
      <c r="O66" s="244"/>
      <c r="R66" s="244"/>
      <c r="U66" s="244"/>
    </row>
    <row r="67">
      <c r="A67" s="209"/>
      <c r="B67" s="209"/>
      <c r="C67" s="209"/>
      <c r="D67" s="209"/>
      <c r="E67" s="209"/>
      <c r="F67" s="240"/>
      <c r="G67" s="213"/>
      <c r="H67" s="213"/>
      <c r="I67" s="210"/>
      <c r="O67" s="244"/>
      <c r="R67" s="244"/>
      <c r="U67" s="244"/>
    </row>
    <row r="68">
      <c r="A68" s="209"/>
      <c r="B68" s="209"/>
      <c r="C68" s="209"/>
      <c r="D68" s="209"/>
      <c r="E68" s="209"/>
      <c r="F68" s="240"/>
      <c r="G68" s="213"/>
      <c r="H68" s="213"/>
      <c r="I68" s="210"/>
      <c r="O68" s="244"/>
      <c r="R68" s="244"/>
      <c r="U68" s="244"/>
    </row>
    <row r="69">
      <c r="A69" s="209"/>
      <c r="B69" s="209"/>
      <c r="C69" s="209"/>
      <c r="D69" s="209"/>
      <c r="E69" s="209"/>
      <c r="F69" s="240"/>
      <c r="G69" s="213"/>
      <c r="H69" s="213"/>
      <c r="I69" s="210"/>
      <c r="O69" s="244"/>
      <c r="R69" s="244"/>
      <c r="U69" s="244"/>
    </row>
    <row r="70">
      <c r="A70" s="209"/>
      <c r="B70" s="209"/>
      <c r="C70" s="209"/>
      <c r="D70" s="209"/>
      <c r="E70" s="209"/>
      <c r="F70" s="240"/>
      <c r="G70" s="213"/>
      <c r="H70" s="213"/>
      <c r="I70" s="210"/>
      <c r="O70" s="244"/>
      <c r="R70" s="244"/>
      <c r="U70" s="244"/>
    </row>
    <row r="71">
      <c r="A71" s="209"/>
      <c r="B71" s="209"/>
      <c r="C71" s="209"/>
      <c r="D71" s="209"/>
      <c r="E71" s="209"/>
      <c r="F71" s="240"/>
      <c r="G71" s="213"/>
      <c r="H71" s="213"/>
      <c r="I71" s="210"/>
      <c r="O71" s="244"/>
      <c r="R71" s="244"/>
      <c r="U71" s="244"/>
    </row>
    <row r="72">
      <c r="A72" s="209"/>
      <c r="B72" s="209"/>
      <c r="C72" s="209"/>
      <c r="D72" s="209"/>
      <c r="E72" s="209"/>
      <c r="F72" s="240"/>
      <c r="G72" s="213"/>
      <c r="H72" s="213"/>
      <c r="I72" s="210"/>
      <c r="O72" s="244"/>
      <c r="R72" s="244"/>
      <c r="U72" s="244"/>
    </row>
    <row r="73">
      <c r="A73" s="209"/>
      <c r="B73" s="209"/>
      <c r="C73" s="209"/>
      <c r="D73" s="209"/>
      <c r="E73" s="209"/>
      <c r="F73" s="240"/>
      <c r="G73" s="213"/>
      <c r="H73" s="213"/>
      <c r="I73" s="210"/>
      <c r="O73" s="244"/>
      <c r="R73" s="244"/>
      <c r="U73" s="244"/>
    </row>
    <row r="74">
      <c r="A74" s="209"/>
      <c r="B74" s="209"/>
      <c r="C74" s="209"/>
      <c r="D74" s="209"/>
      <c r="E74" s="209"/>
      <c r="F74" s="240"/>
      <c r="G74" s="213"/>
      <c r="H74" s="213"/>
      <c r="I74" s="210"/>
      <c r="O74" s="244"/>
      <c r="R74" s="244"/>
      <c r="U74" s="244"/>
    </row>
    <row r="75">
      <c r="A75" s="209"/>
      <c r="B75" s="209"/>
      <c r="C75" s="209"/>
      <c r="D75" s="209"/>
      <c r="E75" s="209"/>
      <c r="F75" s="240"/>
      <c r="G75" s="213"/>
      <c r="H75" s="213"/>
      <c r="I75" s="210"/>
      <c r="O75" s="244"/>
      <c r="R75" s="244"/>
      <c r="U75" s="244"/>
    </row>
    <row r="76">
      <c r="A76" s="209"/>
      <c r="B76" s="209"/>
      <c r="C76" s="209"/>
      <c r="D76" s="209"/>
      <c r="E76" s="209"/>
      <c r="F76" s="240"/>
      <c r="G76" s="213"/>
      <c r="H76" s="213"/>
      <c r="I76" s="210"/>
      <c r="O76" s="244"/>
      <c r="R76" s="244"/>
      <c r="U76" s="244"/>
    </row>
    <row r="77">
      <c r="A77" s="209"/>
      <c r="B77" s="209"/>
      <c r="C77" s="209"/>
      <c r="D77" s="209"/>
      <c r="E77" s="209"/>
      <c r="F77" s="240"/>
      <c r="G77" s="213"/>
      <c r="H77" s="213"/>
      <c r="I77" s="210"/>
      <c r="O77" s="244"/>
      <c r="R77" s="244"/>
      <c r="U77" s="244"/>
    </row>
    <row r="78">
      <c r="A78" s="209"/>
      <c r="B78" s="209"/>
      <c r="C78" s="209"/>
      <c r="D78" s="209"/>
      <c r="E78" s="209"/>
      <c r="F78" s="240"/>
      <c r="G78" s="213"/>
      <c r="H78" s="213"/>
      <c r="I78" s="210"/>
      <c r="O78" s="244"/>
      <c r="R78" s="244"/>
      <c r="U78" s="244"/>
    </row>
    <row r="79">
      <c r="A79" s="209"/>
      <c r="B79" s="209"/>
      <c r="C79" s="209"/>
      <c r="D79" s="209"/>
      <c r="E79" s="209"/>
      <c r="F79" s="240"/>
      <c r="G79" s="213"/>
      <c r="H79" s="213"/>
      <c r="I79" s="210"/>
      <c r="O79" s="244"/>
      <c r="R79" s="244"/>
      <c r="U79" s="244"/>
    </row>
    <row r="80">
      <c r="A80" s="209"/>
      <c r="B80" s="209"/>
      <c r="C80" s="209"/>
      <c r="D80" s="209"/>
      <c r="E80" s="209"/>
      <c r="F80" s="240"/>
      <c r="G80" s="213"/>
      <c r="H80" s="213"/>
      <c r="I80" s="210"/>
      <c r="O80" s="244"/>
      <c r="R80" s="244"/>
      <c r="U80" s="244"/>
    </row>
    <row r="81">
      <c r="A81" s="209"/>
      <c r="B81" s="209"/>
      <c r="C81" s="209"/>
      <c r="D81" s="209"/>
      <c r="E81" s="209"/>
      <c r="F81" s="240"/>
      <c r="G81" s="213"/>
      <c r="H81" s="213"/>
      <c r="I81" s="210"/>
      <c r="O81" s="244"/>
      <c r="R81" s="244"/>
      <c r="U81" s="244"/>
    </row>
    <row r="82">
      <c r="A82" s="209"/>
      <c r="B82" s="209"/>
      <c r="C82" s="209"/>
      <c r="D82" s="209"/>
      <c r="E82" s="209"/>
      <c r="F82" s="240"/>
      <c r="G82" s="213"/>
      <c r="H82" s="213"/>
      <c r="I82" s="210"/>
      <c r="O82" s="244"/>
      <c r="R82" s="244"/>
      <c r="U82" s="244"/>
    </row>
    <row r="83">
      <c r="A83" s="209"/>
      <c r="B83" s="209"/>
      <c r="C83" s="209"/>
      <c r="D83" s="209"/>
      <c r="E83" s="209"/>
      <c r="F83" s="240"/>
      <c r="G83" s="213"/>
      <c r="H83" s="213"/>
      <c r="I83" s="210"/>
      <c r="O83" s="244"/>
      <c r="R83" s="244"/>
      <c r="U83" s="244"/>
    </row>
    <row r="84">
      <c r="A84" s="209"/>
      <c r="B84" s="209"/>
      <c r="C84" s="209"/>
      <c r="D84" s="209"/>
      <c r="E84" s="209"/>
      <c r="F84" s="240"/>
      <c r="G84" s="213"/>
      <c r="H84" s="213"/>
      <c r="I84" s="210"/>
      <c r="O84" s="244"/>
      <c r="R84" s="244"/>
      <c r="U84" s="244"/>
    </row>
    <row r="85">
      <c r="A85" s="209"/>
      <c r="B85" s="209"/>
      <c r="C85" s="209"/>
      <c r="D85" s="209"/>
      <c r="E85" s="209"/>
      <c r="F85" s="240"/>
      <c r="G85" s="213"/>
      <c r="H85" s="213"/>
      <c r="I85" s="210"/>
      <c r="O85" s="244"/>
      <c r="R85" s="244"/>
      <c r="U85" s="244"/>
    </row>
    <row r="86">
      <c r="A86" s="209"/>
      <c r="B86" s="209"/>
      <c r="C86" s="209"/>
      <c r="D86" s="209"/>
      <c r="E86" s="209"/>
      <c r="F86" s="240"/>
      <c r="G86" s="213"/>
      <c r="H86" s="213"/>
      <c r="I86" s="210"/>
      <c r="O86" s="244"/>
      <c r="R86" s="244"/>
      <c r="U86" s="244"/>
    </row>
    <row r="87">
      <c r="A87" s="209"/>
      <c r="B87" s="209"/>
      <c r="C87" s="209"/>
      <c r="D87" s="209"/>
      <c r="E87" s="209"/>
      <c r="F87" s="240"/>
      <c r="G87" s="213"/>
      <c r="H87" s="213"/>
      <c r="I87" s="210"/>
      <c r="O87" s="244"/>
      <c r="R87" s="244"/>
      <c r="U87" s="244"/>
    </row>
    <row r="88">
      <c r="A88" s="209"/>
      <c r="B88" s="209"/>
      <c r="C88" s="209"/>
      <c r="D88" s="209"/>
      <c r="E88" s="209"/>
      <c r="F88" s="240"/>
      <c r="G88" s="213"/>
      <c r="H88" s="213"/>
      <c r="I88" s="210"/>
      <c r="O88" s="244"/>
      <c r="R88" s="244"/>
      <c r="U88" s="244"/>
    </row>
    <row r="89">
      <c r="A89" s="209"/>
      <c r="B89" s="209"/>
      <c r="C89" s="209"/>
      <c r="D89" s="209"/>
      <c r="E89" s="209"/>
      <c r="F89" s="240"/>
      <c r="G89" s="213"/>
      <c r="H89" s="213"/>
      <c r="I89" s="210"/>
      <c r="O89" s="244"/>
      <c r="R89" s="244"/>
      <c r="U89" s="244"/>
    </row>
    <row r="90">
      <c r="A90" s="209"/>
      <c r="B90" s="209"/>
      <c r="C90" s="209"/>
      <c r="D90" s="209"/>
      <c r="E90" s="209"/>
      <c r="F90" s="240"/>
      <c r="G90" s="213"/>
      <c r="H90" s="213"/>
      <c r="I90" s="210"/>
      <c r="O90" s="244"/>
      <c r="R90" s="244"/>
      <c r="U90" s="244"/>
    </row>
    <row r="91">
      <c r="A91" s="209"/>
      <c r="B91" s="209"/>
      <c r="C91" s="209"/>
      <c r="D91" s="209"/>
      <c r="E91" s="209"/>
      <c r="F91" s="240"/>
      <c r="G91" s="213"/>
      <c r="H91" s="213"/>
      <c r="I91" s="210"/>
      <c r="O91" s="244"/>
      <c r="R91" s="244"/>
      <c r="U91" s="244"/>
    </row>
    <row r="92">
      <c r="A92" s="209"/>
      <c r="B92" s="209"/>
      <c r="C92" s="209"/>
      <c r="D92" s="209"/>
      <c r="E92" s="209"/>
      <c r="F92" s="240"/>
      <c r="G92" s="213"/>
      <c r="H92" s="213"/>
      <c r="I92" s="210"/>
      <c r="O92" s="244"/>
      <c r="R92" s="244"/>
      <c r="U92" s="244"/>
    </row>
    <row r="93">
      <c r="A93" s="209"/>
      <c r="B93" s="209"/>
      <c r="C93" s="209"/>
      <c r="D93" s="209"/>
      <c r="E93" s="209"/>
      <c r="F93" s="240"/>
      <c r="G93" s="213"/>
      <c r="H93" s="213"/>
      <c r="I93" s="210"/>
      <c r="O93" s="244"/>
      <c r="R93" s="244"/>
      <c r="U93" s="244"/>
    </row>
    <row r="94">
      <c r="A94" s="209"/>
      <c r="B94" s="209"/>
      <c r="C94" s="209"/>
      <c r="D94" s="209"/>
      <c r="E94" s="209"/>
      <c r="F94" s="240"/>
      <c r="G94" s="213"/>
      <c r="H94" s="213"/>
      <c r="I94" s="210"/>
      <c r="O94" s="244"/>
      <c r="R94" s="244"/>
      <c r="U94" s="244"/>
    </row>
    <row r="95">
      <c r="A95" s="209"/>
      <c r="B95" s="209"/>
      <c r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r="96">
      <c r="A96" s="209"/>
      <c r="B96" s="209"/>
      <c r="C96" s="209"/>
      <c r="D96" s="209"/>
      <c r="E96" s="209"/>
      <c r="F96" s="240"/>
      <c r="G96" s="213"/>
      <c r="H96" s="213"/>
      <c r="I96" s="210"/>
      <c r="O96" s="244"/>
      <c r="R96" s="244"/>
      <c r="U96" s="244"/>
    </row>
    <row r="97">
      <c r="A97" s="209"/>
      <c r="B97" s="209"/>
      <c r="C97" s="209"/>
      <c r="D97" s="209"/>
      <c r="E97" s="209"/>
      <c r="F97" s="240"/>
      <c r="G97" s="213"/>
      <c r="H97" s="213"/>
      <c r="I97" s="210"/>
      <c r="O97" s="244"/>
      <c r="R97" s="244"/>
      <c r="U97" s="244"/>
    </row>
    <row r="98">
      <c r="A98" s="209"/>
      <c r="B98" s="209"/>
      <c r="C98" s="209"/>
      <c r="D98" s="209"/>
      <c r="E98" s="209"/>
      <c r="F98" s="240"/>
      <c r="G98" s="213"/>
      <c r="H98" s="213"/>
      <c r="I98" s="210"/>
      <c r="O98" s="244"/>
      <c r="R98" s="244"/>
      <c r="U98" s="244"/>
    </row>
    <row r="99">
      <c r="A99" s="209"/>
      <c r="B99" s="209"/>
      <c r="C99" s="209"/>
      <c r="D99" s="209"/>
      <c r="E99" s="209"/>
      <c r="F99" s="240"/>
      <c r="G99" s="213"/>
      <c r="H99" s="213"/>
      <c r="I99" s="210"/>
      <c r="O99" s="244"/>
      <c r="R99" s="244"/>
      <c r="U99" s="244"/>
    </row>
    <row r="100">
      <c r="A100" s="209"/>
      <c r="B100" s="209"/>
      <c r="C100" s="209"/>
      <c r="D100" s="209"/>
      <c r="E100" s="209"/>
      <c r="F100" s="240"/>
      <c r="G100" s="213"/>
      <c r="H100" s="213"/>
      <c r="I100" s="210"/>
      <c r="O100" s="244"/>
      <c r="R100" s="244"/>
      <c r="U100" s="244"/>
    </row>
    <row r="101">
      <c r="A101" s="209"/>
      <c r="B101" s="209"/>
      <c r="C101" s="209"/>
      <c r="D101" s="209"/>
      <c r="E101" s="209"/>
      <c r="F101" s="240"/>
      <c r="G101" s="213"/>
      <c r="H101" s="213"/>
      <c r="I101" s="210"/>
      <c r="O101" s="244"/>
      <c r="R101" s="244"/>
      <c r="U101" s="244"/>
    </row>
    <row r="102">
      <c r="A102" s="209"/>
      <c r="B102" s="209"/>
      <c r="C102" s="209"/>
      <c r="D102" s="209"/>
      <c r="E102" s="209"/>
      <c r="F102" s="240"/>
      <c r="G102" s="213"/>
      <c r="H102" s="213"/>
      <c r="I102" s="210"/>
      <c r="O102" s="244"/>
      <c r="R102" s="244"/>
      <c r="U102" s="244"/>
    </row>
    <row r="103">
      <c r="A103" s="209"/>
      <c r="B103" s="209"/>
      <c r="C103" s="209"/>
      <c r="D103" s="209"/>
      <c r="E103" s="209"/>
      <c r="F103" s="240"/>
      <c r="G103" s="213"/>
      <c r="H103" s="213"/>
      <c r="I103" s="210"/>
      <c r="O103" s="244"/>
      <c r="R103" s="244"/>
      <c r="U103" s="244"/>
    </row>
    <row r="104">
      <c r="A104" s="209"/>
      <c r="B104" s="209"/>
      <c r="C104" s="209"/>
      <c r="D104" s="209"/>
      <c r="E104" s="209"/>
      <c r="F104" s="240"/>
      <c r="G104" s="213"/>
      <c r="H104" s="213"/>
      <c r="I104" s="210"/>
      <c r="O104" s="244"/>
      <c r="R104" s="244"/>
      <c r="U104" s="244"/>
    </row>
    <row r="105">
      <c r="A105" s="209"/>
      <c r="B105" s="209"/>
      <c r="C105" s="209"/>
      <c r="D105" s="209"/>
      <c r="E105" s="209"/>
      <c r="F105" s="240"/>
      <c r="G105" s="213"/>
      <c r="H105" s="213"/>
      <c r="I105" s="210"/>
      <c r="O105" s="244"/>
      <c r="R105" s="244"/>
      <c r="U105" s="244"/>
    </row>
    <row r="106">
      <c r="A106" s="209"/>
      <c r="B106" s="209"/>
      <c r="C106" s="209"/>
      <c r="D106" s="209"/>
      <c r="E106" s="209"/>
      <c r="F106" s="240"/>
      <c r="G106" s="213"/>
      <c r="H106" s="213"/>
      <c r="I106" s="210"/>
      <c r="O106" s="244"/>
      <c r="R106" s="244"/>
      <c r="U106" s="244"/>
    </row>
    <row r="107">
      <c r="A107" s="209"/>
      <c r="B107" s="209"/>
      <c r="C107" s="209"/>
      <c r="D107" s="209"/>
      <c r="E107" s="209"/>
      <c r="F107" s="240"/>
      <c r="G107" s="213"/>
      <c r="H107" s="213"/>
      <c r="I107" s="210"/>
      <c r="O107" s="244"/>
      <c r="R107" s="244"/>
      <c r="U107" s="244"/>
    </row>
    <row r="108">
      <c r="A108" s="209"/>
      <c r="B108" s="209"/>
      <c r="C108" s="209"/>
      <c r="D108" s="209"/>
      <c r="E108" s="209"/>
      <c r="F108" s="240"/>
      <c r="G108" s="213"/>
      <c r="H108" s="213"/>
      <c r="I108" s="210"/>
      <c r="O108" s="244"/>
      <c r="R108" s="244"/>
      <c r="U108" s="244"/>
    </row>
    <row r="109">
      <c r="A109" s="209"/>
      <c r="B109" s="209"/>
      <c r="C109" s="209"/>
      <c r="D109" s="209"/>
      <c r="E109" s="209"/>
      <c r="F109" s="240"/>
      <c r="G109" s="213"/>
      <c r="H109" s="213"/>
      <c r="I109" s="210"/>
      <c r="O109" s="244"/>
      <c r="R109" s="244"/>
      <c r="U109" s="244"/>
    </row>
    <row r="110">
      <c r="A110" s="209"/>
      <c r="B110" s="209"/>
      <c r="C110" s="209"/>
      <c r="D110" s="209"/>
      <c r="E110" s="209"/>
      <c r="F110" s="240"/>
      <c r="G110" s="213"/>
      <c r="H110" s="213"/>
      <c r="I110" s="210"/>
      <c r="O110" s="244"/>
      <c r="R110" s="244"/>
      <c r="U110" s="244"/>
    </row>
    <row r="111">
      <c r="A111" s="209"/>
      <c r="B111" s="209"/>
      <c r="C111" s="209"/>
      <c r="D111" s="209"/>
      <c r="E111" s="209"/>
      <c r="F111" s="240"/>
      <c r="G111" s="213"/>
      <c r="H111" s="213"/>
      <c r="I111" s="210"/>
      <c r="O111" s="244"/>
      <c r="R111" s="244"/>
      <c r="U111" s="244"/>
    </row>
    <row r="112">
      <c r="A112" s="209"/>
      <c r="B112" s="209"/>
      <c r="C112" s="209"/>
      <c r="D112" s="209"/>
      <c r="E112" s="209"/>
      <c r="F112" s="240"/>
      <c r="G112" s="213"/>
      <c r="H112" s="213"/>
      <c r="I112" s="210"/>
      <c r="O112" s="244"/>
      <c r="R112" s="244"/>
      <c r="U112" s="244"/>
    </row>
    <row r="113">
      <c r="A113" s="209"/>
      <c r="B113" s="209"/>
      <c r="C113" s="209"/>
      <c r="D113" s="209"/>
      <c r="E113" s="209"/>
      <c r="F113" s="240"/>
      <c r="G113" s="213"/>
      <c r="H113" s="213"/>
      <c r="I113" s="210"/>
      <c r="O113" s="244"/>
      <c r="R113" s="244"/>
      <c r="U113" s="244"/>
    </row>
    <row r="114">
      <c r="A114" s="209"/>
      <c r="B114" s="209"/>
      <c r="C114" s="209"/>
      <c r="D114" s="209"/>
      <c r="E114" s="209"/>
      <c r="F114" s="240"/>
      <c r="G114" s="213"/>
      <c r="H114" s="213"/>
      <c r="I114" s="210"/>
      <c r="O114" s="244"/>
      <c r="R114" s="244"/>
      <c r="U114" s="244"/>
    </row>
    <row r="115">
      <c r="A115" s="209"/>
      <c r="B115" s="209"/>
      <c r="C115" s="209"/>
      <c r="D115" s="209"/>
      <c r="E115" s="209"/>
      <c r="F115" s="240"/>
      <c r="G115" s="213"/>
      <c r="H115" s="213"/>
      <c r="I115" s="210"/>
      <c r="O115" s="244"/>
      <c r="R115" s="244"/>
      <c r="U115" s="244"/>
    </row>
    <row r="116">
      <c r="A116" s="209"/>
      <c r="B116" s="209"/>
      <c r="C116" s="209"/>
      <c r="D116" s="209"/>
      <c r="E116" s="209"/>
      <c r="F116" s="240"/>
      <c r="G116" s="213"/>
      <c r="H116" s="213"/>
      <c r="I116" s="210"/>
      <c r="O116" s="244"/>
      <c r="R116" s="244"/>
      <c r="U116" s="244"/>
    </row>
    <row r="117">
      <c r="A117" s="209"/>
      <c r="B117" s="209"/>
      <c r="C117" s="209"/>
      <c r="D117" s="209"/>
      <c r="E117" s="209"/>
      <c r="F117" s="240"/>
      <c r="G117" s="213"/>
      <c r="H117" s="213"/>
      <c r="I117" s="210"/>
      <c r="O117" s="244"/>
      <c r="R117" s="244"/>
      <c r="U117" s="244"/>
    </row>
    <row r="118">
      <c r="A118" s="209"/>
      <c r="B118" s="209"/>
      <c r="C118" s="209"/>
      <c r="D118" s="209"/>
      <c r="E118" s="209"/>
      <c r="F118" s="240"/>
      <c r="G118" s="213"/>
      <c r="H118" s="213"/>
      <c r="I118" s="210"/>
      <c r="O118" s="244"/>
      <c r="R118" s="244"/>
      <c r="U118" s="244"/>
    </row>
    <row r="119">
      <c r="A119" s="209"/>
      <c r="B119" s="209"/>
      <c r="C119" s="209"/>
      <c r="D119" s="209"/>
      <c r="E119" s="209"/>
      <c r="F119" s="240"/>
      <c r="G119" s="213"/>
      <c r="H119" s="213"/>
      <c r="I119" s="210"/>
      <c r="O119" s="244"/>
      <c r="R119" s="244"/>
      <c r="U119" s="244"/>
    </row>
    <row r="120">
      <c r="A120" s="209"/>
      <c r="B120" s="209"/>
      <c r="C120" s="209"/>
      <c r="D120" s="209"/>
      <c r="E120" s="209"/>
      <c r="F120" s="240"/>
      <c r="G120" s="213"/>
      <c r="H120" s="213"/>
      <c r="I120" s="210"/>
      <c r="O120" s="244"/>
      <c r="R120" s="244"/>
      <c r="U120" s="244"/>
    </row>
    <row r="121">
      <c r="A121" s="209"/>
      <c r="B121" s="209"/>
      <c r="C121" s="209"/>
      <c r="D121" s="209"/>
      <c r="E121" s="209"/>
      <c r="F121" s="240"/>
      <c r="G121" s="213"/>
      <c r="H121" s="213"/>
      <c r="I121" s="210"/>
      <c r="O121" s="244"/>
      <c r="R121" s="244"/>
      <c r="U121" s="244"/>
    </row>
    <row r="122">
      <c r="A122" s="209"/>
      <c r="B122" s="209"/>
      <c r="C122" s="209"/>
      <c r="D122" s="209"/>
      <c r="E122" s="209"/>
      <c r="F122" s="240"/>
      <c r="G122" s="213"/>
      <c r="H122" s="213"/>
      <c r="I122" s="210"/>
      <c r="O122" s="244"/>
      <c r="R122" s="244"/>
      <c r="U122" s="244"/>
    </row>
    <row r="123">
      <c r="A123" s="209"/>
      <c r="B123" s="209"/>
      <c r="C123" s="209"/>
      <c r="D123" s="209"/>
      <c r="E123" s="209"/>
      <c r="F123" s="240"/>
      <c r="G123" s="213"/>
      <c r="H123" s="213"/>
      <c r="I123" s="210"/>
      <c r="O123" s="244"/>
      <c r="R123" s="244"/>
      <c r="U123" s="244"/>
    </row>
    <row r="124">
      <c r="A124" s="209"/>
      <c r="B124" s="209"/>
      <c r="C124" s="209"/>
      <c r="D124" s="209"/>
      <c r="E124" s="209"/>
      <c r="F124" s="240"/>
      <c r="G124" s="213"/>
      <c r="H124" s="213"/>
      <c r="I124" s="210"/>
      <c r="O124" s="244"/>
      <c r="R124" s="244"/>
      <c r="U124" s="244"/>
    </row>
    <row r="125">
      <c r="A125" s="209"/>
      <c r="B125" s="209"/>
      <c r="C125" s="209"/>
      <c r="D125" s="209"/>
      <c r="E125" s="209"/>
      <c r="F125" s="240"/>
      <c r="G125" s="213"/>
      <c r="H125" s="213"/>
      <c r="I125" s="210"/>
      <c r="O125" s="244"/>
      <c r="R125" s="244"/>
      <c r="U125" s="244"/>
    </row>
    <row r="126">
      <c r="A126" s="209"/>
      <c r="B126" s="209"/>
      <c r="C126" s="209"/>
      <c r="D126" s="209"/>
      <c r="E126" s="209"/>
      <c r="F126" s="240"/>
      <c r="G126" s="213"/>
      <c r="H126" s="213"/>
      <c r="I126" s="210"/>
      <c r="O126" s="244"/>
      <c r="R126" s="244"/>
      <c r="U126" s="244"/>
    </row>
    <row r="127">
      <c r="A127" s="209"/>
      <c r="B127" s="209"/>
      <c r="C127" s="209"/>
      <c r="D127" s="209"/>
      <c r="E127" s="209"/>
      <c r="F127" s="240"/>
      <c r="G127" s="213"/>
      <c r="H127" s="213"/>
      <c r="I127" s="210"/>
      <c r="O127" s="244"/>
      <c r="R127" s="244"/>
      <c r="U127" s="244"/>
    </row>
    <row r="128">
      <c r="A128" s="209"/>
      <c r="B128" s="209"/>
      <c r="C128" s="209"/>
      <c r="D128" s="209"/>
      <c r="E128" s="209"/>
      <c r="F128" s="240"/>
      <c r="G128" s="213"/>
      <c r="H128" s="213"/>
      <c r="I128" s="210"/>
      <c r="O128" s="244"/>
      <c r="R128" s="244"/>
      <c r="U128" s="244"/>
    </row>
    <row r="129">
      <c r="A129" s="209"/>
      <c r="B129" s="209"/>
      <c r="C129" s="209"/>
      <c r="D129" s="209"/>
      <c r="E129" s="209"/>
      <c r="F129" s="240"/>
      <c r="G129" s="213"/>
      <c r="H129" s="213"/>
      <c r="I129" s="210"/>
      <c r="O129" s="244"/>
      <c r="R129" s="244"/>
      <c r="U129" s="244"/>
    </row>
    <row r="130">
      <c r="A130" s="209"/>
      <c r="B130" s="209"/>
      <c r="C130" s="209"/>
      <c r="D130" s="209"/>
      <c r="E130" s="209"/>
      <c r="F130" s="240"/>
      <c r="G130" s="213"/>
      <c r="H130" s="213"/>
      <c r="I130" s="210"/>
      <c r="O130" s="244"/>
      <c r="R130" s="244"/>
      <c r="U130" s="244"/>
    </row>
    <row r="131">
      <c r="A131" s="209"/>
      <c r="B131" s="209"/>
      <c r="C131" s="209"/>
      <c r="D131" s="209"/>
      <c r="E131" s="209"/>
      <c r="F131" s="240"/>
      <c r="G131" s="213"/>
      <c r="H131" s="213"/>
      <c r="I131" s="210"/>
      <c r="O131" s="244"/>
      <c r="R131" s="244"/>
      <c r="U131" s="244"/>
    </row>
    <row r="132">
      <c r="A132" s="209"/>
      <c r="B132" s="209"/>
      <c r="C132" s="209"/>
      <c r="D132" s="209"/>
      <c r="E132" s="209"/>
      <c r="F132" s="240"/>
      <c r="G132" s="213"/>
      <c r="H132" s="213"/>
      <c r="I132" s="210"/>
      <c r="O132" s="244"/>
      <c r="R132" s="244"/>
      <c r="U132" s="244"/>
    </row>
    <row r="133">
      <c r="A133" s="209"/>
      <c r="B133" s="209"/>
      <c r="C133" s="209"/>
      <c r="D133" s="209"/>
      <c r="E133" s="209"/>
      <c r="F133" s="240"/>
      <c r="G133" s="213"/>
      <c r="H133" s="213"/>
      <c r="I133" s="210"/>
      <c r="O133" s="244"/>
      <c r="R133" s="244"/>
      <c r="U133" s="244"/>
    </row>
    <row r="134">
      <c r="A134" s="209"/>
      <c r="B134" s="209"/>
      <c r="C134" s="209"/>
      <c r="D134" s="209"/>
      <c r="E134" s="209"/>
      <c r="F134" s="240"/>
      <c r="G134" s="213"/>
      <c r="H134" s="213"/>
      <c r="I134" s="210"/>
      <c r="O134" s="244"/>
      <c r="R134" s="244"/>
      <c r="U134" s="244"/>
    </row>
    <row r="135">
      <c r="A135" s="209"/>
      <c r="B135" s="209"/>
      <c r="C135" s="209"/>
      <c r="D135" s="209"/>
      <c r="E135" s="209"/>
      <c r="F135" s="240"/>
      <c r="G135" s="213"/>
      <c r="H135" s="213"/>
      <c r="I135" s="210"/>
      <c r="O135" s="244"/>
      <c r="R135" s="244"/>
      <c r="U135" s="244"/>
    </row>
    <row r="136">
      <c r="A136" s="209"/>
      <c r="B136" s="209"/>
      <c r="C136" s="209"/>
      <c r="D136" s="209"/>
      <c r="E136" s="209"/>
      <c r="F136" s="240"/>
      <c r="G136" s="213"/>
      <c r="H136" s="213"/>
      <c r="I136" s="210"/>
      <c r="O136" s="244"/>
      <c r="R136" s="244"/>
      <c r="U136" s="244"/>
    </row>
    <row r="137">
      <c r="A137" s="209"/>
      <c r="B137" s="209"/>
      <c r="C137" s="209"/>
      <c r="D137" s="209"/>
      <c r="E137" s="209"/>
      <c r="F137" s="240"/>
      <c r="G137" s="213"/>
      <c r="H137" s="213"/>
      <c r="I137" s="210"/>
      <c r="O137" s="244"/>
      <c r="R137" s="244"/>
      <c r="U137" s="244"/>
    </row>
    <row r="138">
      <c r="A138" s="209"/>
      <c r="B138" s="209"/>
      <c r="C138" s="209"/>
      <c r="D138" s="209"/>
      <c r="E138" s="209"/>
      <c r="F138" s="240"/>
      <c r="G138" s="213"/>
      <c r="H138" s="213"/>
      <c r="I138" s="210"/>
      <c r="O138" s="244"/>
      <c r="R138" s="244"/>
      <c r="U138" s="244"/>
    </row>
    <row r="139">
      <c r="A139" s="209"/>
      <c r="B139" s="209"/>
      <c r="C139" s="209"/>
      <c r="D139" s="209"/>
      <c r="E139" s="209"/>
      <c r="F139" s="240"/>
      <c r="G139" s="213"/>
      <c r="H139" s="213"/>
      <c r="I139" s="210"/>
      <c r="O139" s="244"/>
      <c r="R139" s="244"/>
      <c r="U139" s="244"/>
    </row>
    <row r="140">
      <c r="A140" s="209"/>
      <c r="B140" s="209"/>
      <c r="C140" s="209"/>
      <c r="D140" s="209"/>
      <c r="E140" s="209"/>
      <c r="F140" s="240"/>
      <c r="G140" s="213"/>
      <c r="H140" s="213"/>
      <c r="I140" s="210"/>
      <c r="O140" s="244"/>
      <c r="R140" s="244"/>
      <c r="U140" s="244"/>
    </row>
    <row r="141">
      <c r="A141" s="209"/>
      <c r="B141" s="209"/>
      <c r="C141" s="209"/>
      <c r="D141" s="209"/>
      <c r="E141" s="209"/>
      <c r="F141" s="240"/>
      <c r="G141" s="213"/>
      <c r="H141" s="213"/>
      <c r="I141" s="210"/>
      <c r="O141" s="244"/>
      <c r="R141" s="244"/>
      <c r="U141" s="244"/>
    </row>
    <row r="142">
      <c r="A142" s="209"/>
      <c r="B142" s="209"/>
      <c r="C142" s="209"/>
      <c r="D142" s="209"/>
      <c r="E142" s="209"/>
      <c r="F142" s="240"/>
      <c r="G142" s="213"/>
      <c r="H142" s="213"/>
      <c r="I142" s="210"/>
      <c r="O142" s="244"/>
      <c r="R142" s="244"/>
      <c r="U142" s="244"/>
    </row>
    <row r="143">
      <c r="A143" s="209"/>
      <c r="B143" s="209"/>
      <c r="C143" s="209"/>
      <c r="D143" s="209"/>
      <c r="E143" s="209"/>
      <c r="F143" s="240"/>
      <c r="G143" s="213"/>
      <c r="H143" s="213"/>
      <c r="I143" s="210"/>
      <c r="O143" s="244"/>
      <c r="R143" s="244"/>
      <c r="U143" s="244"/>
    </row>
    <row r="144">
      <c r="A144" s="209"/>
      <c r="B144" s="209"/>
      <c r="C144" s="209"/>
      <c r="D144" s="209"/>
      <c r="E144" s="209"/>
      <c r="F144" s="240"/>
      <c r="G144" s="213"/>
      <c r="H144" s="213"/>
      <c r="I144" s="210"/>
      <c r="O144" s="244"/>
      <c r="R144" s="244"/>
      <c r="U144" s="244"/>
    </row>
    <row r="145">
      <c r="A145" s="209"/>
      <c r="B145" s="209"/>
      <c r="C145" s="209"/>
      <c r="D145" s="209"/>
      <c r="E145" s="209"/>
      <c r="F145" s="240"/>
      <c r="G145" s="213"/>
      <c r="H145" s="213"/>
      <c r="I145" s="210"/>
      <c r="O145" s="244"/>
      <c r="R145" s="244"/>
      <c r="U145" s="244"/>
    </row>
    <row r="146">
      <c r="A146" s="209"/>
      <c r="B146" s="209"/>
      <c r="C146" s="209"/>
      <c r="D146" s="209"/>
      <c r="E146" s="209"/>
      <c r="F146" s="240"/>
      <c r="G146" s="213"/>
      <c r="H146" s="213"/>
      <c r="I146" s="210"/>
      <c r="O146" s="244"/>
      <c r="R146" s="244"/>
      <c r="U146" s="244"/>
    </row>
    <row r="147">
      <c r="A147" s="209"/>
      <c r="B147" s="209"/>
      <c r="C147" s="209"/>
      <c r="D147" s="209"/>
      <c r="E147" s="209"/>
      <c r="F147" s="240"/>
      <c r="G147" s="213"/>
      <c r="H147" s="213"/>
      <c r="I147" s="210"/>
      <c r="O147" s="244"/>
      <c r="R147" s="244"/>
      <c r="U147" s="244"/>
    </row>
    <row r="148">
      <c r="A148" s="209"/>
      <c r="B148" s="209"/>
      <c r="C148" s="209"/>
      <c r="D148" s="209"/>
      <c r="E148" s="209"/>
      <c r="F148" s="240"/>
      <c r="G148" s="213"/>
      <c r="H148" s="213"/>
      <c r="I148" s="210"/>
      <c r="O148" s="244"/>
      <c r="R148" s="244"/>
      <c r="U148" s="244"/>
    </row>
    <row r="149">
      <c r="A149" s="209"/>
      <c r="B149" s="209"/>
      <c r="C149" s="209"/>
      <c r="D149" s="209"/>
      <c r="E149" s="209"/>
      <c r="F149" s="240"/>
      <c r="G149" s="213"/>
      <c r="H149" s="213"/>
      <c r="I149" s="210"/>
      <c r="O149" s="244"/>
      <c r="R149" s="244"/>
      <c r="U149" s="244"/>
    </row>
    <row r="150">
      <c r="A150" s="209"/>
      <c r="B150" s="209"/>
      <c r="C150" s="209"/>
      <c r="D150" s="209"/>
      <c r="E150" s="209"/>
      <c r="F150" s="240"/>
      <c r="G150" s="213"/>
      <c r="H150" s="213"/>
      <c r="I150" s="210"/>
      <c r="O150" s="244"/>
      <c r="R150" s="244"/>
      <c r="U150" s="244"/>
    </row>
    <row r="151">
      <c r="A151" s="209"/>
      <c r="B151" s="209"/>
      <c r="C151" s="209"/>
      <c r="D151" s="209"/>
      <c r="E151" s="209"/>
      <c r="F151" s="240"/>
      <c r="G151" s="213"/>
      <c r="H151" s="213"/>
      <c r="I151" s="210"/>
      <c r="O151" s="244"/>
      <c r="R151" s="244"/>
      <c r="U151" s="244"/>
    </row>
    <row r="152">
      <c r="A152" s="209"/>
      <c r="B152" s="209"/>
      <c r="C152" s="209"/>
      <c r="D152" s="209"/>
      <c r="E152" s="209"/>
      <c r="F152" s="240"/>
      <c r="G152" s="213"/>
      <c r="H152" s="213"/>
      <c r="I152" s="210"/>
      <c r="O152" s="244"/>
      <c r="R152" s="244"/>
      <c r="U152" s="244"/>
    </row>
    <row r="153">
      <c r="A153" s="209"/>
      <c r="B153" s="209"/>
      <c r="C153" s="209"/>
      <c r="D153" s="209"/>
      <c r="E153" s="209"/>
      <c r="F153" s="240"/>
      <c r="G153" s="213"/>
      <c r="H153" s="213"/>
      <c r="I153" s="210"/>
      <c r="O153" s="244"/>
      <c r="R153" s="244"/>
      <c r="U153" s="244"/>
    </row>
    <row r="154">
      <c r="A154" s="209"/>
      <c r="B154" s="209"/>
      <c r="C154" s="209"/>
      <c r="D154" s="209"/>
      <c r="E154" s="209"/>
      <c r="F154" s="240"/>
      <c r="G154" s="213"/>
      <c r="H154" s="213"/>
      <c r="I154" s="210"/>
      <c r="O154" s="244"/>
      <c r="R154" s="244"/>
      <c r="U154" s="244"/>
    </row>
    <row r="155">
      <c r="A155" s="209"/>
      <c r="B155" s="209"/>
      <c r="C155" s="209"/>
      <c r="D155" s="209"/>
      <c r="E155" s="209"/>
      <c r="F155" s="240"/>
      <c r="G155" s="213"/>
      <c r="H155" s="213"/>
      <c r="I155" s="210"/>
      <c r="O155" s="244"/>
      <c r="R155" s="244"/>
      <c r="U155" s="244"/>
    </row>
    <row r="156">
      <c r="A156" s="209"/>
      <c r="B156" s="209"/>
      <c r="C156" s="209"/>
      <c r="D156" s="209"/>
      <c r="E156" s="209"/>
      <c r="F156" s="240"/>
      <c r="G156" s="213"/>
      <c r="H156" s="213"/>
      <c r="I156" s="210"/>
      <c r="O156" s="244"/>
      <c r="R156" s="244"/>
      <c r="U156" s="244"/>
    </row>
    <row r="157">
      <c r="A157" s="209"/>
      <c r="B157" s="209"/>
      <c r="C157" s="209"/>
      <c r="D157" s="209"/>
      <c r="E157" s="209"/>
      <c r="F157" s="240"/>
      <c r="G157" s="213"/>
      <c r="H157" s="213"/>
      <c r="I157" s="210"/>
      <c r="O157" s="244"/>
      <c r="R157" s="244"/>
      <c r="U157" s="244"/>
    </row>
    <row r="158">
      <c r="A158" s="209"/>
      <c r="B158" s="209"/>
      <c r="C158" s="209"/>
      <c r="D158" s="209"/>
      <c r="E158" s="209"/>
      <c r="F158" s="240"/>
      <c r="G158" s="213"/>
      <c r="H158" s="213"/>
      <c r="I158" s="210"/>
      <c r="O158" s="244"/>
      <c r="R158" s="244"/>
      <c r="U158" s="244"/>
    </row>
    <row r="159">
      <c r="A159" s="209"/>
      <c r="B159" s="209"/>
      <c r="C159" s="209"/>
      <c r="D159" s="209"/>
      <c r="E159" s="209"/>
      <c r="F159" s="240"/>
      <c r="G159" s="213"/>
      <c r="H159" s="213"/>
      <c r="I159" s="210"/>
      <c r="O159" s="244"/>
      <c r="R159" s="244"/>
      <c r="U159" s="244"/>
    </row>
    <row r="160">
      <c r="A160" s="209"/>
      <c r="B160" s="209"/>
      <c r="C160" s="209"/>
      <c r="D160" s="209"/>
      <c r="E160" s="209"/>
      <c r="F160" s="240"/>
      <c r="G160" s="213"/>
      <c r="H160" s="213"/>
      <c r="I160" s="210"/>
      <c r="O160" s="244"/>
      <c r="R160" s="244"/>
      <c r="U160" s="244"/>
    </row>
    <row r="161">
      <c r="A161" s="209"/>
      <c r="B161" s="209"/>
      <c r="C161" s="209"/>
      <c r="D161" s="209"/>
      <c r="E161" s="209"/>
      <c r="F161" s="240"/>
      <c r="G161" s="213"/>
      <c r="H161" s="213"/>
      <c r="I161" s="210"/>
      <c r="O161" s="244"/>
      <c r="R161" s="244"/>
      <c r="U161" s="244"/>
    </row>
    <row r="162">
      <c r="A162" s="209"/>
      <c r="B162" s="209"/>
      <c r="C162" s="209"/>
      <c r="D162" s="209"/>
      <c r="E162" s="209"/>
      <c r="F162" s="240"/>
      <c r="G162" s="213"/>
      <c r="H162" s="213"/>
      <c r="I162" s="210"/>
      <c r="O162" s="244"/>
      <c r="R162" s="244"/>
      <c r="U162" s="244"/>
    </row>
    <row r="163">
      <c r="A163" s="209"/>
      <c r="B163" s="209"/>
      <c r="C163" s="209"/>
      <c r="D163" s="209"/>
      <c r="E163" s="209"/>
      <c r="F163" s="240"/>
      <c r="G163" s="213"/>
      <c r="H163" s="213"/>
      <c r="I163" s="210"/>
      <c r="O163" s="244"/>
      <c r="R163" s="244"/>
      <c r="U163" s="244"/>
    </row>
    <row r="164">
      <c r="A164" s="209"/>
      <c r="B164" s="209"/>
      <c r="C164" s="209"/>
      <c r="D164" s="209"/>
      <c r="E164" s="209"/>
      <c r="F164" s="240"/>
      <c r="G164" s="213"/>
      <c r="H164" s="213"/>
      <c r="I164" s="210"/>
      <c r="O164" s="244"/>
      <c r="R164" s="244"/>
      <c r="U164" s="244"/>
    </row>
    <row r="165">
      <c r="A165" s="209"/>
      <c r="B165" s="209"/>
      <c r="C165" s="209"/>
      <c r="D165" s="209"/>
      <c r="E165" s="209"/>
      <c r="F165" s="240"/>
      <c r="G165" s="213"/>
      <c r="H165" s="213"/>
      <c r="I165" s="210"/>
      <c r="O165" s="244"/>
      <c r="R165" s="244"/>
      <c r="U165" s="244"/>
    </row>
    <row r="166">
      <c r="A166" s="209"/>
      <c r="B166" s="209"/>
      <c r="C166" s="209"/>
      <c r="D166" s="209"/>
      <c r="E166" s="209"/>
      <c r="F166" s="240"/>
      <c r="G166" s="213"/>
      <c r="H166" s="213"/>
      <c r="I166" s="210"/>
      <c r="O166" s="244"/>
      <c r="R166" s="244"/>
      <c r="U166" s="244"/>
    </row>
    <row r="167">
      <c r="A167" s="209"/>
      <c r="B167" s="209"/>
      <c r="C167" s="209"/>
      <c r="D167" s="209"/>
      <c r="E167" s="209"/>
      <c r="F167" s="240"/>
      <c r="G167" s="213"/>
      <c r="H167" s="213"/>
      <c r="I167" s="210"/>
      <c r="O167" s="244"/>
      <c r="R167" s="244"/>
      <c r="U167" s="244"/>
    </row>
    <row r="168">
      <c r="A168" s="209"/>
      <c r="B168" s="209"/>
      <c r="C168" s="209"/>
      <c r="D168" s="209"/>
      <c r="E168" s="209"/>
      <c r="F168" s="240"/>
      <c r="G168" s="213"/>
      <c r="H168" s="213"/>
      <c r="I168" s="210"/>
      <c r="O168" s="244"/>
      <c r="R168" s="244"/>
      <c r="U168" s="244"/>
    </row>
    <row r="169">
      <c r="A169" s="209"/>
      <c r="B169" s="209"/>
      <c r="C169" s="209"/>
      <c r="D169" s="209"/>
      <c r="E169" s="209"/>
      <c r="F169" s="240"/>
      <c r="G169" s="213"/>
      <c r="H169" s="213"/>
      <c r="I169" s="210"/>
      <c r="O169" s="244"/>
      <c r="R169" s="244"/>
      <c r="U169" s="244"/>
    </row>
    <row r="170">
      <c r="A170" s="209"/>
      <c r="B170" s="209"/>
      <c r="C170" s="209"/>
      <c r="D170" s="209"/>
      <c r="E170" s="209"/>
      <c r="F170" s="240"/>
      <c r="G170" s="213"/>
      <c r="H170" s="213"/>
      <c r="I170" s="210"/>
      <c r="O170" s="244"/>
      <c r="R170" s="244"/>
      <c r="U170" s="244"/>
    </row>
    <row r="171">
      <c r="A171" s="209"/>
      <c r="B171" s="209"/>
      <c r="C171" s="209"/>
      <c r="D171" s="209"/>
      <c r="E171" s="209"/>
      <c r="F171" s="240"/>
      <c r="G171" s="213"/>
      <c r="H171" s="213"/>
      <c r="I171" s="210"/>
      <c r="O171" s="244"/>
      <c r="R171" s="244"/>
      <c r="U171" s="244"/>
    </row>
    <row r="172">
      <c r="A172" s="209"/>
      <c r="B172" s="209"/>
      <c r="C172" s="209"/>
      <c r="D172" s="209"/>
      <c r="E172" s="209"/>
      <c r="F172" s="240"/>
      <c r="G172" s="213"/>
      <c r="H172" s="213"/>
      <c r="I172" s="210"/>
      <c r="O172" s="244"/>
      <c r="R172" s="244"/>
      <c r="U172" s="244"/>
    </row>
    <row r="173">
      <c r="A173" s="209"/>
      <c r="B173" s="209"/>
      <c r="C173" s="209"/>
      <c r="D173" s="209"/>
      <c r="E173" s="209"/>
      <c r="F173" s="240"/>
      <c r="G173" s="213"/>
      <c r="H173" s="213"/>
      <c r="I173" s="210"/>
      <c r="O173" s="244"/>
      <c r="R173" s="244"/>
      <c r="U173" s="244"/>
    </row>
    <row r="174">
      <c r="A174" s="209"/>
      <c r="B174" s="209"/>
      <c r="C174" s="209"/>
      <c r="D174" s="209"/>
      <c r="E174" s="209"/>
      <c r="F174" s="240"/>
      <c r="G174" s="213"/>
      <c r="H174" s="213"/>
      <c r="I174" s="210"/>
      <c r="O174" s="244"/>
      <c r="R174" s="244"/>
      <c r="U174" s="244"/>
    </row>
    <row r="175">
      <c r="A175" s="209"/>
      <c r="B175" s="209"/>
      <c r="C175" s="209"/>
      <c r="D175" s="209"/>
      <c r="E175" s="209"/>
      <c r="F175" s="240"/>
      <c r="G175" s="213"/>
      <c r="H175" s="213"/>
      <c r="I175" s="210"/>
      <c r="O175" s="244"/>
      <c r="R175" s="244"/>
      <c r="U175" s="244"/>
    </row>
    <row r="176">
      <c r="A176" s="209"/>
      <c r="B176" s="209"/>
      <c r="C176" s="209"/>
      <c r="D176" s="209"/>
      <c r="E176" s="209"/>
      <c r="F176" s="240"/>
      <c r="G176" s="213"/>
      <c r="H176" s="213"/>
      <c r="I176" s="210"/>
      <c r="O176" s="244"/>
      <c r="R176" s="244"/>
      <c r="U176" s="244"/>
    </row>
    <row r="177">
      <c r="A177" s="209"/>
      <c r="B177" s="209"/>
      <c r="C177" s="209"/>
      <c r="D177" s="209"/>
      <c r="E177" s="209"/>
      <c r="F177" s="240"/>
      <c r="G177" s="213"/>
      <c r="H177" s="213"/>
      <c r="I177" s="210"/>
      <c r="O177" s="244"/>
      <c r="R177" s="244"/>
      <c r="U177" s="244"/>
    </row>
    <row r="178">
      <c r="A178" s="209"/>
      <c r="B178" s="209"/>
      <c r="C178" s="209"/>
      <c r="D178" s="209"/>
      <c r="E178" s="209"/>
      <c r="F178" s="240"/>
      <c r="G178" s="213"/>
      <c r="H178" s="213"/>
      <c r="I178" s="210"/>
      <c r="O178" s="244"/>
      <c r="R178" s="244"/>
      <c r="U178" s="244"/>
    </row>
    <row r="179">
      <c r="A179" s="209"/>
      <c r="B179" s="209"/>
      <c r="C179" s="209"/>
      <c r="D179" s="209"/>
      <c r="E179" s="209"/>
      <c r="F179" s="240"/>
      <c r="G179" s="213"/>
      <c r="H179" s="213"/>
      <c r="I179" s="210"/>
      <c r="O179" s="244"/>
      <c r="R179" s="244"/>
      <c r="U179" s="244"/>
    </row>
    <row r="180">
      <c r="A180" s="209"/>
      <c r="B180" s="209"/>
      <c r="C180" s="209"/>
      <c r="D180" s="209"/>
      <c r="E180" s="209"/>
      <c r="F180" s="240"/>
      <c r="G180" s="213"/>
      <c r="H180" s="213"/>
      <c r="I180" s="210"/>
      <c r="O180" s="244"/>
      <c r="R180" s="244"/>
      <c r="U180" s="244"/>
    </row>
    <row r="181">
      <c r="A181" s="209"/>
      <c r="B181" s="209"/>
      <c r="C181" s="209"/>
      <c r="D181" s="209"/>
      <c r="E181" s="209"/>
      <c r="F181" s="240"/>
      <c r="G181" s="213"/>
      <c r="H181" s="213"/>
      <c r="I181" s="210"/>
      <c r="O181" s="244"/>
      <c r="R181" s="244"/>
      <c r="U181" s="244"/>
    </row>
    <row r="182">
      <c r="A182" s="209"/>
      <c r="B182" s="209"/>
      <c r="C182" s="209"/>
      <c r="D182" s="209"/>
      <c r="E182" s="209"/>
      <c r="F182" s="240"/>
      <c r="G182" s="213"/>
      <c r="H182" s="213"/>
      <c r="I182" s="210"/>
      <c r="O182" s="244"/>
      <c r="R182" s="244"/>
      <c r="U182" s="244"/>
    </row>
    <row r="183">
      <c r="A183" s="209"/>
      <c r="B183" s="209"/>
      <c r="C183" s="209"/>
      <c r="D183" s="209"/>
      <c r="E183" s="209"/>
      <c r="F183" s="240"/>
      <c r="G183" s="213"/>
      <c r="H183" s="213"/>
      <c r="I183" s="210"/>
      <c r="O183" s="244"/>
      <c r="R183" s="244"/>
      <c r="U183" s="244"/>
    </row>
    <row r="184">
      <c r="A184" s="209"/>
      <c r="B184" s="209"/>
      <c r="C184" s="209"/>
      <c r="D184" s="209"/>
      <c r="E184" s="209"/>
      <c r="F184" s="240"/>
      <c r="G184" s="213"/>
      <c r="H184" s="213"/>
      <c r="I184" s="210"/>
      <c r="O184" s="244"/>
      <c r="R184" s="244"/>
      <c r="U184" s="244"/>
    </row>
    <row r="185">
      <c r="A185" s="209"/>
      <c r="B185" s="209"/>
      <c r="C185" s="209"/>
      <c r="D185" s="209"/>
      <c r="E185" s="209"/>
      <c r="F185" s="240"/>
      <c r="G185" s="213"/>
      <c r="H185" s="213"/>
      <c r="I185" s="210"/>
      <c r="O185" s="244"/>
      <c r="R185" s="244"/>
      <c r="U185" s="244"/>
    </row>
    <row r="186">
      <c r="A186" s="209"/>
      <c r="B186" s="209"/>
      <c r="C186" s="209"/>
      <c r="D186" s="209"/>
      <c r="E186" s="209"/>
      <c r="F186" s="240"/>
      <c r="G186" s="213"/>
      <c r="H186" s="213"/>
      <c r="I186" s="210"/>
      <c r="O186" s="244"/>
      <c r="R186" s="244"/>
      <c r="U186" s="244"/>
    </row>
    <row r="187">
      <c r="A187" s="209"/>
      <c r="B187" s="209"/>
      <c r="C187" s="209"/>
      <c r="D187" s="209"/>
      <c r="E187" s="209"/>
      <c r="F187" s="240"/>
      <c r="G187" s="213"/>
      <c r="H187" s="213"/>
      <c r="I187" s="210"/>
      <c r="O187" s="244"/>
      <c r="R187" s="244"/>
      <c r="U187" s="244"/>
    </row>
    <row r="188">
      <c r="A188" s="209"/>
      <c r="B188" s="209"/>
      <c r="C188" s="209"/>
      <c r="D188" s="209"/>
      <c r="E188" s="209"/>
      <c r="F188" s="240"/>
      <c r="G188" s="213"/>
      <c r="H188" s="213"/>
      <c r="I188" s="210"/>
      <c r="O188" s="244"/>
      <c r="R188" s="244"/>
      <c r="U188" s="244"/>
    </row>
    <row r="189">
      <c r="A189" s="209"/>
      <c r="B189" s="209"/>
      <c r="C189" s="209"/>
      <c r="D189" s="209"/>
      <c r="E189" s="209"/>
      <c r="F189" s="240"/>
      <c r="G189" s="213"/>
      <c r="H189" s="213"/>
      <c r="I189" s="210"/>
      <c r="O189" s="244"/>
      <c r="R189" s="244"/>
      <c r="U189" s="244"/>
    </row>
    <row r="190">
      <c r="A190" s="209"/>
      <c r="B190" s="209"/>
      <c r="C190" s="209"/>
      <c r="D190" s="209"/>
      <c r="E190" s="209"/>
      <c r="F190" s="240"/>
      <c r="G190" s="213"/>
      <c r="H190" s="213"/>
      <c r="I190" s="210"/>
      <c r="O190" s="244"/>
      <c r="R190" s="244"/>
      <c r="U190" s="244"/>
    </row>
    <row r="191">
      <c r="A191" s="209"/>
      <c r="B191" s="209"/>
      <c r="C191" s="209"/>
      <c r="D191" s="209"/>
      <c r="E191" s="209"/>
      <c r="F191" s="240"/>
      <c r="G191" s="213"/>
      <c r="H191" s="213"/>
      <c r="I191" s="210"/>
      <c r="O191" s="244"/>
      <c r="R191" s="244"/>
      <c r="U191" s="244"/>
    </row>
    <row r="192">
      <c r="A192" s="209"/>
      <c r="B192" s="209"/>
      <c r="C192" s="209"/>
      <c r="D192" s="209"/>
      <c r="E192" s="209"/>
      <c r="F192" s="240"/>
      <c r="G192" s="213"/>
      <c r="H192" s="213"/>
      <c r="I192" s="210"/>
      <c r="O192" s="244"/>
      <c r="R192" s="244"/>
      <c r="U192" s="244"/>
    </row>
    <row r="193">
      <c r="A193" s="209"/>
      <c r="B193" s="209"/>
      <c r="C193" s="209"/>
      <c r="D193" s="209"/>
      <c r="E193" s="209"/>
      <c r="F193" s="240"/>
      <c r="G193" s="213"/>
      <c r="H193" s="213"/>
      <c r="I193" s="210"/>
      <c r="O193" s="244"/>
      <c r="R193" s="244"/>
      <c r="U193" s="244"/>
    </row>
    <row r="194">
      <c r="A194" s="209"/>
      <c r="B194" s="209"/>
      <c r="C194" s="209"/>
      <c r="D194" s="209"/>
      <c r="E194" s="209"/>
      <c r="F194" s="240"/>
      <c r="G194" s="213"/>
      <c r="H194" s="213"/>
      <c r="I194" s="210"/>
      <c r="O194" s="244"/>
      <c r="R194" s="244"/>
      <c r="U194" s="244"/>
    </row>
    <row r="195">
      <c r="A195" s="209"/>
      <c r="B195" s="209"/>
      <c r="C195" s="209"/>
      <c r="D195" s="209"/>
      <c r="E195" s="209"/>
      <c r="F195" s="240"/>
      <c r="G195" s="213"/>
      <c r="H195" s="213"/>
      <c r="I195" s="210"/>
      <c r="O195" s="244"/>
      <c r="R195" s="244"/>
      <c r="U195" s="244"/>
    </row>
    <row r="196">
      <c r="A196" s="209"/>
      <c r="B196" s="209"/>
      <c r="C196" s="209"/>
      <c r="D196" s="209"/>
      <c r="E196" s="209"/>
      <c r="F196" s="240"/>
      <c r="G196" s="213"/>
      <c r="H196" s="213"/>
      <c r="I196" s="210"/>
      <c r="O196" s="244"/>
      <c r="R196" s="244"/>
      <c r="U196" s="244"/>
    </row>
    <row r="197">
      <c r="A197" s="209"/>
      <c r="B197" s="209"/>
      <c r="C197" s="209"/>
      <c r="D197" s="209"/>
      <c r="E197" s="209"/>
      <c r="F197" s="240"/>
      <c r="G197" s="213"/>
      <c r="H197" s="213"/>
      <c r="I197" s="210"/>
      <c r="O197" s="244"/>
      <c r="R197" s="244"/>
      <c r="U197" s="244"/>
    </row>
    <row r="198">
      <c r="A198" s="209"/>
      <c r="B198" s="209"/>
      <c r="C198" s="209"/>
      <c r="D198" s="209"/>
      <c r="E198" s="209"/>
      <c r="F198" s="240"/>
      <c r="G198" s="213"/>
      <c r="H198" s="213"/>
      <c r="I198" s="210"/>
      <c r="O198" s="244"/>
      <c r="R198" s="244"/>
      <c r="U198" s="244"/>
    </row>
    <row r="199">
      <c r="A199" s="209"/>
      <c r="B199" s="209"/>
      <c r="C199" s="209"/>
      <c r="D199" s="209"/>
      <c r="E199" s="209"/>
      <c r="F199" s="240"/>
      <c r="G199" s="213"/>
      <c r="H199" s="213"/>
      <c r="I199" s="210"/>
      <c r="O199" s="244"/>
      <c r="R199" s="244"/>
      <c r="U199" s="244"/>
    </row>
    <row r="200">
      <c r="A200" s="209"/>
      <c r="B200" s="209"/>
      <c r="C200" s="209"/>
      <c r="D200" s="209"/>
      <c r="E200" s="209"/>
      <c r="F200" s="240"/>
      <c r="G200" s="213"/>
      <c r="H200" s="213"/>
      <c r="I200" s="210"/>
      <c r="O200" s="244"/>
      <c r="R200" s="244"/>
      <c r="U200" s="244"/>
    </row>
    <row r="201">
      <c r="A201" s="209"/>
      <c r="B201" s="209"/>
      <c r="C201" s="209"/>
      <c r="D201" s="209"/>
      <c r="E201" s="209"/>
      <c r="F201" s="240"/>
      <c r="G201" s="213"/>
      <c r="H201" s="213"/>
      <c r="I201" s="210"/>
      <c r="O201" s="244"/>
      <c r="R201" s="244"/>
      <c r="U201" s="244"/>
    </row>
    <row r="202">
      <c r="A202" s="209"/>
      <c r="B202" s="209"/>
      <c r="C202" s="209"/>
      <c r="D202" s="209"/>
      <c r="E202" s="209"/>
      <c r="F202" s="240"/>
      <c r="G202" s="213"/>
      <c r="H202" s="213"/>
      <c r="I202" s="210"/>
      <c r="O202" s="244"/>
      <c r="R202" s="244"/>
      <c r="U202" s="244"/>
    </row>
    <row r="203">
      <c r="A203" s="209"/>
      <c r="B203" s="209"/>
      <c r="C203" s="209"/>
      <c r="D203" s="209"/>
      <c r="E203" s="209"/>
      <c r="F203" s="240"/>
      <c r="G203" s="213"/>
      <c r="H203" s="213"/>
      <c r="I203" s="210"/>
      <c r="O203" s="244"/>
      <c r="R203" s="244"/>
      <c r="U203" s="244"/>
    </row>
    <row r="204">
      <c r="A204" s="209"/>
      <c r="B204" s="209"/>
      <c r="C204" s="209"/>
      <c r="D204" s="209"/>
      <c r="E204" s="209"/>
      <c r="F204" s="240"/>
      <c r="G204" s="213"/>
      <c r="H204" s="213"/>
      <c r="I204" s="210"/>
      <c r="O204" s="244"/>
      <c r="R204" s="244"/>
      <c r="U204" s="244"/>
    </row>
    <row r="205">
      <c r="A205" s="209"/>
      <c r="B205" s="209"/>
      <c r="C205" s="209"/>
      <c r="D205" s="209"/>
      <c r="E205" s="209"/>
      <c r="F205" s="240"/>
      <c r="G205" s="213"/>
      <c r="H205" s="213"/>
      <c r="I205" s="210"/>
      <c r="O205" s="244"/>
      <c r="R205" s="244"/>
      <c r="U205" s="244"/>
    </row>
    <row r="206">
      <c r="A206" s="209"/>
      <c r="B206" s="209"/>
      <c r="C206" s="209"/>
      <c r="D206" s="209"/>
      <c r="E206" s="209"/>
      <c r="F206" s="240"/>
      <c r="G206" s="213"/>
      <c r="H206" s="213"/>
      <c r="I206" s="210"/>
      <c r="O206" s="244"/>
      <c r="R206" s="244"/>
      <c r="U206" s="244"/>
    </row>
    <row r="207">
      <c r="A207" s="209"/>
      <c r="B207" s="209"/>
      <c r="C207" s="209"/>
      <c r="D207" s="209"/>
      <c r="E207" s="209"/>
      <c r="F207" s="240"/>
      <c r="G207" s="213"/>
      <c r="H207" s="213"/>
      <c r="I207" s="210"/>
      <c r="O207" s="244"/>
      <c r="R207" s="244"/>
      <c r="U207" s="244"/>
    </row>
    <row r="208">
      <c r="A208" s="209"/>
      <c r="B208" s="209"/>
      <c r="C208" s="209"/>
      <c r="D208" s="209"/>
      <c r="E208" s="209"/>
      <c r="F208" s="240"/>
      <c r="G208" s="213"/>
      <c r="H208" s="213"/>
      <c r="I208" s="210"/>
      <c r="O208" s="244"/>
      <c r="R208" s="244"/>
      <c r="U208" s="244"/>
    </row>
    <row r="209">
      <c r="A209" s="209"/>
      <c r="B209" s="209"/>
      <c r="C209" s="209"/>
      <c r="D209" s="209"/>
      <c r="E209" s="209"/>
      <c r="F209" s="240"/>
      <c r="G209" s="213"/>
      <c r="H209" s="213"/>
      <c r="I209" s="210"/>
      <c r="O209" s="244"/>
      <c r="R209" s="244"/>
      <c r="U209" s="244"/>
    </row>
    <row r="210">
      <c r="A210" s="209"/>
      <c r="B210" s="209"/>
      <c r="C210" s="209"/>
      <c r="D210" s="209"/>
      <c r="E210" s="209"/>
      <c r="F210" s="240"/>
      <c r="G210" s="213"/>
      <c r="H210" s="213"/>
      <c r="I210" s="210"/>
      <c r="O210" s="244"/>
      <c r="R210" s="244"/>
      <c r="U210" s="244"/>
    </row>
    <row r="211">
      <c r="A211" s="209"/>
      <c r="B211" s="209"/>
      <c r="C211" s="209"/>
      <c r="D211" s="209"/>
      <c r="E211" s="209"/>
      <c r="F211" s="240"/>
      <c r="G211" s="213"/>
      <c r="H211" s="213"/>
      <c r="I211" s="210"/>
      <c r="O211" s="244"/>
      <c r="R211" s="244"/>
      <c r="U211" s="244"/>
    </row>
    <row r="212">
      <c r="A212" s="209"/>
      <c r="B212" s="209"/>
      <c r="C212" s="209"/>
      <c r="D212" s="209"/>
      <c r="E212" s="209"/>
      <c r="F212" s="240"/>
      <c r="G212" s="213"/>
      <c r="H212" s="213"/>
      <c r="I212" s="210"/>
      <c r="O212" s="244"/>
      <c r="R212" s="244"/>
      <c r="U212" s="244"/>
    </row>
    <row r="213">
      <c r="A213" s="209"/>
      <c r="B213" s="209"/>
      <c r="C213" s="209"/>
      <c r="D213" s="209"/>
      <c r="E213" s="209"/>
      <c r="F213" s="240"/>
      <c r="G213" s="213"/>
      <c r="H213" s="213"/>
      <c r="I213" s="210"/>
      <c r="O213" s="244"/>
      <c r="R213" s="244"/>
      <c r="U213" s="244"/>
    </row>
    <row r="214">
      <c r="A214" s="209"/>
      <c r="B214" s="209"/>
      <c r="C214" s="209"/>
      <c r="D214" s="209"/>
      <c r="E214" s="209"/>
      <c r="F214" s="240"/>
      <c r="G214" s="213"/>
      <c r="H214" s="213"/>
      <c r="I214" s="210"/>
      <c r="O214" s="244"/>
      <c r="R214" s="244"/>
      <c r="U214" s="244"/>
    </row>
    <row r="215">
      <c r="A215" s="209"/>
      <c r="B215" s="209"/>
      <c r="C215" s="209"/>
      <c r="D215" s="209"/>
      <c r="E215" s="209"/>
      <c r="F215" s="240"/>
      <c r="G215" s="213"/>
      <c r="H215" s="213"/>
      <c r="I215" s="210"/>
      <c r="O215" s="244"/>
      <c r="R215" s="244"/>
      <c r="U215" s="244"/>
    </row>
    <row r="216">
      <c r="A216" s="209"/>
      <c r="B216" s="209"/>
      <c r="C216" s="209"/>
      <c r="D216" s="209"/>
      <c r="E216" s="209"/>
      <c r="F216" s="240"/>
      <c r="G216" s="213"/>
      <c r="H216" s="213"/>
      <c r="I216" s="210"/>
      <c r="O216" s="244"/>
      <c r="R216" s="244"/>
      <c r="U216" s="244"/>
    </row>
    <row r="217">
      <c r="A217" s="209"/>
      <c r="B217" s="209"/>
      <c r="C217" s="209"/>
      <c r="D217" s="209"/>
      <c r="E217" s="209"/>
      <c r="F217" s="240"/>
      <c r="G217" s="213"/>
      <c r="H217" s="213"/>
      <c r="I217" s="210"/>
      <c r="O217" s="244"/>
      <c r="R217" s="244"/>
      <c r="U217" s="244"/>
    </row>
    <row r="218">
      <c r="A218" s="209"/>
      <c r="B218" s="209"/>
      <c r="C218" s="209"/>
      <c r="D218" s="209"/>
      <c r="E218" s="209"/>
      <c r="F218" s="240"/>
      <c r="G218" s="213"/>
      <c r="H218" s="213"/>
      <c r="I218" s="210"/>
      <c r="O218" s="244"/>
      <c r="R218" s="244"/>
      <c r="U218" s="244"/>
    </row>
    <row r="219">
      <c r="A219" s="209"/>
      <c r="B219" s="209"/>
      <c r="C219" s="209"/>
      <c r="D219" s="209"/>
      <c r="E219" s="209"/>
      <c r="F219" s="240"/>
      <c r="G219" s="213"/>
      <c r="H219" s="213"/>
      <c r="I219" s="210"/>
      <c r="O219" s="244"/>
      <c r="R219" s="244"/>
      <c r="U219" s="244"/>
    </row>
    <row r="220">
      <c r="A220" s="209"/>
      <c r="B220" s="209"/>
      <c r="C220" s="209"/>
      <c r="D220" s="209"/>
      <c r="E220" s="209"/>
      <c r="F220" s="240"/>
      <c r="G220" s="213"/>
      <c r="H220" s="213"/>
      <c r="I220" s="210"/>
      <c r="O220" s="244"/>
      <c r="R220" s="244"/>
      <c r="U220" s="244"/>
    </row>
    <row r="221">
      <c r="A221" s="209"/>
      <c r="B221" s="209"/>
      <c r="C221" s="209"/>
      <c r="D221" s="209"/>
      <c r="E221" s="209"/>
      <c r="F221" s="240"/>
      <c r="G221" s="213"/>
      <c r="H221" s="213"/>
      <c r="I221" s="210"/>
      <c r="O221" s="244"/>
      <c r="R221" s="244"/>
      <c r="U221" s="244"/>
    </row>
    <row r="222">
      <c r="A222" s="209"/>
      <c r="B222" s="209"/>
      <c r="C222" s="209"/>
      <c r="D222" s="209"/>
      <c r="E222" s="209"/>
      <c r="F222" s="240"/>
      <c r="G222" s="213"/>
      <c r="H222" s="213"/>
      <c r="I222" s="210"/>
      <c r="O222" s="244"/>
      <c r="R222" s="244"/>
      <c r="U222" s="244"/>
    </row>
    <row r="223">
      <c r="A223" s="209"/>
      <c r="B223" s="209"/>
      <c r="C223" s="209"/>
      <c r="D223" s="209"/>
      <c r="E223" s="209"/>
      <c r="F223" s="240"/>
      <c r="G223" s="213"/>
      <c r="H223" s="213"/>
      <c r="I223" s="210"/>
      <c r="O223" s="244"/>
      <c r="R223" s="244"/>
      <c r="U223" s="244"/>
    </row>
    <row r="224">
      <c r="A224" s="209"/>
      <c r="B224" s="209"/>
      <c r="C224" s="209"/>
      <c r="D224" s="209"/>
      <c r="E224" s="209"/>
      <c r="F224" s="240"/>
      <c r="G224" s="213"/>
      <c r="H224" s="213"/>
      <c r="I224" s="210"/>
      <c r="O224" s="244"/>
      <c r="R224" s="244"/>
      <c r="U224" s="244"/>
    </row>
    <row r="225">
      <c r="A225" s="209"/>
      <c r="B225" s="209"/>
      <c r="C225" s="209"/>
      <c r="D225" s="209"/>
      <c r="E225" s="209"/>
      <c r="F225" s="240"/>
      <c r="G225" s="213"/>
      <c r="H225" s="213"/>
      <c r="I225" s="210"/>
      <c r="O225" s="244"/>
      <c r="R225" s="244"/>
      <c r="U225" s="244"/>
    </row>
    <row r="226">
      <c r="A226" s="209"/>
      <c r="B226" s="209"/>
      <c r="C226" s="209"/>
      <c r="D226" s="209"/>
      <c r="E226" s="209"/>
      <c r="F226" s="240"/>
      <c r="G226" s="213"/>
      <c r="H226" s="213"/>
      <c r="I226" s="210"/>
      <c r="O226" s="244"/>
      <c r="R226" s="244"/>
      <c r="U226" s="244"/>
    </row>
    <row r="227">
      <c r="A227" s="209"/>
      <c r="B227" s="209"/>
      <c r="C227" s="209"/>
      <c r="D227" s="209"/>
      <c r="E227" s="209"/>
      <c r="F227" s="240"/>
      <c r="G227" s="213"/>
      <c r="H227" s="213"/>
      <c r="I227" s="210"/>
      <c r="O227" s="244"/>
      <c r="R227" s="244"/>
      <c r="U227" s="244"/>
    </row>
    <row r="228">
      <c r="A228" s="209"/>
      <c r="B228" s="209"/>
      <c r="C228" s="209"/>
      <c r="D228" s="209"/>
      <c r="E228" s="209"/>
      <c r="F228" s="240"/>
      <c r="G228" s="213"/>
      <c r="H228" s="213"/>
      <c r="I228" s="210"/>
      <c r="O228" s="244"/>
      <c r="R228" s="244"/>
      <c r="U228" s="244"/>
    </row>
    <row r="229">
      <c r="A229" s="209"/>
      <c r="B229" s="209"/>
      <c r="C229" s="209"/>
      <c r="D229" s="209"/>
      <c r="E229" s="209"/>
      <c r="F229" s="240"/>
      <c r="G229" s="213"/>
      <c r="H229" s="213"/>
      <c r="I229" s="210"/>
      <c r="O229" s="244"/>
      <c r="R229" s="244"/>
      <c r="U229" s="244"/>
    </row>
    <row r="230">
      <c r="A230" s="209"/>
      <c r="B230" s="209"/>
      <c r="C230" s="209"/>
      <c r="D230" s="209"/>
      <c r="E230" s="209"/>
      <c r="F230" s="240"/>
      <c r="G230" s="213"/>
      <c r="H230" s="213"/>
      <c r="I230" s="210"/>
      <c r="O230" s="244"/>
      <c r="R230" s="244"/>
      <c r="U230" s="244"/>
    </row>
    <row r="231">
      <c r="A231" s="209"/>
      <c r="B231" s="209"/>
      <c r="C231" s="209"/>
      <c r="D231" s="209"/>
      <c r="E231" s="209"/>
      <c r="F231" s="240"/>
      <c r="G231" s="213"/>
      <c r="H231" s="213"/>
      <c r="I231" s="210"/>
      <c r="O231" s="244"/>
      <c r="R231" s="244"/>
      <c r="U231" s="244"/>
    </row>
    <row r="232">
      <c r="A232" s="209"/>
      <c r="B232" s="209"/>
      <c r="C232" s="209"/>
      <c r="D232" s="209"/>
      <c r="E232" s="209"/>
      <c r="F232" s="240"/>
      <c r="G232" s="213"/>
      <c r="H232" s="213"/>
      <c r="I232" s="210"/>
      <c r="O232" s="244"/>
      <c r="R232" s="244"/>
      <c r="U232" s="244"/>
    </row>
    <row r="233">
      <c r="A233" s="209"/>
      <c r="B233" s="209"/>
      <c r="C233" s="209"/>
      <c r="D233" s="209"/>
      <c r="E233" s="209"/>
      <c r="F233" s="240"/>
      <c r="G233" s="213"/>
      <c r="H233" s="213"/>
      <c r="I233" s="210"/>
      <c r="O233" s="244"/>
      <c r="R233" s="244"/>
      <c r="U233" s="244"/>
    </row>
    <row r="234">
      <c r="A234" s="209"/>
      <c r="B234" s="209"/>
      <c r="C234" s="209"/>
      <c r="D234" s="209"/>
      <c r="E234" s="209"/>
      <c r="F234" s="240"/>
      <c r="G234" s="213"/>
      <c r="H234" s="213"/>
      <c r="I234" s="210"/>
      <c r="O234" s="244"/>
      <c r="R234" s="244"/>
      <c r="U234" s="244"/>
    </row>
    <row r="235">
      <c r="A235" s="209"/>
      <c r="B235" s="209"/>
      <c r="C235" s="209"/>
      <c r="D235" s="209"/>
      <c r="E235" s="209"/>
      <c r="F235" s="240"/>
      <c r="G235" s="213"/>
      <c r="H235" s="213"/>
      <c r="I235" s="210"/>
      <c r="O235" s="244"/>
      <c r="R235" s="244"/>
      <c r="U235" s="244"/>
    </row>
    <row r="236">
      <c r="A236" s="209"/>
      <c r="B236" s="209"/>
      <c r="C236" s="209"/>
      <c r="D236" s="209"/>
      <c r="E236" s="209"/>
      <c r="F236" s="240"/>
      <c r="G236" s="213"/>
      <c r="H236" s="213"/>
      <c r="I236" s="210"/>
      <c r="O236" s="244"/>
      <c r="R236" s="244"/>
      <c r="U236" s="244"/>
    </row>
    <row r="237">
      <c r="A237" s="209"/>
      <c r="B237" s="209"/>
      <c r="C237" s="209"/>
      <c r="D237" s="209"/>
      <c r="E237" s="209"/>
      <c r="F237" s="240"/>
      <c r="G237" s="213"/>
      <c r="H237" s="213"/>
      <c r="I237" s="210"/>
      <c r="O237" s="244"/>
      <c r="R237" s="244"/>
      <c r="U237" s="244"/>
    </row>
    <row r="238">
      <c r="A238" s="209"/>
      <c r="B238" s="209"/>
      <c r="C238" s="209"/>
      <c r="D238" s="209"/>
      <c r="E238" s="209"/>
      <c r="F238" s="240"/>
      <c r="G238" s="213"/>
      <c r="H238" s="213"/>
      <c r="I238" s="210"/>
      <c r="O238" s="244"/>
      <c r="R238" s="244"/>
      <c r="U238" s="244"/>
    </row>
    <row r="239">
      <c r="A239" s="209"/>
      <c r="B239" s="209"/>
      <c r="C239" s="209"/>
      <c r="D239" s="209"/>
      <c r="E239" s="209"/>
      <c r="F239" s="240"/>
      <c r="G239" s="213"/>
      <c r="H239" s="213"/>
      <c r="I239" s="210"/>
      <c r="O239" s="244"/>
      <c r="R239" s="244"/>
      <c r="U239" s="244"/>
    </row>
    <row r="240">
      <c r="A240" s="209"/>
      <c r="B240" s="209"/>
      <c r="C240" s="209"/>
      <c r="D240" s="209"/>
      <c r="E240" s="209"/>
      <c r="F240" s="240"/>
      <c r="G240" s="213"/>
      <c r="H240" s="213"/>
      <c r="I240" s="210"/>
      <c r="O240" s="244"/>
      <c r="R240" s="244"/>
      <c r="U240" s="244"/>
    </row>
    <row r="241">
      <c r="A241" s="209"/>
      <c r="B241" s="209"/>
      <c r="C241" s="209"/>
      <c r="D241" s="209"/>
      <c r="E241" s="209"/>
      <c r="F241" s="240"/>
      <c r="G241" s="213"/>
      <c r="H241" s="213"/>
      <c r="I241" s="210"/>
      <c r="O241" s="244"/>
      <c r="R241" s="244"/>
      <c r="U241" s="244"/>
    </row>
    <row r="242">
      <c r="A242" s="209"/>
      <c r="B242" s="209"/>
      <c r="C242" s="209"/>
      <c r="D242" s="209"/>
      <c r="E242" s="209"/>
      <c r="F242" s="240"/>
      <c r="G242" s="213"/>
      <c r="H242" s="213"/>
      <c r="I242" s="210"/>
      <c r="O242" s="244"/>
      <c r="R242" s="244"/>
      <c r="U242" s="244"/>
    </row>
    <row r="243">
      <c r="A243" s="209"/>
      <c r="B243" s="209"/>
      <c r="C243" s="209"/>
      <c r="D243" s="209"/>
      <c r="E243" s="209"/>
      <c r="F243" s="240"/>
      <c r="G243" s="213"/>
      <c r="H243" s="213"/>
      <c r="I243" s="210"/>
      <c r="O243" s="244"/>
      <c r="R243" s="244"/>
      <c r="U243" s="244"/>
    </row>
    <row r="244">
      <c r="A244" s="209"/>
      <c r="B244" s="209"/>
      <c r="C244" s="209"/>
      <c r="D244" s="209"/>
      <c r="E244" s="209"/>
      <c r="F244" s="240"/>
      <c r="G244" s="213"/>
      <c r="H244" s="213"/>
      <c r="I244" s="210"/>
      <c r="O244" s="244"/>
      <c r="R244" s="244"/>
      <c r="U244" s="244"/>
    </row>
    <row r="245">
      <c r="A245" s="209"/>
      <c r="B245" s="209"/>
      <c r="C245" s="209"/>
      <c r="D245" s="209"/>
      <c r="E245" s="209"/>
      <c r="F245" s="240"/>
      <c r="G245" s="213"/>
      <c r="H245" s="213"/>
      <c r="I245" s="210"/>
      <c r="O245" s="244"/>
      <c r="R245" s="244"/>
      <c r="U245" s="244"/>
    </row>
    <row r="246">
      <c r="A246" s="209"/>
      <c r="B246" s="209"/>
      <c r="C246" s="209"/>
      <c r="D246" s="209"/>
      <c r="E246" s="209"/>
      <c r="F246" s="240"/>
      <c r="G246" s="213"/>
      <c r="H246" s="213"/>
      <c r="I246" s="210"/>
      <c r="O246" s="244"/>
      <c r="R246" s="244"/>
      <c r="U246" s="244"/>
    </row>
    <row r="247">
      <c r="A247" s="209"/>
      <c r="B247" s="209"/>
      <c r="C247" s="209"/>
      <c r="D247" s="209"/>
      <c r="E247" s="209"/>
      <c r="F247" s="240"/>
      <c r="G247" s="213"/>
      <c r="H247" s="213"/>
      <c r="I247" s="210"/>
      <c r="O247" s="244"/>
      <c r="R247" s="244"/>
      <c r="U247" s="244"/>
    </row>
    <row r="248">
      <c r="A248" s="209"/>
      <c r="B248" s="209"/>
      <c r="C248" s="209"/>
      <c r="D248" s="209"/>
      <c r="E248" s="209"/>
      <c r="F248" s="240"/>
      <c r="G248" s="213"/>
      <c r="H248" s="213"/>
      <c r="I248" s="210"/>
      <c r="O248" s="244"/>
      <c r="R248" s="244"/>
      <c r="U248" s="244"/>
    </row>
    <row r="249">
      <c r="A249" s="209"/>
      <c r="B249" s="209"/>
      <c r="C249" s="209"/>
      <c r="D249" s="209"/>
      <c r="E249" s="209"/>
      <c r="F249" s="240"/>
      <c r="G249" s="213"/>
      <c r="H249" s="213"/>
      <c r="I249" s="210"/>
      <c r="O249" s="244"/>
      <c r="R249" s="244"/>
      <c r="U249" s="244"/>
    </row>
    <row r="250">
      <c r="A250" s="209"/>
      <c r="B250" s="209"/>
      <c r="C250" s="209"/>
      <c r="D250" s="209"/>
      <c r="E250" s="209"/>
      <c r="F250" s="240"/>
      <c r="G250" s="213"/>
      <c r="H250" s="213"/>
      <c r="I250" s="210"/>
      <c r="O250" s="244"/>
      <c r="R250" s="244"/>
      <c r="U250" s="244"/>
    </row>
    <row r="251">
      <c r="A251" s="209"/>
      <c r="B251" s="209"/>
      <c r="C251" s="209"/>
      <c r="D251" s="209"/>
      <c r="E251" s="209"/>
      <c r="F251" s="240"/>
      <c r="G251" s="213"/>
      <c r="H251" s="213"/>
      <c r="I251" s="210"/>
      <c r="O251" s="244"/>
      <c r="R251" s="244"/>
      <c r="U251" s="244"/>
    </row>
    <row r="252">
      <c r="A252" s="209"/>
      <c r="B252" s="209"/>
      <c r="C252" s="209"/>
      <c r="D252" s="209"/>
      <c r="E252" s="209"/>
      <c r="F252" s="240"/>
      <c r="G252" s="213"/>
      <c r="H252" s="213"/>
      <c r="I252" s="210"/>
      <c r="O252" s="244"/>
      <c r="R252" s="244"/>
      <c r="U252" s="244"/>
    </row>
    <row r="253">
      <c r="A253" s="209"/>
      <c r="B253" s="209"/>
      <c r="C253" s="209"/>
      <c r="D253" s="209"/>
      <c r="E253" s="209"/>
      <c r="F253" s="240"/>
      <c r="G253" s="213"/>
      <c r="H253" s="213"/>
      <c r="I253" s="210"/>
      <c r="O253" s="244"/>
      <c r="R253" s="244"/>
      <c r="U253" s="244"/>
    </row>
    <row r="254">
      <c r="A254" s="209"/>
      <c r="B254" s="209"/>
      <c r="C254" s="209"/>
      <c r="D254" s="209"/>
      <c r="E254" s="209"/>
      <c r="F254" s="240"/>
      <c r="G254" s="213"/>
      <c r="H254" s="213"/>
      <c r="I254" s="210"/>
      <c r="O254" s="244"/>
      <c r="R254" s="244"/>
      <c r="U254" s="244"/>
    </row>
    <row r="255">
      <c r="A255" s="209"/>
      <c r="B255" s="209"/>
      <c r="C255" s="209"/>
      <c r="D255" s="209"/>
      <c r="E255" s="209"/>
      <c r="F255" s="240"/>
      <c r="G255" s="213"/>
      <c r="H255" s="213"/>
      <c r="I255" s="210"/>
      <c r="O255" s="244"/>
      <c r="R255" s="244"/>
      <c r="U255" s="244"/>
    </row>
    <row r="256">
      <c r="A256" s="209"/>
      <c r="B256" s="209"/>
      <c r="C256" s="209"/>
      <c r="D256" s="209"/>
      <c r="E256" s="209"/>
      <c r="F256" s="240"/>
      <c r="G256" s="213"/>
      <c r="H256" s="213"/>
      <c r="I256" s="210"/>
      <c r="O256" s="244"/>
      <c r="R256" s="244"/>
      <c r="U256" s="244"/>
    </row>
    <row r="257">
      <c r="A257" s="209"/>
      <c r="B257" s="209"/>
      <c r="C257" s="209"/>
      <c r="D257" s="209"/>
      <c r="E257" s="209"/>
      <c r="F257" s="240"/>
      <c r="G257" s="213"/>
      <c r="H257" s="213"/>
      <c r="I257" s="210"/>
      <c r="O257" s="244"/>
      <c r="R257" s="244"/>
      <c r="U257" s="244"/>
    </row>
    <row r="258">
      <c r="A258" s="209"/>
      <c r="B258" s="209"/>
      <c r="C258" s="209"/>
      <c r="D258" s="209"/>
      <c r="E258" s="209"/>
      <c r="F258" s="240"/>
      <c r="G258" s="213"/>
      <c r="H258" s="213"/>
      <c r="I258" s="210"/>
      <c r="O258" s="244"/>
      <c r="R258" s="244"/>
      <c r="U258" s="244"/>
    </row>
    <row r="259">
      <c r="A259" s="209"/>
      <c r="B259" s="209"/>
      <c r="C259" s="209"/>
      <c r="D259" s="209"/>
      <c r="E259" s="209"/>
      <c r="F259" s="240"/>
      <c r="G259" s="213"/>
      <c r="H259" s="213"/>
      <c r="I259" s="210"/>
      <c r="O259" s="244"/>
      <c r="R259" s="244"/>
      <c r="U259" s="244"/>
    </row>
    <row r="260">
      <c r="A260" s="209"/>
      <c r="B260" s="209"/>
      <c r="C260" s="209"/>
      <c r="D260" s="209"/>
      <c r="E260" s="209"/>
      <c r="F260" s="240"/>
      <c r="G260" s="213"/>
      <c r="H260" s="213"/>
      <c r="I260" s="210"/>
      <c r="O260" s="244"/>
      <c r="R260" s="244"/>
      <c r="U260" s="244"/>
    </row>
    <row r="261">
      <c r="A261" s="209"/>
      <c r="B261" s="209"/>
      <c r="C261" s="209"/>
      <c r="D261" s="209"/>
      <c r="E261" s="209"/>
      <c r="F261" s="240"/>
      <c r="G261" s="213"/>
      <c r="H261" s="213"/>
      <c r="I261" s="210"/>
      <c r="O261" s="244"/>
      <c r="R261" s="244"/>
      <c r="U261" s="244"/>
    </row>
    <row r="262">
      <c r="A262" s="209"/>
      <c r="B262" s="209"/>
      <c r="C262" s="209"/>
      <c r="D262" s="209"/>
      <c r="E262" s="209"/>
      <c r="F262" s="240"/>
      <c r="G262" s="213"/>
      <c r="H262" s="213"/>
      <c r="I262" s="210"/>
      <c r="O262" s="244"/>
      <c r="R262" s="244"/>
      <c r="U262" s="244"/>
    </row>
    <row r="263">
      <c r="A263" s="209"/>
      <c r="B263" s="209"/>
      <c r="C263" s="209"/>
      <c r="D263" s="209"/>
      <c r="E263" s="209"/>
      <c r="F263" s="240"/>
      <c r="G263" s="213"/>
      <c r="H263" s="213"/>
      <c r="I263" s="210"/>
      <c r="O263" s="244"/>
      <c r="R263" s="244"/>
      <c r="U263" s="244"/>
    </row>
    <row r="264">
      <c r="A264" s="209"/>
      <c r="B264" s="209"/>
      <c r="C264" s="209"/>
      <c r="D264" s="209"/>
      <c r="E264" s="209"/>
      <c r="F264" s="240"/>
      <c r="G264" s="213"/>
      <c r="H264" s="213"/>
      <c r="I264" s="210"/>
      <c r="O264" s="244"/>
      <c r="R264" s="244"/>
      <c r="U264" s="244"/>
    </row>
    <row r="265">
      <c r="A265" s="209"/>
      <c r="B265" s="209"/>
      <c r="C265" s="209"/>
      <c r="D265" s="209"/>
      <c r="E265" s="209"/>
      <c r="F265" s="240"/>
      <c r="G265" s="213"/>
      <c r="H265" s="213"/>
      <c r="I265" s="210"/>
      <c r="O265" s="244"/>
      <c r="R265" s="244"/>
      <c r="U265" s="244"/>
    </row>
    <row r="266">
      <c r="A266" s="209"/>
      <c r="B266" s="209"/>
      <c r="C266" s="209"/>
      <c r="D266" s="209"/>
      <c r="E266" s="209"/>
      <c r="F266" s="240"/>
      <c r="G266" s="213"/>
      <c r="H266" s="213"/>
      <c r="I266" s="210"/>
      <c r="O266" s="244"/>
      <c r="R266" s="244"/>
      <c r="U266" s="244"/>
    </row>
    <row r="267">
      <c r="A267" s="209"/>
      <c r="B267" s="209"/>
      <c r="C267" s="209"/>
      <c r="D267" s="209"/>
      <c r="E267" s="209"/>
      <c r="F267" s="240"/>
      <c r="G267" s="213"/>
      <c r="H267" s="213"/>
      <c r="I267" s="210"/>
      <c r="O267" s="244"/>
      <c r="R267" s="244"/>
      <c r="U267" s="244"/>
    </row>
    <row r="268">
      <c r="A268" s="209"/>
      <c r="B268" s="209"/>
      <c r="C268" s="209"/>
      <c r="D268" s="209"/>
      <c r="E268" s="209"/>
      <c r="F268" s="240"/>
      <c r="G268" s="213"/>
      <c r="H268" s="213"/>
      <c r="I268" s="210"/>
      <c r="O268" s="244"/>
      <c r="R268" s="244"/>
      <c r="U268" s="244"/>
    </row>
    <row r="269">
      <c r="A269" s="209"/>
      <c r="B269" s="209"/>
      <c r="C269" s="209"/>
      <c r="D269" s="209"/>
      <c r="E269" s="209"/>
      <c r="F269" s="240"/>
      <c r="G269" s="213"/>
      <c r="H269" s="213"/>
      <c r="I269" s="210"/>
      <c r="O269" s="244"/>
      <c r="R269" s="244"/>
      <c r="U269" s="244"/>
    </row>
    <row r="270">
      <c r="A270" s="209"/>
      <c r="B270" s="209"/>
      <c r="C270" s="209"/>
      <c r="D270" s="209"/>
      <c r="E270" s="209"/>
      <c r="F270" s="240"/>
      <c r="G270" s="213"/>
      <c r="H270" s="213"/>
      <c r="I270" s="210"/>
      <c r="O270" s="244"/>
      <c r="R270" s="244"/>
      <c r="U270" s="244"/>
    </row>
    <row r="271">
      <c r="A271" s="209"/>
      <c r="B271" s="209"/>
      <c r="C271" s="209"/>
      <c r="D271" s="209"/>
      <c r="E271" s="209"/>
      <c r="F271" s="240"/>
      <c r="G271" s="213"/>
      <c r="H271" s="213"/>
      <c r="I271" s="210"/>
      <c r="O271" s="244"/>
      <c r="R271" s="244"/>
      <c r="U271" s="244"/>
    </row>
    <row r="272">
      <c r="A272" s="209"/>
      <c r="B272" s="209"/>
      <c r="C272" s="209"/>
      <c r="D272" s="209"/>
      <c r="E272" s="209"/>
      <c r="F272" s="240"/>
      <c r="G272" s="213"/>
      <c r="H272" s="213"/>
      <c r="I272" s="210"/>
      <c r="O272" s="244"/>
      <c r="R272" s="244"/>
      <c r="U272" s="244"/>
    </row>
    <row r="273">
      <c r="A273" s="209"/>
      <c r="B273" s="209"/>
      <c r="C273" s="209"/>
      <c r="D273" s="209"/>
      <c r="E273" s="209"/>
      <c r="F273" s="240"/>
      <c r="G273" s="213"/>
      <c r="H273" s="213"/>
      <c r="I273" s="210"/>
      <c r="O273" s="244"/>
      <c r="R273" s="244"/>
      <c r="U273" s="244"/>
    </row>
    <row r="274">
      <c r="A274" s="209"/>
      <c r="B274" s="209"/>
      <c r="C274" s="209"/>
      <c r="D274" s="209"/>
      <c r="E274" s="209"/>
      <c r="F274" s="240"/>
      <c r="G274" s="213"/>
      <c r="H274" s="213"/>
      <c r="I274" s="210"/>
      <c r="O274" s="244"/>
      <c r="R274" s="244"/>
      <c r="U274" s="244"/>
    </row>
    <row r="275">
      <c r="A275" s="209"/>
      <c r="B275" s="209"/>
      <c r="C275" s="209"/>
      <c r="D275" s="209"/>
      <c r="E275" s="209"/>
      <c r="F275" s="240"/>
      <c r="G275" s="213"/>
      <c r="H275" s="213"/>
      <c r="I275" s="210"/>
      <c r="O275" s="244"/>
      <c r="R275" s="244"/>
      <c r="U275" s="244"/>
    </row>
    <row r="276">
      <c r="A276" s="209"/>
      <c r="B276" s="209"/>
      <c r="C276" s="209"/>
      <c r="D276" s="209"/>
      <c r="E276" s="209"/>
      <c r="F276" s="240"/>
      <c r="G276" s="213"/>
      <c r="H276" s="213"/>
      <c r="I276" s="210"/>
      <c r="O276" s="244"/>
      <c r="R276" s="244"/>
      <c r="U276" s="244"/>
    </row>
    <row r="277">
      <c r="A277" s="209"/>
      <c r="B277" s="209"/>
      <c r="C277" s="209"/>
      <c r="D277" s="209"/>
      <c r="E277" s="209"/>
      <c r="F277" s="240"/>
      <c r="G277" s="213"/>
      <c r="H277" s="213"/>
      <c r="I277" s="210"/>
      <c r="O277" s="244"/>
      <c r="R277" s="244"/>
      <c r="U277" s="244"/>
    </row>
    <row r="278">
      <c r="A278" s="209"/>
      <c r="B278" s="209"/>
      <c r="C278" s="209"/>
      <c r="D278" s="209"/>
      <c r="E278" s="209"/>
      <c r="F278" s="240"/>
      <c r="G278" s="213"/>
      <c r="H278" s="213"/>
      <c r="I278" s="210"/>
      <c r="O278" s="244"/>
      <c r="R278" s="244"/>
      <c r="U278" s="244"/>
    </row>
    <row r="279">
      <c r="A279" s="209"/>
      <c r="B279" s="209"/>
      <c r="C279" s="209"/>
      <c r="D279" s="209"/>
      <c r="E279" s="209"/>
      <c r="F279" s="240"/>
      <c r="G279" s="213"/>
      <c r="H279" s="213"/>
      <c r="I279" s="210"/>
      <c r="O279" s="244"/>
      <c r="R279" s="244"/>
      <c r="U279" s="244"/>
    </row>
    <row r="280">
      <c r="A280" s="209"/>
      <c r="B280" s="209"/>
      <c r="C280" s="209"/>
      <c r="D280" s="209"/>
      <c r="E280" s="209"/>
      <c r="F280" s="240"/>
      <c r="G280" s="213"/>
      <c r="H280" s="213"/>
      <c r="I280" s="210"/>
      <c r="O280" s="244"/>
      <c r="R280" s="244"/>
      <c r="U280" s="244"/>
    </row>
    <row r="281">
      <c r="A281" s="209"/>
      <c r="B281" s="209"/>
      <c r="C281" s="209"/>
      <c r="D281" s="209"/>
      <c r="E281" s="209"/>
      <c r="F281" s="240"/>
      <c r="G281" s="213"/>
      <c r="H281" s="213"/>
      <c r="I281" s="210"/>
      <c r="O281" s="244"/>
      <c r="R281" s="244"/>
      <c r="U281" s="244"/>
    </row>
    <row r="282">
      <c r="A282" s="209"/>
      <c r="B282" s="209"/>
      <c r="C282" s="209"/>
      <c r="D282" s="209"/>
      <c r="E282" s="209"/>
      <c r="F282" s="240"/>
      <c r="G282" s="213"/>
      <c r="H282" s="213"/>
      <c r="I282" s="210"/>
      <c r="O282" s="244"/>
      <c r="R282" s="244"/>
      <c r="U282" s="244"/>
    </row>
    <row r="283">
      <c r="A283" s="209"/>
      <c r="B283" s="209"/>
      <c r="C283" s="209"/>
      <c r="D283" s="209"/>
      <c r="E283" s="209"/>
      <c r="F283" s="240"/>
      <c r="G283" s="213"/>
      <c r="H283" s="213"/>
      <c r="I283" s="210"/>
      <c r="O283" s="244"/>
      <c r="R283" s="244"/>
      <c r="U283" s="244"/>
    </row>
    <row r="284">
      <c r="A284" s="209"/>
      <c r="B284" s="209"/>
      <c r="C284" s="209"/>
      <c r="D284" s="209"/>
      <c r="E284" s="209"/>
      <c r="F284" s="240"/>
      <c r="G284" s="213"/>
      <c r="H284" s="213"/>
      <c r="I284" s="210"/>
      <c r="O284" s="244"/>
      <c r="R284" s="244"/>
      <c r="U284" s="244"/>
    </row>
    <row r="285">
      <c r="A285" s="209"/>
      <c r="B285" s="209"/>
      <c r="C285" s="209"/>
      <c r="D285" s="209"/>
      <c r="E285" s="209"/>
      <c r="F285" s="240"/>
      <c r="G285" s="213"/>
      <c r="H285" s="213"/>
      <c r="I285" s="210"/>
      <c r="O285" s="244"/>
      <c r="R285" s="244"/>
      <c r="U285" s="244"/>
    </row>
    <row r="286">
      <c r="A286" s="209"/>
      <c r="B286" s="209"/>
      <c r="C286" s="209"/>
      <c r="D286" s="209"/>
      <c r="E286" s="209"/>
      <c r="F286" s="240"/>
      <c r="G286" s="213"/>
      <c r="H286" s="213"/>
      <c r="I286" s="210"/>
      <c r="O286" s="244"/>
      <c r="R286" s="244"/>
      <c r="U286" s="244"/>
    </row>
    <row r="287">
      <c r="A287" s="209"/>
      <c r="B287" s="209"/>
      <c r="C287" s="209"/>
      <c r="D287" s="209"/>
      <c r="E287" s="209"/>
      <c r="F287" s="240"/>
      <c r="G287" s="213"/>
      <c r="H287" s="213"/>
      <c r="I287" s="210"/>
      <c r="O287" s="244"/>
      <c r="R287" s="244"/>
      <c r="U287" s="244"/>
    </row>
    <row r="288">
      <c r="A288" s="209"/>
      <c r="B288" s="209"/>
      <c r="C288" s="209"/>
      <c r="D288" s="209"/>
      <c r="E288" s="209"/>
      <c r="F288" s="240"/>
      <c r="G288" s="213"/>
      <c r="H288" s="213"/>
      <c r="I288" s="210"/>
      <c r="O288" s="244"/>
      <c r="R288" s="244"/>
      <c r="U288" s="244"/>
    </row>
    <row r="289">
      <c r="A289" s="209"/>
      <c r="B289" s="209"/>
      <c r="C289" s="209"/>
      <c r="D289" s="209"/>
      <c r="E289" s="209"/>
      <c r="F289" s="240"/>
      <c r="G289" s="213"/>
      <c r="H289" s="213"/>
      <c r="I289" s="210"/>
      <c r="O289" s="244"/>
      <c r="R289" s="244"/>
      <c r="U289" s="244"/>
    </row>
    <row r="290">
      <c r="A290" s="209"/>
      <c r="B290" s="209"/>
      <c r="C290" s="209"/>
      <c r="D290" s="209"/>
      <c r="E290" s="209"/>
      <c r="F290" s="240"/>
      <c r="G290" s="213"/>
      <c r="H290" s="213"/>
      <c r="I290" s="210"/>
      <c r="O290" s="244"/>
      <c r="R290" s="244"/>
      <c r="U290" s="244"/>
    </row>
    <row r="291">
      <c r="A291" s="209"/>
      <c r="B291" s="209"/>
      <c r="C291" s="209"/>
      <c r="D291" s="209"/>
      <c r="E291" s="209"/>
      <c r="F291" s="240"/>
      <c r="G291" s="213"/>
      <c r="H291" s="213"/>
      <c r="I291" s="210"/>
      <c r="O291" s="244"/>
      <c r="R291" s="244"/>
      <c r="U291" s="244"/>
    </row>
    <row r="292">
      <c r="A292" s="209"/>
      <c r="B292" s="209"/>
      <c r="C292" s="209"/>
      <c r="D292" s="209"/>
      <c r="E292" s="209"/>
      <c r="F292" s="240"/>
      <c r="G292" s="213"/>
      <c r="H292" s="213"/>
      <c r="I292" s="210"/>
      <c r="O292" s="244"/>
      <c r="R292" s="244"/>
      <c r="U292" s="244"/>
    </row>
    <row r="293">
      <c r="A293" s="209"/>
      <c r="B293" s="209"/>
      <c r="C293" s="209"/>
      <c r="D293" s="209"/>
      <c r="E293" s="209"/>
      <c r="F293" s="240"/>
      <c r="G293" s="213"/>
      <c r="H293" s="213"/>
      <c r="I293" s="210"/>
      <c r="O293" s="244"/>
      <c r="R293" s="244"/>
      <c r="U293" s="244"/>
    </row>
    <row r="294">
      <c r="A294" s="209"/>
      <c r="B294" s="209"/>
      <c r="C294" s="209"/>
      <c r="D294" s="209"/>
      <c r="E294" s="209"/>
      <c r="F294" s="240"/>
      <c r="G294" s="213"/>
      <c r="H294" s="213"/>
      <c r="I294" s="210"/>
      <c r="O294" s="244"/>
      <c r="R294" s="244"/>
      <c r="U294" s="244"/>
    </row>
    <row r="295">
      <c r="A295" s="209"/>
      <c r="B295" s="209"/>
      <c r="C295" s="209"/>
      <c r="D295" s="209"/>
      <c r="E295" s="209"/>
      <c r="F295" s="240"/>
      <c r="G295" s="213"/>
      <c r="H295" s="213"/>
      <c r="I295" s="210"/>
      <c r="O295" s="244"/>
      <c r="R295" s="244"/>
      <c r="U295" s="244"/>
    </row>
    <row r="296">
      <c r="A296" s="209"/>
      <c r="B296" s="209"/>
      <c r="C296" s="209"/>
      <c r="D296" s="209"/>
      <c r="E296" s="209"/>
      <c r="F296" s="240"/>
      <c r="G296" s="213"/>
      <c r="H296" s="213"/>
      <c r="I296" s="210"/>
      <c r="O296" s="244"/>
      <c r="R296" s="244"/>
      <c r="U296" s="244"/>
    </row>
    <row r="297">
      <c r="A297" s="209"/>
      <c r="B297" s="209"/>
      <c r="C297" s="209"/>
      <c r="D297" s="209"/>
      <c r="E297" s="209"/>
      <c r="F297" s="240"/>
      <c r="G297" s="213"/>
      <c r="H297" s="213"/>
      <c r="I297" s="210"/>
      <c r="O297" s="244"/>
      <c r="R297" s="244"/>
      <c r="U297" s="244"/>
    </row>
    <row r="298">
      <c r="A298" s="209"/>
      <c r="B298" s="209"/>
      <c r="C298" s="209"/>
      <c r="D298" s="209"/>
      <c r="E298" s="209"/>
      <c r="F298" s="240"/>
      <c r="G298" s="213"/>
      <c r="H298" s="213"/>
      <c r="I298" s="210"/>
      <c r="O298" s="244"/>
      <c r="R298" s="244"/>
      <c r="U298" s="244"/>
    </row>
    <row r="299">
      <c r="A299" s="209"/>
      <c r="B299" s="209"/>
      <c r="C299" s="209"/>
      <c r="D299" s="209"/>
      <c r="E299" s="209"/>
      <c r="F299" s="240"/>
      <c r="G299" s="213"/>
      <c r="H299" s="213"/>
      <c r="I299" s="210"/>
      <c r="O299" s="244"/>
      <c r="R299" s="244"/>
      <c r="U299" s="244"/>
    </row>
    <row r="300">
      <c r="A300" s="209"/>
      <c r="B300" s="209"/>
      <c r="C300" s="209"/>
      <c r="D300" s="209"/>
      <c r="E300" s="209"/>
      <c r="F300" s="240"/>
      <c r="G300" s="213"/>
      <c r="H300" s="213"/>
      <c r="I300" s="210"/>
      <c r="O300" s="244"/>
      <c r="R300" s="244"/>
      <c r="U300" s="244"/>
    </row>
    <row r="301">
      <c r="A301" s="209"/>
      <c r="B301" s="209"/>
      <c r="C301" s="209"/>
      <c r="D301" s="209"/>
      <c r="E301" s="209"/>
      <c r="F301" s="240"/>
      <c r="G301" s="213"/>
      <c r="H301" s="213"/>
      <c r="I301" s="210"/>
      <c r="O301" s="244"/>
      <c r="R301" s="244"/>
      <c r="U301" s="244"/>
    </row>
    <row r="302">
      <c r="A302" s="209"/>
      <c r="B302" s="209"/>
      <c r="C302" s="209"/>
      <c r="D302" s="209"/>
      <c r="E302" s="209"/>
      <c r="F302" s="240"/>
      <c r="G302" s="213"/>
      <c r="H302" s="213"/>
      <c r="I302" s="210"/>
      <c r="O302" s="244"/>
      <c r="R302" s="244"/>
      <c r="U302" s="244"/>
    </row>
    <row r="303">
      <c r="A303" s="209"/>
      <c r="B303" s="209"/>
      <c r="C303" s="209"/>
      <c r="D303" s="209"/>
      <c r="E303" s="209"/>
      <c r="F303" s="240"/>
      <c r="G303" s="213"/>
      <c r="H303" s="213"/>
      <c r="I303" s="210"/>
      <c r="O303" s="244"/>
      <c r="R303" s="244"/>
      <c r="U303" s="244"/>
    </row>
    <row r="304">
      <c r="A304" s="209"/>
      <c r="B304" s="209"/>
      <c r="C304" s="209"/>
      <c r="D304" s="209"/>
      <c r="E304" s="209"/>
      <c r="F304" s="240"/>
      <c r="G304" s="213"/>
      <c r="H304" s="213"/>
      <c r="I304" s="210"/>
      <c r="O304" s="244"/>
      <c r="R304" s="244"/>
      <c r="U304" s="244"/>
    </row>
    <row r="305">
      <c r="A305" s="209"/>
      <c r="B305" s="209"/>
      <c r="C305" s="209"/>
      <c r="D305" s="209"/>
      <c r="E305" s="209"/>
      <c r="F305" s="240"/>
      <c r="G305" s="213"/>
      <c r="H305" s="213"/>
      <c r="I305" s="210"/>
      <c r="O305" s="244"/>
      <c r="R305" s="244"/>
      <c r="U305" s="244"/>
    </row>
    <row r="306">
      <c r="A306" s="209"/>
      <c r="B306" s="209"/>
      <c r="C306" s="209"/>
      <c r="D306" s="209"/>
      <c r="E306" s="209"/>
      <c r="F306" s="240"/>
      <c r="G306" s="213"/>
      <c r="H306" s="213"/>
      <c r="I306" s="210"/>
      <c r="O306" s="244"/>
      <c r="R306" s="244"/>
      <c r="U306" s="244"/>
    </row>
    <row r="307">
      <c r="A307" s="209"/>
      <c r="B307" s="209"/>
      <c r="C307" s="209"/>
      <c r="D307" s="209"/>
      <c r="E307" s="209"/>
      <c r="F307" s="240"/>
      <c r="G307" s="213"/>
      <c r="H307" s="213"/>
      <c r="I307" s="210"/>
      <c r="O307" s="244"/>
      <c r="R307" s="244"/>
      <c r="U307" s="244"/>
    </row>
    <row r="308">
      <c r="A308" s="209"/>
      <c r="B308" s="209"/>
      <c r="C308" s="209"/>
      <c r="D308" s="209"/>
      <c r="E308" s="209"/>
      <c r="F308" s="240"/>
      <c r="G308" s="213"/>
      <c r="H308" s="213"/>
      <c r="I308" s="210"/>
      <c r="O308" s="244"/>
      <c r="R308" s="244"/>
      <c r="U308" s="244"/>
    </row>
    <row r="309">
      <c r="A309" s="209"/>
      <c r="B309" s="209"/>
      <c r="C309" s="209"/>
      <c r="D309" s="209"/>
      <c r="E309" s="209"/>
      <c r="F309" s="240"/>
      <c r="G309" s="213"/>
      <c r="H309" s="213"/>
      <c r="I309" s="210"/>
      <c r="O309" s="244"/>
      <c r="R309" s="244"/>
      <c r="U309" s="244"/>
    </row>
    <row r="310">
      <c r="A310" s="209"/>
      <c r="B310" s="209"/>
      <c r="C310" s="209"/>
      <c r="D310" s="209"/>
      <c r="E310" s="209"/>
      <c r="F310" s="240"/>
      <c r="G310" s="213"/>
      <c r="H310" s="213"/>
      <c r="I310" s="210"/>
      <c r="O310" s="244"/>
      <c r="R310" s="244"/>
      <c r="U310" s="244"/>
    </row>
    <row r="311">
      <c r="A311" s="209"/>
      <c r="B311" s="209"/>
      <c r="C311" s="209"/>
      <c r="D311" s="209"/>
      <c r="E311" s="209"/>
      <c r="F311" s="240"/>
      <c r="G311" s="213"/>
      <c r="H311" s="213"/>
      <c r="I311" s="210"/>
      <c r="O311" s="244"/>
      <c r="R311" s="244"/>
      <c r="U311" s="244"/>
    </row>
    <row r="312">
      <c r="A312" s="209"/>
      <c r="B312" s="209"/>
      <c r="C312" s="209"/>
      <c r="D312" s="209"/>
      <c r="E312" s="209"/>
      <c r="F312" s="240"/>
      <c r="G312" s="213"/>
      <c r="H312" s="213"/>
      <c r="I312" s="210"/>
      <c r="O312" s="244"/>
      <c r="R312" s="244"/>
      <c r="U312" s="244"/>
    </row>
    <row r="313">
      <c r="A313" s="209"/>
      <c r="B313" s="209"/>
      <c r="C313" s="209"/>
      <c r="D313" s="209"/>
      <c r="E313" s="209"/>
      <c r="F313" s="240"/>
      <c r="G313" s="213"/>
      <c r="H313" s="213"/>
      <c r="I313" s="210"/>
      <c r="O313" s="244"/>
      <c r="R313" s="244"/>
      <c r="U313" s="244"/>
    </row>
    <row r="314">
      <c r="A314" s="209"/>
      <c r="B314" s="209"/>
      <c r="C314" s="209"/>
      <c r="D314" s="209"/>
      <c r="E314" s="209"/>
      <c r="F314" s="240"/>
      <c r="G314" s="213"/>
      <c r="H314" s="213"/>
      <c r="I314" s="210"/>
      <c r="O314" s="244"/>
      <c r="R314" s="244"/>
      <c r="U314" s="244"/>
    </row>
    <row r="315">
      <c r="A315" s="209"/>
      <c r="B315" s="209"/>
      <c r="C315" s="209"/>
      <c r="D315" s="209"/>
      <c r="E315" s="209"/>
      <c r="F315" s="240"/>
      <c r="G315" s="213"/>
      <c r="H315" s="213"/>
      <c r="I315" s="210"/>
      <c r="O315" s="244"/>
      <c r="R315" s="244"/>
      <c r="U315" s="244"/>
    </row>
    <row r="316">
      <c r="A316" s="209"/>
      <c r="B316" s="209"/>
      <c r="C316" s="209"/>
      <c r="D316" s="209"/>
      <c r="E316" s="209"/>
      <c r="F316" s="240"/>
      <c r="G316" s="213"/>
      <c r="H316" s="213"/>
      <c r="I316" s="210"/>
      <c r="O316" s="244"/>
      <c r="R316" s="244"/>
      <c r="U316" s="244"/>
    </row>
    <row r="317">
      <c r="A317" s="209"/>
      <c r="B317" s="209"/>
      <c r="C317" s="209"/>
      <c r="D317" s="209"/>
      <c r="E317" s="209"/>
      <c r="F317" s="240"/>
      <c r="G317" s="213"/>
      <c r="H317" s="213"/>
      <c r="I317" s="210"/>
      <c r="O317" s="244"/>
      <c r="R317" s="244"/>
      <c r="U317" s="244"/>
    </row>
    <row r="318">
      <c r="A318" s="209"/>
      <c r="B318" s="209"/>
      <c r="C318" s="209"/>
      <c r="D318" s="209"/>
      <c r="E318" s="209"/>
      <c r="F318" s="240"/>
      <c r="G318" s="213"/>
      <c r="H318" s="213"/>
      <c r="I318" s="210"/>
      <c r="O318" s="244"/>
      <c r="R318" s="244"/>
      <c r="U318" s="244"/>
    </row>
    <row r="319">
      <c r="A319" s="209"/>
      <c r="B319" s="209"/>
      <c r="C319" s="209"/>
      <c r="D319" s="209"/>
      <c r="E319" s="209"/>
      <c r="F319" s="240"/>
      <c r="G319" s="213"/>
      <c r="H319" s="213"/>
      <c r="I319" s="210"/>
      <c r="O319" s="244"/>
      <c r="R319" s="244"/>
      <c r="U319" s="244"/>
    </row>
    <row r="320">
      <c r="A320" s="209"/>
      <c r="B320" s="209"/>
      <c r="C320" s="209"/>
      <c r="D320" s="209"/>
      <c r="E320" s="209"/>
      <c r="F320" s="240"/>
      <c r="G320" s="213"/>
      <c r="H320" s="213"/>
      <c r="I320" s="210"/>
      <c r="O320" s="244"/>
      <c r="R320" s="244"/>
      <c r="U320" s="244"/>
    </row>
    <row r="321">
      <c r="A321" s="209"/>
      <c r="B321" s="209"/>
      <c r="C321" s="209"/>
      <c r="D321" s="209"/>
      <c r="E321" s="209"/>
      <c r="F321" s="240"/>
      <c r="G321" s="213"/>
      <c r="H321" s="213"/>
      <c r="I321" s="210"/>
      <c r="O321" s="244"/>
      <c r="R321" s="244"/>
      <c r="U321" s="244"/>
    </row>
    <row r="322">
      <c r="A322" s="209"/>
      <c r="B322" s="209"/>
      <c r="C322" s="209"/>
      <c r="D322" s="209"/>
      <c r="E322" s="209"/>
      <c r="F322" s="240"/>
      <c r="G322" s="213"/>
      <c r="H322" s="213"/>
      <c r="I322" s="210"/>
      <c r="O322" s="244"/>
      <c r="R322" s="244"/>
      <c r="U322" s="244"/>
    </row>
    <row r="323">
      <c r="A323" s="209"/>
      <c r="B323" s="209"/>
      <c r="C323" s="209"/>
      <c r="D323" s="209"/>
      <c r="E323" s="209"/>
      <c r="F323" s="240"/>
      <c r="G323" s="213"/>
      <c r="H323" s="213"/>
      <c r="I323" s="210"/>
      <c r="O323" s="244"/>
      <c r="R323" s="244"/>
      <c r="U323" s="244"/>
    </row>
    <row r="324">
      <c r="A324" s="209"/>
      <c r="B324" s="209"/>
      <c r="C324" s="209"/>
      <c r="D324" s="209"/>
      <c r="E324" s="209"/>
      <c r="F324" s="240"/>
      <c r="G324" s="213"/>
      <c r="H324" s="213"/>
      <c r="I324" s="210"/>
      <c r="O324" s="244"/>
      <c r="R324" s="244"/>
      <c r="U324" s="244"/>
    </row>
    <row r="325">
      <c r="A325" s="209"/>
      <c r="B325" s="209"/>
      <c r="C325" s="209"/>
      <c r="D325" s="209"/>
      <c r="E325" s="209"/>
      <c r="F325" s="240"/>
      <c r="G325" s="213"/>
      <c r="H325" s="213"/>
      <c r="I325" s="210"/>
      <c r="O325" s="244"/>
      <c r="R325" s="244"/>
      <c r="U325" s="244"/>
    </row>
    <row r="326">
      <c r="A326" s="209"/>
      <c r="B326" s="209"/>
      <c r="C326" s="209"/>
      <c r="D326" s="209"/>
      <c r="E326" s="209"/>
      <c r="F326" s="240"/>
      <c r="G326" s="213"/>
      <c r="H326" s="213"/>
      <c r="I326" s="210"/>
      <c r="O326" s="244"/>
      <c r="R326" s="244"/>
      <c r="U326" s="244"/>
    </row>
    <row r="327">
      <c r="A327" s="209"/>
      <c r="B327" s="209"/>
      <c r="C327" s="209"/>
      <c r="D327" s="209"/>
      <c r="E327" s="209"/>
      <c r="F327" s="240"/>
      <c r="G327" s="213"/>
      <c r="H327" s="213"/>
      <c r="I327" s="210"/>
      <c r="O327" s="244"/>
      <c r="R327" s="244"/>
      <c r="U327" s="244"/>
    </row>
    <row r="328">
      <c r="A328" s="209"/>
      <c r="B328" s="209"/>
      <c r="C328" s="209"/>
      <c r="D328" s="209"/>
      <c r="E328" s="209"/>
      <c r="F328" s="240"/>
      <c r="G328" s="213"/>
      <c r="H328" s="213"/>
      <c r="I328" s="210"/>
      <c r="O328" s="244"/>
      <c r="R328" s="244"/>
      <c r="U328" s="244"/>
    </row>
    <row r="329">
      <c r="A329" s="209"/>
      <c r="B329" s="209"/>
      <c r="C329" s="209"/>
      <c r="D329" s="209"/>
      <c r="E329" s="209"/>
      <c r="F329" s="240"/>
      <c r="G329" s="213"/>
      <c r="H329" s="213"/>
      <c r="I329" s="210"/>
      <c r="O329" s="244"/>
      <c r="R329" s="244"/>
      <c r="U329" s="244"/>
    </row>
    <row r="330">
      <c r="A330" s="209"/>
      <c r="B330" s="209"/>
      <c r="C330" s="209"/>
      <c r="D330" s="209"/>
      <c r="E330" s="209"/>
      <c r="F330" s="240"/>
      <c r="G330" s="213"/>
      <c r="H330" s="213"/>
      <c r="I330" s="210"/>
      <c r="O330" s="244"/>
      <c r="R330" s="244"/>
      <c r="U330" s="244"/>
    </row>
    <row r="331">
      <c r="A331" s="209"/>
      <c r="B331" s="209"/>
      <c r="C331" s="209"/>
      <c r="D331" s="209"/>
      <c r="E331" s="209"/>
      <c r="F331" s="240"/>
      <c r="G331" s="213"/>
      <c r="H331" s="213"/>
      <c r="I331" s="210"/>
      <c r="O331" s="244"/>
      <c r="R331" s="244"/>
      <c r="U331" s="244"/>
    </row>
    <row r="332">
      <c r="A332" s="209"/>
      <c r="B332" s="209"/>
      <c r="C332" s="209"/>
      <c r="D332" s="209"/>
      <c r="E332" s="209"/>
      <c r="F332" s="240"/>
      <c r="G332" s="213"/>
      <c r="H332" s="213"/>
      <c r="I332" s="210"/>
      <c r="O332" s="244"/>
      <c r="R332" s="244"/>
      <c r="U332" s="244"/>
    </row>
    <row r="333">
      <c r="A333" s="209"/>
      <c r="B333" s="209"/>
      <c r="C333" s="209"/>
      <c r="D333" s="209"/>
      <c r="E333" s="209"/>
      <c r="F333" s="240"/>
      <c r="G333" s="213"/>
      <c r="H333" s="213"/>
      <c r="I333" s="210"/>
      <c r="O333" s="244"/>
      <c r="R333" s="244"/>
      <c r="U333" s="244"/>
    </row>
    <row r="334">
      <c r="A334" s="209"/>
      <c r="B334" s="209"/>
      <c r="C334" s="209"/>
      <c r="D334" s="209"/>
      <c r="E334" s="209"/>
      <c r="F334" s="240"/>
      <c r="G334" s="213"/>
      <c r="H334" s="213"/>
      <c r="I334" s="210"/>
      <c r="O334" s="244"/>
      <c r="R334" s="244"/>
      <c r="U334" s="244"/>
    </row>
    <row r="335">
      <c r="A335" s="209"/>
      <c r="B335" s="209"/>
      <c r="C335" s="209"/>
      <c r="D335" s="209"/>
      <c r="E335" s="209"/>
      <c r="F335" s="240"/>
      <c r="G335" s="213"/>
      <c r="H335" s="213"/>
      <c r="I335" s="210"/>
      <c r="O335" s="244"/>
      <c r="R335" s="244"/>
      <c r="U335" s="244"/>
    </row>
    <row r="336">
      <c r="A336" s="209"/>
      <c r="B336" s="209"/>
      <c r="C336" s="209"/>
      <c r="D336" s="209"/>
      <c r="E336" s="209"/>
      <c r="F336" s="240"/>
      <c r="G336" s="213"/>
      <c r="H336" s="213"/>
      <c r="I336" s="210"/>
      <c r="O336" s="244"/>
      <c r="R336" s="244"/>
      <c r="U336" s="244"/>
    </row>
    <row r="337">
      <c r="A337" s="209"/>
      <c r="B337" s="209"/>
      <c r="C337" s="209"/>
      <c r="D337" s="209"/>
      <c r="E337" s="209"/>
      <c r="F337" s="240"/>
      <c r="G337" s="213"/>
      <c r="H337" s="213"/>
      <c r="I337" s="210"/>
      <c r="O337" s="244"/>
      <c r="R337" s="244"/>
      <c r="U337" s="244"/>
    </row>
    <row r="338">
      <c r="A338" s="209"/>
      <c r="B338" s="209"/>
      <c r="C338" s="209"/>
      <c r="D338" s="209"/>
      <c r="E338" s="209"/>
      <c r="F338" s="240"/>
      <c r="G338" s="213"/>
      <c r="H338" s="213"/>
      <c r="I338" s="210"/>
      <c r="O338" s="244"/>
      <c r="R338" s="244"/>
      <c r="U338" s="244"/>
    </row>
    <row r="339">
      <c r="A339" s="209"/>
      <c r="B339" s="209"/>
      <c r="C339" s="209"/>
      <c r="D339" s="209"/>
      <c r="E339" s="209"/>
      <c r="F339" s="240"/>
      <c r="G339" s="213"/>
      <c r="H339" s="213"/>
      <c r="I339" s="210"/>
      <c r="O339" s="244"/>
      <c r="R339" s="244"/>
      <c r="U339" s="244"/>
    </row>
    <row r="340">
      <c r="A340" s="209"/>
      <c r="B340" s="209"/>
      <c r="C340" s="209"/>
      <c r="D340" s="209"/>
      <c r="E340" s="209"/>
      <c r="F340" s="240"/>
      <c r="G340" s="213"/>
      <c r="H340" s="213"/>
      <c r="I340" s="210"/>
      <c r="O340" s="244"/>
      <c r="R340" s="244"/>
      <c r="U340" s="244"/>
    </row>
    <row r="341">
      <c r="A341" s="209"/>
      <c r="B341" s="209"/>
      <c r="C341" s="209"/>
      <c r="D341" s="209"/>
      <c r="E341" s="209"/>
      <c r="F341" s="240"/>
      <c r="G341" s="213"/>
      <c r="H341" s="213"/>
      <c r="I341" s="210"/>
      <c r="O341" s="244"/>
      <c r="R341" s="244"/>
      <c r="U341" s="244"/>
    </row>
    <row r="342">
      <c r="A342" s="209"/>
      <c r="B342" s="209"/>
      <c r="C342" s="209"/>
      <c r="D342" s="209"/>
      <c r="E342" s="209"/>
      <c r="F342" s="240"/>
      <c r="G342" s="213"/>
      <c r="H342" s="213"/>
      <c r="I342" s="210"/>
      <c r="O342" s="244"/>
      <c r="R342" s="244"/>
      <c r="U342" s="244"/>
    </row>
    <row r="343">
      <c r="A343" s="209"/>
      <c r="B343" s="209"/>
      <c r="C343" s="209"/>
      <c r="D343" s="209"/>
      <c r="E343" s="209"/>
      <c r="F343" s="240"/>
      <c r="G343" s="213"/>
      <c r="H343" s="213"/>
      <c r="I343" s="210"/>
      <c r="O343" s="244"/>
      <c r="R343" s="244"/>
      <c r="U343" s="244"/>
    </row>
    <row r="344">
      <c r="A344" s="209"/>
      <c r="B344" s="209"/>
      <c r="C344" s="209"/>
      <c r="D344" s="209"/>
      <c r="E344" s="209"/>
      <c r="F344" s="240"/>
      <c r="G344" s="213"/>
      <c r="H344" s="213"/>
      <c r="I344" s="210"/>
      <c r="O344" s="244"/>
      <c r="R344" s="244"/>
      <c r="U344" s="244"/>
    </row>
    <row r="345">
      <c r="A345" s="209"/>
      <c r="B345" s="209"/>
      <c r="C345" s="209"/>
      <c r="D345" s="209"/>
      <c r="E345" s="209"/>
      <c r="F345" s="240"/>
      <c r="G345" s="213"/>
      <c r="H345" s="213"/>
      <c r="I345" s="210"/>
      <c r="O345" s="244"/>
      <c r="R345" s="244"/>
      <c r="U345" s="244"/>
    </row>
    <row r="346">
      <c r="A346" s="209"/>
      <c r="B346" s="209"/>
      <c r="C346" s="209"/>
      <c r="D346" s="209"/>
      <c r="E346" s="209"/>
      <c r="F346" s="240"/>
      <c r="G346" s="213"/>
      <c r="H346" s="213"/>
      <c r="I346" s="210"/>
      <c r="O346" s="244"/>
      <c r="R346" s="244"/>
      <c r="U346" s="244"/>
    </row>
    <row r="347">
      <c r="A347" s="209"/>
      <c r="B347" s="209"/>
      <c r="C347" s="209"/>
      <c r="D347" s="209"/>
      <c r="E347" s="209"/>
      <c r="F347" s="240"/>
      <c r="G347" s="213"/>
      <c r="H347" s="213"/>
      <c r="I347" s="210"/>
      <c r="O347" s="244"/>
      <c r="R347" s="244"/>
      <c r="U347" s="244"/>
    </row>
    <row r="348">
      <c r="A348" s="209"/>
      <c r="B348" s="209"/>
      <c r="C348" s="209"/>
      <c r="D348" s="209"/>
      <c r="E348" s="209"/>
      <c r="F348" s="240"/>
      <c r="G348" s="213"/>
      <c r="H348" s="213"/>
      <c r="I348" s="210"/>
      <c r="O348" s="244"/>
      <c r="R348" s="244"/>
      <c r="U348" s="244"/>
    </row>
    <row r="349">
      <c r="A349" s="209"/>
      <c r="B349" s="209"/>
      <c r="C349" s="209"/>
      <c r="D349" s="209"/>
      <c r="E349" s="209"/>
      <c r="F349" s="240"/>
      <c r="G349" s="213"/>
      <c r="H349" s="213"/>
      <c r="I349" s="210"/>
      <c r="O349" s="244"/>
      <c r="R349" s="244"/>
      <c r="U349" s="244"/>
    </row>
    <row r="350">
      <c r="A350" s="209"/>
      <c r="B350" s="209"/>
      <c r="C350" s="209"/>
      <c r="D350" s="209"/>
      <c r="E350" s="209"/>
      <c r="F350" s="240"/>
      <c r="G350" s="213"/>
      <c r="H350" s="213"/>
      <c r="I350" s="210"/>
      <c r="O350" s="244"/>
      <c r="R350" s="244"/>
      <c r="U350" s="244"/>
    </row>
    <row r="351">
      <c r="A351" s="209"/>
      <c r="B351" s="209"/>
      <c r="C351" s="209"/>
      <c r="D351" s="209"/>
      <c r="E351" s="209"/>
      <c r="F351" s="240"/>
      <c r="G351" s="213"/>
      <c r="H351" s="213"/>
      <c r="I351" s="210"/>
      <c r="O351" s="244"/>
      <c r="R351" s="244"/>
      <c r="U351" s="244"/>
    </row>
    <row r="352">
      <c r="A352" s="209"/>
      <c r="B352" s="209"/>
      <c r="C352" s="209"/>
      <c r="D352" s="209"/>
      <c r="E352" s="209"/>
      <c r="F352" s="240"/>
      <c r="G352" s="213"/>
      <c r="H352" s="213"/>
      <c r="I352" s="210"/>
      <c r="O352" s="244"/>
      <c r="R352" s="244"/>
      <c r="U352" s="244"/>
    </row>
    <row r="353">
      <c r="A353" s="209"/>
      <c r="B353" s="209"/>
      <c r="C353" s="209"/>
      <c r="D353" s="209"/>
      <c r="E353" s="209"/>
      <c r="F353" s="240"/>
      <c r="G353" s="213"/>
      <c r="H353" s="213"/>
      <c r="I353" s="210"/>
      <c r="O353" s="244"/>
      <c r="R353" s="244"/>
      <c r="U353" s="244"/>
    </row>
    <row r="354">
      <c r="A354" s="209"/>
      <c r="B354" s="209"/>
      <c r="C354" s="209"/>
      <c r="D354" s="209"/>
      <c r="E354" s="209"/>
      <c r="F354" s="240"/>
      <c r="G354" s="213"/>
      <c r="H354" s="213"/>
      <c r="I354" s="210"/>
      <c r="O354" s="244"/>
      <c r="R354" s="244"/>
      <c r="U354" s="244"/>
    </row>
    <row r="355">
      <c r="A355" s="209"/>
      <c r="B355" s="209"/>
      <c r="C355" s="209"/>
      <c r="D355" s="209"/>
      <c r="E355" s="209"/>
      <c r="F355" s="240"/>
      <c r="G355" s="213"/>
      <c r="H355" s="213"/>
      <c r="I355" s="210"/>
      <c r="O355" s="244"/>
      <c r="R355" s="244"/>
      <c r="U355" s="244"/>
    </row>
    <row r="356">
      <c r="A356" s="209"/>
      <c r="B356" s="209"/>
      <c r="C356" s="209"/>
      <c r="D356" s="209"/>
      <c r="E356" s="209"/>
      <c r="F356" s="240"/>
      <c r="G356" s="213"/>
      <c r="H356" s="213"/>
      <c r="I356" s="210"/>
      <c r="O356" s="244"/>
      <c r="R356" s="244"/>
      <c r="U356" s="244"/>
    </row>
    <row r="357">
      <c r="A357" s="209"/>
      <c r="B357" s="209"/>
      <c r="C357" s="209"/>
      <c r="D357" s="209"/>
      <c r="E357" s="209"/>
      <c r="F357" s="240"/>
      <c r="G357" s="213"/>
      <c r="H357" s="213"/>
      <c r="I357" s="210"/>
      <c r="O357" s="244"/>
      <c r="R357" s="244"/>
      <c r="U357" s="244"/>
    </row>
    <row r="358">
      <c r="A358" s="209"/>
      <c r="B358" s="209"/>
      <c r="C358" s="209"/>
      <c r="D358" s="209"/>
      <c r="E358" s="209"/>
      <c r="F358" s="240"/>
      <c r="G358" s="213"/>
      <c r="H358" s="213"/>
      <c r="I358" s="210"/>
      <c r="O358" s="244"/>
      <c r="R358" s="244"/>
      <c r="U358" s="244"/>
    </row>
    <row r="359">
      <c r="A359" s="209"/>
      <c r="B359" s="209"/>
      <c r="C359" s="209"/>
      <c r="D359" s="209"/>
      <c r="E359" s="209"/>
      <c r="F359" s="240"/>
      <c r="G359" s="213"/>
      <c r="H359" s="213"/>
      <c r="I359" s="210"/>
      <c r="O359" s="244"/>
      <c r="R359" s="244"/>
      <c r="U359" s="244"/>
    </row>
    <row r="360">
      <c r="A360" s="209"/>
      <c r="B360" s="209"/>
      <c r="C360" s="209"/>
      <c r="D360" s="209"/>
      <c r="E360" s="209"/>
      <c r="F360" s="240"/>
      <c r="G360" s="213"/>
      <c r="H360" s="213"/>
      <c r="I360" s="210"/>
      <c r="O360" s="244"/>
      <c r="R360" s="244"/>
      <c r="U360" s="244"/>
    </row>
    <row r="361">
      <c r="A361" s="209"/>
      <c r="B361" s="209"/>
      <c r="C361" s="209"/>
      <c r="D361" s="209"/>
      <c r="E361" s="209"/>
      <c r="F361" s="240"/>
      <c r="G361" s="213"/>
      <c r="H361" s="213"/>
      <c r="I361" s="210"/>
      <c r="O361" s="244"/>
      <c r="R361" s="244"/>
      <c r="U361" s="244"/>
    </row>
    <row r="362">
      <c r="A362" s="209"/>
      <c r="B362" s="209"/>
      <c r="C362" s="209"/>
      <c r="D362" s="209"/>
      <c r="E362" s="209"/>
      <c r="F362" s="240"/>
      <c r="G362" s="213"/>
      <c r="H362" s="213"/>
      <c r="I362" s="210"/>
      <c r="O362" s="244"/>
      <c r="R362" s="244"/>
      <c r="U362" s="244"/>
    </row>
    <row r="363">
      <c r="A363" s="209"/>
      <c r="B363" s="209"/>
      <c r="C363" s="209"/>
      <c r="D363" s="209"/>
      <c r="E363" s="209"/>
      <c r="F363" s="240"/>
      <c r="G363" s="213"/>
      <c r="H363" s="213"/>
      <c r="I363" s="210"/>
      <c r="O363" s="244"/>
      <c r="R363" s="244"/>
      <c r="U363" s="244"/>
    </row>
    <row r="364">
      <c r="A364" s="209"/>
      <c r="B364" s="209"/>
      <c r="C364" s="209"/>
      <c r="D364" s="209"/>
      <c r="E364" s="209"/>
      <c r="F364" s="240"/>
      <c r="G364" s="213"/>
      <c r="H364" s="213"/>
      <c r="I364" s="210"/>
      <c r="O364" s="244"/>
      <c r="R364" s="244"/>
      <c r="U364" s="244"/>
    </row>
    <row r="365">
      <c r="A365" s="209"/>
      <c r="B365" s="209"/>
      <c r="C365" s="209"/>
      <c r="D365" s="209"/>
      <c r="E365" s="209"/>
      <c r="F365" s="240"/>
      <c r="G365" s="213"/>
      <c r="H365" s="213"/>
      <c r="I365" s="210"/>
      <c r="O365" s="244"/>
      <c r="R365" s="244"/>
      <c r="U365" s="244"/>
    </row>
    <row r="366">
      <c r="A366" s="209"/>
      <c r="B366" s="209"/>
      <c r="C366" s="209"/>
      <c r="D366" s="209"/>
      <c r="E366" s="209"/>
      <c r="F366" s="240"/>
      <c r="G366" s="213"/>
      <c r="H366" s="213"/>
      <c r="I366" s="210"/>
      <c r="O366" s="244"/>
      <c r="R366" s="244"/>
      <c r="U366" s="244"/>
    </row>
    <row r="367">
      <c r="A367" s="209"/>
      <c r="B367" s="209"/>
      <c r="C367" s="209"/>
      <c r="D367" s="209"/>
      <c r="E367" s="209"/>
      <c r="F367" s="240"/>
      <c r="G367" s="213"/>
      <c r="H367" s="213"/>
      <c r="I367" s="210"/>
      <c r="O367" s="244"/>
      <c r="R367" s="244"/>
      <c r="U367" s="244"/>
    </row>
    <row r="368">
      <c r="A368" s="209"/>
      <c r="B368" s="209"/>
      <c r="C368" s="209"/>
      <c r="D368" s="209"/>
      <c r="E368" s="209"/>
      <c r="F368" s="240"/>
      <c r="G368" s="213"/>
      <c r="H368" s="213"/>
      <c r="I368" s="210"/>
      <c r="O368" s="244"/>
      <c r="R368" s="244"/>
      <c r="U368" s="244"/>
    </row>
    <row r="369">
      <c r="A369" s="209"/>
      <c r="B369" s="209"/>
      <c r="C369" s="209"/>
      <c r="D369" s="209"/>
      <c r="E369" s="209"/>
      <c r="F369" s="240"/>
      <c r="G369" s="213"/>
      <c r="H369" s="213"/>
      <c r="I369" s="210"/>
      <c r="O369" s="244"/>
      <c r="R369" s="244"/>
      <c r="U369" s="244"/>
    </row>
    <row r="370">
      <c r="A370" s="209"/>
      <c r="B370" s="209"/>
      <c r="C370" s="209"/>
      <c r="D370" s="209"/>
      <c r="E370" s="209"/>
      <c r="F370" s="240"/>
      <c r="G370" s="213"/>
      <c r="H370" s="213"/>
      <c r="I370" s="210"/>
      <c r="O370" s="244"/>
      <c r="R370" s="244"/>
      <c r="U370" s="244"/>
    </row>
    <row r="371">
      <c r="A371" s="209"/>
      <c r="B371" s="209"/>
      <c r="C371" s="209"/>
      <c r="D371" s="209"/>
      <c r="E371" s="209"/>
      <c r="F371" s="240"/>
      <c r="G371" s="213"/>
      <c r="H371" s="213"/>
      <c r="I371" s="210"/>
      <c r="O371" s="244"/>
      <c r="R371" s="244"/>
      <c r="U371" s="244"/>
    </row>
    <row r="372">
      <c r="A372" s="209"/>
      <c r="B372" s="209"/>
      <c r="C372" s="209"/>
      <c r="D372" s="209"/>
      <c r="E372" s="209"/>
      <c r="F372" s="240"/>
      <c r="G372" s="213"/>
      <c r="H372" s="213"/>
      <c r="I372" s="210"/>
      <c r="O372" s="244"/>
      <c r="R372" s="244"/>
      <c r="U372" s="244"/>
    </row>
    <row r="373">
      <c r="A373" s="209"/>
      <c r="B373" s="209"/>
      <c r="C373" s="209"/>
      <c r="D373" s="209"/>
      <c r="E373" s="209"/>
      <c r="F373" s="240"/>
      <c r="G373" s="213"/>
      <c r="H373" s="213"/>
      <c r="I373" s="210"/>
      <c r="O373" s="244"/>
      <c r="R373" s="244"/>
      <c r="U373" s="244"/>
    </row>
    <row r="374">
      <c r="A374" s="209"/>
      <c r="B374" s="209"/>
      <c r="C374" s="209"/>
      <c r="D374" s="209"/>
      <c r="E374" s="209"/>
      <c r="F374" s="240"/>
      <c r="G374" s="213"/>
      <c r="H374" s="213"/>
      <c r="I374" s="210"/>
      <c r="O374" s="244"/>
      <c r="R374" s="244"/>
      <c r="U374" s="244"/>
    </row>
    <row r="375">
      <c r="A375" s="209"/>
      <c r="B375" s="209"/>
      <c r="C375" s="209"/>
      <c r="D375" s="209"/>
      <c r="E375" s="209"/>
      <c r="F375" s="240"/>
      <c r="G375" s="213"/>
      <c r="H375" s="213"/>
      <c r="I375" s="210"/>
      <c r="O375" s="244"/>
      <c r="R375" s="244"/>
      <c r="U375" s="244"/>
    </row>
    <row r="376">
      <c r="A376" s="209"/>
      <c r="B376" s="209"/>
      <c r="C376" s="209"/>
      <c r="D376" s="209"/>
      <c r="E376" s="209"/>
      <c r="F376" s="240"/>
      <c r="G376" s="213"/>
      <c r="H376" s="213"/>
      <c r="I376" s="210"/>
      <c r="O376" s="244"/>
      <c r="R376" s="244"/>
      <c r="U376" s="244"/>
    </row>
    <row r="377">
      <c r="A377" s="209"/>
      <c r="B377" s="209"/>
      <c r="C377" s="209"/>
      <c r="D377" s="209"/>
      <c r="E377" s="209"/>
      <c r="F377" s="240"/>
      <c r="G377" s="213"/>
      <c r="H377" s="213"/>
      <c r="I377" s="210"/>
      <c r="O377" s="244"/>
      <c r="R377" s="244"/>
      <c r="U377" s="244"/>
    </row>
    <row r="378">
      <c r="A378" s="209"/>
      <c r="B378" s="209"/>
      <c r="C378" s="209"/>
      <c r="D378" s="209"/>
      <c r="E378" s="209"/>
      <c r="F378" s="240"/>
      <c r="G378" s="213"/>
      <c r="H378" s="213"/>
      <c r="I378" s="210"/>
      <c r="O378" s="244"/>
      <c r="R378" s="244"/>
      <c r="U378" s="244"/>
    </row>
    <row r="379">
      <c r="A379" s="209"/>
      <c r="B379" s="209"/>
      <c r="C379" s="209"/>
      <c r="D379" s="209"/>
      <c r="E379" s="209"/>
      <c r="F379" s="240"/>
      <c r="G379" s="213"/>
      <c r="H379" s="213"/>
      <c r="I379" s="210"/>
      <c r="O379" s="244"/>
      <c r="R379" s="244"/>
      <c r="U379" s="244"/>
    </row>
    <row r="380">
      <c r="A380" s="209"/>
      <c r="B380" s="209"/>
      <c r="C380" s="209"/>
      <c r="D380" s="209"/>
      <c r="E380" s="209"/>
      <c r="F380" s="240"/>
      <c r="G380" s="213"/>
      <c r="H380" s="213"/>
      <c r="I380" s="210"/>
      <c r="O380" s="244"/>
      <c r="R380" s="244"/>
      <c r="U380" s="244"/>
    </row>
    <row r="381">
      <c r="A381" s="209"/>
      <c r="B381" s="209"/>
      <c r="C381" s="209"/>
      <c r="D381" s="209"/>
      <c r="E381" s="209"/>
      <c r="F381" s="240"/>
      <c r="G381" s="213"/>
      <c r="H381" s="213"/>
      <c r="I381" s="210"/>
      <c r="O381" s="244"/>
      <c r="R381" s="244"/>
      <c r="U381" s="244"/>
    </row>
    <row r="382">
      <c r="A382" s="209"/>
      <c r="B382" s="209"/>
      <c r="C382" s="209"/>
      <c r="D382" s="209"/>
      <c r="E382" s="209"/>
      <c r="F382" s="240"/>
      <c r="G382" s="213"/>
      <c r="H382" s="213"/>
      <c r="I382" s="210"/>
      <c r="O382" s="244"/>
      <c r="R382" s="244"/>
      <c r="U382" s="244"/>
    </row>
    <row r="383">
      <c r="A383" s="209"/>
      <c r="B383" s="209"/>
      <c r="C383" s="209"/>
      <c r="D383" s="209"/>
      <c r="E383" s="209"/>
      <c r="F383" s="240"/>
      <c r="G383" s="213"/>
      <c r="H383" s="213"/>
      <c r="I383" s="210"/>
      <c r="O383" s="244"/>
      <c r="R383" s="244"/>
      <c r="U383" s="244"/>
    </row>
    <row r="384">
      <c r="A384" s="209"/>
      <c r="B384" s="209"/>
      <c r="C384" s="209"/>
      <c r="D384" s="209"/>
      <c r="E384" s="209"/>
      <c r="F384" s="240"/>
      <c r="G384" s="213"/>
      <c r="H384" s="213"/>
      <c r="I384" s="210"/>
      <c r="O384" s="244"/>
      <c r="R384" s="244"/>
      <c r="U384" s="244"/>
    </row>
    <row r="385">
      <c r="A385" s="209"/>
      <c r="B385" s="209"/>
      <c r="C385" s="209"/>
      <c r="D385" s="209"/>
      <c r="E385" s="209"/>
      <c r="F385" s="240"/>
      <c r="G385" s="213"/>
      <c r="H385" s="213"/>
      <c r="I385" s="210"/>
      <c r="O385" s="244"/>
      <c r="R385" s="244"/>
      <c r="U385" s="244"/>
    </row>
    <row r="386">
      <c r="A386" s="209"/>
      <c r="B386" s="209"/>
      <c r="C386" s="209"/>
      <c r="D386" s="209"/>
      <c r="E386" s="209"/>
      <c r="F386" s="240"/>
      <c r="G386" s="213"/>
      <c r="H386" s="213"/>
      <c r="I386" s="210"/>
      <c r="O386" s="244"/>
      <c r="R386" s="244"/>
      <c r="U386" s="244"/>
    </row>
    <row r="387">
      <c r="A387" s="209"/>
      <c r="B387" s="209"/>
      <c r="C387" s="209"/>
      <c r="D387" s="209"/>
      <c r="E387" s="209"/>
      <c r="F387" s="240"/>
      <c r="G387" s="213"/>
      <c r="H387" s="213"/>
      <c r="I387" s="210"/>
      <c r="O387" s="244"/>
      <c r="R387" s="244"/>
      <c r="U387" s="244"/>
    </row>
    <row r="388">
      <c r="A388" s="209"/>
      <c r="B388" s="209"/>
      <c r="C388" s="209"/>
      <c r="D388" s="209"/>
      <c r="E388" s="209"/>
      <c r="F388" s="240"/>
      <c r="G388" s="213"/>
      <c r="H388" s="213"/>
      <c r="I388" s="210"/>
      <c r="O388" s="244"/>
      <c r="R388" s="244"/>
      <c r="U388" s="244"/>
    </row>
    <row r="389">
      <c r="A389" s="209"/>
      <c r="B389" s="209"/>
      <c r="C389" s="209"/>
      <c r="D389" s="209"/>
      <c r="E389" s="209"/>
      <c r="F389" s="240"/>
      <c r="G389" s="213"/>
      <c r="H389" s="213"/>
      <c r="I389" s="210"/>
      <c r="O389" s="244"/>
      <c r="R389" s="244"/>
      <c r="U389" s="244"/>
    </row>
    <row r="390">
      <c r="A390" s="209"/>
      <c r="B390" s="209"/>
      <c r="C390" s="209"/>
      <c r="D390" s="209"/>
      <c r="E390" s="209"/>
      <c r="F390" s="240"/>
      <c r="G390" s="213"/>
      <c r="H390" s="213"/>
      <c r="I390" s="210"/>
      <c r="O390" s="244"/>
      <c r="R390" s="244"/>
      <c r="U390" s="244"/>
    </row>
    <row r="391">
      <c r="A391" s="209"/>
      <c r="B391" s="209"/>
      <c r="C391" s="209"/>
      <c r="D391" s="209"/>
      <c r="E391" s="209"/>
      <c r="F391" s="240"/>
      <c r="G391" s="213"/>
      <c r="H391" s="213"/>
      <c r="I391" s="210"/>
      <c r="O391" s="244"/>
      <c r="R391" s="244"/>
      <c r="U391" s="244"/>
    </row>
    <row r="392">
      <c r="A392" s="209"/>
      <c r="B392" s="209"/>
      <c r="C392" s="209"/>
      <c r="D392" s="209"/>
      <c r="E392" s="209"/>
      <c r="F392" s="240"/>
      <c r="G392" s="213"/>
      <c r="H392" s="213"/>
      <c r="I392" s="210"/>
      <c r="O392" s="244"/>
      <c r="R392" s="244"/>
      <c r="U392" s="244"/>
    </row>
    <row r="393">
      <c r="A393" s="209"/>
      <c r="B393" s="209"/>
      <c r="C393" s="209"/>
      <c r="D393" s="209"/>
      <c r="E393" s="209"/>
      <c r="F393" s="240"/>
      <c r="G393" s="213"/>
      <c r="H393" s="213"/>
      <c r="I393" s="210"/>
      <c r="O393" s="244"/>
      <c r="R393" s="244"/>
      <c r="U393" s="244"/>
    </row>
    <row r="394">
      <c r="A394" s="209"/>
      <c r="B394" s="209"/>
      <c r="C394" s="209"/>
      <c r="D394" s="209"/>
      <c r="E394" s="209"/>
      <c r="F394" s="240"/>
      <c r="G394" s="213"/>
      <c r="H394" s="213"/>
      <c r="I394" s="210"/>
      <c r="O394" s="244"/>
      <c r="R394" s="244"/>
      <c r="U394" s="244"/>
    </row>
    <row r="395">
      <c r="A395" s="209"/>
      <c r="B395" s="209"/>
      <c r="C395" s="209"/>
      <c r="D395" s="209"/>
      <c r="E395" s="209"/>
      <c r="F395" s="240"/>
      <c r="G395" s="213"/>
      <c r="H395" s="213"/>
      <c r="I395" s="210"/>
      <c r="O395" s="244"/>
      <c r="R395" s="244"/>
      <c r="U395" s="244"/>
    </row>
    <row r="396">
      <c r="A396" s="209"/>
      <c r="B396" s="209"/>
      <c r="C396" s="209"/>
      <c r="D396" s="209"/>
      <c r="E396" s="209"/>
      <c r="F396" s="240"/>
      <c r="G396" s="213"/>
      <c r="H396" s="213"/>
      <c r="I396" s="210"/>
      <c r="O396" s="244"/>
      <c r="R396" s="244"/>
      <c r="U396" s="244"/>
    </row>
    <row r="397">
      <c r="A397" s="209"/>
      <c r="B397" s="209"/>
      <c r="C397" s="209"/>
      <c r="D397" s="209"/>
      <c r="E397" s="209"/>
      <c r="F397" s="240"/>
      <c r="G397" s="213"/>
      <c r="H397" s="213"/>
      <c r="I397" s="210"/>
      <c r="O397" s="244"/>
      <c r="R397" s="244"/>
      <c r="U397" s="244"/>
    </row>
    <row r="398">
      <c r="A398" s="209"/>
      <c r="B398" s="209"/>
      <c r="C398" s="209"/>
      <c r="D398" s="209"/>
      <c r="E398" s="209"/>
      <c r="F398" s="240"/>
      <c r="G398" s="213"/>
      <c r="H398" s="213"/>
      <c r="I398" s="210"/>
      <c r="O398" s="244"/>
      <c r="R398" s="244"/>
      <c r="U398" s="244"/>
    </row>
    <row r="399">
      <c r="A399" s="209"/>
      <c r="B399" s="209"/>
      <c r="C399" s="209"/>
      <c r="D399" s="209"/>
      <c r="E399" s="209"/>
      <c r="F399" s="240"/>
      <c r="G399" s="213"/>
      <c r="H399" s="213"/>
      <c r="I399" s="210"/>
      <c r="O399" s="244"/>
      <c r="R399" s="244"/>
      <c r="U399" s="244"/>
    </row>
    <row r="400">
      <c r="A400" s="209"/>
      <c r="B400" s="209"/>
      <c r="C400" s="209"/>
      <c r="D400" s="209"/>
      <c r="E400" s="209"/>
      <c r="F400" s="240"/>
      <c r="G400" s="213"/>
      <c r="H400" s="213"/>
      <c r="I400" s="210"/>
      <c r="O400" s="244"/>
      <c r="R400" s="244"/>
      <c r="U400" s="244"/>
    </row>
    <row r="401">
      <c r="A401" s="209"/>
      <c r="B401" s="209"/>
      <c r="C401" s="209"/>
      <c r="D401" s="209"/>
      <c r="E401" s="209"/>
      <c r="F401" s="240"/>
      <c r="G401" s="213"/>
      <c r="H401" s="213"/>
      <c r="I401" s="210"/>
      <c r="O401" s="244"/>
      <c r="R401" s="244"/>
      <c r="U401" s="244"/>
    </row>
    <row r="402">
      <c r="A402" s="209"/>
      <c r="B402" s="209"/>
      <c r="C402" s="209"/>
      <c r="D402" s="209"/>
      <c r="E402" s="209"/>
      <c r="F402" s="240"/>
      <c r="G402" s="213"/>
      <c r="H402" s="213"/>
      <c r="I402" s="210"/>
      <c r="O402" s="244"/>
      <c r="R402" s="244"/>
      <c r="U402" s="244"/>
    </row>
    <row r="403">
      <c r="A403" s="209"/>
      <c r="B403" s="209"/>
      <c r="C403" s="209"/>
      <c r="D403" s="209"/>
      <c r="E403" s="209"/>
      <c r="F403" s="240"/>
      <c r="G403" s="213"/>
      <c r="H403" s="213"/>
      <c r="I403" s="210"/>
      <c r="O403" s="244"/>
      <c r="R403" s="244"/>
      <c r="U403" s="244"/>
    </row>
    <row r="404">
      <c r="A404" s="209"/>
      <c r="B404" s="209"/>
      <c r="C404" s="209"/>
      <c r="D404" s="209"/>
      <c r="E404" s="209"/>
      <c r="F404" s="240"/>
      <c r="G404" s="213"/>
      <c r="H404" s="213"/>
      <c r="I404" s="210"/>
      <c r="O404" s="244"/>
      <c r="R404" s="244"/>
      <c r="U404" s="244"/>
    </row>
    <row r="405">
      <c r="A405" s="209"/>
      <c r="B405" s="209"/>
      <c r="C405" s="209"/>
      <c r="D405" s="209"/>
      <c r="E405" s="209"/>
      <c r="F405" s="240"/>
      <c r="G405" s="213"/>
      <c r="H405" s="213"/>
      <c r="I405" s="210"/>
      <c r="O405" s="244"/>
      <c r="R405" s="244"/>
      <c r="U405" s="244"/>
    </row>
    <row r="406">
      <c r="A406" s="209"/>
      <c r="B406" s="209"/>
      <c r="C406" s="209"/>
      <c r="D406" s="209"/>
      <c r="E406" s="209"/>
      <c r="F406" s="240"/>
      <c r="G406" s="213"/>
      <c r="H406" s="213"/>
      <c r="I406" s="210"/>
      <c r="O406" s="244"/>
      <c r="R406" s="244"/>
      <c r="U406" s="244"/>
    </row>
    <row r="407">
      <c r="A407" s="209"/>
      <c r="B407" s="209"/>
      <c r="C407" s="209"/>
      <c r="D407" s="209"/>
      <c r="E407" s="209"/>
      <c r="F407" s="240"/>
      <c r="G407" s="213"/>
      <c r="H407" s="213"/>
      <c r="I407" s="210"/>
      <c r="O407" s="244"/>
      <c r="R407" s="244"/>
      <c r="U407" s="244"/>
    </row>
    <row r="408">
      <c r="A408" s="209"/>
      <c r="B408" s="209"/>
      <c r="C408" s="209"/>
      <c r="D408" s="209"/>
      <c r="E408" s="209"/>
      <c r="F408" s="240"/>
      <c r="G408" s="213"/>
      <c r="H408" s="213"/>
      <c r="I408" s="210"/>
      <c r="O408" s="244"/>
      <c r="R408" s="244"/>
      <c r="U408" s="244"/>
    </row>
    <row r="409">
      <c r="A409" s="209"/>
      <c r="B409" s="209"/>
      <c r="C409" s="209"/>
      <c r="D409" s="209"/>
      <c r="E409" s="209"/>
      <c r="F409" s="240"/>
      <c r="G409" s="213"/>
      <c r="H409" s="213"/>
      <c r="I409" s="210"/>
      <c r="O409" s="244"/>
      <c r="R409" s="244"/>
      <c r="U409" s="244"/>
    </row>
    <row r="410">
      <c r="A410" s="209"/>
      <c r="B410" s="209"/>
      <c r="C410" s="209"/>
      <c r="D410" s="209"/>
      <c r="E410" s="209"/>
      <c r="F410" s="240"/>
      <c r="G410" s="213"/>
      <c r="H410" s="213"/>
      <c r="I410" s="210"/>
      <c r="O410" s="244"/>
      <c r="R410" s="244"/>
      <c r="U410" s="244"/>
    </row>
    <row r="411">
      <c r="A411" s="209"/>
      <c r="B411" s="209"/>
      <c r="C411" s="209"/>
      <c r="D411" s="209"/>
      <c r="E411" s="209"/>
      <c r="F411" s="240"/>
      <c r="G411" s="213"/>
      <c r="H411" s="213"/>
      <c r="I411" s="210"/>
      <c r="O411" s="244"/>
      <c r="R411" s="244"/>
      <c r="U411" s="244"/>
    </row>
    <row r="412">
      <c r="A412" s="209"/>
      <c r="B412" s="209"/>
      <c r="C412" s="209"/>
      <c r="D412" s="209"/>
      <c r="E412" s="209"/>
      <c r="F412" s="240"/>
      <c r="G412" s="213"/>
      <c r="H412" s="213"/>
      <c r="I412" s="210"/>
      <c r="O412" s="244"/>
      <c r="R412" s="244"/>
      <c r="U412" s="244"/>
    </row>
    <row r="413">
      <c r="A413" s="209"/>
      <c r="B413" s="209"/>
      <c r="C413" s="209"/>
      <c r="D413" s="209"/>
      <c r="E413" s="209"/>
      <c r="F413" s="240"/>
      <c r="G413" s="213"/>
      <c r="H413" s="213"/>
      <c r="I413" s="210"/>
      <c r="O413" s="244"/>
      <c r="R413" s="244"/>
      <c r="U413" s="244"/>
    </row>
    <row r="414">
      <c r="A414" s="209"/>
      <c r="B414" s="209"/>
      <c r="C414" s="209"/>
      <c r="D414" s="209"/>
      <c r="E414" s="209"/>
      <c r="F414" s="240"/>
      <c r="G414" s="213"/>
      <c r="H414" s="213"/>
      <c r="I414" s="210"/>
      <c r="O414" s="244"/>
      <c r="R414" s="244"/>
      <c r="U414" s="244"/>
    </row>
    <row r="415">
      <c r="A415" s="209"/>
      <c r="B415" s="209"/>
      <c r="C415" s="209"/>
      <c r="D415" s="209"/>
      <c r="E415" s="209"/>
      <c r="F415" s="240"/>
      <c r="G415" s="213"/>
      <c r="H415" s="213"/>
      <c r="I415" s="210"/>
      <c r="O415" s="244"/>
      <c r="R415" s="244"/>
      <c r="U415" s="244"/>
    </row>
    <row r="416">
      <c r="A416" s="209"/>
      <c r="B416" s="209"/>
      <c r="C416" s="209"/>
      <c r="D416" s="209"/>
      <c r="E416" s="209"/>
      <c r="F416" s="240"/>
      <c r="G416" s="213"/>
      <c r="H416" s="213"/>
      <c r="I416" s="210"/>
      <c r="O416" s="244"/>
      <c r="R416" s="244"/>
      <c r="U416" s="244"/>
    </row>
    <row r="417">
      <c r="A417" s="209"/>
      <c r="B417" s="209"/>
      <c r="C417" s="209"/>
      <c r="D417" s="209"/>
      <c r="E417" s="209"/>
      <c r="F417" s="240"/>
      <c r="G417" s="213"/>
      <c r="H417" s="213"/>
      <c r="I417" s="210"/>
      <c r="O417" s="244"/>
      <c r="R417" s="244"/>
      <c r="U417" s="244"/>
    </row>
    <row r="418">
      <c r="A418" s="209"/>
      <c r="B418" s="209"/>
      <c r="C418" s="209"/>
      <c r="D418" s="209"/>
      <c r="E418" s="209"/>
      <c r="F418" s="240"/>
      <c r="G418" s="213"/>
      <c r="H418" s="213"/>
      <c r="I418" s="210"/>
      <c r="O418" s="244"/>
      <c r="R418" s="244"/>
      <c r="U418" s="244"/>
    </row>
    <row r="419">
      <c r="A419" s="209"/>
      <c r="B419" s="209"/>
      <c r="C419" s="209"/>
      <c r="D419" s="209"/>
      <c r="E419" s="209"/>
      <c r="F419" s="240"/>
      <c r="G419" s="213"/>
      <c r="H419" s="213"/>
      <c r="I419" s="210"/>
      <c r="O419" s="244"/>
      <c r="R419" s="244"/>
      <c r="U419" s="244"/>
    </row>
    <row r="420">
      <c r="A420" s="209"/>
      <c r="B420" s="209"/>
      <c r="C420" s="209"/>
      <c r="D420" s="209"/>
      <c r="E420" s="209"/>
      <c r="F420" s="240"/>
      <c r="G420" s="213"/>
      <c r="H420" s="213"/>
      <c r="I420" s="210"/>
      <c r="O420" s="244"/>
      <c r="R420" s="244"/>
      <c r="U420" s="244"/>
    </row>
    <row r="421">
      <c r="A421" s="209"/>
      <c r="B421" s="209"/>
      <c r="C421" s="209"/>
      <c r="D421" s="209"/>
      <c r="E421" s="209"/>
      <c r="F421" s="240"/>
      <c r="G421" s="213"/>
      <c r="H421" s="213"/>
      <c r="I421" s="210"/>
      <c r="O421" s="244"/>
      <c r="R421" s="244"/>
      <c r="U421" s="244"/>
    </row>
    <row r="422">
      <c r="A422" s="209"/>
      <c r="B422" s="209"/>
      <c r="C422" s="209"/>
      <c r="D422" s="209"/>
      <c r="E422" s="209"/>
      <c r="F422" s="240"/>
      <c r="G422" s="213"/>
      <c r="H422" s="213"/>
      <c r="I422" s="210"/>
      <c r="O422" s="244"/>
      <c r="R422" s="244"/>
      <c r="U422" s="244"/>
    </row>
    <row r="423">
      <c r="A423" s="209"/>
      <c r="B423" s="209"/>
      <c r="C423" s="209"/>
      <c r="D423" s="209"/>
      <c r="E423" s="209"/>
      <c r="F423" s="240"/>
      <c r="G423" s="213"/>
      <c r="H423" s="213"/>
      <c r="I423" s="210"/>
      <c r="O423" s="244"/>
      <c r="R423" s="244"/>
      <c r="U423" s="244"/>
    </row>
    <row r="424">
      <c r="A424" s="209"/>
      <c r="B424" s="209"/>
      <c r="C424" s="209"/>
      <c r="D424" s="209"/>
      <c r="E424" s="209"/>
      <c r="F424" s="240"/>
      <c r="G424" s="213"/>
      <c r="H424" s="213"/>
      <c r="I424" s="210"/>
      <c r="O424" s="244"/>
      <c r="R424" s="244"/>
      <c r="U424" s="244"/>
    </row>
    <row r="425">
      <c r="A425" s="209"/>
      <c r="B425" s="209"/>
      <c r="C425" s="209"/>
      <c r="D425" s="209"/>
      <c r="E425" s="209"/>
      <c r="F425" s="240"/>
      <c r="G425" s="213"/>
      <c r="H425" s="213"/>
      <c r="I425" s="210"/>
      <c r="O425" s="244"/>
      <c r="R425" s="244"/>
      <c r="U425" s="244"/>
    </row>
    <row r="426">
      <c r="A426" s="209"/>
      <c r="B426" s="209"/>
      <c r="C426" s="209"/>
      <c r="D426" s="209"/>
      <c r="E426" s="209"/>
      <c r="F426" s="240"/>
      <c r="G426" s="213"/>
      <c r="H426" s="213"/>
      <c r="I426" s="210"/>
      <c r="O426" s="244"/>
      <c r="R426" s="244"/>
      <c r="U426" s="244"/>
    </row>
    <row r="427">
      <c r="A427" s="209"/>
      <c r="B427" s="209"/>
      <c r="C427" s="209"/>
      <c r="D427" s="209"/>
      <c r="E427" s="209"/>
      <c r="F427" s="240"/>
      <c r="G427" s="213"/>
      <c r="H427" s="213"/>
      <c r="I427" s="210"/>
      <c r="O427" s="244"/>
      <c r="R427" s="244"/>
      <c r="U427" s="244"/>
    </row>
    <row r="428">
      <c r="A428" s="209"/>
      <c r="B428" s="209"/>
      <c r="C428" s="209"/>
      <c r="D428" s="209"/>
      <c r="E428" s="209"/>
      <c r="F428" s="240"/>
      <c r="G428" s="213"/>
      <c r="H428" s="213"/>
      <c r="I428" s="210"/>
      <c r="O428" s="244"/>
      <c r="R428" s="244"/>
      <c r="U428" s="244"/>
    </row>
    <row r="429">
      <c r="A429" s="209"/>
      <c r="B429" s="209"/>
      <c r="C429" s="209"/>
      <c r="D429" s="209"/>
      <c r="E429" s="209"/>
      <c r="F429" s="240"/>
      <c r="G429" s="213"/>
      <c r="H429" s="213"/>
      <c r="I429" s="210"/>
      <c r="O429" s="244"/>
      <c r="R429" s="244"/>
      <c r="U429" s="244"/>
    </row>
    <row r="430">
      <c r="A430" s="209"/>
      <c r="B430" s="209"/>
      <c r="C430" s="209"/>
      <c r="D430" s="209"/>
      <c r="E430" s="209"/>
      <c r="F430" s="240"/>
      <c r="G430" s="213"/>
      <c r="H430" s="213"/>
      <c r="I430" s="210"/>
      <c r="O430" s="244"/>
      <c r="R430" s="244"/>
      <c r="U430" s="244"/>
    </row>
    <row r="431">
      <c r="A431" s="209"/>
      <c r="B431" s="209"/>
      <c r="C431" s="209"/>
      <c r="D431" s="209"/>
      <c r="E431" s="209"/>
      <c r="F431" s="240"/>
      <c r="G431" s="213"/>
      <c r="H431" s="213"/>
      <c r="I431" s="210"/>
      <c r="O431" s="244"/>
      <c r="R431" s="244"/>
      <c r="U431" s="244"/>
    </row>
    <row r="432">
      <c r="A432" s="209"/>
      <c r="B432" s="209"/>
      <c r="C432" s="209"/>
      <c r="D432" s="209"/>
      <c r="E432" s="209"/>
      <c r="F432" s="240"/>
      <c r="G432" s="213"/>
      <c r="H432" s="213"/>
      <c r="I432" s="210"/>
      <c r="O432" s="244"/>
      <c r="R432" s="244"/>
      <c r="U432" s="244"/>
    </row>
    <row r="433">
      <c r="A433" s="209"/>
      <c r="B433" s="209"/>
      <c r="C433" s="209"/>
      <c r="D433" s="209"/>
      <c r="E433" s="209"/>
      <c r="F433" s="240"/>
      <c r="G433" s="213"/>
      <c r="H433" s="213"/>
      <c r="I433" s="210"/>
      <c r="O433" s="244"/>
      <c r="R433" s="244"/>
      <c r="U433" s="244"/>
    </row>
    <row r="434">
      <c r="A434" s="209"/>
      <c r="B434" s="209"/>
      <c r="C434" s="209"/>
      <c r="D434" s="209"/>
      <c r="E434" s="209"/>
      <c r="F434" s="240"/>
      <c r="G434" s="213"/>
      <c r="H434" s="213"/>
      <c r="I434" s="210"/>
      <c r="O434" s="244"/>
      <c r="R434" s="244"/>
      <c r="U434" s="244"/>
    </row>
    <row r="435">
      <c r="A435" s="209"/>
      <c r="B435" s="209"/>
      <c r="C435" s="209"/>
      <c r="D435" s="209"/>
      <c r="E435" s="209"/>
      <c r="F435" s="240"/>
      <c r="G435" s="213"/>
      <c r="H435" s="213"/>
      <c r="I435" s="210"/>
      <c r="O435" s="244"/>
      <c r="R435" s="244"/>
      <c r="U435" s="244"/>
    </row>
    <row r="436">
      <c r="A436" s="209"/>
      <c r="B436" s="209"/>
      <c r="C436" s="209"/>
      <c r="D436" s="209"/>
      <c r="E436" s="209"/>
      <c r="F436" s="240"/>
      <c r="G436" s="213"/>
      <c r="H436" s="213"/>
      <c r="I436" s="210"/>
      <c r="O436" s="244"/>
      <c r="R436" s="244"/>
      <c r="U436" s="244"/>
    </row>
    <row r="437">
      <c r="A437" s="209"/>
      <c r="B437" s="209"/>
      <c r="C437" s="209"/>
      <c r="D437" s="209"/>
      <c r="E437" s="209"/>
      <c r="F437" s="240"/>
      <c r="G437" s="213"/>
      <c r="H437" s="213"/>
      <c r="I437" s="210"/>
      <c r="O437" s="244"/>
      <c r="R437" s="244"/>
      <c r="U437" s="244"/>
    </row>
    <row r="438">
      <c r="A438" s="209"/>
      <c r="B438" s="209"/>
      <c r="C438" s="209"/>
      <c r="D438" s="209"/>
      <c r="E438" s="209"/>
      <c r="F438" s="240"/>
      <c r="G438" s="213"/>
      <c r="H438" s="213"/>
      <c r="I438" s="210"/>
      <c r="O438" s="244"/>
      <c r="R438" s="244"/>
      <c r="U438" s="244"/>
    </row>
    <row r="439">
      <c r="A439" s="209"/>
      <c r="B439" s="209"/>
      <c r="C439" s="209"/>
      <c r="D439" s="209"/>
      <c r="E439" s="209"/>
      <c r="F439" s="240"/>
      <c r="G439" s="213"/>
      <c r="H439" s="213"/>
      <c r="I439" s="210"/>
      <c r="O439" s="244"/>
      <c r="R439" s="244"/>
      <c r="U439" s="244"/>
    </row>
    <row r="440">
      <c r="A440" s="209"/>
      <c r="B440" s="209"/>
      <c r="C440" s="209"/>
      <c r="D440" s="209"/>
      <c r="E440" s="209"/>
      <c r="F440" s="240"/>
      <c r="G440" s="213"/>
      <c r="H440" s="213"/>
      <c r="I440" s="210"/>
      <c r="O440" s="244"/>
      <c r="R440" s="244"/>
      <c r="U440" s="244"/>
    </row>
    <row r="441">
      <c r="A441" s="209"/>
      <c r="B441" s="209"/>
      <c r="C441" s="209"/>
      <c r="D441" s="209"/>
      <c r="E441" s="209"/>
      <c r="F441" s="240"/>
      <c r="G441" s="213"/>
      <c r="H441" s="213"/>
      <c r="I441" s="210"/>
      <c r="O441" s="244"/>
      <c r="R441" s="244"/>
      <c r="U441" s="244"/>
    </row>
    <row r="442">
      <c r="A442" s="209"/>
      <c r="B442" s="209"/>
      <c r="C442" s="209"/>
      <c r="D442" s="209"/>
      <c r="E442" s="209"/>
      <c r="F442" s="240"/>
      <c r="G442" s="213"/>
      <c r="H442" s="213"/>
      <c r="I442" s="210"/>
      <c r="O442" s="244"/>
      <c r="R442" s="244"/>
      <c r="U442" s="244"/>
    </row>
    <row r="443">
      <c r="A443" s="209"/>
      <c r="B443" s="209"/>
      <c r="C443" s="209"/>
      <c r="D443" s="209"/>
      <c r="E443" s="209"/>
      <c r="F443" s="240"/>
      <c r="G443" s="213"/>
      <c r="H443" s="213"/>
      <c r="I443" s="210"/>
      <c r="O443" s="244"/>
      <c r="R443" s="244"/>
      <c r="U443" s="244"/>
    </row>
    <row r="444">
      <c r="A444" s="209"/>
      <c r="B444" s="209"/>
      <c r="C444" s="209"/>
      <c r="D444" s="209"/>
      <c r="E444" s="209"/>
      <c r="F444" s="240"/>
      <c r="G444" s="213"/>
      <c r="H444" s="213"/>
      <c r="I444" s="210"/>
      <c r="O444" s="244"/>
      <c r="R444" s="244"/>
      <c r="U444" s="244"/>
    </row>
    <row r="445">
      <c r="A445" s="209"/>
      <c r="B445" s="209"/>
      <c r="C445" s="209"/>
      <c r="D445" s="209"/>
      <c r="E445" s="209"/>
      <c r="F445" s="240"/>
      <c r="G445" s="213"/>
      <c r="H445" s="213"/>
      <c r="I445" s="210"/>
      <c r="O445" s="244"/>
      <c r="R445" s="244"/>
      <c r="U445" s="244"/>
    </row>
    <row r="446">
      <c r="A446" s="209"/>
      <c r="B446" s="209"/>
      <c r="C446" s="209"/>
      <c r="D446" s="209"/>
      <c r="E446" s="209"/>
      <c r="F446" s="240"/>
      <c r="G446" s="213"/>
      <c r="H446" s="213"/>
      <c r="I446" s="210"/>
      <c r="O446" s="244"/>
      <c r="R446" s="244"/>
      <c r="U446" s="244"/>
    </row>
    <row r="447">
      <c r="A447" s="209"/>
      <c r="B447" s="209"/>
      <c r="C447" s="209"/>
      <c r="D447" s="209"/>
      <c r="E447" s="209"/>
      <c r="F447" s="240"/>
      <c r="G447" s="213"/>
      <c r="H447" s="213"/>
      <c r="I447" s="210"/>
      <c r="O447" s="244"/>
      <c r="R447" s="244"/>
      <c r="U447" s="244"/>
    </row>
    <row r="448">
      <c r="A448" s="209"/>
      <c r="B448" s="209"/>
      <c r="C448" s="209"/>
      <c r="D448" s="209"/>
      <c r="E448" s="209"/>
      <c r="F448" s="240"/>
      <c r="G448" s="213"/>
      <c r="H448" s="213"/>
      <c r="I448" s="210"/>
      <c r="O448" s="244"/>
      <c r="R448" s="244"/>
      <c r="U448" s="244"/>
    </row>
    <row r="449">
      <c r="A449" s="209"/>
      <c r="B449" s="209"/>
      <c r="C449" s="209"/>
      <c r="D449" s="209"/>
      <c r="E449" s="209"/>
      <c r="F449" s="240"/>
      <c r="G449" s="213"/>
      <c r="H449" s="213"/>
      <c r="I449" s="210"/>
      <c r="O449" s="244"/>
      <c r="R449" s="244"/>
      <c r="U449" s="244"/>
    </row>
    <row r="450">
      <c r="A450" s="209"/>
      <c r="B450" s="209"/>
      <c r="C450" s="209"/>
      <c r="D450" s="209"/>
      <c r="E450" s="209"/>
      <c r="F450" s="240"/>
      <c r="G450" s="213"/>
      <c r="H450" s="213"/>
      <c r="I450" s="210"/>
      <c r="O450" s="244"/>
      <c r="R450" s="244"/>
      <c r="U450" s="244"/>
    </row>
    <row r="451">
      <c r="A451" s="209"/>
      <c r="B451" s="209"/>
      <c r="C451" s="209"/>
      <c r="D451" s="209"/>
      <c r="E451" s="209"/>
      <c r="F451" s="240"/>
      <c r="G451" s="213"/>
      <c r="H451" s="213"/>
      <c r="I451" s="210"/>
      <c r="O451" s="244"/>
      <c r="R451" s="244"/>
      <c r="U451" s="244"/>
    </row>
    <row r="452">
      <c r="A452" s="209"/>
      <c r="B452" s="209"/>
      <c r="C452" s="209"/>
      <c r="D452" s="209"/>
      <c r="E452" s="209"/>
      <c r="F452" s="240"/>
      <c r="G452" s="213"/>
      <c r="H452" s="213"/>
      <c r="I452" s="210"/>
      <c r="O452" s="244"/>
      <c r="R452" s="244"/>
      <c r="U452" s="244"/>
    </row>
    <row r="453">
      <c r="A453" s="209"/>
      <c r="B453" s="209"/>
      <c r="C453" s="209"/>
      <c r="D453" s="209"/>
      <c r="E453" s="209"/>
      <c r="F453" s="240"/>
      <c r="G453" s="213"/>
      <c r="H453" s="213"/>
      <c r="I453" s="210"/>
      <c r="O453" s="244"/>
      <c r="R453" s="244"/>
      <c r="U453" s="244"/>
    </row>
    <row r="454">
      <c r="A454" s="209"/>
      <c r="B454" s="209"/>
      <c r="C454" s="209"/>
      <c r="D454" s="209"/>
      <c r="E454" s="209"/>
      <c r="F454" s="240"/>
      <c r="G454" s="213"/>
      <c r="H454" s="213"/>
      <c r="I454" s="210"/>
      <c r="O454" s="244"/>
      <c r="R454" s="244"/>
      <c r="U454" s="244"/>
    </row>
    <row r="455">
      <c r="A455" s="209"/>
      <c r="B455" s="209"/>
      <c r="C455" s="209"/>
      <c r="D455" s="209"/>
      <c r="E455" s="209"/>
      <c r="F455" s="240"/>
      <c r="G455" s="213"/>
      <c r="H455" s="213"/>
      <c r="I455" s="210"/>
      <c r="O455" s="244"/>
      <c r="R455" s="244"/>
      <c r="U455" s="244"/>
    </row>
    <row r="456">
      <c r="A456" s="209"/>
      <c r="B456" s="209"/>
      <c r="C456" s="209"/>
      <c r="D456" s="209"/>
      <c r="E456" s="209"/>
      <c r="F456" s="240"/>
      <c r="G456" s="213"/>
      <c r="H456" s="213"/>
      <c r="I456" s="210"/>
      <c r="O456" s="244"/>
      <c r="R456" s="244"/>
      <c r="U456" s="244"/>
    </row>
    <row r="457">
      <c r="A457" s="209"/>
      <c r="B457" s="209"/>
      <c r="C457" s="209"/>
      <c r="D457" s="209"/>
      <c r="E457" s="209"/>
      <c r="F457" s="240"/>
      <c r="G457" s="213"/>
      <c r="H457" s="213"/>
      <c r="I457" s="210"/>
      <c r="O457" s="244"/>
      <c r="R457" s="244"/>
      <c r="U457" s="244"/>
    </row>
    <row r="458">
      <c r="A458" s="209"/>
      <c r="B458" s="209"/>
      <c r="C458" s="209"/>
      <c r="D458" s="209"/>
      <c r="E458" s="209"/>
      <c r="F458" s="240"/>
      <c r="G458" s="213"/>
      <c r="H458" s="213"/>
      <c r="I458" s="210"/>
      <c r="O458" s="244"/>
      <c r="R458" s="244"/>
      <c r="U458" s="244"/>
    </row>
    <row r="459">
      <c r="A459" s="209"/>
      <c r="B459" s="209"/>
      <c r="C459" s="209"/>
      <c r="D459" s="209"/>
      <c r="E459" s="209"/>
      <c r="F459" s="240"/>
      <c r="G459" s="213"/>
      <c r="H459" s="213"/>
      <c r="I459" s="210"/>
      <c r="O459" s="244"/>
      <c r="R459" s="244"/>
      <c r="U459" s="244"/>
    </row>
    <row r="460">
      <c r="A460" s="209"/>
      <c r="B460" s="209"/>
      <c r="C460" s="209"/>
      <c r="D460" s="209"/>
      <c r="E460" s="209"/>
      <c r="F460" s="240"/>
      <c r="G460" s="213"/>
      <c r="H460" s="213"/>
      <c r="I460" s="210"/>
      <c r="O460" s="244"/>
      <c r="R460" s="244"/>
      <c r="U460" s="244"/>
    </row>
    <row r="461">
      <c r="A461" s="209"/>
      <c r="B461" s="209"/>
      <c r="C461" s="209"/>
      <c r="D461" s="209"/>
      <c r="E461" s="209"/>
      <c r="F461" s="240"/>
      <c r="G461" s="213"/>
      <c r="H461" s="213"/>
      <c r="I461" s="210"/>
      <c r="O461" s="244"/>
      <c r="R461" s="244"/>
      <c r="U461" s="244"/>
    </row>
    <row r="462">
      <c r="A462" s="209"/>
      <c r="B462" s="209"/>
      <c r="C462" s="209"/>
      <c r="D462" s="209"/>
      <c r="E462" s="209"/>
      <c r="F462" s="240"/>
      <c r="G462" s="213"/>
      <c r="H462" s="213"/>
      <c r="I462" s="210"/>
      <c r="O462" s="244"/>
      <c r="R462" s="244"/>
      <c r="U462" s="244"/>
    </row>
    <row r="463">
      <c r="A463" s="209"/>
      <c r="B463" s="209"/>
      <c r="C463" s="209"/>
      <c r="D463" s="209"/>
      <c r="E463" s="209"/>
      <c r="F463" s="240"/>
      <c r="G463" s="213"/>
      <c r="H463" s="213"/>
      <c r="I463" s="210"/>
      <c r="O463" s="244"/>
      <c r="R463" s="244"/>
      <c r="U463" s="244"/>
    </row>
    <row r="464">
      <c r="A464" s="209"/>
      <c r="B464" s="209"/>
      <c r="C464" s="209"/>
      <c r="D464" s="209"/>
      <c r="E464" s="209"/>
      <c r="F464" s="240"/>
      <c r="G464" s="213"/>
      <c r="H464" s="213"/>
      <c r="I464" s="210"/>
      <c r="O464" s="244"/>
      <c r="R464" s="244"/>
      <c r="U464" s="244"/>
    </row>
    <row r="465">
      <c r="A465" s="209"/>
      <c r="B465" s="209"/>
      <c r="C465" s="209"/>
      <c r="D465" s="209"/>
      <c r="E465" s="209"/>
      <c r="F465" s="240"/>
      <c r="G465" s="213"/>
      <c r="H465" s="213"/>
      <c r="I465" s="210"/>
      <c r="O465" s="244"/>
      <c r="R465" s="244"/>
      <c r="U465" s="244"/>
    </row>
    <row r="466">
      <c r="A466" s="209"/>
      <c r="B466" s="209"/>
      <c r="C466" s="209"/>
      <c r="D466" s="209"/>
      <c r="E466" s="209"/>
      <c r="F466" s="240"/>
      <c r="G466" s="213"/>
      <c r="H466" s="213"/>
      <c r="I466" s="210"/>
      <c r="O466" s="244"/>
      <c r="R466" s="244"/>
      <c r="U466" s="244"/>
    </row>
    <row r="467">
      <c r="A467" s="209"/>
      <c r="B467" s="209"/>
      <c r="C467" s="209"/>
      <c r="D467" s="209"/>
      <c r="E467" s="209"/>
      <c r="F467" s="240"/>
      <c r="G467" s="213"/>
      <c r="H467" s="213"/>
      <c r="I467" s="210"/>
      <c r="O467" s="244"/>
      <c r="R467" s="244"/>
      <c r="U467" s="244"/>
    </row>
    <row r="468">
      <c r="A468" s="209"/>
      <c r="B468" s="209"/>
      <c r="C468" s="209"/>
      <c r="D468" s="209"/>
      <c r="E468" s="209"/>
      <c r="F468" s="240"/>
      <c r="G468" s="213"/>
      <c r="H468" s="213"/>
      <c r="I468" s="210"/>
      <c r="O468" s="244"/>
      <c r="R468" s="244"/>
      <c r="U468" s="244"/>
    </row>
    <row r="469">
      <c r="A469" s="209"/>
      <c r="B469" s="209"/>
      <c r="C469" s="209"/>
      <c r="D469" s="209"/>
      <c r="E469" s="209"/>
      <c r="F469" s="240"/>
      <c r="G469" s="213"/>
      <c r="H469" s="213"/>
      <c r="I469" s="210"/>
      <c r="O469" s="244"/>
      <c r="R469" s="244"/>
      <c r="U469" s="244"/>
    </row>
    <row r="470">
      <c r="A470" s="209"/>
      <c r="B470" s="209"/>
      <c r="C470" s="209"/>
      <c r="D470" s="209"/>
      <c r="E470" s="209"/>
      <c r="F470" s="240"/>
      <c r="G470" s="213"/>
      <c r="H470" s="213"/>
      <c r="I470" s="210"/>
      <c r="O470" s="244"/>
      <c r="R470" s="244"/>
      <c r="U470" s="244"/>
    </row>
    <row r="471">
      <c r="A471" s="209"/>
      <c r="B471" s="209"/>
      <c r="C471" s="209"/>
      <c r="D471" s="209"/>
      <c r="E471" s="209"/>
      <c r="F471" s="240"/>
      <c r="G471" s="213"/>
      <c r="H471" s="213"/>
      <c r="I471" s="210"/>
      <c r="O471" s="244"/>
      <c r="R471" s="244"/>
      <c r="U471" s="244"/>
    </row>
    <row r="472">
      <c r="A472" s="209"/>
      <c r="B472" s="209"/>
      <c r="C472" s="209"/>
      <c r="D472" s="209"/>
      <c r="E472" s="209"/>
      <c r="F472" s="240"/>
      <c r="G472" s="213"/>
      <c r="H472" s="213"/>
      <c r="I472" s="210"/>
      <c r="O472" s="244"/>
      <c r="R472" s="244"/>
      <c r="U472" s="244"/>
    </row>
    <row r="473">
      <c r="A473" s="209"/>
      <c r="B473" s="209"/>
      <c r="C473" s="209"/>
      <c r="D473" s="209"/>
      <c r="E473" s="209"/>
      <c r="F473" s="240"/>
      <c r="G473" s="213"/>
      <c r="H473" s="213"/>
      <c r="I473" s="210"/>
      <c r="O473" s="244"/>
      <c r="R473" s="244"/>
      <c r="U473" s="244"/>
    </row>
    <row r="474">
      <c r="A474" s="209"/>
      <c r="B474" s="209"/>
      <c r="C474" s="209"/>
      <c r="D474" s="209"/>
      <c r="E474" s="209"/>
      <c r="F474" s="240"/>
      <c r="G474" s="213"/>
      <c r="H474" s="213"/>
      <c r="I474" s="210"/>
      <c r="O474" s="244"/>
      <c r="R474" s="244"/>
      <c r="U474" s="244"/>
    </row>
    <row r="475">
      <c r="A475" s="209"/>
      <c r="B475" s="209"/>
      <c r="C475" s="209"/>
      <c r="D475" s="209"/>
      <c r="E475" s="209"/>
      <c r="F475" s="240"/>
      <c r="G475" s="213"/>
      <c r="H475" s="213"/>
      <c r="I475" s="210"/>
      <c r="O475" s="244"/>
      <c r="R475" s="244"/>
      <c r="U475" s="244"/>
    </row>
    <row r="476">
      <c r="A476" s="209"/>
      <c r="B476" s="209"/>
      <c r="C476" s="209"/>
      <c r="D476" s="209"/>
      <c r="E476" s="209"/>
      <c r="F476" s="240"/>
      <c r="G476" s="213"/>
      <c r="H476" s="213"/>
      <c r="I476" s="210"/>
      <c r="O476" s="244"/>
      <c r="R476" s="244"/>
      <c r="U476" s="244"/>
    </row>
    <row r="477">
      <c r="A477" s="209"/>
      <c r="B477" s="209"/>
      <c r="C477" s="209"/>
      <c r="D477" s="209"/>
      <c r="E477" s="209"/>
      <c r="F477" s="240"/>
      <c r="G477" s="213"/>
      <c r="H477" s="213"/>
      <c r="I477" s="210"/>
      <c r="O477" s="244"/>
      <c r="R477" s="244"/>
      <c r="U477" s="244"/>
    </row>
    <row r="478">
      <c r="A478" s="209"/>
      <c r="B478" s="209"/>
      <c r="C478" s="209"/>
      <c r="D478" s="209"/>
      <c r="E478" s="209"/>
      <c r="F478" s="240"/>
      <c r="G478" s="213"/>
      <c r="H478" s="213"/>
      <c r="I478" s="210"/>
      <c r="O478" s="244"/>
      <c r="R478" s="244"/>
      <c r="U478" s="244"/>
    </row>
    <row r="479">
      <c r="A479" s="209"/>
      <c r="B479" s="209"/>
      <c r="C479" s="209"/>
      <c r="D479" s="209"/>
      <c r="E479" s="209"/>
      <c r="F479" s="240"/>
      <c r="G479" s="213"/>
      <c r="H479" s="213"/>
      <c r="I479" s="210"/>
      <c r="O479" s="244"/>
      <c r="R479" s="244"/>
      <c r="U479" s="244"/>
    </row>
    <row r="480">
      <c r="A480" s="209"/>
      <c r="B480" s="209"/>
      <c r="C480" s="209"/>
      <c r="D480" s="209"/>
      <c r="E480" s="209"/>
      <c r="F480" s="240"/>
      <c r="G480" s="213"/>
      <c r="H480" s="213"/>
      <c r="I480" s="210"/>
      <c r="O480" s="244"/>
      <c r="R480" s="244"/>
      <c r="U480" s="244"/>
    </row>
    <row r="481">
      <c r="A481" s="209"/>
      <c r="B481" s="209"/>
      <c r="C481" s="209"/>
      <c r="D481" s="209"/>
      <c r="E481" s="209"/>
      <c r="F481" s="240"/>
      <c r="G481" s="213"/>
      <c r="H481" s="213"/>
      <c r="I481" s="210"/>
      <c r="O481" s="244"/>
      <c r="R481" s="244"/>
      <c r="U481" s="244"/>
    </row>
    <row r="482">
      <c r="A482" s="209"/>
      <c r="B482" s="209"/>
      <c r="C482" s="209"/>
      <c r="D482" s="209"/>
      <c r="E482" s="209"/>
      <c r="F482" s="240"/>
      <c r="G482" s="213"/>
      <c r="H482" s="213"/>
      <c r="I482" s="210"/>
      <c r="O482" s="244"/>
      <c r="R482" s="244"/>
      <c r="U482" s="244"/>
    </row>
    <row r="483">
      <c r="A483" s="209"/>
      <c r="B483" s="209"/>
      <c r="C483" s="209"/>
      <c r="D483" s="209"/>
      <c r="E483" s="209"/>
      <c r="F483" s="240"/>
      <c r="G483" s="213"/>
      <c r="H483" s="213"/>
      <c r="I483" s="210"/>
      <c r="O483" s="244"/>
      <c r="R483" s="244"/>
      <c r="U483" s="244"/>
    </row>
    <row r="484">
      <c r="A484" s="209"/>
      <c r="B484" s="209"/>
      <c r="C484" s="209"/>
      <c r="D484" s="209"/>
      <c r="E484" s="209"/>
      <c r="F484" s="240"/>
      <c r="G484" s="213"/>
      <c r="H484" s="213"/>
      <c r="I484" s="210"/>
      <c r="O484" s="244"/>
      <c r="R484" s="244"/>
      <c r="U484" s="244"/>
    </row>
    <row r="485">
      <c r="A485" s="209"/>
      <c r="B485" s="209"/>
      <c r="C485" s="209"/>
      <c r="D485" s="209"/>
      <c r="E485" s="209"/>
      <c r="F485" s="240"/>
      <c r="G485" s="213"/>
      <c r="H485" s="213"/>
      <c r="I485" s="210"/>
      <c r="O485" s="244"/>
      <c r="R485" s="244"/>
      <c r="U485" s="244"/>
    </row>
    <row r="486">
      <c r="A486" s="209"/>
      <c r="B486" s="209"/>
      <c r="C486" s="209"/>
      <c r="D486" s="209"/>
      <c r="E486" s="209"/>
      <c r="F486" s="240"/>
      <c r="G486" s="213"/>
      <c r="H486" s="213"/>
      <c r="I486" s="210"/>
      <c r="O486" s="244"/>
      <c r="R486" s="244"/>
      <c r="U486" s="244"/>
    </row>
    <row r="487">
      <c r="A487" s="209"/>
      <c r="B487" s="209"/>
      <c r="C487" s="209"/>
      <c r="D487" s="209"/>
      <c r="E487" s="209"/>
      <c r="F487" s="240"/>
      <c r="G487" s="213"/>
      <c r="H487" s="213"/>
      <c r="I487" s="210"/>
      <c r="O487" s="244"/>
      <c r="R487" s="244"/>
      <c r="U487" s="244"/>
    </row>
    <row r="488">
      <c r="A488" s="209"/>
      <c r="B488" s="209"/>
      <c r="C488" s="209"/>
      <c r="D488" s="209"/>
      <c r="E488" s="209"/>
      <c r="F488" s="240"/>
      <c r="G488" s="213"/>
      <c r="H488" s="213"/>
      <c r="I488" s="210"/>
      <c r="O488" s="244"/>
      <c r="R488" s="244"/>
      <c r="U488" s="244"/>
    </row>
    <row r="489">
      <c r="A489" s="209"/>
      <c r="B489" s="209"/>
      <c r="C489" s="209"/>
      <c r="D489" s="209"/>
      <c r="E489" s="209"/>
      <c r="F489" s="240"/>
      <c r="G489" s="213"/>
      <c r="H489" s="213"/>
      <c r="I489" s="210"/>
      <c r="O489" s="244"/>
      <c r="R489" s="244"/>
      <c r="U489" s="244"/>
    </row>
    <row r="490">
      <c r="A490" s="209"/>
      <c r="B490" s="209"/>
      <c r="C490" s="209"/>
      <c r="D490" s="209"/>
      <c r="E490" s="209"/>
      <c r="F490" s="240"/>
      <c r="G490" s="213"/>
      <c r="H490" s="213"/>
      <c r="I490" s="210"/>
      <c r="O490" s="244"/>
      <c r="R490" s="244"/>
      <c r="U490" s="244"/>
    </row>
    <row r="491">
      <c r="A491" s="209"/>
      <c r="B491" s="209"/>
      <c r="C491" s="209"/>
      <c r="D491" s="209"/>
      <c r="E491" s="209"/>
      <c r="F491" s="240"/>
      <c r="G491" s="213"/>
      <c r="H491" s="213"/>
      <c r="I491" s="210"/>
      <c r="O491" s="244"/>
      <c r="R491" s="244"/>
      <c r="U491" s="244"/>
    </row>
    <row r="492">
      <c r="A492" s="209"/>
      <c r="B492" s="209"/>
      <c r="C492" s="209"/>
      <c r="D492" s="209"/>
      <c r="E492" s="209"/>
      <c r="F492" s="240"/>
      <c r="G492" s="213"/>
      <c r="H492" s="213"/>
      <c r="I492" s="210"/>
      <c r="O492" s="244"/>
      <c r="R492" s="244"/>
      <c r="U492" s="244"/>
    </row>
    <row r="493">
      <c r="A493" s="209"/>
      <c r="B493" s="209"/>
      <c r="C493" s="209"/>
      <c r="D493" s="209"/>
      <c r="E493" s="209"/>
      <c r="F493" s="240"/>
      <c r="G493" s="213"/>
      <c r="H493" s="213"/>
      <c r="I493" s="210"/>
      <c r="O493" s="244"/>
      <c r="R493" s="244"/>
      <c r="U493" s="244"/>
    </row>
    <row r="494">
      <c r="A494" s="209"/>
      <c r="B494" s="209"/>
      <c r="C494" s="209"/>
      <c r="D494" s="209"/>
      <c r="E494" s="209"/>
      <c r="F494" s="240"/>
      <c r="G494" s="213"/>
      <c r="H494" s="213"/>
      <c r="I494" s="210"/>
      <c r="O494" s="244"/>
      <c r="R494" s="244"/>
      <c r="U494" s="244"/>
    </row>
    <row r="495">
      <c r="A495" s="209"/>
      <c r="B495" s="209"/>
      <c r="C495" s="209"/>
      <c r="D495" s="209"/>
      <c r="E495" s="209"/>
      <c r="F495" s="240"/>
      <c r="G495" s="213"/>
      <c r="H495" s="213"/>
      <c r="I495" s="210"/>
      <c r="O495" s="244"/>
      <c r="R495" s="244"/>
      <c r="U495" s="244"/>
    </row>
    <row r="496">
      <c r="A496" s="209"/>
      <c r="B496" s="209"/>
      <c r="C496" s="209"/>
      <c r="D496" s="209"/>
      <c r="E496" s="209"/>
      <c r="F496" s="240"/>
      <c r="G496" s="213"/>
      <c r="H496" s="213"/>
      <c r="I496" s="210"/>
      <c r="O496" s="244"/>
      <c r="R496" s="244"/>
      <c r="U496" s="244"/>
    </row>
    <row r="497">
      <c r="A497" s="209"/>
      <c r="B497" s="209"/>
      <c r="C497" s="209"/>
      <c r="D497" s="209"/>
      <c r="E497" s="209"/>
      <c r="F497" s="240"/>
      <c r="G497" s="213"/>
      <c r="H497" s="213"/>
      <c r="I497" s="210"/>
      <c r="O497" s="244"/>
      <c r="R497" s="244"/>
      <c r="U497" s="244"/>
    </row>
    <row r="498">
      <c r="A498" s="209"/>
      <c r="B498" s="209"/>
      <c r="C498" s="209"/>
      <c r="D498" s="209"/>
      <c r="E498" s="209"/>
      <c r="F498" s="240"/>
      <c r="G498" s="213"/>
      <c r="H498" s="213"/>
      <c r="I498" s="210"/>
      <c r="O498" s="244"/>
      <c r="R498" s="244"/>
      <c r="U498" s="244"/>
    </row>
    <row r="499">
      <c r="A499" s="209"/>
      <c r="B499" s="209"/>
      <c r="C499" s="209"/>
      <c r="D499" s="209"/>
      <c r="E499" s="209"/>
      <c r="F499" s="240"/>
      <c r="G499" s="213"/>
      <c r="H499" s="213"/>
      <c r="I499" s="210"/>
      <c r="O499" s="244"/>
      <c r="R499" s="244"/>
      <c r="U499" s="244"/>
    </row>
    <row r="500">
      <c r="A500" s="209"/>
      <c r="B500" s="209"/>
      <c r="C500" s="209"/>
      <c r="D500" s="209"/>
      <c r="E500" s="209"/>
      <c r="F500" s="240"/>
      <c r="G500" s="213"/>
      <c r="H500" s="213"/>
      <c r="I500" s="210"/>
      <c r="O500" s="244"/>
      <c r="R500" s="244"/>
      <c r="U500" s="244"/>
    </row>
    <row r="501">
      <c r="A501" s="209"/>
      <c r="B501" s="209"/>
      <c r="C501" s="209"/>
      <c r="D501" s="209"/>
      <c r="E501" s="209"/>
      <c r="F501" s="240"/>
      <c r="G501" s="213"/>
      <c r="H501" s="213"/>
      <c r="I501" s="210"/>
      <c r="O501" s="244"/>
      <c r="R501" s="244"/>
      <c r="U501" s="244"/>
    </row>
    <row r="502">
      <c r="A502" s="209"/>
      <c r="B502" s="209"/>
      <c r="C502" s="209"/>
      <c r="D502" s="209"/>
      <c r="E502" s="209"/>
      <c r="F502" s="240"/>
      <c r="G502" s="213"/>
      <c r="H502" s="213"/>
      <c r="I502" s="210"/>
      <c r="O502" s="244"/>
      <c r="R502" s="244"/>
      <c r="U502" s="244"/>
    </row>
    <row r="503">
      <c r="A503" s="209"/>
      <c r="B503" s="209"/>
      <c r="C503" s="209"/>
      <c r="D503" s="209"/>
      <c r="E503" s="209"/>
      <c r="F503" s="240"/>
      <c r="G503" s="213"/>
      <c r="H503" s="213"/>
      <c r="I503" s="210"/>
      <c r="O503" s="244"/>
      <c r="R503" s="244"/>
      <c r="U503" s="244"/>
    </row>
    <row r="504">
      <c r="A504" s="209"/>
      <c r="B504" s="209"/>
      <c r="C504" s="209"/>
      <c r="D504" s="209"/>
      <c r="E504" s="209"/>
      <c r="F504" s="240"/>
      <c r="G504" s="213"/>
      <c r="H504" s="213"/>
      <c r="I504" s="210"/>
      <c r="O504" s="244"/>
      <c r="R504" s="244"/>
      <c r="U504" s="244"/>
    </row>
    <row r="505">
      <c r="A505" s="209"/>
      <c r="B505" s="209"/>
      <c r="C505" s="209"/>
      <c r="D505" s="209"/>
      <c r="E505" s="209"/>
      <c r="F505" s="240"/>
      <c r="G505" s="213"/>
      <c r="H505" s="213"/>
      <c r="I505" s="210"/>
      <c r="O505" s="244"/>
      <c r="R505" s="244"/>
      <c r="U505" s="244"/>
    </row>
    <row r="506">
      <c r="A506" s="209"/>
      <c r="B506" s="209"/>
      <c r="C506" s="209"/>
      <c r="D506" s="209"/>
      <c r="E506" s="209"/>
      <c r="F506" s="240"/>
      <c r="G506" s="213"/>
      <c r="H506" s="213"/>
      <c r="I506" s="210"/>
      <c r="O506" s="244"/>
      <c r="R506" s="244"/>
      <c r="U506" s="244"/>
    </row>
    <row r="507">
      <c r="A507" s="209"/>
      <c r="B507" s="209"/>
      <c r="C507" s="209"/>
      <c r="D507" s="209"/>
      <c r="E507" s="209"/>
      <c r="F507" s="240"/>
      <c r="G507" s="213"/>
      <c r="H507" s="213"/>
      <c r="I507" s="210"/>
      <c r="O507" s="244"/>
      <c r="R507" s="244"/>
      <c r="U507" s="244"/>
    </row>
    <row r="508">
      <c r="A508" s="209"/>
      <c r="B508" s="209"/>
      <c r="C508" s="209"/>
      <c r="D508" s="209"/>
      <c r="E508" s="209"/>
      <c r="F508" s="240"/>
      <c r="G508" s="213"/>
      <c r="H508" s="213"/>
      <c r="I508" s="210"/>
      <c r="O508" s="244"/>
      <c r="R508" s="244"/>
      <c r="U508" s="244"/>
    </row>
    <row r="509">
      <c r="A509" s="209"/>
      <c r="B509" s="209"/>
      <c r="C509" s="209"/>
      <c r="D509" s="209"/>
      <c r="E509" s="209"/>
      <c r="F509" s="240"/>
      <c r="G509" s="213"/>
      <c r="H509" s="213"/>
      <c r="I509" s="210"/>
      <c r="O509" s="244"/>
      <c r="R509" s="244"/>
      <c r="U509" s="244"/>
    </row>
    <row r="510">
      <c r="A510" s="209"/>
      <c r="B510" s="209"/>
      <c r="C510" s="209"/>
      <c r="D510" s="209"/>
      <c r="E510" s="209"/>
      <c r="F510" s="240"/>
      <c r="G510" s="213"/>
      <c r="H510" s="213"/>
      <c r="I510" s="210"/>
      <c r="O510" s="244"/>
      <c r="R510" s="244"/>
      <c r="U510" s="244"/>
    </row>
    <row r="511">
      <c r="A511" s="209"/>
      <c r="B511" s="209"/>
      <c r="C511" s="209"/>
      <c r="D511" s="209"/>
      <c r="E511" s="209"/>
      <c r="F511" s="240"/>
      <c r="G511" s="213"/>
      <c r="H511" s="213"/>
      <c r="I511" s="210"/>
      <c r="O511" s="244"/>
      <c r="R511" s="244"/>
      <c r="U511" s="244"/>
    </row>
    <row r="512">
      <c r="A512" s="209"/>
      <c r="B512" s="209"/>
      <c r="C512" s="209"/>
      <c r="D512" s="209"/>
      <c r="E512" s="209"/>
      <c r="F512" s="240"/>
      <c r="G512" s="213"/>
      <c r="H512" s="213"/>
      <c r="I512" s="210"/>
      <c r="O512" s="244"/>
      <c r="R512" s="244"/>
      <c r="U512" s="244"/>
    </row>
    <row r="513">
      <c r="A513" s="209"/>
      <c r="B513" s="209"/>
      <c r="C513" s="209"/>
      <c r="D513" s="209"/>
      <c r="E513" s="209"/>
      <c r="F513" s="240"/>
      <c r="G513" s="213"/>
      <c r="H513" s="213"/>
      <c r="I513" s="210"/>
      <c r="O513" s="244"/>
      <c r="R513" s="244"/>
      <c r="U513" s="244"/>
    </row>
    <row r="514">
      <c r="A514" s="209"/>
      <c r="B514" s="209"/>
      <c r="C514" s="209"/>
      <c r="D514" s="209"/>
      <c r="E514" s="209"/>
      <c r="F514" s="240"/>
      <c r="G514" s="213"/>
      <c r="H514" s="213"/>
      <c r="I514" s="210"/>
      <c r="O514" s="244"/>
      <c r="R514" s="244"/>
      <c r="U514" s="244"/>
    </row>
    <row r="515">
      <c r="A515" s="209"/>
      <c r="B515" s="209"/>
      <c r="C515" s="209"/>
      <c r="D515" s="209"/>
      <c r="E515" s="209"/>
      <c r="F515" s="240"/>
      <c r="G515" s="213"/>
      <c r="H515" s="213"/>
      <c r="I515" s="210"/>
      <c r="O515" s="244"/>
      <c r="R515" s="244"/>
      <c r="U515" s="244"/>
    </row>
    <row r="516">
      <c r="A516" s="209"/>
      <c r="B516" s="209"/>
      <c r="C516" s="209"/>
      <c r="D516" s="209"/>
      <c r="E516" s="209"/>
      <c r="F516" s="240"/>
      <c r="G516" s="213"/>
      <c r="H516" s="213"/>
      <c r="I516" s="210"/>
      <c r="O516" s="244"/>
      <c r="R516" s="244"/>
      <c r="U516" s="244"/>
    </row>
    <row r="517">
      <c r="A517" s="209"/>
      <c r="B517" s="209"/>
      <c r="C517" s="209"/>
      <c r="D517" s="209"/>
      <c r="E517" s="209"/>
      <c r="F517" s="240"/>
      <c r="G517" s="213"/>
      <c r="H517" s="213"/>
      <c r="I517" s="210"/>
      <c r="O517" s="244"/>
      <c r="R517" s="244"/>
      <c r="U517" s="244"/>
    </row>
    <row r="518">
      <c r="A518" s="209"/>
      <c r="B518" s="209"/>
      <c r="C518" s="209"/>
      <c r="D518" s="209"/>
      <c r="E518" s="209"/>
      <c r="F518" s="240"/>
      <c r="G518" s="213"/>
      <c r="H518" s="213"/>
      <c r="I518" s="210"/>
      <c r="O518" s="244"/>
      <c r="R518" s="244"/>
      <c r="U518" s="244"/>
    </row>
    <row r="519">
      <c r="A519" s="209"/>
      <c r="B519" s="209"/>
      <c r="C519" s="209"/>
      <c r="D519" s="209"/>
      <c r="E519" s="209"/>
      <c r="F519" s="240"/>
      <c r="G519" s="213"/>
      <c r="H519" s="213"/>
      <c r="I519" s="210"/>
      <c r="O519" s="244"/>
      <c r="R519" s="244"/>
      <c r="U519" s="244"/>
    </row>
    <row r="520">
      <c r="A520" s="209"/>
      <c r="B520" s="209"/>
      <c r="C520" s="209"/>
      <c r="D520" s="209"/>
      <c r="E520" s="209"/>
      <c r="F520" s="240"/>
      <c r="G520" s="213"/>
      <c r="H520" s="213"/>
      <c r="I520" s="210"/>
      <c r="O520" s="244"/>
      <c r="R520" s="244"/>
      <c r="U520" s="244"/>
    </row>
    <row r="521">
      <c r="A521" s="209"/>
      <c r="B521" s="209"/>
      <c r="C521" s="209"/>
      <c r="D521" s="209"/>
      <c r="E521" s="209"/>
      <c r="F521" s="240"/>
      <c r="G521" s="213"/>
      <c r="H521" s="213"/>
      <c r="I521" s="210"/>
      <c r="O521" s="244"/>
      <c r="R521" s="244"/>
      <c r="U521" s="244"/>
    </row>
    <row r="522">
      <c r="A522" s="209"/>
      <c r="B522" s="209"/>
      <c r="C522" s="209"/>
      <c r="D522" s="209"/>
      <c r="E522" s="209"/>
      <c r="F522" s="240"/>
      <c r="G522" s="213"/>
      <c r="H522" s="213"/>
      <c r="I522" s="210"/>
      <c r="O522" s="244"/>
      <c r="R522" s="244"/>
      <c r="U522" s="244"/>
    </row>
    <row r="523">
      <c r="A523" s="209"/>
      <c r="B523" s="209"/>
      <c r="C523" s="209"/>
      <c r="D523" s="209"/>
      <c r="E523" s="209"/>
      <c r="F523" s="240"/>
      <c r="G523" s="213"/>
      <c r="H523" s="213"/>
      <c r="I523" s="210"/>
      <c r="O523" s="244"/>
      <c r="R523" s="244"/>
      <c r="U523" s="244"/>
    </row>
    <row r="524">
      <c r="A524" s="209"/>
      <c r="B524" s="209"/>
      <c r="C524" s="209"/>
      <c r="D524" s="209"/>
      <c r="E524" s="209"/>
      <c r="F524" s="240"/>
      <c r="G524" s="213"/>
      <c r="H524" s="213"/>
      <c r="I524" s="210"/>
      <c r="O524" s="244"/>
      <c r="R524" s="244"/>
      <c r="U524" s="244"/>
    </row>
    <row r="525">
      <c r="A525" s="209"/>
      <c r="B525" s="209"/>
      <c r="C525" s="209"/>
      <c r="D525" s="209"/>
      <c r="E525" s="209"/>
      <c r="F525" s="240"/>
      <c r="G525" s="213"/>
      <c r="H525" s="213"/>
      <c r="I525" s="210"/>
      <c r="O525" s="244"/>
      <c r="R525" s="244"/>
      <c r="U525" s="244"/>
    </row>
    <row r="526">
      <c r="A526" s="209"/>
      <c r="B526" s="209"/>
      <c r="C526" s="209"/>
      <c r="D526" s="209"/>
      <c r="E526" s="209"/>
      <c r="F526" s="240"/>
      <c r="G526" s="213"/>
      <c r="H526" s="213"/>
      <c r="I526" s="210"/>
      <c r="O526" s="244"/>
      <c r="R526" s="244"/>
      <c r="U526" s="244"/>
    </row>
    <row r="527">
      <c r="A527" s="209"/>
      <c r="B527" s="209"/>
      <c r="C527" s="209"/>
      <c r="D527" s="209"/>
      <c r="E527" s="209"/>
      <c r="F527" s="240"/>
      <c r="G527" s="213"/>
      <c r="H527" s="213"/>
      <c r="I527" s="210"/>
      <c r="O527" s="244"/>
      <c r="R527" s="244"/>
      <c r="U527" s="244"/>
    </row>
    <row r="528">
      <c r="A528" s="209"/>
      <c r="B528" s="209"/>
      <c r="C528" s="209"/>
      <c r="D528" s="209"/>
      <c r="E528" s="209"/>
      <c r="F528" s="240"/>
      <c r="G528" s="213"/>
      <c r="H528" s="213"/>
      <c r="I528" s="210"/>
      <c r="O528" s="244"/>
      <c r="R528" s="244"/>
      <c r="U528" s="244"/>
    </row>
    <row r="529">
      <c r="A529" s="209"/>
      <c r="B529" s="209"/>
      <c r="C529" s="209"/>
      <c r="D529" s="209"/>
      <c r="E529" s="209"/>
      <c r="F529" s="240"/>
      <c r="G529" s="213"/>
      <c r="H529" s="213"/>
      <c r="I529" s="210"/>
      <c r="O529" s="244"/>
      <c r="R529" s="244"/>
      <c r="U529" s="244"/>
    </row>
    <row r="530">
      <c r="A530" s="209"/>
      <c r="B530" s="209"/>
      <c r="C530" s="209"/>
      <c r="D530" s="209"/>
      <c r="E530" s="209"/>
      <c r="F530" s="240"/>
      <c r="G530" s="213"/>
      <c r="H530" s="213"/>
      <c r="I530" s="210"/>
      <c r="O530" s="244"/>
      <c r="R530" s="244"/>
      <c r="U530" s="244"/>
    </row>
    <row r="531">
      <c r="A531" s="209"/>
      <c r="B531" s="209"/>
      <c r="C531" s="209"/>
      <c r="D531" s="209"/>
      <c r="E531" s="209"/>
      <c r="F531" s="240"/>
      <c r="G531" s="213"/>
      <c r="H531" s="213"/>
      <c r="I531" s="210"/>
      <c r="O531" s="244"/>
      <c r="R531" s="244"/>
      <c r="U531" s="244"/>
    </row>
    <row r="532">
      <c r="A532" s="209"/>
      <c r="B532" s="209"/>
      <c r="C532" s="209"/>
      <c r="D532" s="209"/>
      <c r="E532" s="209"/>
      <c r="F532" s="240"/>
      <c r="G532" s="213"/>
      <c r="H532" s="213"/>
      <c r="I532" s="210"/>
      <c r="O532" s="244"/>
      <c r="R532" s="244"/>
      <c r="U532" s="244"/>
    </row>
    <row r="533">
      <c r="A533" s="209"/>
      <c r="B533" s="209"/>
      <c r="C533" s="209"/>
      <c r="D533" s="209"/>
      <c r="E533" s="209"/>
      <c r="F533" s="240"/>
      <c r="G533" s="213"/>
      <c r="H533" s="213"/>
      <c r="I533" s="210"/>
      <c r="O533" s="244"/>
      <c r="R533" s="244"/>
      <c r="U533" s="244"/>
    </row>
    <row r="534">
      <c r="A534" s="209"/>
      <c r="B534" s="209"/>
      <c r="C534" s="209"/>
      <c r="D534" s="209"/>
      <c r="E534" s="209"/>
      <c r="F534" s="240"/>
      <c r="G534" s="213"/>
      <c r="H534" s="213"/>
      <c r="I534" s="210"/>
      <c r="O534" s="244"/>
      <c r="R534" s="244"/>
      <c r="U534" s="244"/>
    </row>
    <row r="535">
      <c r="A535" s="209"/>
      <c r="B535" s="209"/>
      <c r="C535" s="209"/>
      <c r="D535" s="209"/>
      <c r="E535" s="209"/>
      <c r="F535" s="240"/>
      <c r="G535" s="213"/>
      <c r="H535" s="213"/>
      <c r="I535" s="210"/>
      <c r="O535" s="244"/>
      <c r="R535" s="244"/>
      <c r="U535" s="244"/>
    </row>
    <row r="536">
      <c r="A536" s="209"/>
      <c r="B536" s="209"/>
      <c r="C536" s="209"/>
      <c r="D536" s="209"/>
      <c r="E536" s="209"/>
      <c r="F536" s="240"/>
      <c r="G536" s="213"/>
      <c r="H536" s="213"/>
      <c r="I536" s="210"/>
      <c r="O536" s="244"/>
      <c r="R536" s="244"/>
      <c r="U536" s="244"/>
    </row>
    <row r="537">
      <c r="A537" s="209"/>
      <c r="B537" s="209"/>
      <c r="C537" s="209"/>
      <c r="D537" s="209"/>
      <c r="E537" s="209"/>
      <c r="F537" s="240"/>
      <c r="G537" s="213"/>
      <c r="H537" s="213"/>
      <c r="I537" s="210"/>
      <c r="O537" s="244"/>
      <c r="R537" s="244"/>
      <c r="U537" s="244"/>
    </row>
    <row r="538">
      <c r="A538" s="209"/>
      <c r="B538" s="209"/>
      <c r="C538" s="209"/>
      <c r="D538" s="209"/>
      <c r="E538" s="209"/>
      <c r="F538" s="240"/>
      <c r="G538" s="213"/>
      <c r="H538" s="213"/>
      <c r="I538" s="210"/>
      <c r="O538" s="244"/>
      <c r="R538" s="244"/>
      <c r="U538" s="244"/>
    </row>
    <row r="539">
      <c r="A539" s="209"/>
      <c r="B539" s="209"/>
      <c r="C539" s="209"/>
      <c r="D539" s="209"/>
      <c r="E539" s="209"/>
      <c r="F539" s="240"/>
      <c r="G539" s="213"/>
      <c r="H539" s="213"/>
      <c r="I539" s="210"/>
      <c r="O539" s="244"/>
      <c r="R539" s="244"/>
      <c r="U539" s="244"/>
    </row>
    <row r="540">
      <c r="A540" s="209"/>
      <c r="B540" s="209"/>
      <c r="C540" s="209"/>
      <c r="D540" s="209"/>
      <c r="E540" s="209"/>
      <c r="F540" s="240"/>
      <c r="G540" s="213"/>
      <c r="H540" s="213"/>
      <c r="I540" s="210"/>
      <c r="O540" s="244"/>
      <c r="R540" s="244"/>
      <c r="U540" s="244"/>
    </row>
    <row r="541">
      <c r="A541" s="209"/>
      <c r="B541" s="209"/>
      <c r="C541" s="209"/>
      <c r="D541" s="209"/>
      <c r="E541" s="209"/>
      <c r="F541" s="240"/>
      <c r="G541" s="213"/>
      <c r="H541" s="213"/>
      <c r="I541" s="210"/>
      <c r="O541" s="244"/>
      <c r="R541" s="244"/>
      <c r="U541" s="244"/>
    </row>
    <row r="542">
      <c r="A542" s="209"/>
      <c r="B542" s="209"/>
      <c r="C542" s="209"/>
      <c r="D542" s="209"/>
      <c r="E542" s="209"/>
      <c r="F542" s="240"/>
      <c r="G542" s="213"/>
      <c r="H542" s="213"/>
      <c r="I542" s="210"/>
      <c r="O542" s="244"/>
      <c r="R542" s="244"/>
      <c r="U542" s="244"/>
    </row>
    <row r="543">
      <c r="A543" s="209"/>
      <c r="B543" s="209"/>
      <c r="C543" s="209"/>
      <c r="D543" s="209"/>
      <c r="E543" s="209"/>
      <c r="F543" s="240"/>
      <c r="G543" s="213"/>
      <c r="H543" s="213"/>
      <c r="I543" s="210"/>
      <c r="O543" s="244"/>
      <c r="R543" s="244"/>
      <c r="U543" s="244"/>
    </row>
    <row r="544">
      <c r="A544" s="209"/>
      <c r="B544" s="209"/>
      <c r="C544" s="209"/>
      <c r="D544" s="209"/>
      <c r="E544" s="209"/>
      <c r="F544" s="240"/>
      <c r="G544" s="213"/>
      <c r="H544" s="213"/>
      <c r="I544" s="210"/>
      <c r="O544" s="244"/>
      <c r="R544" s="244"/>
      <c r="U544" s="244"/>
    </row>
    <row r="545">
      <c r="A545" s="209"/>
      <c r="B545" s="209"/>
      <c r="C545" s="209"/>
      <c r="D545" s="209"/>
      <c r="E545" s="209"/>
      <c r="F545" s="240"/>
      <c r="G545" s="213"/>
      <c r="H545" s="213"/>
      <c r="I545" s="210"/>
      <c r="O545" s="244"/>
      <c r="R545" s="244"/>
      <c r="U545" s="244"/>
    </row>
    <row r="546">
      <c r="A546" s="209"/>
      <c r="B546" s="209"/>
      <c r="C546" s="209"/>
      <c r="D546" s="209"/>
      <c r="E546" s="209"/>
      <c r="F546" s="240"/>
      <c r="G546" s="213"/>
      <c r="H546" s="213"/>
      <c r="I546" s="210"/>
      <c r="O546" s="244"/>
      <c r="R546" s="244"/>
      <c r="U546" s="244"/>
    </row>
    <row r="547">
      <c r="A547" s="209"/>
      <c r="B547" s="209"/>
      <c r="C547" s="209"/>
      <c r="D547" s="209"/>
      <c r="E547" s="209"/>
      <c r="F547" s="240"/>
      <c r="G547" s="213"/>
      <c r="H547" s="213"/>
      <c r="I547" s="210"/>
      <c r="O547" s="244"/>
      <c r="R547" s="244"/>
      <c r="U547" s="244"/>
    </row>
    <row r="548">
      <c r="A548" s="209"/>
      <c r="B548" s="209"/>
      <c r="C548" s="209"/>
      <c r="D548" s="209"/>
      <c r="E548" s="209"/>
      <c r="F548" s="240"/>
      <c r="G548" s="213"/>
      <c r="H548" s="213"/>
      <c r="I548" s="210"/>
      <c r="O548" s="244"/>
      <c r="R548" s="244"/>
      <c r="U548" s="244"/>
    </row>
    <row r="549">
      <c r="A549" s="209"/>
      <c r="B549" s="209"/>
      <c r="C549" s="209"/>
      <c r="D549" s="209"/>
      <c r="E549" s="209"/>
      <c r="F549" s="240"/>
      <c r="G549" s="213"/>
      <c r="H549" s="213"/>
      <c r="I549" s="210"/>
      <c r="O549" s="244"/>
      <c r="R549" s="244"/>
      <c r="U549" s="244"/>
    </row>
    <row r="550">
      <c r="A550" s="209"/>
      <c r="B550" s="209"/>
      <c r="C550" s="209"/>
      <c r="D550" s="209"/>
      <c r="E550" s="209"/>
      <c r="F550" s="240"/>
      <c r="G550" s="213"/>
      <c r="H550" s="213"/>
      <c r="I550" s="210"/>
      <c r="O550" s="244"/>
      <c r="R550" s="244"/>
      <c r="U550" s="244"/>
    </row>
    <row r="551">
      <c r="A551" s="209"/>
      <c r="B551" s="209"/>
      <c r="C551" s="209"/>
      <c r="D551" s="209"/>
      <c r="E551" s="209"/>
      <c r="F551" s="240"/>
      <c r="G551" s="213"/>
      <c r="H551" s="213"/>
      <c r="I551" s="210"/>
      <c r="O551" s="244"/>
      <c r="R551" s="244"/>
      <c r="U551" s="244"/>
    </row>
    <row r="552">
      <c r="A552" s="209"/>
      <c r="B552" s="209"/>
      <c r="C552" s="209"/>
      <c r="D552" s="209"/>
      <c r="E552" s="209"/>
      <c r="F552" s="240"/>
      <c r="G552" s="213"/>
      <c r="H552" s="213"/>
      <c r="I552" s="210"/>
      <c r="O552" s="244"/>
      <c r="R552" s="244"/>
      <c r="U552" s="244"/>
    </row>
    <row r="553">
      <c r="A553" s="209"/>
      <c r="B553" s="209"/>
      <c r="C553" s="209"/>
      <c r="D553" s="209"/>
      <c r="E553" s="209"/>
      <c r="F553" s="240"/>
      <c r="G553" s="213"/>
      <c r="H553" s="213"/>
      <c r="I553" s="210"/>
      <c r="O553" s="244"/>
      <c r="R553" s="244"/>
      <c r="U553" s="244"/>
    </row>
    <row r="554">
      <c r="A554" s="209"/>
      <c r="B554" s="209"/>
      <c r="C554" s="209"/>
      <c r="D554" s="209"/>
      <c r="E554" s="209"/>
      <c r="F554" s="240"/>
      <c r="G554" s="213"/>
      <c r="H554" s="213"/>
      <c r="I554" s="210"/>
      <c r="O554" s="244"/>
      <c r="R554" s="244"/>
      <c r="U554" s="244"/>
    </row>
    <row r="555">
      <c r="A555" s="209"/>
      <c r="B555" s="209"/>
      <c r="C555" s="209"/>
      <c r="D555" s="209"/>
      <c r="E555" s="209"/>
      <c r="F555" s="240"/>
      <c r="G555" s="213"/>
      <c r="H555" s="213"/>
      <c r="I555" s="210"/>
      <c r="O555" s="244"/>
      <c r="R555" s="244"/>
      <c r="U555" s="244"/>
    </row>
    <row r="556">
      <c r="A556" s="209"/>
      <c r="B556" s="209"/>
      <c r="C556" s="209"/>
      <c r="D556" s="209"/>
      <c r="E556" s="209"/>
      <c r="F556" s="240"/>
      <c r="G556" s="213"/>
      <c r="H556" s="213"/>
      <c r="I556" s="210"/>
      <c r="O556" s="244"/>
      <c r="R556" s="244"/>
      <c r="U556" s="244"/>
    </row>
    <row r="557">
      <c r="A557" s="209"/>
      <c r="B557" s="209"/>
      <c r="C557" s="209"/>
      <c r="D557" s="209"/>
      <c r="E557" s="209"/>
      <c r="F557" s="240"/>
      <c r="G557" s="213"/>
      <c r="H557" s="213"/>
      <c r="I557" s="210"/>
      <c r="O557" s="244"/>
      <c r="R557" s="244"/>
      <c r="U557" s="244"/>
    </row>
    <row r="558">
      <c r="A558" s="209"/>
      <c r="B558" s="209"/>
      <c r="C558" s="209"/>
      <c r="D558" s="209"/>
      <c r="E558" s="209"/>
      <c r="F558" s="240"/>
      <c r="G558" s="213"/>
      <c r="H558" s="213"/>
      <c r="I558" s="210"/>
      <c r="O558" s="244"/>
      <c r="R558" s="244"/>
      <c r="U558" s="244"/>
    </row>
    <row r="559">
      <c r="A559" s="209"/>
      <c r="B559" s="209"/>
      <c r="C559" s="209"/>
      <c r="D559" s="209"/>
      <c r="E559" s="209"/>
      <c r="F559" s="240"/>
      <c r="G559" s="213"/>
      <c r="H559" s="213"/>
      <c r="I559" s="210"/>
      <c r="O559" s="244"/>
      <c r="R559" s="244"/>
      <c r="U559" s="244"/>
    </row>
    <row r="560">
      <c r="A560" s="209"/>
      <c r="B560" s="209"/>
      <c r="C560" s="209"/>
      <c r="D560" s="209"/>
      <c r="E560" s="209"/>
      <c r="F560" s="240"/>
      <c r="G560" s="213"/>
      <c r="H560" s="213"/>
      <c r="I560" s="210"/>
      <c r="O560" s="244"/>
      <c r="R560" s="244"/>
      <c r="U560" s="244"/>
    </row>
    <row r="561">
      <c r="A561" s="209"/>
      <c r="B561" s="209"/>
      <c r="C561" s="209"/>
      <c r="D561" s="209"/>
      <c r="E561" s="209"/>
      <c r="F561" s="240"/>
      <c r="G561" s="213"/>
      <c r="H561" s="213"/>
      <c r="I561" s="210"/>
      <c r="O561" s="244"/>
      <c r="R561" s="244"/>
      <c r="U561" s="244"/>
    </row>
    <row r="562">
      <c r="A562" s="209"/>
      <c r="B562" s="209"/>
      <c r="C562" s="209"/>
      <c r="D562" s="209"/>
      <c r="E562" s="209"/>
      <c r="F562" s="240"/>
      <c r="G562" s="213"/>
      <c r="H562" s="213"/>
      <c r="I562" s="210"/>
      <c r="O562" s="244"/>
      <c r="R562" s="244"/>
      <c r="U562" s="244"/>
    </row>
    <row r="563">
      <c r="A563" s="209"/>
      <c r="B563" s="209"/>
      <c r="C563" s="209"/>
      <c r="D563" s="209"/>
      <c r="E563" s="209"/>
      <c r="F563" s="240"/>
      <c r="G563" s="213"/>
      <c r="H563" s="213"/>
      <c r="I563" s="210"/>
      <c r="O563" s="244"/>
      <c r="R563" s="244"/>
      <c r="U563" s="244"/>
    </row>
    <row r="564">
      <c r="A564" s="209"/>
      <c r="B564" s="209"/>
      <c r="C564" s="209"/>
      <c r="D564" s="209"/>
      <c r="E564" s="209"/>
      <c r="F564" s="240"/>
      <c r="G564" s="213"/>
      <c r="H564" s="213"/>
      <c r="I564" s="210"/>
      <c r="O564" s="244"/>
      <c r="R564" s="244"/>
      <c r="U564" s="244"/>
    </row>
    <row r="565">
      <c r="A565" s="209"/>
      <c r="B565" s="209"/>
      <c r="C565" s="209"/>
      <c r="D565" s="209"/>
      <c r="E565" s="209"/>
      <c r="F565" s="240"/>
      <c r="G565" s="213"/>
      <c r="H565" s="213"/>
      <c r="I565" s="210"/>
      <c r="O565" s="244"/>
      <c r="R565" s="244"/>
      <c r="U565" s="244"/>
    </row>
    <row r="566">
      <c r="A566" s="209"/>
      <c r="B566" s="209"/>
      <c r="C566" s="209"/>
      <c r="D566" s="209"/>
      <c r="E566" s="209"/>
      <c r="F566" s="240"/>
      <c r="G566" s="213"/>
      <c r="H566" s="213"/>
      <c r="I566" s="210"/>
      <c r="O566" s="244"/>
      <c r="R566" s="244"/>
      <c r="U566" s="244"/>
    </row>
    <row r="567">
      <c r="A567" s="209"/>
      <c r="B567" s="209"/>
      <c r="C567" s="209"/>
      <c r="D567" s="209"/>
      <c r="E567" s="209"/>
      <c r="F567" s="240"/>
      <c r="G567" s="213"/>
      <c r="H567" s="213"/>
      <c r="I567" s="210"/>
      <c r="O567" s="244"/>
      <c r="R567" s="244"/>
      <c r="U567" s="244"/>
    </row>
    <row r="568">
      <c r="A568" s="209"/>
      <c r="B568" s="209"/>
      <c r="C568" s="209"/>
      <c r="D568" s="209"/>
      <c r="E568" s="209"/>
      <c r="F568" s="240"/>
      <c r="G568" s="213"/>
      <c r="H568" s="213"/>
      <c r="I568" s="210"/>
      <c r="O568" s="244"/>
      <c r="R568" s="244"/>
      <c r="U568" s="244"/>
    </row>
    <row r="569">
      <c r="A569" s="209"/>
      <c r="B569" s="209"/>
      <c r="C569" s="209"/>
      <c r="D569" s="209"/>
      <c r="E569" s="209"/>
      <c r="F569" s="240"/>
      <c r="G569" s="213"/>
      <c r="H569" s="213"/>
      <c r="I569" s="210"/>
      <c r="O569" s="244"/>
      <c r="R569" s="244"/>
      <c r="U569" s="244"/>
    </row>
    <row r="570">
      <c r="A570" s="209"/>
      <c r="B570" s="209"/>
      <c r="C570" s="209"/>
      <c r="D570" s="209"/>
      <c r="E570" s="209"/>
      <c r="F570" s="240"/>
      <c r="G570" s="213"/>
      <c r="H570" s="213"/>
      <c r="I570" s="210"/>
      <c r="O570" s="244"/>
      <c r="R570" s="244"/>
      <c r="U570" s="244"/>
    </row>
    <row r="571">
      <c r="A571" s="209"/>
      <c r="B571" s="209"/>
      <c r="C571" s="209"/>
      <c r="D571" s="209"/>
      <c r="E571" s="209"/>
      <c r="F571" s="240"/>
      <c r="G571" s="213"/>
      <c r="H571" s="213"/>
      <c r="I571" s="210"/>
      <c r="O571" s="244"/>
      <c r="R571" s="244"/>
      <c r="U571" s="244"/>
    </row>
    <row r="572">
      <c r="A572" s="209"/>
      <c r="B572" s="209"/>
      <c r="C572" s="209"/>
      <c r="D572" s="209"/>
      <c r="E572" s="209"/>
      <c r="F572" s="240"/>
      <c r="G572" s="213"/>
      <c r="H572" s="213"/>
      <c r="I572" s="210"/>
      <c r="O572" s="244"/>
      <c r="R572" s="244"/>
      <c r="U572" s="244"/>
    </row>
    <row r="573">
      <c r="A573" s="209"/>
      <c r="B573" s="209"/>
      <c r="C573" s="209"/>
      <c r="D573" s="209"/>
      <c r="E573" s="209"/>
      <c r="F573" s="240"/>
      <c r="G573" s="213"/>
      <c r="H573" s="213"/>
      <c r="I573" s="210"/>
      <c r="O573" s="244"/>
      <c r="R573" s="244"/>
      <c r="U573" s="244"/>
    </row>
    <row r="574">
      <c r="A574" s="209"/>
      <c r="B574" s="209"/>
      <c r="C574" s="209"/>
      <c r="D574" s="209"/>
      <c r="E574" s="209"/>
      <c r="F574" s="240"/>
      <c r="G574" s="213"/>
      <c r="H574" s="213"/>
      <c r="I574" s="210"/>
      <c r="O574" s="244"/>
      <c r="R574" s="244"/>
      <c r="U574" s="244"/>
    </row>
    <row r="575">
      <c r="A575" s="209"/>
      <c r="B575" s="209"/>
      <c r="C575" s="209"/>
      <c r="D575" s="209"/>
      <c r="E575" s="209"/>
      <c r="F575" s="240"/>
      <c r="G575" s="213"/>
      <c r="H575" s="213"/>
      <c r="I575" s="210"/>
      <c r="O575" s="244"/>
      <c r="R575" s="244"/>
      <c r="U575" s="244"/>
    </row>
    <row r="576">
      <c r="A576" s="209"/>
      <c r="B576" s="209"/>
      <c r="C576" s="209"/>
      <c r="D576" s="209"/>
      <c r="E576" s="209"/>
      <c r="F576" s="240"/>
      <c r="G576" s="213"/>
      <c r="H576" s="213"/>
      <c r="I576" s="210"/>
      <c r="O576" s="244"/>
      <c r="R576" s="244"/>
      <c r="U576" s="244"/>
    </row>
    <row r="577">
      <c r="A577" s="209"/>
      <c r="B577" s="209"/>
      <c r="C577" s="209"/>
      <c r="D577" s="209"/>
      <c r="E577" s="209"/>
      <c r="F577" s="240"/>
      <c r="G577" s="213"/>
      <c r="H577" s="213"/>
      <c r="I577" s="210"/>
      <c r="O577" s="244"/>
      <c r="R577" s="244"/>
      <c r="U577" s="244"/>
    </row>
    <row r="578">
      <c r="A578" s="209"/>
      <c r="B578" s="209"/>
      <c r="C578" s="209"/>
      <c r="D578" s="209"/>
      <c r="E578" s="209"/>
      <c r="F578" s="240"/>
      <c r="G578" s="213"/>
      <c r="H578" s="213"/>
      <c r="I578" s="210"/>
      <c r="O578" s="244"/>
      <c r="R578" s="244"/>
      <c r="U578" s="244"/>
    </row>
    <row r="579">
      <c r="A579" s="209"/>
      <c r="B579" s="209"/>
      <c r="C579" s="209"/>
      <c r="D579" s="209"/>
      <c r="E579" s="209"/>
      <c r="F579" s="240"/>
      <c r="G579" s="213"/>
      <c r="H579" s="213"/>
      <c r="I579" s="210"/>
      <c r="O579" s="244"/>
      <c r="R579" s="244"/>
      <c r="U579" s="244"/>
    </row>
    <row r="580">
      <c r="A580" s="209"/>
      <c r="B580" s="209"/>
      <c r="C580" s="209"/>
      <c r="D580" s="209"/>
      <c r="E580" s="209"/>
      <c r="F580" s="240"/>
      <c r="G580" s="213"/>
      <c r="H580" s="213"/>
      <c r="I580" s="210"/>
      <c r="O580" s="244"/>
      <c r="R580" s="244"/>
      <c r="U580" s="244"/>
    </row>
    <row r="581">
      <c r="A581" s="209"/>
      <c r="B581" s="209"/>
      <c r="C581" s="209"/>
      <c r="D581" s="209"/>
      <c r="E581" s="209"/>
      <c r="F581" s="240"/>
      <c r="G581" s="213"/>
      <c r="H581" s="213"/>
      <c r="I581" s="210"/>
      <c r="O581" s="244"/>
      <c r="R581" s="244"/>
      <c r="U581" s="244"/>
    </row>
    <row r="582">
      <c r="A582" s="209"/>
      <c r="B582" s="209"/>
      <c r="C582" s="209"/>
      <c r="D582" s="209"/>
      <c r="E582" s="209"/>
      <c r="F582" s="240"/>
      <c r="G582" s="213"/>
      <c r="H582" s="213"/>
      <c r="I582" s="210"/>
      <c r="O582" s="244"/>
      <c r="R582" s="244"/>
      <c r="U582" s="244"/>
    </row>
    <row r="583">
      <c r="A583" s="209"/>
      <c r="B583" s="209"/>
      <c r="C583" s="209"/>
      <c r="D583" s="209"/>
      <c r="E583" s="209"/>
      <c r="F583" s="240"/>
      <c r="G583" s="213"/>
      <c r="H583" s="213"/>
      <c r="I583" s="210"/>
      <c r="O583" s="244"/>
      <c r="R583" s="244"/>
      <c r="U583" s="244"/>
    </row>
    <row r="584">
      <c r="A584" s="209"/>
      <c r="B584" s="209"/>
      <c r="C584" s="209"/>
      <c r="D584" s="209"/>
      <c r="E584" s="209"/>
      <c r="F584" s="240"/>
      <c r="G584" s="213"/>
      <c r="H584" s="213"/>
      <c r="I584" s="210"/>
      <c r="O584" s="244"/>
      <c r="R584" s="244"/>
      <c r="U584" s="244"/>
    </row>
    <row r="585">
      <c r="A585" s="209"/>
      <c r="B585" s="209"/>
      <c r="C585" s="209"/>
      <c r="D585" s="209"/>
      <c r="E585" s="209"/>
      <c r="F585" s="240"/>
      <c r="G585" s="213"/>
      <c r="H585" s="213"/>
      <c r="I585" s="210"/>
      <c r="O585" s="244"/>
      <c r="R585" s="244"/>
      <c r="U585" s="244"/>
    </row>
    <row r="586">
      <c r="A586" s="209"/>
      <c r="B586" s="209"/>
      <c r="C586" s="209"/>
      <c r="D586" s="209"/>
      <c r="E586" s="209"/>
      <c r="F586" s="240"/>
      <c r="G586" s="213"/>
      <c r="H586" s="213"/>
      <c r="I586" s="210"/>
      <c r="O586" s="244"/>
      <c r="R586" s="244"/>
      <c r="U586" s="244"/>
    </row>
    <row r="587">
      <c r="A587" s="209"/>
      <c r="B587" s="209"/>
      <c r="C587" s="209"/>
      <c r="D587" s="209"/>
      <c r="E587" s="209"/>
      <c r="F587" s="240"/>
      <c r="G587" s="213"/>
      <c r="H587" s="213"/>
      <c r="I587" s="210"/>
      <c r="O587" s="244"/>
      <c r="R587" s="244"/>
      <c r="U587" s="244"/>
    </row>
    <row r="588">
      <c r="A588" s="209"/>
      <c r="B588" s="209"/>
      <c r="C588" s="209"/>
      <c r="D588" s="209"/>
      <c r="E588" s="209"/>
      <c r="F588" s="240"/>
      <c r="G588" s="213"/>
      <c r="H588" s="213"/>
      <c r="I588" s="210"/>
      <c r="O588" s="244"/>
      <c r="R588" s="244"/>
      <c r="U588" s="244"/>
    </row>
    <row r="589">
      <c r="A589" s="209"/>
      <c r="B589" s="209"/>
      <c r="C589" s="209"/>
      <c r="D589" s="209"/>
      <c r="E589" s="209"/>
      <c r="F589" s="240"/>
      <c r="G589" s="213"/>
      <c r="H589" s="213"/>
      <c r="I589" s="210"/>
      <c r="O589" s="244"/>
      <c r="R589" s="244"/>
      <c r="U589" s="244"/>
    </row>
    <row r="590">
      <c r="A590" s="209"/>
      <c r="B590" s="209"/>
      <c r="C590" s="209"/>
      <c r="D590" s="209"/>
      <c r="E590" s="209"/>
      <c r="F590" s="240"/>
      <c r="G590" s="213"/>
      <c r="H590" s="213"/>
      <c r="I590" s="210"/>
      <c r="O590" s="244"/>
      <c r="R590" s="244"/>
      <c r="U590" s="244"/>
    </row>
    <row r="591">
      <c r="A591" s="209"/>
      <c r="B591" s="209"/>
      <c r="C591" s="209"/>
      <c r="D591" s="209"/>
      <c r="E591" s="209"/>
      <c r="F591" s="240"/>
      <c r="G591" s="213"/>
      <c r="H591" s="213"/>
      <c r="I591" s="210"/>
      <c r="O591" s="244"/>
      <c r="R591" s="244"/>
      <c r="U591" s="244"/>
    </row>
    <row r="592">
      <c r="A592" s="209"/>
      <c r="B592" s="209"/>
      <c r="C592" s="209"/>
      <c r="D592" s="209"/>
      <c r="E592" s="209"/>
      <c r="F592" s="240"/>
      <c r="G592" s="213"/>
      <c r="H592" s="213"/>
      <c r="I592" s="210"/>
      <c r="O592" s="244"/>
      <c r="R592" s="244"/>
      <c r="U592" s="244"/>
    </row>
    <row r="593">
      <c r="A593" s="209"/>
      <c r="B593" s="209"/>
      <c r="C593" s="209"/>
      <c r="D593" s="209"/>
      <c r="E593" s="209"/>
      <c r="F593" s="240"/>
      <c r="G593" s="213"/>
      <c r="H593" s="213"/>
      <c r="I593" s="210"/>
      <c r="O593" s="244"/>
      <c r="R593" s="244"/>
      <c r="U593" s="244"/>
    </row>
    <row r="594">
      <c r="A594" s="209"/>
      <c r="B594" s="209"/>
      <c r="C594" s="209"/>
      <c r="D594" s="209"/>
      <c r="E594" s="209"/>
      <c r="F594" s="240"/>
      <c r="G594" s="213"/>
      <c r="H594" s="213"/>
      <c r="I594" s="210"/>
      <c r="O594" s="244"/>
      <c r="R594" s="244"/>
      <c r="U594" s="244"/>
    </row>
    <row r="595">
      <c r="A595" s="209"/>
      <c r="B595" s="209"/>
      <c r="C595" s="209"/>
      <c r="D595" s="209"/>
      <c r="E595" s="209"/>
      <c r="F595" s="240"/>
      <c r="G595" s="213"/>
      <c r="H595" s="213"/>
      <c r="I595" s="210"/>
      <c r="O595" s="244"/>
      <c r="R595" s="244"/>
      <c r="U595" s="244"/>
    </row>
    <row r="596">
      <c r="A596" s="209"/>
      <c r="B596" s="209"/>
      <c r="C596" s="209"/>
      <c r="D596" s="209"/>
      <c r="E596" s="209"/>
      <c r="F596" s="240"/>
      <c r="G596" s="213"/>
      <c r="H596" s="213"/>
      <c r="I596" s="210"/>
      <c r="O596" s="244"/>
      <c r="R596" s="244"/>
      <c r="U596" s="244"/>
    </row>
    <row r="597">
      <c r="A597" s="209"/>
      <c r="B597" s="209"/>
      <c r="C597" s="209"/>
      <c r="D597" s="209"/>
      <c r="E597" s="209"/>
      <c r="F597" s="240"/>
      <c r="G597" s="213"/>
      <c r="H597" s="213"/>
      <c r="I597" s="210"/>
      <c r="O597" s="244"/>
      <c r="R597" s="244"/>
      <c r="U597" s="244"/>
    </row>
    <row r="598">
      <c r="A598" s="209"/>
      <c r="B598" s="209"/>
      <c r="C598" s="209"/>
      <c r="D598" s="209"/>
      <c r="E598" s="209"/>
      <c r="F598" s="240"/>
      <c r="G598" s="213"/>
      <c r="H598" s="213"/>
      <c r="I598" s="210"/>
      <c r="O598" s="244"/>
      <c r="R598" s="244"/>
      <c r="U598" s="244"/>
    </row>
    <row r="599">
      <c r="A599" s="209"/>
      <c r="B599" s="209"/>
      <c r="C599" s="209"/>
      <c r="D599" s="209"/>
      <c r="E599" s="209"/>
      <c r="F599" s="240"/>
      <c r="G599" s="213"/>
      <c r="H599" s="213"/>
      <c r="I599" s="210"/>
      <c r="O599" s="244"/>
      <c r="R599" s="244"/>
      <c r="U599" s="244"/>
    </row>
    <row r="600">
      <c r="A600" s="209"/>
      <c r="B600" s="209"/>
      <c r="C600" s="209"/>
      <c r="D600" s="209"/>
      <c r="E600" s="209"/>
      <c r="F600" s="240"/>
      <c r="G600" s="213"/>
      <c r="H600" s="213"/>
      <c r="I600" s="210"/>
      <c r="O600" s="244"/>
      <c r="R600" s="244"/>
      <c r="U600" s="244"/>
    </row>
    <row r="601">
      <c r="A601" s="209"/>
      <c r="B601" s="209"/>
      <c r="C601" s="209"/>
      <c r="D601" s="209"/>
      <c r="E601" s="209"/>
      <c r="F601" s="240"/>
      <c r="G601" s="213"/>
      <c r="H601" s="213"/>
      <c r="I601" s="210"/>
      <c r="O601" s="244"/>
      <c r="R601" s="244"/>
      <c r="U601" s="244"/>
    </row>
    <row r="602">
      <c r="A602" s="209"/>
      <c r="B602" s="209"/>
      <c r="C602" s="209"/>
      <c r="D602" s="209"/>
      <c r="E602" s="209"/>
      <c r="F602" s="240"/>
      <c r="G602" s="213"/>
      <c r="H602" s="213"/>
      <c r="I602" s="210"/>
      <c r="O602" s="244"/>
      <c r="R602" s="244"/>
      <c r="U602" s="244"/>
    </row>
    <row r="603">
      <c r="A603" s="209"/>
      <c r="B603" s="209"/>
      <c r="C603" s="209"/>
      <c r="D603" s="209"/>
      <c r="E603" s="209"/>
      <c r="F603" s="240"/>
      <c r="G603" s="213"/>
      <c r="H603" s="213"/>
      <c r="I603" s="210"/>
      <c r="O603" s="244"/>
      <c r="R603" s="244"/>
      <c r="U603" s="244"/>
    </row>
    <row r="604">
      <c r="A604" s="209"/>
      <c r="B604" s="209"/>
      <c r="C604" s="209"/>
      <c r="D604" s="209"/>
      <c r="E604" s="209"/>
      <c r="F604" s="240"/>
      <c r="G604" s="213"/>
      <c r="H604" s="213"/>
      <c r="I604" s="210"/>
      <c r="O604" s="244"/>
      <c r="R604" s="244"/>
      <c r="U604" s="244"/>
    </row>
    <row r="605">
      <c r="A605" s="209"/>
      <c r="B605" s="209"/>
      <c r="C605" s="209"/>
      <c r="D605" s="209"/>
      <c r="E605" s="209"/>
      <c r="F605" s="240"/>
      <c r="G605" s="213"/>
      <c r="H605" s="213"/>
      <c r="I605" s="210"/>
      <c r="O605" s="244"/>
      <c r="R605" s="244"/>
      <c r="U605" s="244"/>
    </row>
    <row r="606">
      <c r="A606" s="209"/>
      <c r="B606" s="209"/>
      <c r="C606" s="209"/>
      <c r="D606" s="209"/>
      <c r="E606" s="209"/>
      <c r="F606" s="240"/>
      <c r="G606" s="213"/>
      <c r="H606" s="213"/>
      <c r="I606" s="210"/>
      <c r="O606" s="244"/>
      <c r="R606" s="244"/>
      <c r="U606" s="244"/>
    </row>
    <row r="607">
      <c r="A607" s="209"/>
      <c r="B607" s="209"/>
      <c r="C607" s="209"/>
      <c r="D607" s="209"/>
      <c r="E607" s="209"/>
      <c r="F607" s="240"/>
      <c r="G607" s="213"/>
      <c r="H607" s="213"/>
      <c r="I607" s="210"/>
      <c r="O607" s="244"/>
      <c r="R607" s="244"/>
      <c r="U607" s="244"/>
    </row>
    <row r="608">
      <c r="A608" s="209"/>
      <c r="B608" s="209"/>
      <c r="C608" s="209"/>
      <c r="D608" s="209"/>
      <c r="E608" s="209"/>
      <c r="F608" s="240"/>
      <c r="G608" s="213"/>
      <c r="H608" s="213"/>
      <c r="I608" s="210"/>
      <c r="O608" s="244"/>
      <c r="R608" s="244"/>
      <c r="U608" s="244"/>
    </row>
    <row r="609">
      <c r="A609" s="209"/>
      <c r="B609" s="209"/>
      <c r="C609" s="209"/>
      <c r="D609" s="209"/>
      <c r="E609" s="209"/>
      <c r="F609" s="240"/>
      <c r="G609" s="213"/>
      <c r="H609" s="213"/>
      <c r="I609" s="210"/>
      <c r="O609" s="244"/>
      <c r="R609" s="244"/>
      <c r="U609" s="244"/>
    </row>
    <row r="610">
      <c r="A610" s="209"/>
      <c r="B610" s="209"/>
      <c r="C610" s="209"/>
      <c r="D610" s="209"/>
      <c r="E610" s="209"/>
      <c r="F610" s="240"/>
      <c r="G610" s="213"/>
      <c r="H610" s="213"/>
      <c r="I610" s="210"/>
      <c r="O610" s="244"/>
      <c r="R610" s="244"/>
      <c r="U610" s="244"/>
    </row>
    <row r="611">
      <c r="A611" s="209"/>
      <c r="B611" s="209"/>
      <c r="C611" s="209"/>
      <c r="D611" s="209"/>
      <c r="E611" s="209"/>
      <c r="F611" s="240"/>
      <c r="G611" s="213"/>
      <c r="H611" s="213"/>
      <c r="I611" s="210"/>
      <c r="O611" s="244"/>
      <c r="R611" s="244"/>
      <c r="U611" s="244"/>
    </row>
    <row r="612">
      <c r="A612" s="209"/>
      <c r="B612" s="209"/>
      <c r="C612" s="209"/>
      <c r="D612" s="209"/>
      <c r="E612" s="209"/>
      <c r="F612" s="240"/>
      <c r="G612" s="213"/>
      <c r="H612" s="213"/>
      <c r="I612" s="210"/>
      <c r="O612" s="244"/>
      <c r="R612" s="244"/>
      <c r="U612" s="244"/>
    </row>
    <row r="613">
      <c r="A613" s="209"/>
      <c r="B613" s="209"/>
      <c r="C613" s="209"/>
      <c r="D613" s="209"/>
      <c r="E613" s="209"/>
      <c r="F613" s="240"/>
      <c r="G613" s="213"/>
      <c r="H613" s="213"/>
      <c r="I613" s="210"/>
      <c r="O613" s="244"/>
      <c r="R613" s="244"/>
      <c r="U613" s="244"/>
    </row>
    <row r="614">
      <c r="A614" s="209"/>
      <c r="B614" s="209"/>
      <c r="C614" s="209"/>
      <c r="D614" s="209"/>
      <c r="E614" s="209"/>
      <c r="F614" s="240"/>
      <c r="G614" s="213"/>
      <c r="H614" s="213"/>
      <c r="I614" s="210"/>
      <c r="O614" s="244"/>
      <c r="R614" s="244"/>
      <c r="U614" s="244"/>
    </row>
    <row r="615">
      <c r="A615" s="209"/>
      <c r="B615" s="209"/>
      <c r="C615" s="209"/>
      <c r="D615" s="209"/>
      <c r="E615" s="209"/>
      <c r="F615" s="240"/>
      <c r="G615" s="213"/>
      <c r="H615" s="213"/>
      <c r="I615" s="210"/>
      <c r="O615" s="244"/>
      <c r="R615" s="244"/>
      <c r="U615" s="244"/>
    </row>
    <row r="616">
      <c r="A616" s="209"/>
      <c r="B616" s="209"/>
      <c r="C616" s="209"/>
      <c r="D616" s="209"/>
      <c r="E616" s="209"/>
      <c r="F616" s="240"/>
      <c r="G616" s="213"/>
      <c r="H616" s="213"/>
      <c r="I616" s="210"/>
      <c r="O616" s="244"/>
      <c r="R616" s="244"/>
      <c r="U616" s="244"/>
    </row>
    <row r="617">
      <c r="A617" s="209"/>
      <c r="B617" s="209"/>
      <c r="C617" s="209"/>
      <c r="D617" s="209"/>
      <c r="E617" s="209"/>
      <c r="F617" s="240"/>
      <c r="G617" s="213"/>
      <c r="H617" s="213"/>
      <c r="I617" s="210"/>
      <c r="O617" s="244"/>
      <c r="R617" s="244"/>
      <c r="U617" s="244"/>
    </row>
    <row r="618">
      <c r="A618" s="209"/>
      <c r="B618" s="209"/>
      <c r="C618" s="209"/>
      <c r="D618" s="209"/>
      <c r="E618" s="209"/>
      <c r="F618" s="240"/>
      <c r="G618" s="213"/>
      <c r="H618" s="213"/>
      <c r="I618" s="210"/>
      <c r="O618" s="244"/>
      <c r="R618" s="244"/>
      <c r="U618" s="244"/>
    </row>
    <row r="619">
      <c r="A619" s="209"/>
      <c r="B619" s="209"/>
      <c r="C619" s="209"/>
      <c r="D619" s="209"/>
      <c r="E619" s="209"/>
      <c r="F619" s="240"/>
      <c r="G619" s="213"/>
      <c r="H619" s="213"/>
      <c r="I619" s="210"/>
      <c r="O619" s="244"/>
      <c r="R619" s="244"/>
      <c r="U619" s="244"/>
    </row>
    <row r="620">
      <c r="A620" s="209"/>
      <c r="B620" s="209"/>
      <c r="C620" s="209"/>
      <c r="D620" s="209"/>
      <c r="E620" s="209"/>
      <c r="F620" s="240"/>
      <c r="G620" s="213"/>
      <c r="H620" s="213"/>
      <c r="I620" s="210"/>
      <c r="O620" s="244"/>
      <c r="R620" s="244"/>
      <c r="U620" s="244"/>
    </row>
    <row r="621">
      <c r="A621" s="209"/>
      <c r="B621" s="209"/>
      <c r="C621" s="209"/>
      <c r="D621" s="209"/>
      <c r="E621" s="209"/>
      <c r="F621" s="240"/>
      <c r="G621" s="213"/>
      <c r="H621" s="213"/>
      <c r="I621" s="210"/>
      <c r="O621" s="244"/>
      <c r="R621" s="244"/>
      <c r="U621" s="244"/>
    </row>
    <row r="622">
      <c r="A622" s="209"/>
      <c r="B622" s="209"/>
      <c r="C622" s="209"/>
      <c r="D622" s="209"/>
      <c r="E622" s="209"/>
      <c r="F622" s="240"/>
      <c r="G622" s="213"/>
      <c r="H622" s="213"/>
      <c r="I622" s="210"/>
      <c r="O622" s="244"/>
      <c r="R622" s="244"/>
      <c r="U622" s="244"/>
    </row>
    <row r="623">
      <c r="A623" s="209"/>
      <c r="B623" s="209"/>
      <c r="C623" s="209"/>
      <c r="D623" s="209"/>
      <c r="E623" s="209"/>
      <c r="F623" s="240"/>
      <c r="G623" s="213"/>
      <c r="H623" s="213"/>
      <c r="I623" s="210"/>
      <c r="O623" s="244"/>
      <c r="R623" s="244"/>
      <c r="U623" s="244"/>
    </row>
    <row r="624">
      <c r="A624" s="209"/>
      <c r="B624" s="209"/>
      <c r="C624" s="209"/>
      <c r="D624" s="209"/>
      <c r="E624" s="209"/>
      <c r="F624" s="240"/>
      <c r="G624" s="213"/>
      <c r="H624" s="213"/>
      <c r="I624" s="210"/>
      <c r="O624" s="244"/>
      <c r="R624" s="244"/>
      <c r="U624" s="244"/>
    </row>
    <row r="625">
      <c r="A625" s="209"/>
      <c r="B625" s="209"/>
      <c r="C625" s="209"/>
      <c r="D625" s="209"/>
      <c r="E625" s="209"/>
      <c r="F625" s="240"/>
      <c r="G625" s="213"/>
      <c r="H625" s="213"/>
      <c r="I625" s="210"/>
      <c r="O625" s="244"/>
      <c r="R625" s="244"/>
      <c r="U625" s="244"/>
    </row>
    <row r="626">
      <c r="A626" s="209"/>
      <c r="B626" s="209"/>
      <c r="C626" s="209"/>
      <c r="D626" s="209"/>
      <c r="E626" s="209"/>
      <c r="F626" s="240"/>
      <c r="G626" s="213"/>
      <c r="H626" s="213"/>
      <c r="I626" s="210"/>
      <c r="O626" s="244"/>
      <c r="R626" s="244"/>
      <c r="U626" s="244"/>
    </row>
    <row r="627">
      <c r="A627" s="209"/>
      <c r="B627" s="209"/>
      <c r="C627" s="209"/>
      <c r="D627" s="209"/>
      <c r="E627" s="209"/>
      <c r="F627" s="240"/>
      <c r="G627" s="213"/>
      <c r="H627" s="213"/>
      <c r="I627" s="210"/>
      <c r="O627" s="244"/>
      <c r="R627" s="244"/>
      <c r="U627" s="244"/>
    </row>
    <row r="628">
      <c r="A628" s="209"/>
      <c r="B628" s="209"/>
      <c r="C628" s="209"/>
      <c r="D628" s="209"/>
      <c r="E628" s="209"/>
      <c r="F628" s="240"/>
      <c r="G628" s="213"/>
      <c r="H628" s="213"/>
      <c r="I628" s="210"/>
      <c r="O628" s="244"/>
      <c r="R628" s="244"/>
      <c r="U628" s="244"/>
    </row>
    <row r="629">
      <c r="A629" s="209"/>
      <c r="B629" s="209"/>
      <c r="C629" s="209"/>
      <c r="D629" s="209"/>
      <c r="E629" s="209"/>
      <c r="F629" s="240"/>
      <c r="G629" s="213"/>
      <c r="H629" s="213"/>
      <c r="I629" s="210"/>
      <c r="O629" s="244"/>
      <c r="R629" s="244"/>
      <c r="U629" s="244"/>
    </row>
    <row r="630">
      <c r="A630" s="209"/>
      <c r="B630" s="209"/>
      <c r="C630" s="209"/>
      <c r="D630" s="209"/>
      <c r="E630" s="209"/>
      <c r="F630" s="240"/>
      <c r="G630" s="213"/>
      <c r="H630" s="213"/>
      <c r="I630" s="210"/>
      <c r="O630" s="244"/>
      <c r="R630" s="244"/>
      <c r="U630" s="244"/>
    </row>
    <row r="631">
      <c r="A631" s="209"/>
      <c r="B631" s="209"/>
      <c r="C631" s="209"/>
      <c r="D631" s="209"/>
      <c r="E631" s="209"/>
      <c r="F631" s="240"/>
      <c r="G631" s="213"/>
      <c r="H631" s="213"/>
      <c r="I631" s="210"/>
      <c r="O631" s="244"/>
      <c r="R631" s="244"/>
      <c r="U631" s="244"/>
    </row>
    <row r="632">
      <c r="A632" s="209"/>
      <c r="B632" s="209"/>
      <c r="C632" s="209"/>
      <c r="D632" s="209"/>
      <c r="E632" s="209"/>
      <c r="F632" s="240"/>
      <c r="G632" s="213"/>
      <c r="H632" s="213"/>
      <c r="I632" s="210"/>
      <c r="O632" s="244"/>
      <c r="R632" s="244"/>
      <c r="U632" s="244"/>
    </row>
    <row r="633">
      <c r="A633" s="209"/>
      <c r="B633" s="209"/>
      <c r="C633" s="209"/>
      <c r="D633" s="209"/>
      <c r="E633" s="209"/>
      <c r="F633" s="240"/>
      <c r="G633" s="213"/>
      <c r="H633" s="213"/>
      <c r="I633" s="210"/>
      <c r="O633" s="244"/>
      <c r="R633" s="244"/>
      <c r="U633" s="244"/>
    </row>
    <row r="634">
      <c r="A634" s="209"/>
      <c r="B634" s="209"/>
      <c r="C634" s="209"/>
      <c r="D634" s="209"/>
      <c r="E634" s="209"/>
      <c r="F634" s="240"/>
      <c r="G634" s="213"/>
      <c r="H634" s="213"/>
      <c r="I634" s="210"/>
      <c r="O634" s="244"/>
      <c r="R634" s="244"/>
      <c r="U634" s="244"/>
    </row>
    <row r="635">
      <c r="A635" s="209"/>
      <c r="B635" s="209"/>
      <c r="C635" s="209"/>
      <c r="D635" s="209"/>
      <c r="E635" s="209"/>
      <c r="F635" s="240"/>
      <c r="G635" s="213"/>
      <c r="H635" s="213"/>
      <c r="I635" s="210"/>
      <c r="O635" s="244"/>
      <c r="R635" s="244"/>
      <c r="U635" s="244"/>
    </row>
    <row r="636">
      <c r="A636" s="209"/>
      <c r="B636" s="209"/>
      <c r="C636" s="209"/>
      <c r="D636" s="209"/>
      <c r="E636" s="209"/>
      <c r="F636" s="240"/>
      <c r="G636" s="213"/>
      <c r="H636" s="213"/>
      <c r="I636" s="210"/>
      <c r="O636" s="244"/>
      <c r="R636" s="244"/>
      <c r="U636" s="244"/>
    </row>
    <row r="637">
      <c r="A637" s="209"/>
      <c r="B637" s="209"/>
      <c r="C637" s="209"/>
      <c r="D637" s="209"/>
      <c r="E637" s="209"/>
      <c r="F637" s="240"/>
      <c r="G637" s="213"/>
      <c r="H637" s="213"/>
      <c r="I637" s="210"/>
      <c r="O637" s="244"/>
      <c r="R637" s="244"/>
      <c r="U637" s="244"/>
    </row>
    <row r="638">
      <c r="A638" s="209"/>
      <c r="B638" s="209"/>
      <c r="C638" s="209"/>
      <c r="D638" s="209"/>
      <c r="E638" s="209"/>
      <c r="F638" s="240"/>
      <c r="G638" s="213"/>
      <c r="H638" s="213"/>
      <c r="I638" s="210"/>
      <c r="O638" s="244"/>
      <c r="R638" s="244"/>
      <c r="U638" s="244"/>
    </row>
    <row r="639">
      <c r="A639" s="209"/>
      <c r="B639" s="209"/>
      <c r="C639" s="209"/>
      <c r="D639" s="209"/>
      <c r="E639" s="209"/>
      <c r="F639" s="240"/>
      <c r="G639" s="213"/>
      <c r="H639" s="213"/>
      <c r="I639" s="210"/>
      <c r="O639" s="244"/>
      <c r="R639" s="244"/>
      <c r="U639" s="244"/>
    </row>
    <row r="640">
      <c r="A640" s="209"/>
      <c r="B640" s="209"/>
      <c r="C640" s="209"/>
      <c r="D640" s="209"/>
      <c r="E640" s="209"/>
      <c r="F640" s="240"/>
      <c r="G640" s="213"/>
      <c r="H640" s="213"/>
      <c r="I640" s="210"/>
      <c r="O640" s="244"/>
      <c r="R640" s="244"/>
      <c r="U640" s="244"/>
    </row>
    <row r="641">
      <c r="A641" s="209"/>
      <c r="B641" s="209"/>
      <c r="C641" s="209"/>
      <c r="D641" s="209"/>
      <c r="E641" s="209"/>
      <c r="F641" s="240"/>
      <c r="G641" s="213"/>
      <c r="H641" s="213"/>
      <c r="I641" s="210"/>
      <c r="O641" s="244"/>
      <c r="R641" s="244"/>
      <c r="U641" s="244"/>
    </row>
    <row r="642">
      <c r="A642" s="209"/>
      <c r="B642" s="209"/>
      <c r="C642" s="209"/>
      <c r="D642" s="209"/>
      <c r="E642" s="209"/>
      <c r="F642" s="240"/>
      <c r="G642" s="213"/>
      <c r="H642" s="213"/>
      <c r="I642" s="210"/>
      <c r="O642" s="244"/>
      <c r="R642" s="244"/>
      <c r="U642" s="244"/>
    </row>
    <row r="643">
      <c r="A643" s="209"/>
      <c r="B643" s="209"/>
      <c r="C643" s="209"/>
      <c r="D643" s="209"/>
      <c r="E643" s="209"/>
      <c r="F643" s="240"/>
      <c r="G643" s="213"/>
      <c r="H643" s="213"/>
      <c r="I643" s="210"/>
      <c r="O643" s="244"/>
      <c r="R643" s="244"/>
      <c r="U643" s="244"/>
    </row>
    <row r="644">
      <c r="A644" s="209"/>
      <c r="B644" s="209"/>
      <c r="C644" s="209"/>
      <c r="D644" s="209"/>
      <c r="E644" s="209"/>
      <c r="F644" s="240"/>
      <c r="G644" s="213"/>
      <c r="H644" s="213"/>
      <c r="I644" s="210"/>
      <c r="O644" s="244"/>
      <c r="R644" s="244"/>
      <c r="U644" s="244"/>
    </row>
    <row r="645">
      <c r="A645" s="209"/>
      <c r="B645" s="209"/>
      <c r="C645" s="209"/>
      <c r="D645" s="209"/>
      <c r="E645" s="209"/>
      <c r="F645" s="240"/>
      <c r="G645" s="213"/>
      <c r="H645" s="213"/>
      <c r="I645" s="210"/>
      <c r="O645" s="244"/>
      <c r="R645" s="244"/>
      <c r="U645" s="244"/>
    </row>
    <row r="646">
      <c r="A646" s="209"/>
      <c r="B646" s="209"/>
      <c r="C646" s="209"/>
      <c r="D646" s="209"/>
      <c r="E646" s="209"/>
      <c r="F646" s="240"/>
      <c r="G646" s="213"/>
      <c r="H646" s="213"/>
      <c r="I646" s="210"/>
      <c r="O646" s="244"/>
      <c r="R646" s="244"/>
      <c r="U646" s="244"/>
    </row>
    <row r="647">
      <c r="A647" s="209"/>
      <c r="B647" s="209"/>
      <c r="C647" s="209"/>
      <c r="D647" s="209"/>
      <c r="E647" s="209"/>
      <c r="F647" s="240"/>
      <c r="G647" s="213"/>
      <c r="H647" s="213"/>
      <c r="I647" s="210"/>
      <c r="O647" s="244"/>
      <c r="R647" s="244"/>
      <c r="U647" s="244"/>
    </row>
    <row r="648">
      <c r="A648" s="209"/>
      <c r="B648" s="209"/>
      <c r="C648" s="209"/>
      <c r="D648" s="209"/>
      <c r="E648" s="209"/>
      <c r="F648" s="240"/>
      <c r="G648" s="213"/>
      <c r="H648" s="213"/>
      <c r="I648" s="210"/>
      <c r="O648" s="244"/>
      <c r="R648" s="244"/>
      <c r="U648" s="244"/>
    </row>
    <row r="649">
      <c r="A649" s="209"/>
      <c r="B649" s="209"/>
      <c r="C649" s="209"/>
      <c r="D649" s="209"/>
      <c r="E649" s="209"/>
      <c r="F649" s="240"/>
      <c r="G649" s="213"/>
      <c r="H649" s="213"/>
      <c r="I649" s="210"/>
      <c r="O649" s="244"/>
      <c r="R649" s="244"/>
      <c r="U649" s="244"/>
    </row>
    <row r="650">
      <c r="A650" s="209"/>
      <c r="B650" s="209"/>
      <c r="C650" s="209"/>
      <c r="D650" s="209"/>
      <c r="E650" s="209"/>
      <c r="F650" s="240"/>
      <c r="G650" s="213"/>
      <c r="H650" s="213"/>
      <c r="I650" s="210"/>
      <c r="O650" s="244"/>
      <c r="R650" s="244"/>
      <c r="U650" s="244"/>
    </row>
    <row r="651">
      <c r="A651" s="209"/>
      <c r="B651" s="209"/>
      <c r="C651" s="209"/>
      <c r="D651" s="209"/>
      <c r="E651" s="209"/>
      <c r="F651" s="240"/>
      <c r="G651" s="213"/>
      <c r="H651" s="213"/>
      <c r="I651" s="210"/>
      <c r="O651" s="244"/>
      <c r="R651" s="244"/>
      <c r="U651" s="244"/>
    </row>
    <row r="652">
      <c r="A652" s="209"/>
      <c r="B652" s="209"/>
      <c r="C652" s="209"/>
      <c r="D652" s="209"/>
      <c r="E652" s="209"/>
      <c r="F652" s="240"/>
      <c r="G652" s="213"/>
      <c r="H652" s="213"/>
      <c r="I652" s="210"/>
      <c r="O652" s="244"/>
      <c r="R652" s="244"/>
      <c r="U652" s="244"/>
    </row>
    <row r="653">
      <c r="A653" s="209"/>
      <c r="B653" s="209"/>
      <c r="C653" s="209"/>
      <c r="D653" s="209"/>
      <c r="E653" s="209"/>
      <c r="F653" s="240"/>
      <c r="G653" s="213"/>
      <c r="H653" s="213"/>
      <c r="I653" s="210"/>
      <c r="O653" s="244"/>
      <c r="R653" s="244"/>
      <c r="U653" s="244"/>
    </row>
    <row r="654">
      <c r="A654" s="209"/>
      <c r="B654" s="209"/>
      <c r="C654" s="209"/>
      <c r="D654" s="209"/>
      <c r="E654" s="209"/>
      <c r="F654" s="240"/>
      <c r="G654" s="213"/>
      <c r="H654" s="213"/>
      <c r="I654" s="210"/>
      <c r="O654" s="244"/>
      <c r="R654" s="244"/>
      <c r="U654" s="244"/>
    </row>
    <row r="655">
      <c r="A655" s="209"/>
      <c r="B655" s="209"/>
      <c r="C655" s="209"/>
      <c r="D655" s="209"/>
      <c r="E655" s="209"/>
      <c r="F655" s="240"/>
      <c r="G655" s="213"/>
      <c r="H655" s="213"/>
      <c r="I655" s="210"/>
      <c r="O655" s="244"/>
      <c r="R655" s="244"/>
      <c r="U655" s="244"/>
    </row>
    <row r="656">
      <c r="A656" s="209"/>
      <c r="B656" s="209"/>
      <c r="C656" s="209"/>
      <c r="D656" s="209"/>
      <c r="E656" s="209"/>
      <c r="F656" s="240"/>
      <c r="G656" s="213"/>
      <c r="H656" s="213"/>
      <c r="I656" s="210"/>
      <c r="O656" s="244"/>
      <c r="R656" s="244"/>
      <c r="U656" s="244"/>
    </row>
    <row r="657">
      <c r="A657" s="209"/>
      <c r="B657" s="209"/>
      <c r="C657" s="209"/>
      <c r="D657" s="209"/>
      <c r="E657" s="209"/>
      <c r="F657" s="240"/>
      <c r="G657" s="213"/>
      <c r="H657" s="213"/>
      <c r="I657" s="210"/>
      <c r="O657" s="244"/>
      <c r="R657" s="244"/>
      <c r="U657" s="244"/>
    </row>
    <row r="658">
      <c r="A658" s="209"/>
      <c r="B658" s="209"/>
      <c r="C658" s="209"/>
      <c r="D658" s="209"/>
      <c r="E658" s="209"/>
      <c r="F658" s="240"/>
      <c r="G658" s="213"/>
      <c r="H658" s="213"/>
      <c r="I658" s="210"/>
      <c r="O658" s="244"/>
      <c r="R658" s="244"/>
      <c r="U658" s="244"/>
    </row>
    <row r="659">
      <c r="A659" s="209"/>
      <c r="B659" s="209"/>
      <c r="C659" s="209"/>
      <c r="D659" s="209"/>
      <c r="E659" s="209"/>
      <c r="F659" s="240"/>
      <c r="G659" s="213"/>
      <c r="H659" s="213"/>
      <c r="I659" s="210"/>
      <c r="O659" s="244"/>
      <c r="R659" s="244"/>
      <c r="U659" s="244"/>
    </row>
    <row r="660">
      <c r="A660" s="209"/>
      <c r="B660" s="209"/>
      <c r="C660" s="209"/>
      <c r="D660" s="209"/>
      <c r="E660" s="209"/>
      <c r="F660" s="240"/>
      <c r="G660" s="213"/>
      <c r="H660" s="213"/>
      <c r="I660" s="210"/>
      <c r="O660" s="244"/>
      <c r="R660" s="244"/>
      <c r="U660" s="244"/>
    </row>
    <row r="661">
      <c r="A661" s="209"/>
      <c r="B661" s="209"/>
      <c r="C661" s="209"/>
      <c r="D661" s="209"/>
      <c r="E661" s="209"/>
      <c r="F661" s="240"/>
      <c r="G661" s="213"/>
      <c r="H661" s="213"/>
      <c r="I661" s="210"/>
      <c r="O661" s="244"/>
      <c r="R661" s="244"/>
      <c r="U661" s="244"/>
    </row>
    <row r="662">
      <c r="A662" s="209"/>
      <c r="B662" s="209"/>
      <c r="C662" s="209"/>
      <c r="D662" s="209"/>
      <c r="E662" s="209"/>
      <c r="F662" s="240"/>
      <c r="G662" s="213"/>
      <c r="H662" s="213"/>
      <c r="I662" s="210"/>
      <c r="O662" s="244"/>
      <c r="R662" s="244"/>
      <c r="U662" s="244"/>
    </row>
    <row r="663">
      <c r="A663" s="209"/>
      <c r="B663" s="209"/>
      <c r="C663" s="209"/>
      <c r="D663" s="209"/>
      <c r="E663" s="209"/>
      <c r="F663" s="240"/>
      <c r="G663" s="213"/>
      <c r="H663" s="213"/>
      <c r="I663" s="210"/>
      <c r="O663" s="244"/>
      <c r="R663" s="244"/>
      <c r="U663" s="244"/>
    </row>
    <row r="664">
      <c r="A664" s="209"/>
      <c r="B664" s="209"/>
      <c r="C664" s="209"/>
      <c r="D664" s="209"/>
      <c r="E664" s="209"/>
      <c r="F664" s="240"/>
      <c r="G664" s="213"/>
      <c r="H664" s="213"/>
      <c r="I664" s="210"/>
      <c r="O664" s="244"/>
      <c r="R664" s="244"/>
      <c r="U664" s="244"/>
    </row>
    <row r="665">
      <c r="A665" s="209"/>
      <c r="B665" s="209"/>
      <c r="C665" s="209"/>
      <c r="D665" s="209"/>
      <c r="E665" s="209"/>
      <c r="F665" s="240"/>
      <c r="G665" s="213"/>
      <c r="H665" s="213"/>
      <c r="I665" s="210"/>
      <c r="O665" s="244"/>
      <c r="R665" s="244"/>
      <c r="U665" s="244"/>
    </row>
    <row r="666">
      <c r="A666" s="209"/>
      <c r="B666" s="209"/>
      <c r="C666" s="209"/>
      <c r="D666" s="209"/>
      <c r="E666" s="209"/>
      <c r="F666" s="240"/>
      <c r="G666" s="213"/>
      <c r="H666" s="213"/>
      <c r="I666" s="210"/>
      <c r="O666" s="244"/>
      <c r="R666" s="244"/>
      <c r="U666" s="244"/>
    </row>
    <row r="667">
      <c r="A667" s="209"/>
      <c r="B667" s="209"/>
      <c r="C667" s="209"/>
      <c r="D667" s="209"/>
      <c r="E667" s="209"/>
      <c r="F667" s="240"/>
      <c r="G667" s="213"/>
      <c r="H667" s="213"/>
      <c r="I667" s="210"/>
      <c r="O667" s="244"/>
      <c r="R667" s="244"/>
      <c r="U667" s="244"/>
    </row>
    <row r="668">
      <c r="A668" s="209"/>
      <c r="B668" s="209"/>
      <c r="C668" s="209"/>
      <c r="D668" s="209"/>
      <c r="E668" s="209"/>
      <c r="F668" s="240"/>
      <c r="G668" s="213"/>
      <c r="H668" s="213"/>
      <c r="I668" s="210"/>
      <c r="O668" s="244"/>
      <c r="R668" s="244"/>
      <c r="U668" s="244"/>
    </row>
    <row r="669">
      <c r="A669" s="209"/>
      <c r="B669" s="209"/>
      <c r="C669" s="209"/>
      <c r="D669" s="209"/>
      <c r="E669" s="209"/>
      <c r="F669" s="240"/>
      <c r="G669" s="213"/>
      <c r="H669" s="213"/>
      <c r="I669" s="210"/>
      <c r="O669" s="244"/>
      <c r="R669" s="244"/>
      <c r="U669" s="244"/>
    </row>
    <row r="670">
      <c r="A670" s="209"/>
      <c r="B670" s="209"/>
      <c r="C670" s="209"/>
      <c r="D670" s="209"/>
      <c r="E670" s="209"/>
      <c r="F670" s="240"/>
      <c r="G670" s="213"/>
      <c r="H670" s="213"/>
      <c r="I670" s="210"/>
      <c r="O670" s="244"/>
      <c r="R670" s="244"/>
      <c r="U670" s="244"/>
    </row>
    <row r="671">
      <c r="A671" s="209"/>
      <c r="B671" s="209"/>
      <c r="C671" s="209"/>
      <c r="D671" s="209"/>
      <c r="E671" s="209"/>
      <c r="F671" s="240"/>
      <c r="G671" s="213"/>
      <c r="H671" s="213"/>
      <c r="I671" s="210"/>
      <c r="O671" s="244"/>
      <c r="R671" s="244"/>
      <c r="U671" s="244"/>
    </row>
    <row r="672">
      <c r="A672" s="209"/>
      <c r="B672" s="209"/>
      <c r="C672" s="209"/>
      <c r="D672" s="209"/>
      <c r="E672" s="209"/>
      <c r="F672" s="240"/>
      <c r="G672" s="213"/>
      <c r="H672" s="213"/>
      <c r="I672" s="210"/>
      <c r="O672" s="244"/>
      <c r="R672" s="244"/>
      <c r="U672" s="244"/>
    </row>
    <row r="673">
      <c r="A673" s="209"/>
      <c r="B673" s="209"/>
      <c r="C673" s="209"/>
      <c r="D673" s="209"/>
      <c r="E673" s="209"/>
      <c r="F673" s="240"/>
      <c r="G673" s="213"/>
      <c r="H673" s="213"/>
      <c r="I673" s="210"/>
      <c r="O673" s="244"/>
      <c r="R673" s="244"/>
      <c r="U673" s="244"/>
    </row>
    <row r="674">
      <c r="A674" s="209"/>
      <c r="B674" s="209"/>
      <c r="C674" s="209"/>
      <c r="D674" s="209"/>
      <c r="E674" s="209"/>
      <c r="F674" s="240"/>
      <c r="G674" s="213"/>
      <c r="H674" s="213"/>
      <c r="I674" s="210"/>
      <c r="O674" s="244"/>
      <c r="R674" s="244"/>
      <c r="U674" s="244"/>
    </row>
    <row r="675">
      <c r="A675" s="209"/>
      <c r="B675" s="209"/>
      <c r="C675" s="209"/>
      <c r="D675" s="209"/>
      <c r="E675" s="209"/>
      <c r="F675" s="240"/>
      <c r="G675" s="213"/>
      <c r="H675" s="213"/>
      <c r="I675" s="210"/>
      <c r="O675" s="244"/>
      <c r="R675" s="244"/>
      <c r="U675" s="244"/>
    </row>
    <row r="676">
      <c r="A676" s="209"/>
      <c r="B676" s="209"/>
      <c r="C676" s="209"/>
      <c r="D676" s="209"/>
      <c r="E676" s="209"/>
      <c r="F676" s="240"/>
      <c r="G676" s="213"/>
      <c r="H676" s="213"/>
      <c r="I676" s="210"/>
      <c r="O676" s="244"/>
      <c r="R676" s="244"/>
      <c r="U676" s="244"/>
    </row>
    <row r="677">
      <c r="A677" s="209"/>
      <c r="B677" s="209"/>
      <c r="C677" s="209"/>
      <c r="D677" s="209"/>
      <c r="E677" s="209"/>
      <c r="F677" s="240"/>
      <c r="G677" s="213"/>
      <c r="H677" s="213"/>
      <c r="I677" s="210"/>
      <c r="O677" s="244"/>
      <c r="R677" s="244"/>
      <c r="U677" s="244"/>
    </row>
    <row r="678">
      <c r="A678" s="209"/>
      <c r="B678" s="209"/>
      <c r="C678" s="209"/>
      <c r="D678" s="209"/>
      <c r="E678" s="209"/>
      <c r="F678" s="240"/>
      <c r="G678" s="213"/>
      <c r="H678" s="213"/>
      <c r="I678" s="210"/>
      <c r="O678" s="244"/>
      <c r="R678" s="244"/>
      <c r="U678" s="244"/>
    </row>
    <row r="679">
      <c r="A679" s="209"/>
      <c r="B679" s="209"/>
      <c r="C679" s="209"/>
      <c r="D679" s="209"/>
      <c r="E679" s="209"/>
      <c r="F679" s="212"/>
      <c r="G679" s="213"/>
      <c r="H679" s="213"/>
      <c r="I679" s="210"/>
      <c r="O679" s="244"/>
      <c r="R679" s="244"/>
      <c r="U679" s="244"/>
    </row>
    <row r="680">
      <c r="A680" s="209"/>
      <c r="B680" s="209"/>
      <c r="C680" s="209"/>
      <c r="D680" s="209"/>
      <c r="E680" s="209"/>
      <c r="F680" s="212"/>
      <c r="G680" s="213"/>
      <c r="H680" s="213"/>
      <c r="I680" s="210"/>
      <c r="O680" s="244"/>
      <c r="R680" s="244"/>
      <c r="U680" s="244"/>
    </row>
    <row r="681">
      <c r="A681" s="209"/>
      <c r="B681" s="209"/>
      <c r="C681" s="209"/>
      <c r="D681" s="209"/>
      <c r="E681" s="209"/>
      <c r="F681" s="212"/>
      <c r="G681" s="213"/>
      <c r="H681" s="213"/>
      <c r="I681" s="210"/>
      <c r="O681" s="244"/>
      <c r="R681" s="244"/>
      <c r="U681" s="244"/>
    </row>
    <row r="682">
      <c r="A682" s="209"/>
      <c r="B682" s="209"/>
      <c r="C682" s="209"/>
      <c r="D682" s="209"/>
      <c r="E682" s="209"/>
      <c r="F682" s="212"/>
      <c r="G682" s="213"/>
      <c r="H682" s="213"/>
      <c r="I682" s="210"/>
      <c r="O682" s="244"/>
      <c r="R682" s="244"/>
      <c r="U682" s="244"/>
    </row>
    <row r="683">
      <c r="A683" s="209"/>
      <c r="B683" s="209"/>
      <c r="C683" s="209"/>
      <c r="D683" s="209"/>
      <c r="E683" s="209"/>
      <c r="F683" s="212"/>
      <c r="G683" s="213"/>
      <c r="H683" s="213"/>
      <c r="I683" s="214"/>
      <c r="O683" s="244"/>
      <c r="R683" s="244"/>
      <c r="U683" s="244"/>
    </row>
    <row r="684">
      <c r="F684" s="187"/>
      <c r="G684" s="187"/>
      <c r="H684" s="187"/>
      <c r="I684" s="245"/>
      <c r="O684" s="244"/>
      <c r="R684" s="244"/>
      <c r="U684" s="244"/>
    </row>
    <row r="685">
      <c r="F685" s="187"/>
      <c r="G685" s="187"/>
      <c r="H685" s="187"/>
      <c r="I685" s="245"/>
      <c r="O685" s="244"/>
      <c r="R685" s="244"/>
      <c r="U685" s="244"/>
    </row>
    <row r="686">
      <c r="F686" s="187"/>
      <c r="G686" s="187"/>
      <c r="H686" s="187"/>
      <c r="I686" s="245"/>
      <c r="O686" s="244"/>
      <c r="R686" s="244"/>
      <c r="U686" s="244"/>
    </row>
    <row r="687">
      <c r="F687" s="187"/>
      <c r="G687" s="187"/>
      <c r="H687" s="187"/>
      <c r="I687" s="245"/>
      <c r="O687" s="244"/>
      <c r="R687" s="244"/>
      <c r="U687" s="244"/>
    </row>
    <row r="688">
      <c r="F688" s="187"/>
      <c r="G688" s="187"/>
      <c r="H688" s="187"/>
      <c r="I688" s="245"/>
      <c r="O688" s="244"/>
      <c r="R688" s="244"/>
      <c r="U688" s="244"/>
    </row>
    <row r="689">
      <c r="F689" s="187"/>
      <c r="G689" s="187"/>
      <c r="H689" s="187"/>
      <c r="I689" s="245"/>
      <c r="O689" s="244"/>
      <c r="R689" s="244"/>
      <c r="U689" s="244"/>
    </row>
    <row r="690">
      <c r="F690" s="187"/>
      <c r="G690" s="187"/>
      <c r="H690" s="187"/>
      <c r="I690" s="245"/>
      <c r="O690" s="244"/>
      <c r="R690" s="244"/>
      <c r="U690" s="244"/>
    </row>
    <row r="691">
      <c r="F691" s="187"/>
      <c r="G691" s="187"/>
      <c r="H691" s="187"/>
      <c r="I691" s="245"/>
      <c r="O691" s="244"/>
      <c r="R691" s="244"/>
      <c r="U691" s="244"/>
    </row>
    <row r="692">
      <c r="F692" s="187"/>
      <c r="G692" s="187"/>
      <c r="H692" s="187"/>
      <c r="I692" s="245"/>
      <c r="O692" s="244"/>
      <c r="R692" s="244"/>
      <c r="U692" s="244"/>
    </row>
    <row r="693">
      <c r="F693" s="187"/>
      <c r="G693" s="187"/>
      <c r="H693" s="187"/>
      <c r="I693" s="245"/>
      <c r="O693" s="244"/>
      <c r="R693" s="244"/>
      <c r="U693" s="244"/>
    </row>
    <row r="694">
      <c r="F694" s="187"/>
      <c r="G694" s="187"/>
      <c r="H694" s="187"/>
      <c r="I694" s="245"/>
      <c r="O694" s="244"/>
      <c r="R694" s="244"/>
      <c r="U694" s="244"/>
    </row>
    <row r="695">
      <c r="F695" s="187"/>
      <c r="G695" s="187"/>
      <c r="H695" s="187"/>
      <c r="I695" s="245"/>
      <c r="O695" s="244"/>
      <c r="R695" s="244"/>
      <c r="U695" s="244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6" t="s">
        <v>351</v>
      </c>
      <c r="B1" s="247" t="s">
        <v>352</v>
      </c>
      <c r="C1" s="248"/>
      <c r="D1" s="248"/>
      <c r="E1" s="248"/>
      <c r="F1" s="248"/>
      <c r="G1" s="248"/>
      <c r="H1" s="248"/>
      <c r="I1" s="248"/>
      <c r="J1" s="249"/>
      <c r="K1" s="250"/>
      <c r="L1" s="209"/>
      <c r="M1" s="251"/>
      <c r="N1" s="251"/>
      <c r="O1" s="251"/>
      <c r="P1" s="251"/>
      <c r="Q1" s="251"/>
      <c r="R1" s="251"/>
      <c r="S1" s="252"/>
      <c r="T1" s="253"/>
      <c r="U1" s="251"/>
      <c r="V1" s="251"/>
      <c r="W1" s="254"/>
      <c r="X1" s="209"/>
      <c r="Y1" s="255"/>
      <c r="Z1" s="256" t="s">
        <v>353</v>
      </c>
      <c r="AA1" s="255"/>
      <c r="AB1" s="255"/>
      <c r="AC1" s="255"/>
      <c r="AD1" s="255"/>
      <c r="AE1" s="255"/>
      <c r="AF1" s="257"/>
      <c r="AG1" s="255"/>
      <c r="AH1" s="255"/>
      <c r="AI1" s="255"/>
      <c r="AJ1" s="209"/>
      <c r="AK1" s="209"/>
    </row>
    <row r="2">
      <c r="A2" s="258" t="s">
        <v>197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09"/>
      <c r="M2" s="260" t="s">
        <v>275</v>
      </c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09"/>
      <c r="Y2" s="261" t="s">
        <v>354</v>
      </c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09"/>
      <c r="AK2" s="209"/>
    </row>
    <row r="3">
      <c r="A3" s="262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09"/>
      <c r="M3" s="262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09"/>
      <c r="Y3" s="262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09"/>
      <c r="AK3" s="209"/>
    </row>
    <row r="4">
      <c r="A4" s="264" t="s">
        <v>355</v>
      </c>
      <c r="B4" s="265" t="s">
        <v>356</v>
      </c>
      <c r="C4" s="265" t="s">
        <v>357</v>
      </c>
      <c r="D4" s="266" t="s">
        <v>358</v>
      </c>
      <c r="E4" s="267" t="s">
        <v>359</v>
      </c>
      <c r="F4" s="268" t="s">
        <v>360</v>
      </c>
      <c r="G4" s="268" t="s">
        <v>361</v>
      </c>
      <c r="H4" s="268" t="s">
        <v>362</v>
      </c>
      <c r="I4" s="268" t="s">
        <v>363</v>
      </c>
      <c r="J4" s="265" t="s">
        <v>364</v>
      </c>
      <c r="K4" s="269" t="s">
        <v>365</v>
      </c>
      <c r="L4" s="209"/>
      <c r="M4" s="264" t="s">
        <v>355</v>
      </c>
      <c r="N4" s="265" t="s">
        <v>356</v>
      </c>
      <c r="O4" s="268" t="s">
        <v>357</v>
      </c>
      <c r="P4" s="265" t="s">
        <v>358</v>
      </c>
      <c r="Q4" s="270" t="s">
        <v>359</v>
      </c>
      <c r="R4" s="268" t="s">
        <v>360</v>
      </c>
      <c r="S4" s="268" t="s">
        <v>361</v>
      </c>
      <c r="T4" s="268" t="s">
        <v>366</v>
      </c>
      <c r="U4" s="268" t="s">
        <v>363</v>
      </c>
      <c r="V4" s="265" t="s">
        <v>364</v>
      </c>
      <c r="W4" s="269" t="s">
        <v>365</v>
      </c>
      <c r="X4" s="209"/>
      <c r="Y4" s="264" t="s">
        <v>355</v>
      </c>
      <c r="Z4" s="265" t="s">
        <v>356</v>
      </c>
      <c r="AA4" s="265" t="s">
        <v>367</v>
      </c>
      <c r="AB4" s="265" t="s">
        <v>358</v>
      </c>
      <c r="AC4" s="265" t="s">
        <v>359</v>
      </c>
      <c r="AD4" s="268" t="s">
        <v>360</v>
      </c>
      <c r="AE4" s="268" t="s">
        <v>361</v>
      </c>
      <c r="AF4" s="268" t="s">
        <v>366</v>
      </c>
      <c r="AG4" s="268" t="s">
        <v>363</v>
      </c>
      <c r="AH4" s="265" t="s">
        <v>364</v>
      </c>
      <c r="AI4" s="269" t="s">
        <v>365</v>
      </c>
      <c r="AJ4" s="209"/>
      <c r="AK4" s="209"/>
    </row>
    <row r="5">
      <c r="A5" s="271" t="s">
        <v>368</v>
      </c>
      <c r="B5" s="272" t="s">
        <v>240</v>
      </c>
      <c r="C5" s="273"/>
      <c r="D5" s="274" t="s">
        <v>239</v>
      </c>
      <c r="E5" s="275" t="s">
        <v>369</v>
      </c>
      <c r="F5" s="273"/>
      <c r="G5" s="273"/>
      <c r="H5" s="276" t="s">
        <v>370</v>
      </c>
      <c r="I5" s="277" t="s">
        <v>371</v>
      </c>
      <c r="J5" s="278" t="str">
        <f>IF(COUNTIF(J6:J13, TRUE) = COUNTA(J6:J13), "Complete!", IF(COUNTIF(J6:J13, TRUE) &gt; 0, "Partial", "Not Started"))</f>
        <v>Complete!</v>
      </c>
      <c r="K5" s="279"/>
      <c r="L5" s="280">
        <v>8.0</v>
      </c>
      <c r="M5" s="281" t="s">
        <v>368</v>
      </c>
      <c r="N5" s="282" t="s">
        <v>372</v>
      </c>
      <c r="O5" s="273"/>
      <c r="P5" s="283" t="s">
        <v>373</v>
      </c>
      <c r="Q5" s="284" t="s">
        <v>374</v>
      </c>
      <c r="R5" s="273"/>
      <c r="S5" s="275" t="s">
        <v>375</v>
      </c>
      <c r="T5" s="276" t="s">
        <v>376</v>
      </c>
      <c r="U5" s="285" t="s">
        <v>377</v>
      </c>
      <c r="V5" s="278" t="str">
        <f>IF(COUNTIF(V6:V16, TRUE) = COUNTA(V6:V16), "Complete!", IF(COUNTIF(V6:V16, TRUE) &gt; 0, "Partial", "Not Started"))</f>
        <v>Complete!</v>
      </c>
      <c r="W5" s="279"/>
      <c r="X5" s="280">
        <v>11.0</v>
      </c>
      <c r="Y5" s="286" t="s">
        <v>368</v>
      </c>
      <c r="Z5" s="287" t="s">
        <v>378</v>
      </c>
      <c r="AA5" s="288"/>
      <c r="AB5" s="274" t="s">
        <v>379</v>
      </c>
      <c r="AC5" s="289" t="s">
        <v>380</v>
      </c>
      <c r="AD5" s="288"/>
      <c r="AE5" s="290" t="s">
        <v>381</v>
      </c>
      <c r="AF5" s="276" t="s">
        <v>370</v>
      </c>
      <c r="AG5" s="276" t="s">
        <v>382</v>
      </c>
      <c r="AH5" s="278" t="str">
        <f>IF(COUNTIF(AH6:AH21, TRUE) = COUNTA(AH6:AH21), "Complete!", IF(COUNTIF(AH6:AH21, TRUE) &gt; 0, "Partial", "Not Started"))</f>
        <v>Complete!</v>
      </c>
      <c r="AI5" s="279"/>
      <c r="AJ5" s="280">
        <v>16.0</v>
      </c>
      <c r="AK5" s="209"/>
    </row>
    <row r="6">
      <c r="A6" s="291"/>
      <c r="B6" s="292" t="s">
        <v>383</v>
      </c>
      <c r="C6" s="293" t="s">
        <v>384</v>
      </c>
      <c r="D6" s="293" t="s">
        <v>385</v>
      </c>
      <c r="E6" s="294">
        <v>8.10115971085E11</v>
      </c>
      <c r="F6" s="295"/>
      <c r="G6" s="295"/>
      <c r="H6" s="295"/>
      <c r="I6" s="295"/>
      <c r="J6" s="296" t="b">
        <v>1</v>
      </c>
      <c r="K6" s="297" t="b">
        <v>0</v>
      </c>
      <c r="L6" s="209"/>
      <c r="M6" s="291"/>
      <c r="N6" s="292" t="s">
        <v>386</v>
      </c>
      <c r="O6" s="298" t="s">
        <v>387</v>
      </c>
      <c r="P6" s="293" t="s">
        <v>388</v>
      </c>
      <c r="Q6" s="299">
        <v>8.10115970873E11</v>
      </c>
      <c r="R6" s="295"/>
      <c r="S6" s="295"/>
      <c r="T6" s="295"/>
      <c r="U6" s="295"/>
      <c r="V6" s="300" t="b">
        <v>1</v>
      </c>
      <c r="W6" s="301" t="b">
        <v>0</v>
      </c>
      <c r="X6" s="209"/>
      <c r="Y6" s="291"/>
      <c r="Z6" s="292" t="s">
        <v>389</v>
      </c>
      <c r="AA6" s="293" t="s">
        <v>390</v>
      </c>
      <c r="AB6" s="293" t="s">
        <v>391</v>
      </c>
      <c r="AC6" s="302" t="s">
        <v>392</v>
      </c>
      <c r="AD6" s="295"/>
      <c r="AE6" s="295"/>
      <c r="AF6" s="295"/>
      <c r="AG6" s="295"/>
      <c r="AH6" s="296" t="b">
        <v>1</v>
      </c>
      <c r="AI6" s="297" t="b">
        <v>0</v>
      </c>
      <c r="AJ6" s="209"/>
      <c r="AK6" s="209"/>
    </row>
    <row r="7">
      <c r="A7" s="291"/>
      <c r="B7" s="303" t="s">
        <v>393</v>
      </c>
      <c r="C7" s="304" t="s">
        <v>394</v>
      </c>
      <c r="D7" s="304" t="s">
        <v>395</v>
      </c>
      <c r="E7" s="305">
        <v>8.10115971313E11</v>
      </c>
      <c r="F7" s="295"/>
      <c r="G7" s="209"/>
      <c r="H7" s="209"/>
      <c r="I7" s="295"/>
      <c r="J7" s="296" t="b">
        <v>1</v>
      </c>
      <c r="K7" s="301" t="b">
        <v>0</v>
      </c>
      <c r="L7" s="209"/>
      <c r="M7" s="291"/>
      <c r="N7" s="303" t="s">
        <v>396</v>
      </c>
      <c r="O7" s="306" t="s">
        <v>397</v>
      </c>
      <c r="P7" s="304" t="s">
        <v>398</v>
      </c>
      <c r="Q7" s="307">
        <v>8.10115970132E11</v>
      </c>
      <c r="R7" s="209"/>
      <c r="S7" s="209"/>
      <c r="T7" s="209"/>
      <c r="U7" s="209"/>
      <c r="V7" s="300" t="b">
        <v>1</v>
      </c>
      <c r="W7" s="301" t="b">
        <v>0</v>
      </c>
      <c r="X7" s="209"/>
      <c r="Y7" s="291"/>
      <c r="Z7" s="303" t="s">
        <v>399</v>
      </c>
      <c r="AA7" s="304" t="s">
        <v>400</v>
      </c>
      <c r="AB7" s="304" t="s">
        <v>401</v>
      </c>
      <c r="AC7" s="308" t="s">
        <v>402</v>
      </c>
      <c r="AD7" s="209"/>
      <c r="AE7" s="209"/>
      <c r="AF7" s="209"/>
      <c r="AG7" s="209"/>
      <c r="AH7" s="296" t="b">
        <v>1</v>
      </c>
      <c r="AI7" s="301" t="b">
        <v>0</v>
      </c>
      <c r="AJ7" s="209"/>
      <c r="AK7" s="209"/>
    </row>
    <row r="8">
      <c r="A8" s="291"/>
      <c r="B8" s="303" t="s">
        <v>403</v>
      </c>
      <c r="C8" s="304" t="s">
        <v>404</v>
      </c>
      <c r="D8" s="304" t="s">
        <v>405</v>
      </c>
      <c r="E8" s="305">
        <v>8.10115976578E11</v>
      </c>
      <c r="F8" s="293" t="s">
        <v>406</v>
      </c>
      <c r="G8" s="209"/>
      <c r="H8" s="209"/>
      <c r="I8" s="293" t="s">
        <v>407</v>
      </c>
      <c r="J8" s="296" t="b">
        <v>1</v>
      </c>
      <c r="K8" s="301" t="b">
        <v>1</v>
      </c>
      <c r="L8" s="209"/>
      <c r="M8" s="291"/>
      <c r="N8" s="303" t="s">
        <v>408</v>
      </c>
      <c r="O8" s="306" t="s">
        <v>409</v>
      </c>
      <c r="P8" s="304" t="s">
        <v>410</v>
      </c>
      <c r="Q8" s="307">
        <v>8.10115976066E11</v>
      </c>
      <c r="R8" s="209"/>
      <c r="S8" s="209"/>
      <c r="T8" s="209"/>
      <c r="U8" s="209"/>
      <c r="V8" s="300" t="b">
        <v>1</v>
      </c>
      <c r="W8" s="301" t="b">
        <v>0</v>
      </c>
      <c r="X8" s="209"/>
      <c r="Y8" s="291"/>
      <c r="Z8" s="303" t="s">
        <v>411</v>
      </c>
      <c r="AA8" s="304" t="s">
        <v>412</v>
      </c>
      <c r="AB8" s="304" t="s">
        <v>413</v>
      </c>
      <c r="AC8" s="308" t="s">
        <v>414</v>
      </c>
      <c r="AD8" s="209"/>
      <c r="AE8" s="209"/>
      <c r="AF8" s="209"/>
      <c r="AG8" s="209"/>
      <c r="AH8" s="296" t="b">
        <v>1</v>
      </c>
      <c r="AI8" s="301" t="b">
        <v>0</v>
      </c>
      <c r="AJ8" s="209"/>
      <c r="AK8" s="209"/>
    </row>
    <row r="9">
      <c r="A9" s="291"/>
      <c r="B9" s="303" t="s">
        <v>415</v>
      </c>
      <c r="C9" s="304" t="s">
        <v>390</v>
      </c>
      <c r="D9" s="304" t="s">
        <v>416</v>
      </c>
      <c r="E9" s="305">
        <v>8.10115972921E11</v>
      </c>
      <c r="F9" s="295"/>
      <c r="G9" s="209"/>
      <c r="H9" s="209"/>
      <c r="I9" s="295"/>
      <c r="J9" s="296" t="b">
        <v>1</v>
      </c>
      <c r="K9" s="301" t="b">
        <v>0</v>
      </c>
      <c r="L9" s="209"/>
      <c r="M9" s="291"/>
      <c r="N9" s="303" t="s">
        <v>417</v>
      </c>
      <c r="O9" s="306" t="s">
        <v>418</v>
      </c>
      <c r="P9" s="304" t="s">
        <v>419</v>
      </c>
      <c r="Q9" s="307">
        <v>8.40472501588E11</v>
      </c>
      <c r="R9" s="209"/>
      <c r="S9" s="209"/>
      <c r="T9" s="209"/>
      <c r="U9" s="209"/>
      <c r="V9" s="300" t="b">
        <v>1</v>
      </c>
      <c r="W9" s="301" t="b">
        <v>0</v>
      </c>
      <c r="X9" s="209"/>
      <c r="Y9" s="291"/>
      <c r="Z9" s="303" t="s">
        <v>420</v>
      </c>
      <c r="AA9" s="304" t="s">
        <v>421</v>
      </c>
      <c r="AB9" s="304" t="s">
        <v>422</v>
      </c>
      <c r="AC9" s="308" t="s">
        <v>423</v>
      </c>
      <c r="AD9" s="209"/>
      <c r="AE9" s="209"/>
      <c r="AF9" s="209"/>
      <c r="AG9" s="209"/>
      <c r="AH9" s="296" t="b">
        <v>1</v>
      </c>
      <c r="AI9" s="301" t="b">
        <v>0</v>
      </c>
      <c r="AJ9" s="209"/>
      <c r="AK9" s="209"/>
    </row>
    <row r="10">
      <c r="A10" s="291"/>
      <c r="B10" s="303" t="s">
        <v>424</v>
      </c>
      <c r="C10" s="304" t="s">
        <v>400</v>
      </c>
      <c r="D10" s="304" t="s">
        <v>425</v>
      </c>
      <c r="E10" s="305">
        <v>8.10115973027E11</v>
      </c>
      <c r="F10" s="293" t="s">
        <v>406</v>
      </c>
      <c r="G10" s="209"/>
      <c r="H10" s="209"/>
      <c r="I10" s="293" t="s">
        <v>426</v>
      </c>
      <c r="J10" s="296" t="b">
        <v>1</v>
      </c>
      <c r="K10" s="301" t="b">
        <v>1</v>
      </c>
      <c r="L10" s="209"/>
      <c r="M10" s="291"/>
      <c r="N10" s="303" t="s">
        <v>427</v>
      </c>
      <c r="O10" s="306" t="s">
        <v>428</v>
      </c>
      <c r="P10" s="304" t="s">
        <v>429</v>
      </c>
      <c r="Q10" s="307">
        <v>8.40472501632E11</v>
      </c>
      <c r="R10" s="209"/>
      <c r="S10" s="209"/>
      <c r="T10" s="209"/>
      <c r="U10" s="209"/>
      <c r="V10" s="300" t="b">
        <v>1</v>
      </c>
      <c r="W10" s="301" t="b">
        <v>0</v>
      </c>
      <c r="X10" s="209"/>
      <c r="Y10" s="291"/>
      <c r="Z10" s="303" t="s">
        <v>430</v>
      </c>
      <c r="AA10" s="304" t="s">
        <v>431</v>
      </c>
      <c r="AB10" s="304" t="s">
        <v>432</v>
      </c>
      <c r="AC10" s="308" t="s">
        <v>433</v>
      </c>
      <c r="AD10" s="209"/>
      <c r="AE10" s="209"/>
      <c r="AF10" s="209"/>
      <c r="AG10" s="209"/>
      <c r="AH10" s="296" t="b">
        <v>1</v>
      </c>
      <c r="AI10" s="301" t="b">
        <v>0</v>
      </c>
      <c r="AJ10" s="209"/>
      <c r="AK10" s="209"/>
    </row>
    <row r="11">
      <c r="A11" s="291"/>
      <c r="B11" s="303" t="s">
        <v>241</v>
      </c>
      <c r="C11" s="304" t="s">
        <v>434</v>
      </c>
      <c r="D11" s="304" t="s">
        <v>435</v>
      </c>
      <c r="E11" s="305">
        <v>8.40472502554E11</v>
      </c>
      <c r="F11" s="295"/>
      <c r="G11" s="209"/>
      <c r="H11" s="209"/>
      <c r="I11" s="295"/>
      <c r="J11" s="296" t="b">
        <v>1</v>
      </c>
      <c r="K11" s="301" t="b">
        <v>0</v>
      </c>
      <c r="L11" s="209"/>
      <c r="M11" s="291"/>
      <c r="N11" s="303" t="s">
        <v>436</v>
      </c>
      <c r="O11" s="306" t="s">
        <v>437</v>
      </c>
      <c r="P11" s="304" t="s">
        <v>438</v>
      </c>
      <c r="Q11" s="307">
        <v>8.4047250167E11</v>
      </c>
      <c r="R11" s="209"/>
      <c r="S11" s="209"/>
      <c r="T11" s="209"/>
      <c r="U11" s="209"/>
      <c r="V11" s="300" t="b">
        <v>1</v>
      </c>
      <c r="W11" s="301" t="b">
        <v>0</v>
      </c>
      <c r="X11" s="209"/>
      <c r="Y11" s="291"/>
      <c r="Z11" s="303" t="s">
        <v>439</v>
      </c>
      <c r="AA11" s="304" t="s">
        <v>440</v>
      </c>
      <c r="AB11" s="304" t="s">
        <v>441</v>
      </c>
      <c r="AC11" s="308" t="s">
        <v>442</v>
      </c>
      <c r="AD11" s="209"/>
      <c r="AE11" s="209"/>
      <c r="AF11" s="209"/>
      <c r="AG11" s="209"/>
      <c r="AH11" s="296" t="b">
        <v>1</v>
      </c>
      <c r="AI11" s="301" t="b">
        <v>0</v>
      </c>
      <c r="AJ11" s="209"/>
      <c r="AK11" s="209"/>
    </row>
    <row r="12">
      <c r="A12" s="291"/>
      <c r="B12" s="303" t="s">
        <v>443</v>
      </c>
      <c r="C12" s="304" t="s">
        <v>412</v>
      </c>
      <c r="D12" s="304" t="s">
        <v>444</v>
      </c>
      <c r="E12" s="305">
        <v>8.10115973034E11</v>
      </c>
      <c r="F12" s="293" t="s">
        <v>406</v>
      </c>
      <c r="G12" s="209"/>
      <c r="H12" s="209"/>
      <c r="I12" s="293" t="s">
        <v>426</v>
      </c>
      <c r="J12" s="296" t="b">
        <v>1</v>
      </c>
      <c r="K12" s="301" t="b">
        <v>1</v>
      </c>
      <c r="L12" s="209"/>
      <c r="M12" s="291"/>
      <c r="N12" s="303" t="s">
        <v>445</v>
      </c>
      <c r="O12" s="306" t="s">
        <v>446</v>
      </c>
      <c r="P12" s="304" t="s">
        <v>447</v>
      </c>
      <c r="Q12" s="307">
        <v>8.4047250174E10</v>
      </c>
      <c r="R12" s="209"/>
      <c r="S12" s="209"/>
      <c r="T12" s="209"/>
      <c r="U12" s="209"/>
      <c r="V12" s="300" t="b">
        <v>1</v>
      </c>
      <c r="W12" s="301" t="b">
        <v>0</v>
      </c>
      <c r="X12" s="209"/>
      <c r="Y12" s="291"/>
      <c r="Z12" s="303" t="s">
        <v>448</v>
      </c>
      <c r="AA12" s="304" t="s">
        <v>449</v>
      </c>
      <c r="AB12" s="304" t="s">
        <v>450</v>
      </c>
      <c r="AC12" s="308" t="s">
        <v>451</v>
      </c>
      <c r="AD12" s="209"/>
      <c r="AE12" s="209"/>
      <c r="AF12" s="209"/>
      <c r="AG12" s="209"/>
      <c r="AH12" s="296" t="b">
        <v>1</v>
      </c>
      <c r="AI12" s="301" t="b">
        <v>0</v>
      </c>
      <c r="AJ12" s="209"/>
      <c r="AK12" s="209"/>
    </row>
    <row r="13">
      <c r="A13" s="309"/>
      <c r="B13" s="310" t="s">
        <v>452</v>
      </c>
      <c r="C13" s="311" t="s">
        <v>431</v>
      </c>
      <c r="D13" s="311" t="s">
        <v>453</v>
      </c>
      <c r="E13" s="312">
        <v>8.10115972938E11</v>
      </c>
      <c r="F13" s="295"/>
      <c r="G13" s="313"/>
      <c r="H13" s="313"/>
      <c r="I13" s="295"/>
      <c r="J13" s="296" t="b">
        <v>1</v>
      </c>
      <c r="K13" s="314" t="b">
        <v>0</v>
      </c>
      <c r="L13" s="209"/>
      <c r="M13" s="291"/>
      <c r="N13" s="303" t="s">
        <v>454</v>
      </c>
      <c r="O13" s="306" t="s">
        <v>455</v>
      </c>
      <c r="P13" s="304" t="s">
        <v>456</v>
      </c>
      <c r="Q13" s="307">
        <v>8.40472501687E11</v>
      </c>
      <c r="R13" s="209"/>
      <c r="S13" s="209"/>
      <c r="T13" s="209"/>
      <c r="U13" s="209"/>
      <c r="V13" s="300" t="b">
        <v>1</v>
      </c>
      <c r="W13" s="301" t="b">
        <v>0</v>
      </c>
      <c r="X13" s="209"/>
      <c r="Y13" s="291"/>
      <c r="Z13" s="303" t="s">
        <v>457</v>
      </c>
      <c r="AA13" s="304" t="s">
        <v>458</v>
      </c>
      <c r="AB13" s="304" t="s">
        <v>459</v>
      </c>
      <c r="AC13" s="308" t="s">
        <v>460</v>
      </c>
      <c r="AD13" s="209"/>
      <c r="AE13" s="209"/>
      <c r="AF13" s="209"/>
      <c r="AG13" s="209"/>
      <c r="AH13" s="296" t="b">
        <v>1</v>
      </c>
      <c r="AI13" s="301" t="b">
        <v>0</v>
      </c>
      <c r="AJ13" s="209"/>
      <c r="AK13" s="209"/>
    </row>
    <row r="14">
      <c r="A14" s="209"/>
      <c r="B14" s="209"/>
      <c r="C14" s="209"/>
      <c r="D14" s="209"/>
      <c r="E14" s="209"/>
      <c r="F14" s="209"/>
      <c r="G14" s="209"/>
      <c r="H14" s="209"/>
      <c r="I14" s="209"/>
      <c r="J14" s="315"/>
      <c r="K14" s="209"/>
      <c r="L14" s="209"/>
      <c r="M14" s="291"/>
      <c r="N14" s="303" t="s">
        <v>461</v>
      </c>
      <c r="O14" s="306" t="s">
        <v>462</v>
      </c>
      <c r="P14" s="304" t="s">
        <v>463</v>
      </c>
      <c r="Q14" s="307">
        <v>8.40472501618E11</v>
      </c>
      <c r="R14" s="209"/>
      <c r="S14" s="209"/>
      <c r="T14" s="209"/>
      <c r="U14" s="209"/>
      <c r="V14" s="300" t="b">
        <v>1</v>
      </c>
      <c r="W14" s="301" t="b">
        <v>0</v>
      </c>
      <c r="X14" s="209"/>
      <c r="Y14" s="291"/>
      <c r="Z14" s="303" t="s">
        <v>464</v>
      </c>
      <c r="AA14" s="304" t="s">
        <v>390</v>
      </c>
      <c r="AB14" s="304" t="s">
        <v>465</v>
      </c>
      <c r="AC14" s="308" t="s">
        <v>466</v>
      </c>
      <c r="AD14" s="209"/>
      <c r="AE14" s="209"/>
      <c r="AF14" s="209"/>
      <c r="AG14" s="209"/>
      <c r="AH14" s="296" t="b">
        <v>1</v>
      </c>
      <c r="AI14" s="301" t="b">
        <v>0</v>
      </c>
      <c r="AJ14" s="209"/>
      <c r="AK14" s="209"/>
    </row>
    <row r="15">
      <c r="A15" s="316" t="s">
        <v>467</v>
      </c>
      <c r="B15" s="272" t="s">
        <v>243</v>
      </c>
      <c r="C15" s="273"/>
      <c r="D15" s="274" t="s">
        <v>242</v>
      </c>
      <c r="E15" s="275" t="s">
        <v>369</v>
      </c>
      <c r="F15" s="273"/>
      <c r="G15" s="273"/>
      <c r="H15" s="276" t="s">
        <v>468</v>
      </c>
      <c r="I15" s="277" t="s">
        <v>469</v>
      </c>
      <c r="J15" s="278" t="str">
        <f>IF(COUNTIF(J16:J25, TRUE) = COUNTA(J16:J25), "Complete!", IF(COUNTIF(J16:J25, TRUE) &gt; 0, "Partial", "Not Started"))</f>
        <v>Complete!</v>
      </c>
      <c r="K15" s="279"/>
      <c r="L15" s="280">
        <v>10.0</v>
      </c>
      <c r="M15" s="291"/>
      <c r="N15" s="303" t="s">
        <v>470</v>
      </c>
      <c r="O15" s="306" t="s">
        <v>471</v>
      </c>
      <c r="P15" s="304" t="s">
        <v>472</v>
      </c>
      <c r="Q15" s="307">
        <v>8.40472501793E11</v>
      </c>
      <c r="R15" s="209"/>
      <c r="S15" s="209"/>
      <c r="T15" s="209"/>
      <c r="U15" s="209"/>
      <c r="V15" s="300" t="b">
        <v>1</v>
      </c>
      <c r="W15" s="301" t="b">
        <v>0</v>
      </c>
      <c r="X15" s="209"/>
      <c r="Y15" s="291"/>
      <c r="Z15" s="303" t="s">
        <v>473</v>
      </c>
      <c r="AA15" s="304" t="s">
        <v>431</v>
      </c>
      <c r="AB15" s="304" t="s">
        <v>474</v>
      </c>
      <c r="AC15" s="307">
        <v>8.101159702E11</v>
      </c>
      <c r="AD15" s="209"/>
      <c r="AE15" s="209"/>
      <c r="AF15" s="209"/>
      <c r="AG15" s="209"/>
      <c r="AH15" s="296" t="b">
        <v>1</v>
      </c>
      <c r="AI15" s="301" t="b">
        <v>0</v>
      </c>
      <c r="AJ15" s="209"/>
      <c r="AK15" s="209"/>
    </row>
    <row r="16">
      <c r="A16" s="291"/>
      <c r="B16" s="292" t="s">
        <v>475</v>
      </c>
      <c r="C16" s="293" t="s">
        <v>421</v>
      </c>
      <c r="D16" s="293" t="s">
        <v>476</v>
      </c>
      <c r="E16" s="294">
        <v>8.10115973058E11</v>
      </c>
      <c r="F16" s="293" t="s">
        <v>406</v>
      </c>
      <c r="G16" s="295"/>
      <c r="H16" s="295"/>
      <c r="I16" s="293" t="s">
        <v>426</v>
      </c>
      <c r="J16" s="296" t="b">
        <v>1</v>
      </c>
      <c r="K16" s="297" t="b">
        <v>1</v>
      </c>
      <c r="L16" s="209"/>
      <c r="M16" s="309"/>
      <c r="N16" s="310" t="s">
        <v>477</v>
      </c>
      <c r="O16" s="317" t="s">
        <v>478</v>
      </c>
      <c r="P16" s="311" t="s">
        <v>479</v>
      </c>
      <c r="Q16" s="318">
        <v>8.40472501649E11</v>
      </c>
      <c r="R16" s="313"/>
      <c r="S16" s="313"/>
      <c r="T16" s="313"/>
      <c r="U16" s="313"/>
      <c r="V16" s="300" t="b">
        <v>1</v>
      </c>
      <c r="W16" s="314" t="b">
        <v>0</v>
      </c>
      <c r="X16" s="209"/>
      <c r="Y16" s="291"/>
      <c r="Z16" s="303" t="s">
        <v>480</v>
      </c>
      <c r="AA16" s="304" t="s">
        <v>400</v>
      </c>
      <c r="AB16" s="304" t="s">
        <v>481</v>
      </c>
      <c r="AC16" s="307">
        <v>8.10115970194E11</v>
      </c>
      <c r="AD16" s="209"/>
      <c r="AE16" s="209"/>
      <c r="AF16" s="209"/>
      <c r="AG16" s="209"/>
      <c r="AH16" s="296" t="b">
        <v>1</v>
      </c>
      <c r="AI16" s="301" t="b">
        <v>0</v>
      </c>
      <c r="AJ16" s="209"/>
      <c r="AK16" s="209"/>
    </row>
    <row r="17">
      <c r="A17" s="291"/>
      <c r="B17" s="303" t="s">
        <v>482</v>
      </c>
      <c r="C17" s="304" t="s">
        <v>449</v>
      </c>
      <c r="D17" s="304" t="s">
        <v>483</v>
      </c>
      <c r="E17" s="305">
        <v>8.10115973065E11</v>
      </c>
      <c r="F17" s="304" t="s">
        <v>406</v>
      </c>
      <c r="G17" s="209"/>
      <c r="H17" s="209"/>
      <c r="I17" s="293" t="s">
        <v>426</v>
      </c>
      <c r="J17" s="296" t="b">
        <v>1</v>
      </c>
      <c r="K17" s="301" t="b">
        <v>1</v>
      </c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91"/>
      <c r="Z17" s="303" t="s">
        <v>484</v>
      </c>
      <c r="AA17" s="304" t="s">
        <v>421</v>
      </c>
      <c r="AB17" s="304" t="s">
        <v>485</v>
      </c>
      <c r="AC17" s="307">
        <v>8.1011597116E11</v>
      </c>
      <c r="AD17" s="209"/>
      <c r="AE17" s="209"/>
      <c r="AF17" s="209"/>
      <c r="AG17" s="209"/>
      <c r="AH17" s="296" t="b">
        <v>1</v>
      </c>
      <c r="AI17" s="301" t="b">
        <v>0</v>
      </c>
      <c r="AJ17" s="209"/>
      <c r="AK17" s="209"/>
    </row>
    <row r="18">
      <c r="A18" s="291"/>
      <c r="B18" s="303" t="s">
        <v>486</v>
      </c>
      <c r="C18" s="304" t="s">
        <v>487</v>
      </c>
      <c r="D18" s="304" t="s">
        <v>488</v>
      </c>
      <c r="E18" s="305">
        <v>8.10115972952E11</v>
      </c>
      <c r="F18" s="304" t="s">
        <v>406</v>
      </c>
      <c r="G18" s="209"/>
      <c r="H18" s="209"/>
      <c r="I18" s="304" t="s">
        <v>489</v>
      </c>
      <c r="J18" s="296" t="b">
        <v>1</v>
      </c>
      <c r="K18" s="301" t="b">
        <v>1</v>
      </c>
      <c r="L18" s="209"/>
      <c r="M18" s="281" t="s">
        <v>467</v>
      </c>
      <c r="N18" s="319" t="s">
        <v>490</v>
      </c>
      <c r="O18" s="320"/>
      <c r="P18" s="283" t="s">
        <v>491</v>
      </c>
      <c r="Q18" s="275" t="s">
        <v>374</v>
      </c>
      <c r="R18" s="273"/>
      <c r="S18" s="273"/>
      <c r="T18" s="276" t="s">
        <v>468</v>
      </c>
      <c r="U18" s="276" t="s">
        <v>492</v>
      </c>
      <c r="V18" s="278" t="str">
        <f>IF(COUNTIF(V19:V26, TRUE) = COUNTA(V19:V26), "Complete!", IF(COUNTIF(V19:V26, TRUE) &gt; 0, "Partial", "Not Started"))</f>
        <v>Complete!</v>
      </c>
      <c r="W18" s="279"/>
      <c r="X18" s="280">
        <v>8.0</v>
      </c>
      <c r="Y18" s="291"/>
      <c r="Z18" s="303" t="s">
        <v>493</v>
      </c>
      <c r="AA18" s="304" t="s">
        <v>412</v>
      </c>
      <c r="AB18" s="304" t="s">
        <v>494</v>
      </c>
      <c r="AC18" s="308" t="s">
        <v>495</v>
      </c>
      <c r="AD18" s="209"/>
      <c r="AE18" s="209"/>
      <c r="AF18" s="209"/>
      <c r="AG18" s="209"/>
      <c r="AH18" s="296" t="b">
        <v>1</v>
      </c>
      <c r="AI18" s="301" t="b">
        <v>0</v>
      </c>
      <c r="AJ18" s="209"/>
      <c r="AK18" s="209"/>
    </row>
    <row r="19">
      <c r="A19" s="291"/>
      <c r="B19" s="303" t="s">
        <v>496</v>
      </c>
      <c r="C19" s="304" t="s">
        <v>440</v>
      </c>
      <c r="D19" s="304" t="s">
        <v>497</v>
      </c>
      <c r="E19" s="305">
        <v>8.10115972709E11</v>
      </c>
      <c r="F19" s="209"/>
      <c r="G19" s="209"/>
      <c r="H19" s="209"/>
      <c r="I19" s="209"/>
      <c r="J19" s="296" t="b">
        <v>1</v>
      </c>
      <c r="K19" s="301" t="b">
        <v>0</v>
      </c>
      <c r="L19" s="209"/>
      <c r="M19" s="291"/>
      <c r="N19" s="304" t="s">
        <v>498</v>
      </c>
      <c r="O19" s="306" t="s">
        <v>499</v>
      </c>
      <c r="P19" s="304" t="s">
        <v>500</v>
      </c>
      <c r="Q19" s="307">
        <v>8.10115970958E11</v>
      </c>
      <c r="R19" s="295"/>
      <c r="S19" s="295"/>
      <c r="T19" s="295"/>
      <c r="U19" s="295"/>
      <c r="V19" s="296" t="b">
        <v>1</v>
      </c>
      <c r="W19" s="297" t="b">
        <v>0</v>
      </c>
      <c r="X19" s="209"/>
      <c r="Y19" s="291"/>
      <c r="Z19" s="303" t="s">
        <v>501</v>
      </c>
      <c r="AA19" s="304" t="s">
        <v>502</v>
      </c>
      <c r="AB19" s="304" t="s">
        <v>503</v>
      </c>
      <c r="AC19" s="209"/>
      <c r="AD19" s="209"/>
      <c r="AE19" s="209"/>
      <c r="AF19" s="209"/>
      <c r="AG19" s="209"/>
      <c r="AH19" s="296" t="b">
        <v>1</v>
      </c>
      <c r="AI19" s="301" t="b">
        <v>0</v>
      </c>
      <c r="AJ19" s="209"/>
      <c r="AK19" s="209"/>
    </row>
    <row r="20">
      <c r="A20" s="291"/>
      <c r="B20" s="303" t="s">
        <v>504</v>
      </c>
      <c r="C20" s="304" t="s">
        <v>505</v>
      </c>
      <c r="D20" s="304" t="s">
        <v>506</v>
      </c>
      <c r="E20" s="305">
        <v>8.10115973256E11</v>
      </c>
      <c r="F20" s="209"/>
      <c r="G20" s="209"/>
      <c r="H20" s="209"/>
      <c r="I20" s="209"/>
      <c r="J20" s="296" t="b">
        <v>1</v>
      </c>
      <c r="K20" s="301" t="b">
        <v>0</v>
      </c>
      <c r="L20" s="209"/>
      <c r="M20" s="291"/>
      <c r="N20" s="304" t="s">
        <v>507</v>
      </c>
      <c r="O20" s="306" t="s">
        <v>437</v>
      </c>
      <c r="P20" s="304" t="s">
        <v>508</v>
      </c>
      <c r="Q20" s="307">
        <v>8.10115970125E11</v>
      </c>
      <c r="R20" s="209"/>
      <c r="S20" s="209"/>
      <c r="T20" s="209"/>
      <c r="U20" s="209"/>
      <c r="V20" s="296" t="b">
        <v>1</v>
      </c>
      <c r="W20" s="301" t="b">
        <v>0</v>
      </c>
      <c r="X20" s="209"/>
      <c r="Y20" s="291"/>
      <c r="Z20" s="303" t="s">
        <v>509</v>
      </c>
      <c r="AA20" s="304" t="s">
        <v>510</v>
      </c>
      <c r="AB20" s="304" t="s">
        <v>511</v>
      </c>
      <c r="AC20" s="209"/>
      <c r="AD20" s="209"/>
      <c r="AE20" s="209"/>
      <c r="AF20" s="209"/>
      <c r="AG20" s="209"/>
      <c r="AH20" s="296" t="b">
        <v>1</v>
      </c>
      <c r="AI20" s="301" t="b">
        <v>0</v>
      </c>
      <c r="AJ20" s="209"/>
      <c r="AK20" s="209"/>
    </row>
    <row r="21">
      <c r="A21" s="291"/>
      <c r="B21" s="303" t="s">
        <v>512</v>
      </c>
      <c r="C21" s="304" t="s">
        <v>513</v>
      </c>
      <c r="D21" s="304" t="s">
        <v>514</v>
      </c>
      <c r="E21" s="305">
        <v>8.40472502462E11</v>
      </c>
      <c r="F21" s="209"/>
      <c r="G21" s="209"/>
      <c r="H21" s="209"/>
      <c r="I21" s="209"/>
      <c r="J21" s="296" t="b">
        <v>1</v>
      </c>
      <c r="K21" s="301" t="b">
        <v>0</v>
      </c>
      <c r="L21" s="209"/>
      <c r="M21" s="291"/>
      <c r="N21" s="304" t="s">
        <v>515</v>
      </c>
      <c r="O21" s="306" t="s">
        <v>516</v>
      </c>
      <c r="P21" s="304" t="s">
        <v>517</v>
      </c>
      <c r="Q21" s="307">
        <v>8.10115970941E11</v>
      </c>
      <c r="R21" s="209"/>
      <c r="S21" s="209"/>
      <c r="T21" s="209"/>
      <c r="U21" s="209"/>
      <c r="V21" s="296" t="b">
        <v>1</v>
      </c>
      <c r="W21" s="301" t="b">
        <v>0</v>
      </c>
      <c r="X21" s="209"/>
      <c r="Y21" s="309"/>
      <c r="Z21" s="310" t="s">
        <v>518</v>
      </c>
      <c r="AA21" s="311" t="s">
        <v>519</v>
      </c>
      <c r="AB21" s="311" t="s">
        <v>520</v>
      </c>
      <c r="AC21" s="313"/>
      <c r="AD21" s="313"/>
      <c r="AE21" s="313"/>
      <c r="AF21" s="313"/>
      <c r="AG21" s="313"/>
      <c r="AH21" s="296" t="b">
        <v>1</v>
      </c>
      <c r="AI21" s="314" t="b">
        <v>0</v>
      </c>
      <c r="AJ21" s="209"/>
      <c r="AK21" s="209"/>
    </row>
    <row r="22">
      <c r="A22" s="291"/>
      <c r="B22" s="303" t="s">
        <v>521</v>
      </c>
      <c r="C22" s="304" t="s">
        <v>522</v>
      </c>
      <c r="D22" s="304" t="s">
        <v>523</v>
      </c>
      <c r="E22" s="305">
        <v>8.40472502486E11</v>
      </c>
      <c r="F22" s="209"/>
      <c r="G22" s="209"/>
      <c r="H22" s="209"/>
      <c r="I22" s="209"/>
      <c r="J22" s="296" t="b">
        <v>1</v>
      </c>
      <c r="K22" s="301" t="b">
        <v>0</v>
      </c>
      <c r="L22" s="209"/>
      <c r="M22" s="291"/>
      <c r="N22" s="304" t="s">
        <v>524</v>
      </c>
      <c r="O22" s="306" t="s">
        <v>525</v>
      </c>
      <c r="P22" s="304" t="s">
        <v>526</v>
      </c>
      <c r="Q22" s="307">
        <v>8.40472501731E11</v>
      </c>
      <c r="R22" s="304" t="s">
        <v>527</v>
      </c>
      <c r="S22" s="209"/>
      <c r="T22" s="209"/>
      <c r="U22" s="209"/>
      <c r="V22" s="296" t="b">
        <v>1</v>
      </c>
      <c r="W22" s="301" t="b">
        <v>1</v>
      </c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</row>
    <row r="23">
      <c r="A23" s="291"/>
      <c r="B23" s="303" t="s">
        <v>528</v>
      </c>
      <c r="C23" s="304" t="s">
        <v>529</v>
      </c>
      <c r="D23" s="304" t="s">
        <v>530</v>
      </c>
      <c r="E23" s="305">
        <v>8.10115973263E11</v>
      </c>
      <c r="F23" s="304" t="s">
        <v>406</v>
      </c>
      <c r="G23" s="209"/>
      <c r="H23" s="209"/>
      <c r="I23" s="304" t="s">
        <v>531</v>
      </c>
      <c r="J23" s="296" t="b">
        <v>1</v>
      </c>
      <c r="K23" s="301" t="b">
        <v>1</v>
      </c>
      <c r="L23" s="209"/>
      <c r="M23" s="291"/>
      <c r="N23" s="304" t="s">
        <v>532</v>
      </c>
      <c r="O23" s="306" t="s">
        <v>533</v>
      </c>
      <c r="P23" s="304" t="s">
        <v>534</v>
      </c>
      <c r="Q23" s="307">
        <v>8.40472501724E11</v>
      </c>
      <c r="R23" s="209"/>
      <c r="S23" s="209"/>
      <c r="T23" s="209"/>
      <c r="U23" s="209"/>
      <c r="V23" s="296" t="b">
        <v>1</v>
      </c>
      <c r="W23" s="301" t="b">
        <v>0</v>
      </c>
      <c r="X23" s="209"/>
      <c r="Y23" s="286" t="s">
        <v>467</v>
      </c>
      <c r="Z23" s="282" t="s">
        <v>535</v>
      </c>
      <c r="AA23" s="273"/>
      <c r="AB23" s="274" t="s">
        <v>536</v>
      </c>
      <c r="AC23" s="321" t="s">
        <v>380</v>
      </c>
      <c r="AD23" s="273"/>
      <c r="AE23" s="273"/>
      <c r="AF23" s="276" t="s">
        <v>370</v>
      </c>
      <c r="AG23" s="276" t="s">
        <v>537</v>
      </c>
      <c r="AH23" s="278" t="str">
        <f>IF(COUNTIF(AH24:AH33, TRUE) = COUNTA(AH24:AH33), "Complete!", IF(COUNTIF(AH24:AH33, TRUE) &gt; 0, "Partial", "Not Started"))</f>
        <v>Complete!</v>
      </c>
      <c r="AI23" s="279"/>
      <c r="AJ23" s="280">
        <v>10.0</v>
      </c>
      <c r="AK23" s="209"/>
    </row>
    <row r="24">
      <c r="A24" s="291"/>
      <c r="B24" s="303" t="s">
        <v>538</v>
      </c>
      <c r="C24" s="304" t="s">
        <v>539</v>
      </c>
      <c r="D24" s="304" t="s">
        <v>540</v>
      </c>
      <c r="E24" s="305">
        <v>8.10115977094E11</v>
      </c>
      <c r="F24" s="209"/>
      <c r="G24" s="209"/>
      <c r="H24" s="209"/>
      <c r="I24" s="209"/>
      <c r="J24" s="296" t="b">
        <v>1</v>
      </c>
      <c r="K24" s="301" t="b">
        <v>0</v>
      </c>
      <c r="L24" s="209"/>
      <c r="M24" s="291"/>
      <c r="N24" s="304" t="s">
        <v>541</v>
      </c>
      <c r="O24" s="306" t="s">
        <v>542</v>
      </c>
      <c r="P24" s="304" t="s">
        <v>543</v>
      </c>
      <c r="Q24" s="307">
        <v>8.40472501694E11</v>
      </c>
      <c r="R24" s="209"/>
      <c r="S24" s="209"/>
      <c r="T24" s="209"/>
      <c r="U24" s="209"/>
      <c r="V24" s="296" t="b">
        <v>1</v>
      </c>
      <c r="W24" s="301" t="b">
        <v>0</v>
      </c>
      <c r="X24" s="209"/>
      <c r="Y24" s="291"/>
      <c r="Z24" s="292" t="s">
        <v>544</v>
      </c>
      <c r="AA24" s="293" t="s">
        <v>390</v>
      </c>
      <c r="AB24" s="293" t="s">
        <v>545</v>
      </c>
      <c r="AC24" s="299">
        <v>8.101159764E11</v>
      </c>
      <c r="AD24" s="293" t="s">
        <v>527</v>
      </c>
      <c r="AE24" s="295"/>
      <c r="AF24" s="295"/>
      <c r="AG24" s="295"/>
      <c r="AH24" s="299" t="b">
        <v>1</v>
      </c>
      <c r="AI24" s="297" t="b">
        <v>1</v>
      </c>
      <c r="AJ24" s="209"/>
      <c r="AK24" s="209"/>
    </row>
    <row r="25">
      <c r="A25" s="309"/>
      <c r="B25" s="310" t="s">
        <v>546</v>
      </c>
      <c r="C25" s="304" t="s">
        <v>547</v>
      </c>
      <c r="D25" s="311" t="s">
        <v>548</v>
      </c>
      <c r="E25" s="312">
        <v>8.40472502431E11</v>
      </c>
      <c r="F25" s="311" t="s">
        <v>406</v>
      </c>
      <c r="G25" s="313"/>
      <c r="H25" s="313"/>
      <c r="I25" s="311" t="s">
        <v>549</v>
      </c>
      <c r="J25" s="296" t="b">
        <v>1</v>
      </c>
      <c r="K25" s="314" t="b">
        <v>1</v>
      </c>
      <c r="L25" s="209"/>
      <c r="M25" s="291"/>
      <c r="N25" s="304" t="s">
        <v>550</v>
      </c>
      <c r="O25" s="306" t="s">
        <v>551</v>
      </c>
      <c r="P25" s="304" t="s">
        <v>552</v>
      </c>
      <c r="Q25" s="307">
        <v>8.40472501717E11</v>
      </c>
      <c r="R25" s="209"/>
      <c r="S25" s="209"/>
      <c r="T25" s="209"/>
      <c r="U25" s="209"/>
      <c r="V25" s="296" t="b">
        <v>1</v>
      </c>
      <c r="W25" s="301" t="b">
        <v>0</v>
      </c>
      <c r="X25" s="209"/>
      <c r="Y25" s="291"/>
      <c r="Z25" s="303" t="s">
        <v>553</v>
      </c>
      <c r="AA25" s="304" t="s">
        <v>554</v>
      </c>
      <c r="AB25" s="304" t="s">
        <v>555</v>
      </c>
      <c r="AC25" s="209"/>
      <c r="AD25" s="209"/>
      <c r="AE25" s="209"/>
      <c r="AF25" s="209"/>
      <c r="AG25" s="209"/>
      <c r="AH25" s="307" t="b">
        <v>1</v>
      </c>
      <c r="AI25" s="301" t="b">
        <v>0</v>
      </c>
      <c r="AJ25" s="209"/>
      <c r="AK25" s="209"/>
    </row>
    <row r="26">
      <c r="A26" s="209"/>
      <c r="B26" s="209"/>
      <c r="C26" s="209"/>
      <c r="D26" s="209"/>
      <c r="E26" s="209"/>
      <c r="F26" s="209"/>
      <c r="G26" s="209"/>
      <c r="H26" s="209"/>
      <c r="I26" s="209"/>
      <c r="J26" s="315"/>
      <c r="K26" s="209"/>
      <c r="L26" s="209"/>
      <c r="M26" s="291"/>
      <c r="N26" s="311" t="s">
        <v>556</v>
      </c>
      <c r="O26" s="317" t="s">
        <v>557</v>
      </c>
      <c r="P26" s="311" t="s">
        <v>558</v>
      </c>
      <c r="Q26" s="318">
        <v>8.404725017E11</v>
      </c>
      <c r="R26" s="313"/>
      <c r="S26" s="313"/>
      <c r="T26" s="313"/>
      <c r="U26" s="313"/>
      <c r="V26" s="296" t="b">
        <v>1</v>
      </c>
      <c r="W26" s="314" t="b">
        <v>0</v>
      </c>
      <c r="X26" s="209"/>
      <c r="Y26" s="291"/>
      <c r="Z26" s="303" t="s">
        <v>559</v>
      </c>
      <c r="AA26" s="304" t="s">
        <v>560</v>
      </c>
      <c r="AB26" s="304" t="s">
        <v>561</v>
      </c>
      <c r="AC26" s="307">
        <v>8.10115976486E11</v>
      </c>
      <c r="AD26" s="209"/>
      <c r="AE26" s="209"/>
      <c r="AF26" s="209"/>
      <c r="AG26" s="209"/>
      <c r="AH26" s="307" t="b">
        <v>1</v>
      </c>
      <c r="AI26" s="301" t="b">
        <v>0</v>
      </c>
      <c r="AJ26" s="209"/>
      <c r="AK26" s="209"/>
    </row>
    <row r="27">
      <c r="A27" s="316" t="s">
        <v>562</v>
      </c>
      <c r="B27" s="319" t="s">
        <v>237</v>
      </c>
      <c r="C27" s="320"/>
      <c r="D27" s="283" t="s">
        <v>236</v>
      </c>
      <c r="E27" s="322" t="s">
        <v>369</v>
      </c>
      <c r="F27" s="320"/>
      <c r="G27" s="320"/>
      <c r="H27" s="323" t="s">
        <v>563</v>
      </c>
      <c r="I27" s="323" t="s">
        <v>564</v>
      </c>
      <c r="J27" s="278" t="str">
        <f>IF(COUNTIF(J28:J38, TRUE) = COUNTA(J28:J38), "Complete!", IF(COUNTIF(J28:J38, TRUE) &gt; 0, "Partial", "Not Started"))</f>
        <v>Complete!</v>
      </c>
      <c r="K27" s="279"/>
      <c r="L27" s="280">
        <v>11.0</v>
      </c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91"/>
      <c r="Z27" s="303" t="s">
        <v>565</v>
      </c>
      <c r="AA27" s="304" t="s">
        <v>566</v>
      </c>
      <c r="AB27" s="304" t="s">
        <v>567</v>
      </c>
      <c r="AC27" s="209"/>
      <c r="AD27" s="209"/>
      <c r="AE27" s="209"/>
      <c r="AF27" s="209"/>
      <c r="AG27" s="209"/>
      <c r="AH27" s="307" t="b">
        <v>1</v>
      </c>
      <c r="AI27" s="301" t="b">
        <v>0</v>
      </c>
      <c r="AJ27" s="209"/>
      <c r="AK27" s="209"/>
    </row>
    <row r="28">
      <c r="A28" s="291"/>
      <c r="B28" s="292" t="s">
        <v>568</v>
      </c>
      <c r="C28" s="293" t="s">
        <v>421</v>
      </c>
      <c r="D28" s="293" t="s">
        <v>569</v>
      </c>
      <c r="E28" s="294">
        <v>8.10115972976E11</v>
      </c>
      <c r="F28" s="293" t="s">
        <v>406</v>
      </c>
      <c r="G28" s="295"/>
      <c r="H28" s="295"/>
      <c r="I28" s="293" t="s">
        <v>426</v>
      </c>
      <c r="J28" s="296" t="b">
        <v>1</v>
      </c>
      <c r="K28" s="297" t="b">
        <v>1</v>
      </c>
      <c r="L28" s="209"/>
      <c r="M28" s="281" t="s">
        <v>562</v>
      </c>
      <c r="N28" s="282" t="s">
        <v>570</v>
      </c>
      <c r="O28" s="273"/>
      <c r="P28" s="274" t="s">
        <v>571</v>
      </c>
      <c r="Q28" s="275" t="s">
        <v>374</v>
      </c>
      <c r="R28" s="273"/>
      <c r="S28" s="273"/>
      <c r="T28" s="276" t="s">
        <v>572</v>
      </c>
      <c r="U28" s="276" t="s">
        <v>573</v>
      </c>
      <c r="V28" s="278" t="str">
        <f>IF(COUNTIF(V29:V36, TRUE) = COUNTA(V29:V36), "Complete!", IF(COUNTIF(V29:V36, TRUE) &gt; 0, "Partial", "Not Started"))</f>
        <v>Complete!</v>
      </c>
      <c r="W28" s="279"/>
      <c r="X28" s="280">
        <v>8.0</v>
      </c>
      <c r="Y28" s="291"/>
      <c r="Z28" s="303" t="s">
        <v>574</v>
      </c>
      <c r="AA28" s="304" t="s">
        <v>575</v>
      </c>
      <c r="AB28" s="304" t="s">
        <v>576</v>
      </c>
      <c r="AC28" s="307">
        <v>8.10115976424E11</v>
      </c>
      <c r="AD28" s="209"/>
      <c r="AE28" s="209"/>
      <c r="AF28" s="209"/>
      <c r="AG28" s="209"/>
      <c r="AH28" s="307" t="b">
        <v>1</v>
      </c>
      <c r="AI28" s="324" t="b">
        <v>0</v>
      </c>
      <c r="AJ28" s="209"/>
      <c r="AK28" s="209"/>
    </row>
    <row r="29">
      <c r="A29" s="291"/>
      <c r="B29" s="303" t="s">
        <v>577</v>
      </c>
      <c r="C29" s="304" t="s">
        <v>449</v>
      </c>
      <c r="D29" s="304" t="s">
        <v>578</v>
      </c>
      <c r="E29" s="305">
        <v>8.10115972983E11</v>
      </c>
      <c r="F29" s="304" t="s">
        <v>406</v>
      </c>
      <c r="G29" s="209"/>
      <c r="H29" s="209"/>
      <c r="I29" s="293" t="s">
        <v>426</v>
      </c>
      <c r="J29" s="296" t="b">
        <v>1</v>
      </c>
      <c r="K29" s="301" t="b">
        <v>1</v>
      </c>
      <c r="L29" s="209"/>
      <c r="M29" s="291"/>
      <c r="N29" s="292" t="s">
        <v>579</v>
      </c>
      <c r="O29" s="298" t="s">
        <v>580</v>
      </c>
      <c r="P29" s="293" t="s">
        <v>581</v>
      </c>
      <c r="Q29" s="299">
        <v>8.10115970897E11</v>
      </c>
      <c r="R29" s="293" t="s">
        <v>406</v>
      </c>
      <c r="S29" s="295"/>
      <c r="T29" s="295"/>
      <c r="U29" s="295"/>
      <c r="V29" s="296" t="b">
        <v>1</v>
      </c>
      <c r="W29" s="297" t="b">
        <v>1</v>
      </c>
      <c r="X29" s="209"/>
      <c r="Y29" s="291"/>
      <c r="Z29" s="303" t="s">
        <v>582</v>
      </c>
      <c r="AA29" s="304" t="s">
        <v>583</v>
      </c>
      <c r="AB29" s="304" t="s">
        <v>584</v>
      </c>
      <c r="AC29" s="307">
        <v>8.40472500048E11</v>
      </c>
      <c r="AD29" s="209"/>
      <c r="AE29" s="209"/>
      <c r="AF29" s="209"/>
      <c r="AG29" s="209"/>
      <c r="AH29" s="307" t="b">
        <v>1</v>
      </c>
      <c r="AI29" s="301" t="b">
        <v>0</v>
      </c>
      <c r="AJ29" s="209"/>
      <c r="AK29" s="209"/>
    </row>
    <row r="30">
      <c r="A30" s="291"/>
      <c r="B30" s="303" t="s">
        <v>585</v>
      </c>
      <c r="C30" s="304" t="s">
        <v>487</v>
      </c>
      <c r="D30" s="304" t="s">
        <v>586</v>
      </c>
      <c r="E30" s="305">
        <v>8.1011597299E11</v>
      </c>
      <c r="F30" s="209"/>
      <c r="G30" s="209"/>
      <c r="H30" s="209"/>
      <c r="I30" s="209"/>
      <c r="J30" s="296" t="b">
        <v>1</v>
      </c>
      <c r="K30" s="301" t="b">
        <v>0</v>
      </c>
      <c r="L30" s="209"/>
      <c r="M30" s="291"/>
      <c r="N30" s="303" t="s">
        <v>587</v>
      </c>
      <c r="O30" s="306" t="s">
        <v>588</v>
      </c>
      <c r="P30" s="304" t="s">
        <v>589</v>
      </c>
      <c r="Q30" s="307">
        <v>8.10115970927E11</v>
      </c>
      <c r="R30" s="209"/>
      <c r="S30" s="209"/>
      <c r="T30" s="209"/>
      <c r="U30" s="209"/>
      <c r="V30" s="296" t="b">
        <v>1</v>
      </c>
      <c r="W30" s="301" t="b">
        <v>0</v>
      </c>
      <c r="X30" s="209"/>
      <c r="Y30" s="291"/>
      <c r="Z30" s="303" t="s">
        <v>590</v>
      </c>
      <c r="AA30" s="304" t="s">
        <v>412</v>
      </c>
      <c r="AB30" s="304" t="s">
        <v>591</v>
      </c>
      <c r="AC30" s="209"/>
      <c r="AD30" s="209"/>
      <c r="AE30" s="209"/>
      <c r="AF30" s="209"/>
      <c r="AG30" s="209"/>
      <c r="AH30" s="307" t="b">
        <v>1</v>
      </c>
      <c r="AI30" s="301" t="b">
        <v>0</v>
      </c>
      <c r="AJ30" s="209"/>
      <c r="AK30" s="209"/>
    </row>
    <row r="31">
      <c r="A31" s="291"/>
      <c r="B31" s="303" t="s">
        <v>592</v>
      </c>
      <c r="C31" s="304" t="s">
        <v>440</v>
      </c>
      <c r="D31" s="304" t="s">
        <v>593</v>
      </c>
      <c r="E31" s="305">
        <v>8.10115973003E11</v>
      </c>
      <c r="F31" s="209"/>
      <c r="G31" s="209"/>
      <c r="H31" s="209"/>
      <c r="I31" s="209"/>
      <c r="J31" s="296" t="b">
        <v>1</v>
      </c>
      <c r="K31" s="301" t="b">
        <v>0</v>
      </c>
      <c r="L31" s="209"/>
      <c r="M31" s="291"/>
      <c r="N31" s="303" t="s">
        <v>594</v>
      </c>
      <c r="O31" s="306" t="s">
        <v>595</v>
      </c>
      <c r="P31" s="304" t="s">
        <v>596</v>
      </c>
      <c r="Q31" s="307">
        <v>8.1011597091E11</v>
      </c>
      <c r="R31" s="209"/>
      <c r="S31" s="209"/>
      <c r="T31" s="209"/>
      <c r="U31" s="325"/>
      <c r="V31" s="296" t="b">
        <v>1</v>
      </c>
      <c r="W31" s="301" t="b">
        <v>0</v>
      </c>
      <c r="X31" s="209"/>
      <c r="Y31" s="291"/>
      <c r="Z31" s="303" t="s">
        <v>597</v>
      </c>
      <c r="AA31" s="304" t="s">
        <v>575</v>
      </c>
      <c r="AB31" s="304" t="s">
        <v>598</v>
      </c>
      <c r="AC31" s="307">
        <v>8.10115976431E11</v>
      </c>
      <c r="AD31" s="209"/>
      <c r="AE31" s="209"/>
      <c r="AF31" s="209"/>
      <c r="AG31" s="209"/>
      <c r="AH31" s="307" t="b">
        <v>1</v>
      </c>
      <c r="AI31" s="301" t="b">
        <v>0</v>
      </c>
      <c r="AJ31" s="209"/>
      <c r="AK31" s="209"/>
    </row>
    <row r="32">
      <c r="A32" s="291"/>
      <c r="B32" s="303" t="s">
        <v>599</v>
      </c>
      <c r="C32" s="304" t="s">
        <v>513</v>
      </c>
      <c r="D32" s="304" t="s">
        <v>600</v>
      </c>
      <c r="E32" s="305">
        <v>8.40472502455E11</v>
      </c>
      <c r="F32" s="209"/>
      <c r="G32" s="209"/>
      <c r="H32" s="209"/>
      <c r="I32" s="209"/>
      <c r="J32" s="296" t="b">
        <v>1</v>
      </c>
      <c r="K32" s="301" t="b">
        <v>0</v>
      </c>
      <c r="L32" s="209"/>
      <c r="M32" s="291"/>
      <c r="N32" s="303" t="s">
        <v>601</v>
      </c>
      <c r="O32" s="306" t="s">
        <v>602</v>
      </c>
      <c r="P32" s="304" t="s">
        <v>603</v>
      </c>
      <c r="Q32" s="307">
        <v>8.10115970934E11</v>
      </c>
      <c r="R32" s="209"/>
      <c r="S32" s="209"/>
      <c r="T32" s="209"/>
      <c r="U32" s="209"/>
      <c r="V32" s="296" t="b">
        <v>1</v>
      </c>
      <c r="W32" s="301" t="b">
        <v>0</v>
      </c>
      <c r="X32" s="209"/>
      <c r="Y32" s="291"/>
      <c r="Z32" s="303" t="s">
        <v>604</v>
      </c>
      <c r="AA32" s="304" t="s">
        <v>431</v>
      </c>
      <c r="AB32" s="304" t="s">
        <v>605</v>
      </c>
      <c r="AC32" s="209"/>
      <c r="AD32" s="209"/>
      <c r="AE32" s="209"/>
      <c r="AF32" s="209"/>
      <c r="AG32" s="209"/>
      <c r="AH32" s="307" t="b">
        <v>1</v>
      </c>
      <c r="AI32" s="301" t="b">
        <v>0</v>
      </c>
      <c r="AJ32" s="209"/>
      <c r="AK32" s="209"/>
    </row>
    <row r="33">
      <c r="A33" s="291"/>
      <c r="B33" s="303" t="s">
        <v>606</v>
      </c>
      <c r="C33" s="304" t="s">
        <v>505</v>
      </c>
      <c r="D33" s="304" t="s">
        <v>607</v>
      </c>
      <c r="E33" s="305">
        <v>8.10115972877E11</v>
      </c>
      <c r="F33" s="209"/>
      <c r="G33" s="209"/>
      <c r="H33" s="209"/>
      <c r="I33" s="209"/>
      <c r="J33" s="296" t="b">
        <v>1</v>
      </c>
      <c r="K33" s="301" t="b">
        <v>0</v>
      </c>
      <c r="L33" s="209"/>
      <c r="M33" s="291"/>
      <c r="N33" s="303" t="s">
        <v>608</v>
      </c>
      <c r="O33" s="306" t="s">
        <v>609</v>
      </c>
      <c r="P33" s="304" t="s">
        <v>610</v>
      </c>
      <c r="Q33" s="307">
        <v>8.10115976042E11</v>
      </c>
      <c r="R33" s="209"/>
      <c r="S33" s="209"/>
      <c r="T33" s="209"/>
      <c r="U33" s="325"/>
      <c r="V33" s="296" t="b">
        <v>1</v>
      </c>
      <c r="W33" s="301" t="b">
        <v>0</v>
      </c>
      <c r="X33" s="209"/>
      <c r="Y33" s="291"/>
      <c r="Z33" s="310" t="s">
        <v>611</v>
      </c>
      <c r="AA33" s="311" t="s">
        <v>612</v>
      </c>
      <c r="AB33" s="311" t="s">
        <v>613</v>
      </c>
      <c r="AC33" s="318">
        <v>8.10115976493E11</v>
      </c>
      <c r="AD33" s="313"/>
      <c r="AE33" s="313"/>
      <c r="AF33" s="313"/>
      <c r="AG33" s="313"/>
      <c r="AH33" s="307" t="b">
        <v>1</v>
      </c>
      <c r="AI33" s="314" t="b">
        <v>0</v>
      </c>
      <c r="AJ33" s="209"/>
      <c r="AK33" s="209"/>
    </row>
    <row r="34">
      <c r="A34" s="291"/>
      <c r="B34" s="303" t="s">
        <v>614</v>
      </c>
      <c r="C34" s="304" t="s">
        <v>522</v>
      </c>
      <c r="D34" s="304" t="s">
        <v>615</v>
      </c>
      <c r="E34" s="305">
        <v>8.40472502479E11</v>
      </c>
      <c r="F34" s="209"/>
      <c r="G34" s="209"/>
      <c r="H34" s="209"/>
      <c r="I34" s="209"/>
      <c r="J34" s="296" t="b">
        <v>1</v>
      </c>
      <c r="K34" s="301" t="b">
        <v>0</v>
      </c>
      <c r="L34" s="209"/>
      <c r="M34" s="291"/>
      <c r="N34" s="303" t="s">
        <v>616</v>
      </c>
      <c r="O34" s="306" t="s">
        <v>617</v>
      </c>
      <c r="P34" s="304" t="s">
        <v>618</v>
      </c>
      <c r="Q34" s="307">
        <v>8.10115970903E11</v>
      </c>
      <c r="R34" s="304" t="s">
        <v>527</v>
      </c>
      <c r="S34" s="209"/>
      <c r="T34" s="209"/>
      <c r="U34" s="209"/>
      <c r="V34" s="296" t="b">
        <v>1</v>
      </c>
      <c r="W34" s="301" t="b">
        <v>1</v>
      </c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</row>
    <row r="35">
      <c r="A35" s="291"/>
      <c r="B35" s="303" t="s">
        <v>619</v>
      </c>
      <c r="C35" s="304" t="s">
        <v>529</v>
      </c>
      <c r="D35" s="304" t="s">
        <v>620</v>
      </c>
      <c r="E35" s="305">
        <v>8.10115972884E11</v>
      </c>
      <c r="F35" s="304" t="s">
        <v>406</v>
      </c>
      <c r="G35" s="209"/>
      <c r="H35" s="209"/>
      <c r="I35" s="304" t="s">
        <v>621</v>
      </c>
      <c r="J35" s="296" t="b">
        <v>1</v>
      </c>
      <c r="K35" s="301" t="b">
        <v>1</v>
      </c>
      <c r="L35" s="209"/>
      <c r="M35" s="291"/>
      <c r="N35" s="303" t="s">
        <v>622</v>
      </c>
      <c r="O35" s="306" t="s">
        <v>384</v>
      </c>
      <c r="P35" s="304" t="s">
        <v>623</v>
      </c>
      <c r="Q35" s="307">
        <v>8.40472501656E11</v>
      </c>
      <c r="R35" s="209"/>
      <c r="S35" s="209"/>
      <c r="T35" s="209"/>
      <c r="U35" s="209"/>
      <c r="V35" s="296" t="b">
        <v>1</v>
      </c>
      <c r="W35" s="301" t="b">
        <v>0</v>
      </c>
      <c r="X35" s="209"/>
      <c r="Y35" s="326" t="s">
        <v>562</v>
      </c>
      <c r="Z35" s="282" t="s">
        <v>624</v>
      </c>
      <c r="AA35" s="273"/>
      <c r="AB35" s="274" t="s">
        <v>625</v>
      </c>
      <c r="AC35" s="321" t="s">
        <v>380</v>
      </c>
      <c r="AD35" s="273"/>
      <c r="AE35" s="275" t="s">
        <v>381</v>
      </c>
      <c r="AF35" s="276" t="s">
        <v>370</v>
      </c>
      <c r="AG35" s="276" t="s">
        <v>626</v>
      </c>
      <c r="AH35" s="278" t="str">
        <f>IF(COUNTIF(AH36:AH46, TRUE) = COUNTA(AH36:AH46), "Complete!", IF(COUNTIF(AH36:AH46, TRUE) &gt; 0, "Partial", "Not Started"))</f>
        <v>Complete!</v>
      </c>
      <c r="AI35" s="279"/>
      <c r="AJ35" s="280">
        <v>11.0</v>
      </c>
      <c r="AK35" s="209"/>
    </row>
    <row r="36">
      <c r="A36" s="291"/>
      <c r="B36" s="303" t="s">
        <v>627</v>
      </c>
      <c r="C36" s="304" t="s">
        <v>539</v>
      </c>
      <c r="D36" s="304" t="s">
        <v>628</v>
      </c>
      <c r="E36" s="305">
        <v>8.10115972891E11</v>
      </c>
      <c r="F36" s="209"/>
      <c r="G36" s="209"/>
      <c r="H36" s="209"/>
      <c r="I36" s="209"/>
      <c r="J36" s="296" t="b">
        <v>1</v>
      </c>
      <c r="K36" s="301" t="b">
        <v>0</v>
      </c>
      <c r="L36" s="209"/>
      <c r="M36" s="291"/>
      <c r="N36" s="310" t="s">
        <v>629</v>
      </c>
      <c r="O36" s="317" t="s">
        <v>630</v>
      </c>
      <c r="P36" s="311" t="s">
        <v>631</v>
      </c>
      <c r="Q36" s="318">
        <v>8.40472501663E11</v>
      </c>
      <c r="R36" s="313"/>
      <c r="S36" s="313"/>
      <c r="T36" s="313"/>
      <c r="U36" s="313"/>
      <c r="V36" s="296" t="b">
        <v>1</v>
      </c>
      <c r="W36" s="314" t="b">
        <v>0</v>
      </c>
      <c r="X36" s="209"/>
      <c r="Y36" s="291"/>
      <c r="Z36" s="292" t="s">
        <v>632</v>
      </c>
      <c r="AA36" s="293" t="s">
        <v>588</v>
      </c>
      <c r="AB36" s="293" t="s">
        <v>633</v>
      </c>
      <c r="AC36" s="302" t="s">
        <v>634</v>
      </c>
      <c r="AD36" s="295"/>
      <c r="AE36" s="295"/>
      <c r="AF36" s="295"/>
      <c r="AG36" s="295"/>
      <c r="AH36" s="299" t="b">
        <v>1</v>
      </c>
      <c r="AI36" s="297" t="b">
        <v>0</v>
      </c>
      <c r="AJ36" s="209"/>
      <c r="AK36" s="209"/>
    </row>
    <row r="37">
      <c r="A37" s="291"/>
      <c r="B37" s="303" t="s">
        <v>635</v>
      </c>
      <c r="C37" s="304" t="s">
        <v>547</v>
      </c>
      <c r="D37" s="304" t="s">
        <v>636</v>
      </c>
      <c r="E37" s="305">
        <v>8.40472502424E11</v>
      </c>
      <c r="F37" s="209"/>
      <c r="G37" s="209"/>
      <c r="H37" s="209"/>
      <c r="I37" s="209"/>
      <c r="J37" s="296" t="b">
        <v>1</v>
      </c>
      <c r="K37" s="301" t="b">
        <v>0</v>
      </c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91"/>
      <c r="Z37" s="303" t="s">
        <v>637</v>
      </c>
      <c r="AA37" s="304" t="s">
        <v>384</v>
      </c>
      <c r="AB37" s="304" t="s">
        <v>638</v>
      </c>
      <c r="AC37" s="308" t="s">
        <v>639</v>
      </c>
      <c r="AD37" s="209"/>
      <c r="AE37" s="209"/>
      <c r="AF37" s="209"/>
      <c r="AG37" s="209"/>
      <c r="AH37" s="299" t="b">
        <v>1</v>
      </c>
      <c r="AI37" s="301" t="b">
        <v>0</v>
      </c>
      <c r="AJ37" s="209"/>
      <c r="AK37" s="209"/>
    </row>
    <row r="38">
      <c r="A38" s="309"/>
      <c r="B38" s="310" t="s">
        <v>640</v>
      </c>
      <c r="C38" s="311" t="s">
        <v>641</v>
      </c>
      <c r="D38" s="311" t="s">
        <v>642</v>
      </c>
      <c r="E38" s="312">
        <v>8.40472502448E11</v>
      </c>
      <c r="F38" s="313"/>
      <c r="G38" s="313"/>
      <c r="H38" s="313"/>
      <c r="I38" s="313"/>
      <c r="J38" s="296" t="b">
        <v>1</v>
      </c>
      <c r="K38" s="314" t="b">
        <v>0</v>
      </c>
      <c r="L38" s="209"/>
      <c r="M38" s="327" t="s">
        <v>643</v>
      </c>
      <c r="N38" s="282" t="s">
        <v>644</v>
      </c>
      <c r="O38" s="273"/>
      <c r="P38" s="274" t="s">
        <v>645</v>
      </c>
      <c r="Q38" s="275" t="s">
        <v>374</v>
      </c>
      <c r="R38" s="273"/>
      <c r="S38" s="273"/>
      <c r="T38" s="276" t="s">
        <v>370</v>
      </c>
      <c r="U38" s="276" t="s">
        <v>646</v>
      </c>
      <c r="V38" s="278" t="str">
        <f>IF(COUNTIF(V39:V46, TRUE) = COUNTA(V39:V46), "Complete!", IF(COUNTIF(V39:V46, TRUE) &gt; 0, "Partial", "Not Started"))</f>
        <v>Complete!</v>
      </c>
      <c r="W38" s="279"/>
      <c r="X38" s="280">
        <v>8.0</v>
      </c>
      <c r="Y38" s="291"/>
      <c r="Z38" s="303" t="s">
        <v>647</v>
      </c>
      <c r="AA38" s="304" t="s">
        <v>394</v>
      </c>
      <c r="AB38" s="304" t="s">
        <v>648</v>
      </c>
      <c r="AC38" s="308" t="s">
        <v>649</v>
      </c>
      <c r="AD38" s="209"/>
      <c r="AE38" s="209"/>
      <c r="AF38" s="209"/>
      <c r="AG38" s="209"/>
      <c r="AH38" s="299" t="b">
        <v>1</v>
      </c>
      <c r="AI38" s="301" t="b">
        <v>0</v>
      </c>
      <c r="AJ38" s="209"/>
      <c r="AK38" s="209"/>
    </row>
    <row r="39">
      <c r="A39" s="209"/>
      <c r="B39" s="209"/>
      <c r="C39" s="209"/>
      <c r="D39" s="209"/>
      <c r="E39" s="209"/>
      <c r="F39" s="209"/>
      <c r="G39" s="209"/>
      <c r="H39" s="209"/>
      <c r="I39" s="209"/>
      <c r="J39" s="313"/>
      <c r="K39" s="209"/>
      <c r="L39" s="209"/>
      <c r="N39" s="292" t="s">
        <v>650</v>
      </c>
      <c r="O39" s="298" t="s">
        <v>651</v>
      </c>
      <c r="P39" s="293" t="s">
        <v>652</v>
      </c>
      <c r="Q39" s="299">
        <v>8.10115970118E11</v>
      </c>
      <c r="R39" s="295"/>
      <c r="S39" s="295"/>
      <c r="T39" s="295"/>
      <c r="U39" s="328"/>
      <c r="V39" s="296" t="b">
        <v>1</v>
      </c>
      <c r="W39" s="297" t="b">
        <v>0</v>
      </c>
      <c r="X39" s="209"/>
      <c r="Y39" s="291"/>
      <c r="Z39" s="303" t="s">
        <v>653</v>
      </c>
      <c r="AA39" s="304" t="s">
        <v>404</v>
      </c>
      <c r="AB39" s="304" t="s">
        <v>654</v>
      </c>
      <c r="AC39" s="308" t="s">
        <v>655</v>
      </c>
      <c r="AD39" s="304" t="s">
        <v>656</v>
      </c>
      <c r="AE39" s="209"/>
      <c r="AF39" s="209"/>
      <c r="AG39" s="209"/>
      <c r="AH39" s="299" t="b">
        <v>1</v>
      </c>
      <c r="AI39" s="301" t="b">
        <v>1</v>
      </c>
      <c r="AJ39" s="209"/>
      <c r="AK39" s="209"/>
    </row>
    <row r="40">
      <c r="A40" s="316" t="s">
        <v>643</v>
      </c>
      <c r="B40" s="329" t="s">
        <v>246</v>
      </c>
      <c r="C40" s="273"/>
      <c r="D40" s="274" t="s">
        <v>245</v>
      </c>
      <c r="E40" s="275" t="s">
        <v>369</v>
      </c>
      <c r="F40" s="330" t="s">
        <v>351</v>
      </c>
      <c r="G40" s="273"/>
      <c r="H40" s="277" t="s">
        <v>370</v>
      </c>
      <c r="I40" s="277" t="s">
        <v>657</v>
      </c>
      <c r="J40" s="278" t="str">
        <f>IF(COUNTIF(J41:J48, TRUE) = COUNTA(J41:J48), "Complete!", IF(COUNTIF(J41:J48, TRUE) &gt; 0, "Partial", "Not Started"))</f>
        <v>Complete!</v>
      </c>
      <c r="K40" s="279"/>
      <c r="L40" s="280">
        <v>8.0</v>
      </c>
      <c r="N40" s="303" t="s">
        <v>658</v>
      </c>
      <c r="O40" s="306" t="s">
        <v>659</v>
      </c>
      <c r="P40" s="304" t="s">
        <v>660</v>
      </c>
      <c r="Q40" s="307">
        <v>8.10115970842E11</v>
      </c>
      <c r="R40" s="209"/>
      <c r="S40" s="209"/>
      <c r="T40" s="209"/>
      <c r="U40" s="209"/>
      <c r="V40" s="296" t="b">
        <v>1</v>
      </c>
      <c r="W40" s="301" t="b">
        <v>0</v>
      </c>
      <c r="X40" s="209"/>
      <c r="Y40" s="291"/>
      <c r="Z40" s="303" t="s">
        <v>661</v>
      </c>
      <c r="AA40" s="304" t="s">
        <v>662</v>
      </c>
      <c r="AB40" s="304" t="s">
        <v>663</v>
      </c>
      <c r="AC40" s="308" t="s">
        <v>664</v>
      </c>
      <c r="AD40" s="304" t="s">
        <v>406</v>
      </c>
      <c r="AE40" s="209"/>
      <c r="AF40" s="209"/>
      <c r="AG40" s="209"/>
      <c r="AH40" s="299" t="b">
        <v>1</v>
      </c>
      <c r="AI40" s="301" t="b">
        <v>1</v>
      </c>
      <c r="AJ40" s="209"/>
      <c r="AK40" s="209"/>
    </row>
    <row r="41">
      <c r="A41" s="291"/>
      <c r="B41" s="292" t="s">
        <v>665</v>
      </c>
      <c r="C41" s="304" t="s">
        <v>588</v>
      </c>
      <c r="D41" s="293" t="s">
        <v>666</v>
      </c>
      <c r="E41" s="294">
        <v>8.40472502493E11</v>
      </c>
      <c r="F41" s="328"/>
      <c r="G41" s="328"/>
      <c r="H41" s="328"/>
      <c r="I41" s="328"/>
      <c r="J41" s="296" t="b">
        <v>1</v>
      </c>
      <c r="K41" s="297" t="b">
        <v>0</v>
      </c>
      <c r="L41" s="209"/>
      <c r="N41" s="303" t="s">
        <v>667</v>
      </c>
      <c r="O41" s="306" t="s">
        <v>668</v>
      </c>
      <c r="P41" s="304" t="s">
        <v>669</v>
      </c>
      <c r="Q41" s="307">
        <v>8.10115970866E11</v>
      </c>
      <c r="R41" s="209"/>
      <c r="S41" s="209"/>
      <c r="T41" s="209"/>
      <c r="U41" s="209"/>
      <c r="V41" s="296" t="b">
        <v>1</v>
      </c>
      <c r="W41" s="301" t="b">
        <v>0</v>
      </c>
      <c r="X41" s="209"/>
      <c r="Y41" s="291"/>
      <c r="Z41" s="303" t="s">
        <v>670</v>
      </c>
      <c r="AA41" s="304" t="s">
        <v>671</v>
      </c>
      <c r="AB41" s="304" t="s">
        <v>672</v>
      </c>
      <c r="AC41" s="307">
        <v>8.40472500086E11</v>
      </c>
      <c r="AD41" s="209"/>
      <c r="AE41" s="209"/>
      <c r="AF41" s="209"/>
      <c r="AG41" s="209"/>
      <c r="AH41" s="299" t="b">
        <v>1</v>
      </c>
      <c r="AI41" s="301" t="b">
        <v>0</v>
      </c>
      <c r="AJ41" s="209"/>
      <c r="AK41" s="209"/>
    </row>
    <row r="42">
      <c r="A42" s="291"/>
      <c r="B42" s="303" t="s">
        <v>673</v>
      </c>
      <c r="C42" s="304" t="s">
        <v>602</v>
      </c>
      <c r="D42" s="304" t="s">
        <v>674</v>
      </c>
      <c r="E42" s="305">
        <v>8.40472502509E11</v>
      </c>
      <c r="F42" s="325"/>
      <c r="G42" s="325"/>
      <c r="H42" s="325"/>
      <c r="I42" s="325"/>
      <c r="J42" s="296" t="b">
        <v>1</v>
      </c>
      <c r="K42" s="301" t="b">
        <v>0</v>
      </c>
      <c r="L42" s="209"/>
      <c r="N42" s="303" t="s">
        <v>675</v>
      </c>
      <c r="O42" s="306" t="s">
        <v>676</v>
      </c>
      <c r="P42" s="304" t="s">
        <v>677</v>
      </c>
      <c r="Q42" s="307">
        <v>8.1011597088E11</v>
      </c>
      <c r="R42" s="209"/>
      <c r="S42" s="209"/>
      <c r="T42" s="209"/>
      <c r="U42" s="209"/>
      <c r="V42" s="296" t="b">
        <v>1</v>
      </c>
      <c r="W42" s="301" t="b">
        <v>0</v>
      </c>
      <c r="X42" s="209"/>
      <c r="Y42" s="291"/>
      <c r="Z42" s="303" t="s">
        <v>678</v>
      </c>
      <c r="AA42" s="304" t="s">
        <v>679</v>
      </c>
      <c r="AB42" s="304" t="s">
        <v>680</v>
      </c>
      <c r="AC42" s="307">
        <v>8.40472500093E11</v>
      </c>
      <c r="AD42" s="209"/>
      <c r="AE42" s="209"/>
      <c r="AF42" s="209"/>
      <c r="AG42" s="209"/>
      <c r="AH42" s="299" t="b">
        <v>1</v>
      </c>
      <c r="AI42" s="301" t="b">
        <v>0</v>
      </c>
      <c r="AJ42" s="209"/>
      <c r="AK42" s="209"/>
    </row>
    <row r="43">
      <c r="A43" s="291"/>
      <c r="B43" s="303" t="s">
        <v>681</v>
      </c>
      <c r="C43" s="304" t="s">
        <v>682</v>
      </c>
      <c r="D43" s="304" t="s">
        <v>683</v>
      </c>
      <c r="E43" s="305">
        <v>8.40472502561E11</v>
      </c>
      <c r="F43" s="325"/>
      <c r="G43" s="325"/>
      <c r="H43" s="325"/>
      <c r="I43" s="325"/>
      <c r="J43" s="296" t="b">
        <v>1</v>
      </c>
      <c r="K43" s="301" t="b">
        <v>0</v>
      </c>
      <c r="L43" s="209"/>
      <c r="N43" s="303" t="s">
        <v>684</v>
      </c>
      <c r="O43" s="306" t="s">
        <v>685</v>
      </c>
      <c r="P43" s="304" t="s">
        <v>686</v>
      </c>
      <c r="Q43" s="307">
        <v>8.10115970859E11</v>
      </c>
      <c r="R43" s="209"/>
      <c r="S43" s="209"/>
      <c r="T43" s="209"/>
      <c r="U43" s="209"/>
      <c r="V43" s="296" t="b">
        <v>1</v>
      </c>
      <c r="W43" s="301" t="b">
        <v>0</v>
      </c>
      <c r="X43" s="209"/>
      <c r="Y43" s="291"/>
      <c r="Z43" s="303" t="s">
        <v>687</v>
      </c>
      <c r="AA43" s="304" t="s">
        <v>662</v>
      </c>
      <c r="AB43" s="304" t="s">
        <v>688</v>
      </c>
      <c r="AC43" s="307">
        <v>8.40472500055E11</v>
      </c>
      <c r="AD43" s="209"/>
      <c r="AE43" s="209"/>
      <c r="AF43" s="209"/>
      <c r="AG43" s="209"/>
      <c r="AH43" s="299" t="b">
        <v>1</v>
      </c>
      <c r="AI43" s="301" t="b">
        <v>0</v>
      </c>
      <c r="AJ43" s="209"/>
      <c r="AK43" s="209"/>
    </row>
    <row r="44">
      <c r="A44" s="291"/>
      <c r="B44" s="303" t="s">
        <v>689</v>
      </c>
      <c r="C44" s="304" t="s">
        <v>662</v>
      </c>
      <c r="D44" s="304" t="s">
        <v>690</v>
      </c>
      <c r="E44" s="305">
        <v>8.10115979067E11</v>
      </c>
      <c r="F44" s="325"/>
      <c r="G44" s="325"/>
      <c r="H44" s="325"/>
      <c r="I44" s="325"/>
      <c r="J44" s="296" t="b">
        <v>1</v>
      </c>
      <c r="K44" s="301" t="b">
        <v>0</v>
      </c>
      <c r="L44" s="209"/>
      <c r="N44" s="303" t="s">
        <v>691</v>
      </c>
      <c r="O44" s="306" t="s">
        <v>692</v>
      </c>
      <c r="P44" s="304" t="s">
        <v>693</v>
      </c>
      <c r="Q44" s="307">
        <v>8.40472501595E11</v>
      </c>
      <c r="R44" s="209"/>
      <c r="S44" s="209"/>
      <c r="T44" s="209"/>
      <c r="U44" s="209"/>
      <c r="V44" s="296" t="b">
        <v>1</v>
      </c>
      <c r="W44" s="301" t="b">
        <v>0</v>
      </c>
      <c r="X44" s="209"/>
      <c r="Y44" s="291"/>
      <c r="Z44" s="303" t="s">
        <v>694</v>
      </c>
      <c r="AA44" s="304" t="s">
        <v>679</v>
      </c>
      <c r="AB44" s="304" t="s">
        <v>695</v>
      </c>
      <c r="AC44" s="307">
        <v>8.40472500079E11</v>
      </c>
      <c r="AD44" s="209"/>
      <c r="AE44" s="209"/>
      <c r="AF44" s="209"/>
      <c r="AG44" s="209"/>
      <c r="AH44" s="299" t="b">
        <v>1</v>
      </c>
      <c r="AI44" s="301" t="b">
        <v>0</v>
      </c>
      <c r="AJ44" s="209"/>
      <c r="AK44" s="209"/>
    </row>
    <row r="45">
      <c r="A45" s="291"/>
      <c r="B45" s="303" t="s">
        <v>696</v>
      </c>
      <c r="C45" s="304" t="s">
        <v>697</v>
      </c>
      <c r="D45" s="304" t="s">
        <v>698</v>
      </c>
      <c r="E45" s="305">
        <v>8.40472502547E11</v>
      </c>
      <c r="F45" s="325"/>
      <c r="G45" s="325"/>
      <c r="H45" s="325"/>
      <c r="I45" s="325"/>
      <c r="J45" s="296" t="b">
        <v>1</v>
      </c>
      <c r="K45" s="301" t="b">
        <v>0</v>
      </c>
      <c r="L45" s="209"/>
      <c r="N45" s="303" t="s">
        <v>699</v>
      </c>
      <c r="O45" s="306" t="s">
        <v>700</v>
      </c>
      <c r="P45" s="304" t="s">
        <v>701</v>
      </c>
      <c r="Q45" s="307">
        <v>8.40472501625E11</v>
      </c>
      <c r="R45" s="209"/>
      <c r="S45" s="209"/>
      <c r="T45" s="209"/>
      <c r="U45" s="209"/>
      <c r="V45" s="296" t="b">
        <v>1</v>
      </c>
      <c r="W45" s="301" t="b">
        <v>0</v>
      </c>
      <c r="X45" s="209"/>
      <c r="Y45" s="291"/>
      <c r="Z45" s="303" t="s">
        <v>702</v>
      </c>
      <c r="AA45" s="304" t="s">
        <v>671</v>
      </c>
      <c r="AB45" s="304" t="s">
        <v>703</v>
      </c>
      <c r="AC45" s="307">
        <v>8.40472500062E11</v>
      </c>
      <c r="AD45" s="209"/>
      <c r="AE45" s="209"/>
      <c r="AF45" s="209"/>
      <c r="AG45" s="209"/>
      <c r="AH45" s="299" t="b">
        <v>1</v>
      </c>
      <c r="AI45" s="301" t="b">
        <v>0</v>
      </c>
      <c r="AJ45" s="209"/>
      <c r="AK45" s="209"/>
    </row>
    <row r="46">
      <c r="A46" s="291"/>
      <c r="B46" s="303" t="s">
        <v>704</v>
      </c>
      <c r="C46" s="304" t="s">
        <v>705</v>
      </c>
      <c r="D46" s="304" t="s">
        <v>706</v>
      </c>
      <c r="E46" s="305">
        <v>8.10115979074E11</v>
      </c>
      <c r="F46" s="325"/>
      <c r="G46" s="325"/>
      <c r="H46" s="325"/>
      <c r="I46" s="325"/>
      <c r="J46" s="296" t="b">
        <v>1</v>
      </c>
      <c r="K46" s="301" t="b">
        <v>0</v>
      </c>
      <c r="L46" s="209"/>
      <c r="N46" s="310" t="s">
        <v>707</v>
      </c>
      <c r="O46" s="317" t="s">
        <v>708</v>
      </c>
      <c r="P46" s="311" t="s">
        <v>709</v>
      </c>
      <c r="Q46" s="318">
        <v>8.40472501601E11</v>
      </c>
      <c r="R46" s="313"/>
      <c r="S46" s="313"/>
      <c r="T46" s="313"/>
      <c r="U46" s="313"/>
      <c r="V46" s="296" t="b">
        <v>1</v>
      </c>
      <c r="W46" s="314" t="b">
        <v>0</v>
      </c>
      <c r="X46" s="209"/>
      <c r="Y46" s="309"/>
      <c r="Z46" s="310" t="s">
        <v>710</v>
      </c>
      <c r="AA46" s="311" t="s">
        <v>394</v>
      </c>
      <c r="AB46" s="311" t="s">
        <v>711</v>
      </c>
      <c r="AC46" s="318">
        <v>8.40472500031E11</v>
      </c>
      <c r="AD46" s="313"/>
      <c r="AE46" s="313"/>
      <c r="AF46" s="313"/>
      <c r="AG46" s="313"/>
      <c r="AH46" s="299" t="b">
        <v>1</v>
      </c>
      <c r="AI46" s="314" t="b">
        <v>0</v>
      </c>
      <c r="AJ46" s="209"/>
      <c r="AK46" s="209"/>
    </row>
    <row r="47">
      <c r="A47" s="291"/>
      <c r="B47" s="303" t="s">
        <v>712</v>
      </c>
      <c r="C47" s="304" t="s">
        <v>679</v>
      </c>
      <c r="D47" s="304" t="s">
        <v>713</v>
      </c>
      <c r="E47" s="305">
        <v>8.1011597905E11</v>
      </c>
      <c r="F47" s="325"/>
      <c r="G47" s="325"/>
      <c r="H47" s="325"/>
      <c r="I47" s="325"/>
      <c r="J47" s="296" t="b">
        <v>1</v>
      </c>
      <c r="K47" s="301" t="b">
        <v>0</v>
      </c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</row>
    <row r="48">
      <c r="A48" s="291"/>
      <c r="B48" s="310" t="s">
        <v>714</v>
      </c>
      <c r="C48" s="304" t="s">
        <v>715</v>
      </c>
      <c r="D48" s="311" t="s">
        <v>716</v>
      </c>
      <c r="E48" s="312">
        <v>8.40472502578E11</v>
      </c>
      <c r="F48" s="331"/>
      <c r="G48" s="331"/>
      <c r="H48" s="331"/>
      <c r="I48" s="331"/>
      <c r="J48" s="296" t="b">
        <v>1</v>
      </c>
      <c r="K48" s="314" t="b">
        <v>0</v>
      </c>
      <c r="L48" s="209"/>
      <c r="M48" s="327" t="s">
        <v>717</v>
      </c>
      <c r="N48" s="282" t="s">
        <v>718</v>
      </c>
      <c r="O48" s="273"/>
      <c r="P48" s="274" t="s">
        <v>719</v>
      </c>
      <c r="Q48" s="275" t="s">
        <v>374</v>
      </c>
      <c r="R48" s="273"/>
      <c r="S48" s="273"/>
      <c r="T48" s="276" t="s">
        <v>563</v>
      </c>
      <c r="U48" s="276" t="s">
        <v>720</v>
      </c>
      <c r="V48" s="278" t="str">
        <f>IF(COUNTIF(V49:V60, TRUE) = COUNTA(V49:V60), "Complete!", IF(COUNTIF(V49:V60, TRUE) &gt; 0, "Partial", "Not Started"))</f>
        <v>Complete!</v>
      </c>
      <c r="W48" s="279"/>
      <c r="X48" s="280">
        <v>12.0</v>
      </c>
      <c r="Y48" s="326" t="s">
        <v>717</v>
      </c>
      <c r="Z48" s="319" t="s">
        <v>721</v>
      </c>
      <c r="AA48" s="320"/>
      <c r="AB48" s="283" t="s">
        <v>722</v>
      </c>
      <c r="AC48" s="332" t="s">
        <v>723</v>
      </c>
      <c r="AD48" s="320"/>
      <c r="AE48" s="320"/>
      <c r="AF48" s="285" t="s">
        <v>370</v>
      </c>
      <c r="AG48" s="285" t="s">
        <v>724</v>
      </c>
      <c r="AH48" s="333" t="str">
        <f>IF(COUNTIF(AH49:AH52, TRUE) = COUNTA(AH49:AH52), "Complete!", IF(COUNTIF(AH49:AH52, TRUE) &gt; 0, "Partial", "Not Started"))</f>
        <v>Complete!</v>
      </c>
      <c r="AI48" s="334"/>
      <c r="AJ48" s="280">
        <v>4.0</v>
      </c>
      <c r="AK48" s="209"/>
    </row>
    <row r="49">
      <c r="A49" s="209"/>
      <c r="B49" s="209"/>
      <c r="C49" s="209"/>
      <c r="D49" s="209"/>
      <c r="E49" s="209"/>
      <c r="F49" s="325"/>
      <c r="G49" s="325"/>
      <c r="H49" s="325"/>
      <c r="I49" s="325"/>
      <c r="J49" s="209"/>
      <c r="K49" s="209"/>
      <c r="L49" s="209"/>
      <c r="N49" s="292" t="s">
        <v>725</v>
      </c>
      <c r="O49" s="298" t="s">
        <v>726</v>
      </c>
      <c r="P49" s="293" t="s">
        <v>727</v>
      </c>
      <c r="Q49" s="299">
        <v>8.10115970163E11</v>
      </c>
      <c r="R49" s="295"/>
      <c r="S49" s="295"/>
      <c r="T49" s="295"/>
      <c r="U49" s="295"/>
      <c r="V49" s="296" t="b">
        <v>1</v>
      </c>
      <c r="W49" s="297" t="b">
        <v>0</v>
      </c>
      <c r="X49" s="209"/>
      <c r="Y49" s="291"/>
      <c r="Z49" s="303" t="s">
        <v>728</v>
      </c>
      <c r="AA49" s="293" t="s">
        <v>729</v>
      </c>
      <c r="AB49" s="293" t="s">
        <v>730</v>
      </c>
      <c r="AC49" s="302" t="s">
        <v>731</v>
      </c>
      <c r="AD49" s="304" t="s">
        <v>732</v>
      </c>
      <c r="AE49" s="209"/>
      <c r="AF49" s="209"/>
      <c r="AG49" s="304" t="s">
        <v>733</v>
      </c>
      <c r="AH49" s="307" t="b">
        <v>1</v>
      </c>
      <c r="AI49" s="301" t="b">
        <v>0</v>
      </c>
      <c r="AJ49" s="209"/>
      <c r="AK49" s="209"/>
    </row>
    <row r="50">
      <c r="A50" s="316" t="s">
        <v>717</v>
      </c>
      <c r="B50" s="282" t="s">
        <v>249</v>
      </c>
      <c r="C50" s="273"/>
      <c r="D50" s="274" t="s">
        <v>248</v>
      </c>
      <c r="E50" s="275" t="s">
        <v>369</v>
      </c>
      <c r="F50" s="320"/>
      <c r="G50" s="320"/>
      <c r="H50" s="285" t="s">
        <v>370</v>
      </c>
      <c r="I50" s="323" t="s">
        <v>734</v>
      </c>
      <c r="J50" s="278" t="str">
        <f>IF(COUNTIF(J51:J58, TRUE) = COUNTA(J51:J58), "Complete!", IF(COUNTIF(J51:J58, TRUE) &gt; 0, "Partial", "Not Started"))</f>
        <v>Complete!</v>
      </c>
      <c r="K50" s="279"/>
      <c r="L50" s="280">
        <v>8.0</v>
      </c>
      <c r="N50" s="303" t="s">
        <v>735</v>
      </c>
      <c r="O50" s="306" t="s">
        <v>736</v>
      </c>
      <c r="P50" s="304" t="s">
        <v>737</v>
      </c>
      <c r="Q50" s="307">
        <v>8.10115970187E11</v>
      </c>
      <c r="R50" s="209"/>
      <c r="S50" s="209"/>
      <c r="T50" s="209"/>
      <c r="U50" s="209"/>
      <c r="V50" s="296" t="b">
        <v>1</v>
      </c>
      <c r="W50" s="301" t="b">
        <v>0</v>
      </c>
      <c r="X50" s="209"/>
      <c r="Y50" s="291"/>
      <c r="Z50" s="303" t="s">
        <v>738</v>
      </c>
      <c r="AA50" s="304" t="s">
        <v>739</v>
      </c>
      <c r="AB50" s="304" t="s">
        <v>740</v>
      </c>
      <c r="AC50" s="308" t="s">
        <v>741</v>
      </c>
      <c r="AD50" s="304" t="s">
        <v>732</v>
      </c>
      <c r="AE50" s="209"/>
      <c r="AF50" s="209"/>
      <c r="AG50" s="304" t="s">
        <v>733</v>
      </c>
      <c r="AH50" s="307" t="b">
        <v>1</v>
      </c>
      <c r="AI50" s="301" t="b">
        <v>0</v>
      </c>
      <c r="AJ50" s="209"/>
      <c r="AK50" s="209"/>
    </row>
    <row r="51">
      <c r="A51" s="291"/>
      <c r="B51" s="292" t="s">
        <v>742</v>
      </c>
      <c r="C51" s="293" t="s">
        <v>394</v>
      </c>
      <c r="D51" s="293" t="s">
        <v>743</v>
      </c>
      <c r="E51" s="294">
        <v>8.40472502516E11</v>
      </c>
      <c r="F51" s="295"/>
      <c r="G51" s="295"/>
      <c r="H51" s="295"/>
      <c r="I51" s="295"/>
      <c r="J51" s="296" t="b">
        <v>1</v>
      </c>
      <c r="K51" s="297" t="b">
        <v>0</v>
      </c>
      <c r="L51" s="209"/>
      <c r="N51" s="303" t="s">
        <v>744</v>
      </c>
      <c r="O51" s="306" t="s">
        <v>745</v>
      </c>
      <c r="P51" s="304" t="s">
        <v>746</v>
      </c>
      <c r="Q51" s="307">
        <v>8.10115970149E11</v>
      </c>
      <c r="R51" s="209"/>
      <c r="S51" s="209"/>
      <c r="T51" s="209"/>
      <c r="U51" s="209"/>
      <c r="V51" s="296" t="b">
        <v>1</v>
      </c>
      <c r="W51" s="301" t="b">
        <v>0</v>
      </c>
      <c r="X51" s="209"/>
      <c r="Y51" s="291"/>
      <c r="Z51" s="303" t="s">
        <v>747</v>
      </c>
      <c r="AA51" s="304" t="s">
        <v>575</v>
      </c>
      <c r="AB51" s="304" t="s">
        <v>748</v>
      </c>
      <c r="AC51" s="308" t="s">
        <v>749</v>
      </c>
      <c r="AD51" s="304" t="s">
        <v>750</v>
      </c>
      <c r="AE51" s="209"/>
      <c r="AF51" s="209"/>
      <c r="AG51" s="209"/>
      <c r="AH51" s="307" t="b">
        <v>1</v>
      </c>
      <c r="AI51" s="301" t="b">
        <v>0</v>
      </c>
      <c r="AJ51" s="209"/>
      <c r="AK51" s="209"/>
    </row>
    <row r="52">
      <c r="A52" s="291"/>
      <c r="B52" s="303" t="s">
        <v>751</v>
      </c>
      <c r="C52" s="304" t="s">
        <v>404</v>
      </c>
      <c r="D52" s="304" t="s">
        <v>752</v>
      </c>
      <c r="E52" s="305">
        <v>8.10115972693E11</v>
      </c>
      <c r="F52" s="209"/>
      <c r="G52" s="209"/>
      <c r="H52" s="209"/>
      <c r="I52" s="209"/>
      <c r="J52" s="296" t="b">
        <v>1</v>
      </c>
      <c r="K52" s="301" t="b">
        <v>0</v>
      </c>
      <c r="L52" s="209"/>
      <c r="N52" s="303" t="s">
        <v>753</v>
      </c>
      <c r="O52" s="306" t="s">
        <v>754</v>
      </c>
      <c r="P52" s="304" t="s">
        <v>755</v>
      </c>
      <c r="Q52" s="307">
        <v>8.10115970156E11</v>
      </c>
      <c r="R52" s="209"/>
      <c r="S52" s="209"/>
      <c r="T52" s="209"/>
      <c r="U52" s="209"/>
      <c r="V52" s="296" t="b">
        <v>1</v>
      </c>
      <c r="W52" s="301" t="b">
        <v>0</v>
      </c>
      <c r="X52" s="209"/>
      <c r="Y52" s="309"/>
      <c r="Z52" s="310" t="s">
        <v>756</v>
      </c>
      <c r="AA52" s="311" t="s">
        <v>554</v>
      </c>
      <c r="AB52" s="311" t="s">
        <v>757</v>
      </c>
      <c r="AC52" s="335" t="s">
        <v>758</v>
      </c>
      <c r="AD52" s="313"/>
      <c r="AE52" s="313"/>
      <c r="AF52" s="313"/>
      <c r="AG52" s="311" t="s">
        <v>759</v>
      </c>
      <c r="AH52" s="318" t="b">
        <v>1</v>
      </c>
      <c r="AI52" s="314" t="b">
        <v>0</v>
      </c>
      <c r="AJ52" s="209"/>
      <c r="AK52" s="209"/>
    </row>
    <row r="53">
      <c r="A53" s="291"/>
      <c r="B53" s="303" t="s">
        <v>760</v>
      </c>
      <c r="C53" s="304" t="s">
        <v>390</v>
      </c>
      <c r="D53" s="304" t="s">
        <v>761</v>
      </c>
      <c r="E53" s="305">
        <v>8.10115972716E11</v>
      </c>
      <c r="F53" s="209"/>
      <c r="G53" s="209"/>
      <c r="H53" s="209"/>
      <c r="I53" s="209"/>
      <c r="J53" s="296" t="b">
        <v>1</v>
      </c>
      <c r="K53" s="301" t="b">
        <v>0</v>
      </c>
      <c r="L53" s="209"/>
      <c r="N53" s="303" t="s">
        <v>762</v>
      </c>
      <c r="O53" s="306" t="s">
        <v>662</v>
      </c>
      <c r="P53" s="304" t="s">
        <v>763</v>
      </c>
      <c r="Q53" s="307">
        <v>8.10115976035E11</v>
      </c>
      <c r="R53" s="209"/>
      <c r="S53" s="209"/>
      <c r="T53" s="209"/>
      <c r="U53" s="325"/>
      <c r="V53" s="296" t="b">
        <v>1</v>
      </c>
      <c r="W53" s="301" t="b">
        <v>0</v>
      </c>
      <c r="X53" s="209"/>
      <c r="Y53" s="209"/>
      <c r="Z53" s="209"/>
      <c r="AA53" s="209"/>
      <c r="AB53" s="313"/>
      <c r="AC53" s="209"/>
      <c r="AD53" s="209"/>
      <c r="AE53" s="209"/>
      <c r="AF53" s="209"/>
      <c r="AG53" s="209"/>
      <c r="AH53" s="209"/>
      <c r="AI53" s="209"/>
      <c r="AJ53" s="209"/>
      <c r="AK53" s="209"/>
    </row>
    <row r="54">
      <c r="A54" s="291"/>
      <c r="B54" s="303" t="s">
        <v>764</v>
      </c>
      <c r="C54" s="304" t="s">
        <v>662</v>
      </c>
      <c r="D54" s="304" t="s">
        <v>765</v>
      </c>
      <c r="E54" s="305">
        <v>8.40472502523E11</v>
      </c>
      <c r="F54" s="209"/>
      <c r="G54" s="209"/>
      <c r="H54" s="209"/>
      <c r="I54" s="209"/>
      <c r="J54" s="296" t="b">
        <v>1</v>
      </c>
      <c r="K54" s="301" t="b">
        <v>0</v>
      </c>
      <c r="L54" s="209"/>
      <c r="N54" s="303" t="s">
        <v>766</v>
      </c>
      <c r="O54" s="306" t="s">
        <v>434</v>
      </c>
      <c r="P54" s="304" t="s">
        <v>767</v>
      </c>
      <c r="Q54" s="307">
        <v>8.10115976059E11</v>
      </c>
      <c r="R54" s="209"/>
      <c r="S54" s="209"/>
      <c r="T54" s="209"/>
      <c r="U54" s="325"/>
      <c r="V54" s="296" t="b">
        <v>1</v>
      </c>
      <c r="W54" s="301" t="b">
        <v>0</v>
      </c>
      <c r="X54" s="209"/>
      <c r="Y54" s="326" t="s">
        <v>768</v>
      </c>
      <c r="Z54" s="319" t="s">
        <v>769</v>
      </c>
      <c r="AA54" s="320"/>
      <c r="AB54" s="283" t="s">
        <v>770</v>
      </c>
      <c r="AC54" s="336" t="s">
        <v>723</v>
      </c>
      <c r="AD54" s="320"/>
      <c r="AE54" s="320"/>
      <c r="AF54" s="285" t="s">
        <v>376</v>
      </c>
      <c r="AG54" s="285" t="s">
        <v>771</v>
      </c>
      <c r="AH54" s="333" t="str">
        <f>IF(COUNTIF(AH55:AH61, TRUE) = COUNTA(AH55:AH61), "Complete!", IF(COUNTIF(AH55:AH61, TRUE) &gt; 0, "Partial", "Not Started"))</f>
        <v>Complete!</v>
      </c>
      <c r="AI54" s="334"/>
      <c r="AJ54" s="280">
        <v>7.0</v>
      </c>
      <c r="AK54" s="209"/>
    </row>
    <row r="55">
      <c r="A55" s="291"/>
      <c r="B55" s="303" t="s">
        <v>772</v>
      </c>
      <c r="C55" s="304" t="s">
        <v>400</v>
      </c>
      <c r="D55" s="304" t="s">
        <v>773</v>
      </c>
      <c r="E55" s="305">
        <v>8.10115972679E11</v>
      </c>
      <c r="F55" s="209"/>
      <c r="G55" s="209"/>
      <c r="H55" s="209"/>
      <c r="I55" s="209"/>
      <c r="J55" s="296" t="b">
        <v>1</v>
      </c>
      <c r="K55" s="301" t="b">
        <v>0</v>
      </c>
      <c r="L55" s="209"/>
      <c r="N55" s="303" t="s">
        <v>774</v>
      </c>
      <c r="O55" s="306" t="s">
        <v>775</v>
      </c>
      <c r="P55" s="304" t="s">
        <v>776</v>
      </c>
      <c r="Q55" s="307">
        <v>8.40472501816E11</v>
      </c>
      <c r="R55" s="209"/>
      <c r="S55" s="209"/>
      <c r="T55" s="209"/>
      <c r="U55" s="209"/>
      <c r="V55" s="296" t="b">
        <v>1</v>
      </c>
      <c r="W55" s="301" t="b">
        <v>0</v>
      </c>
      <c r="X55" s="209"/>
      <c r="Y55" s="291"/>
      <c r="Z55" s="303" t="s">
        <v>777</v>
      </c>
      <c r="AA55" s="304" t="s">
        <v>729</v>
      </c>
      <c r="AB55" s="304" t="s">
        <v>778</v>
      </c>
      <c r="AC55" s="307">
        <v>8.10115979746E11</v>
      </c>
      <c r="AD55" s="304" t="s">
        <v>732</v>
      </c>
      <c r="AE55" s="209"/>
      <c r="AF55" s="209"/>
      <c r="AG55" s="304" t="s">
        <v>733</v>
      </c>
      <c r="AH55" s="307" t="b">
        <v>1</v>
      </c>
      <c r="AI55" s="301" t="b">
        <v>0</v>
      </c>
      <c r="AJ55" s="209"/>
      <c r="AK55" s="209"/>
    </row>
    <row r="56">
      <c r="A56" s="291"/>
      <c r="B56" s="303" t="s">
        <v>779</v>
      </c>
      <c r="C56" s="304" t="s">
        <v>412</v>
      </c>
      <c r="D56" s="304" t="s">
        <v>780</v>
      </c>
      <c r="E56" s="305">
        <v>8.10115972662E11</v>
      </c>
      <c r="F56" s="209"/>
      <c r="G56" s="209"/>
      <c r="H56" s="209"/>
      <c r="I56" s="209"/>
      <c r="J56" s="296" t="b">
        <v>1</v>
      </c>
      <c r="K56" s="301" t="b">
        <v>0</v>
      </c>
      <c r="L56" s="209"/>
      <c r="N56" s="303" t="s">
        <v>781</v>
      </c>
      <c r="O56" s="306" t="s">
        <v>782</v>
      </c>
      <c r="P56" s="304" t="s">
        <v>783</v>
      </c>
      <c r="Q56" s="307">
        <v>8.40472501809E11</v>
      </c>
      <c r="R56" s="209"/>
      <c r="S56" s="209"/>
      <c r="T56" s="209"/>
      <c r="U56" s="209"/>
      <c r="V56" s="296" t="b">
        <v>1</v>
      </c>
      <c r="W56" s="301" t="b">
        <v>0</v>
      </c>
      <c r="X56" s="209"/>
      <c r="Y56" s="291"/>
      <c r="Z56" s="303" t="s">
        <v>784</v>
      </c>
      <c r="AA56" s="304" t="s">
        <v>739</v>
      </c>
      <c r="AB56" s="304" t="s">
        <v>785</v>
      </c>
      <c r="AC56" s="307">
        <v>8.10115979708E11</v>
      </c>
      <c r="AD56" s="304" t="s">
        <v>732</v>
      </c>
      <c r="AE56" s="209"/>
      <c r="AF56" s="209"/>
      <c r="AG56" s="304" t="s">
        <v>733</v>
      </c>
      <c r="AH56" s="307" t="b">
        <v>1</v>
      </c>
      <c r="AI56" s="301" t="b">
        <v>0</v>
      </c>
      <c r="AJ56" s="209"/>
      <c r="AK56" s="209"/>
    </row>
    <row r="57">
      <c r="A57" s="291"/>
      <c r="B57" s="303" t="s">
        <v>786</v>
      </c>
      <c r="C57" s="304" t="s">
        <v>679</v>
      </c>
      <c r="D57" s="304" t="s">
        <v>787</v>
      </c>
      <c r="E57" s="305">
        <v>8.4047250253E11</v>
      </c>
      <c r="F57" s="209"/>
      <c r="G57" s="209"/>
      <c r="H57" s="209"/>
      <c r="I57" s="209"/>
      <c r="J57" s="296" t="b">
        <v>1</v>
      </c>
      <c r="K57" s="301" t="b">
        <v>0</v>
      </c>
      <c r="L57" s="209"/>
      <c r="N57" s="303" t="s">
        <v>788</v>
      </c>
      <c r="O57" s="306" t="s">
        <v>789</v>
      </c>
      <c r="P57" s="304" t="s">
        <v>790</v>
      </c>
      <c r="Q57" s="307">
        <v>8.4047250183E11</v>
      </c>
      <c r="R57" s="209"/>
      <c r="S57" s="209"/>
      <c r="T57" s="209"/>
      <c r="U57" s="209"/>
      <c r="V57" s="296" t="b">
        <v>1</v>
      </c>
      <c r="W57" s="301" t="b">
        <v>0</v>
      </c>
      <c r="X57" s="209"/>
      <c r="Y57" s="291"/>
      <c r="Z57" s="303" t="s">
        <v>791</v>
      </c>
      <c r="AA57" s="304" t="s">
        <v>575</v>
      </c>
      <c r="AB57" s="304" t="s">
        <v>792</v>
      </c>
      <c r="AC57" s="307">
        <v>8.1011597976E11</v>
      </c>
      <c r="AD57" s="304" t="s">
        <v>732</v>
      </c>
      <c r="AE57" s="209"/>
      <c r="AF57" s="209"/>
      <c r="AG57" s="304" t="s">
        <v>733</v>
      </c>
      <c r="AH57" s="307" t="b">
        <v>1</v>
      </c>
      <c r="AI57" s="301" t="b">
        <v>0</v>
      </c>
      <c r="AJ57" s="209"/>
      <c r="AK57" s="209"/>
    </row>
    <row r="58">
      <c r="A58" s="309"/>
      <c r="B58" s="310" t="s">
        <v>793</v>
      </c>
      <c r="C58" s="311" t="s">
        <v>431</v>
      </c>
      <c r="D58" s="311" t="s">
        <v>794</v>
      </c>
      <c r="E58" s="312">
        <v>8.10115972686E11</v>
      </c>
      <c r="F58" s="313"/>
      <c r="G58" s="313"/>
      <c r="H58" s="313"/>
      <c r="I58" s="313"/>
      <c r="J58" s="296" t="b">
        <v>1</v>
      </c>
      <c r="K58" s="314" t="b">
        <v>0</v>
      </c>
      <c r="L58" s="209"/>
      <c r="N58" s="303" t="s">
        <v>795</v>
      </c>
      <c r="O58" s="306" t="s">
        <v>796</v>
      </c>
      <c r="P58" s="304" t="s">
        <v>797</v>
      </c>
      <c r="Q58" s="307">
        <v>8.40472501847E11</v>
      </c>
      <c r="R58" s="209"/>
      <c r="S58" s="209"/>
      <c r="T58" s="209"/>
      <c r="U58" s="209"/>
      <c r="V58" s="296" t="b">
        <v>1</v>
      </c>
      <c r="W58" s="301" t="b">
        <v>0</v>
      </c>
      <c r="X58" s="209"/>
      <c r="Y58" s="291"/>
      <c r="Z58" s="303" t="s">
        <v>798</v>
      </c>
      <c r="AA58" s="304" t="s">
        <v>575</v>
      </c>
      <c r="AB58" s="304" t="s">
        <v>799</v>
      </c>
      <c r="AC58" s="307">
        <v>8.10115979715E11</v>
      </c>
      <c r="AD58" s="304" t="s">
        <v>732</v>
      </c>
      <c r="AE58" s="209"/>
      <c r="AF58" s="209"/>
      <c r="AG58" s="304" t="s">
        <v>733</v>
      </c>
      <c r="AH58" s="307" t="b">
        <v>1</v>
      </c>
      <c r="AI58" s="301" t="b">
        <v>0</v>
      </c>
      <c r="AJ58" s="209"/>
      <c r="AK58" s="209"/>
    </row>
    <row r="59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N59" s="303" t="s">
        <v>800</v>
      </c>
      <c r="O59" s="306" t="s">
        <v>400</v>
      </c>
      <c r="P59" s="304" t="s">
        <v>801</v>
      </c>
      <c r="Q59" s="307">
        <v>8.40472501823E11</v>
      </c>
      <c r="R59" s="209"/>
      <c r="S59" s="209"/>
      <c r="T59" s="209"/>
      <c r="U59" s="209"/>
      <c r="V59" s="296" t="b">
        <v>1</v>
      </c>
      <c r="W59" s="301" t="b">
        <v>0</v>
      </c>
      <c r="X59" s="209"/>
      <c r="Y59" s="291"/>
      <c r="Z59" s="303" t="s">
        <v>802</v>
      </c>
      <c r="AA59" s="304" t="s">
        <v>803</v>
      </c>
      <c r="AB59" s="304" t="s">
        <v>804</v>
      </c>
      <c r="AC59" s="307">
        <v>8.10115979777E11</v>
      </c>
      <c r="AD59" s="304" t="s">
        <v>732</v>
      </c>
      <c r="AE59" s="209"/>
      <c r="AF59" s="209"/>
      <c r="AG59" s="304" t="s">
        <v>733</v>
      </c>
      <c r="AH59" s="307" t="b">
        <v>1</v>
      </c>
      <c r="AI59" s="301" t="b">
        <v>0</v>
      </c>
      <c r="AJ59" s="209"/>
      <c r="AK59" s="209"/>
    </row>
    <row r="60">
      <c r="A60" s="337" t="s">
        <v>768</v>
      </c>
      <c r="B60" s="282" t="s">
        <v>234</v>
      </c>
      <c r="C60" s="273"/>
      <c r="D60" s="274" t="s">
        <v>233</v>
      </c>
      <c r="E60" s="275" t="s">
        <v>805</v>
      </c>
      <c r="F60" s="273"/>
      <c r="G60" s="273"/>
      <c r="H60" s="276" t="s">
        <v>370</v>
      </c>
      <c r="I60" s="277" t="s">
        <v>806</v>
      </c>
      <c r="J60" s="278" t="str">
        <f>IF(COUNTIF(J61:J69, TRUE) = COUNTA(J61:J69), "Complete!", IF(COUNTIF(J61:J69, TRUE) &gt; 0, "Partial", "Not Started"))</f>
        <v>Complete!</v>
      </c>
      <c r="K60" s="279"/>
      <c r="L60" s="280">
        <v>9.0</v>
      </c>
      <c r="N60" s="310" t="s">
        <v>807</v>
      </c>
      <c r="O60" s="317" t="s">
        <v>808</v>
      </c>
      <c r="P60" s="311" t="s">
        <v>809</v>
      </c>
      <c r="Q60" s="318">
        <v>8.40472501854E11</v>
      </c>
      <c r="R60" s="313"/>
      <c r="S60" s="313"/>
      <c r="T60" s="313"/>
      <c r="U60" s="313"/>
      <c r="V60" s="296" t="b">
        <v>1</v>
      </c>
      <c r="W60" s="314" t="b">
        <v>0</v>
      </c>
      <c r="X60" s="209"/>
      <c r="Y60" s="291"/>
      <c r="Z60" s="303" t="s">
        <v>810</v>
      </c>
      <c r="AA60" s="304" t="s">
        <v>554</v>
      </c>
      <c r="AB60" s="304" t="s">
        <v>811</v>
      </c>
      <c r="AC60" s="307">
        <v>8.10115979722E11</v>
      </c>
      <c r="AD60" s="304" t="s">
        <v>732</v>
      </c>
      <c r="AE60" s="209"/>
      <c r="AF60" s="209"/>
      <c r="AG60" s="304" t="s">
        <v>733</v>
      </c>
      <c r="AH60" s="307" t="b">
        <v>1</v>
      </c>
      <c r="AI60" s="301" t="b">
        <v>0</v>
      </c>
      <c r="AJ60" s="209"/>
      <c r="AK60" s="209"/>
    </row>
    <row r="61">
      <c r="A61" s="338"/>
      <c r="B61" s="292" t="s">
        <v>812</v>
      </c>
      <c r="C61" s="304" t="s">
        <v>813</v>
      </c>
      <c r="D61" s="293" t="s">
        <v>814</v>
      </c>
      <c r="E61" s="294">
        <v>8.40472503025E11</v>
      </c>
      <c r="F61" s="295"/>
      <c r="G61" s="295"/>
      <c r="H61" s="295"/>
      <c r="I61" s="295"/>
      <c r="J61" s="296" t="b">
        <v>1</v>
      </c>
      <c r="K61" s="297" t="b">
        <v>0</v>
      </c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309"/>
      <c r="Z61" s="310" t="s">
        <v>815</v>
      </c>
      <c r="AA61" s="311" t="s">
        <v>816</v>
      </c>
      <c r="AB61" s="311" t="s">
        <v>817</v>
      </c>
      <c r="AC61" s="318">
        <v>8.10115979739E11</v>
      </c>
      <c r="AD61" s="313"/>
      <c r="AE61" s="313"/>
      <c r="AF61" s="313"/>
      <c r="AG61" s="311" t="s">
        <v>759</v>
      </c>
      <c r="AH61" s="318" t="b">
        <v>1</v>
      </c>
      <c r="AI61" s="314" t="b">
        <v>0</v>
      </c>
      <c r="AJ61" s="209"/>
      <c r="AK61" s="209"/>
    </row>
    <row r="62">
      <c r="A62" s="338"/>
      <c r="B62" s="303" t="s">
        <v>818</v>
      </c>
      <c r="C62" s="304" t="s">
        <v>609</v>
      </c>
      <c r="D62" s="304" t="s">
        <v>819</v>
      </c>
      <c r="E62" s="305">
        <v>8.40472503018E11</v>
      </c>
      <c r="F62" s="209"/>
      <c r="G62" s="209"/>
      <c r="H62" s="209"/>
      <c r="I62" s="209"/>
      <c r="J62" s="296" t="b">
        <v>1</v>
      </c>
      <c r="K62" s="301" t="b">
        <v>0</v>
      </c>
      <c r="L62" s="209"/>
      <c r="M62" s="327" t="s">
        <v>768</v>
      </c>
      <c r="N62" s="282" t="s">
        <v>820</v>
      </c>
      <c r="O62" s="273"/>
      <c r="P62" s="274" t="s">
        <v>821</v>
      </c>
      <c r="Q62" s="275" t="s">
        <v>374</v>
      </c>
      <c r="R62" s="273"/>
      <c r="S62" s="273"/>
      <c r="T62" s="276" t="s">
        <v>370</v>
      </c>
      <c r="U62" s="276" t="s">
        <v>822</v>
      </c>
      <c r="V62" s="278" t="str">
        <f>IF(COUNTIF(V63:V71, TRUE) = COUNTA(V63:V71), "Complete!", IF(COUNTIF(V63:V71, TRUE) &gt; 0, "Partial", "Not Started"))</f>
        <v>Complete!</v>
      </c>
      <c r="W62" s="279"/>
      <c r="X62" s="280">
        <v>9.0</v>
      </c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</row>
    <row r="63">
      <c r="A63" s="338"/>
      <c r="B63" s="303" t="s">
        <v>823</v>
      </c>
      <c r="C63" s="304" t="s">
        <v>630</v>
      </c>
      <c r="D63" s="304" t="s">
        <v>824</v>
      </c>
      <c r="E63" s="305">
        <v>8.10115970347E11</v>
      </c>
      <c r="F63" s="209"/>
      <c r="G63" s="209"/>
      <c r="H63" s="209"/>
      <c r="I63" s="209"/>
      <c r="J63" s="296" t="b">
        <v>1</v>
      </c>
      <c r="K63" s="301" t="b">
        <v>0</v>
      </c>
      <c r="L63" s="209"/>
      <c r="N63" s="292" t="s">
        <v>825</v>
      </c>
      <c r="O63" s="298" t="s">
        <v>826</v>
      </c>
      <c r="P63" s="293" t="s">
        <v>827</v>
      </c>
      <c r="Q63" s="299">
        <v>8.10115970965E11</v>
      </c>
      <c r="R63" s="293" t="s">
        <v>527</v>
      </c>
      <c r="S63" s="295"/>
      <c r="T63" s="295"/>
      <c r="U63" s="295"/>
      <c r="V63" s="296" t="b">
        <v>1</v>
      </c>
      <c r="W63" s="297" t="b">
        <v>1</v>
      </c>
      <c r="X63" s="209"/>
      <c r="Y63" s="326" t="s">
        <v>828</v>
      </c>
      <c r="Z63" s="319" t="s">
        <v>829</v>
      </c>
      <c r="AA63" s="320"/>
      <c r="AB63" s="283" t="s">
        <v>830</v>
      </c>
      <c r="AC63" s="336" t="s">
        <v>831</v>
      </c>
      <c r="AD63" s="320"/>
      <c r="AE63" s="320"/>
      <c r="AF63" s="285" t="s">
        <v>572</v>
      </c>
      <c r="AG63" s="285" t="s">
        <v>832</v>
      </c>
      <c r="AH63" s="333" t="str">
        <f>IF(COUNTIF(AH64:AH69, TRUE) = COUNTA(AH64:AH69), "Complete!", IF(COUNTIF(AH64:AH69, TRUE) &gt; 0, "Partial", "Not Started"))</f>
        <v>Complete!</v>
      </c>
      <c r="AI63" s="334"/>
      <c r="AJ63" s="280">
        <v>6.0</v>
      </c>
      <c r="AK63" s="209"/>
    </row>
    <row r="64">
      <c r="A64" s="338"/>
      <c r="B64" s="303" t="s">
        <v>833</v>
      </c>
      <c r="C64" s="304" t="s">
        <v>394</v>
      </c>
      <c r="D64" s="304" t="s">
        <v>834</v>
      </c>
      <c r="E64" s="305">
        <v>8.10115970255E11</v>
      </c>
      <c r="F64" s="209"/>
      <c r="G64" s="209"/>
      <c r="H64" s="209"/>
      <c r="I64" s="209"/>
      <c r="J64" s="296" t="b">
        <v>1</v>
      </c>
      <c r="K64" s="301" t="b">
        <v>0</v>
      </c>
      <c r="L64" s="209"/>
      <c r="N64" s="303" t="s">
        <v>835</v>
      </c>
      <c r="O64" s="306" t="s">
        <v>836</v>
      </c>
      <c r="P64" s="304" t="s">
        <v>837</v>
      </c>
      <c r="Q64" s="307">
        <v>8.10115970989E11</v>
      </c>
      <c r="R64" s="304" t="s">
        <v>527</v>
      </c>
      <c r="S64" s="209"/>
      <c r="T64" s="209"/>
      <c r="U64" s="209"/>
      <c r="V64" s="296" t="b">
        <v>1</v>
      </c>
      <c r="W64" s="301" t="b">
        <v>1</v>
      </c>
      <c r="X64" s="209"/>
      <c r="Y64" s="291"/>
      <c r="Z64" s="304" t="s">
        <v>838</v>
      </c>
      <c r="AA64" s="304" t="s">
        <v>739</v>
      </c>
      <c r="AB64" s="293" t="s">
        <v>839</v>
      </c>
      <c r="AC64" s="307">
        <v>8.10115979791E11</v>
      </c>
      <c r="AD64" s="209"/>
      <c r="AE64" s="209"/>
      <c r="AF64" s="209"/>
      <c r="AG64" s="311" t="s">
        <v>759</v>
      </c>
      <c r="AH64" s="307" t="b">
        <v>1</v>
      </c>
      <c r="AI64" s="301" t="b">
        <v>0</v>
      </c>
      <c r="AJ64" s="209"/>
      <c r="AK64" s="209"/>
    </row>
    <row r="65">
      <c r="A65" s="338"/>
      <c r="B65" s="303" t="s">
        <v>840</v>
      </c>
      <c r="C65" s="304" t="s">
        <v>841</v>
      </c>
      <c r="D65" s="304" t="s">
        <v>842</v>
      </c>
      <c r="E65" s="305">
        <v>8.40472503001E11</v>
      </c>
      <c r="F65" s="209"/>
      <c r="G65" s="209"/>
      <c r="H65" s="209"/>
      <c r="I65" s="209"/>
      <c r="J65" s="296" t="b">
        <v>1</v>
      </c>
      <c r="K65" s="301" t="b">
        <v>0</v>
      </c>
      <c r="L65" s="209"/>
      <c r="N65" s="303" t="s">
        <v>843</v>
      </c>
      <c r="O65" s="306" t="s">
        <v>394</v>
      </c>
      <c r="P65" s="304" t="s">
        <v>844</v>
      </c>
      <c r="Q65" s="307">
        <v>8.10115976011E11</v>
      </c>
      <c r="R65" s="209"/>
      <c r="S65" s="209"/>
      <c r="T65" s="209"/>
      <c r="U65" s="209"/>
      <c r="V65" s="296" t="b">
        <v>1</v>
      </c>
      <c r="W65" s="301" t="b">
        <v>0</v>
      </c>
      <c r="X65" s="209"/>
      <c r="Y65" s="291"/>
      <c r="Z65" s="304" t="s">
        <v>845</v>
      </c>
      <c r="AA65" s="304" t="s">
        <v>400</v>
      </c>
      <c r="AB65" s="304" t="s">
        <v>846</v>
      </c>
      <c r="AC65" s="307">
        <v>8.10115979814E11</v>
      </c>
      <c r="AD65" s="304" t="s">
        <v>732</v>
      </c>
      <c r="AE65" s="209"/>
      <c r="AF65" s="209"/>
      <c r="AG65" s="304" t="s">
        <v>733</v>
      </c>
      <c r="AH65" s="307" t="b">
        <v>1</v>
      </c>
      <c r="AI65" s="301" t="b">
        <v>0</v>
      </c>
      <c r="AJ65" s="209"/>
      <c r="AK65" s="209"/>
    </row>
    <row r="66">
      <c r="A66" s="338"/>
      <c r="B66" s="303" t="s">
        <v>847</v>
      </c>
      <c r="C66" s="304" t="s">
        <v>848</v>
      </c>
      <c r="D66" s="304" t="s">
        <v>849</v>
      </c>
      <c r="E66" s="305">
        <v>8.1011597187E11</v>
      </c>
      <c r="F66" s="209"/>
      <c r="G66" s="209"/>
      <c r="H66" s="209"/>
      <c r="I66" s="209"/>
      <c r="J66" s="296" t="b">
        <v>1</v>
      </c>
      <c r="K66" s="301" t="b">
        <v>0</v>
      </c>
      <c r="L66" s="209"/>
      <c r="N66" s="303" t="s">
        <v>850</v>
      </c>
      <c r="O66" s="306" t="s">
        <v>390</v>
      </c>
      <c r="P66" s="304" t="s">
        <v>851</v>
      </c>
      <c r="Q66" s="307">
        <v>8.10115976028E11</v>
      </c>
      <c r="R66" s="209"/>
      <c r="S66" s="209"/>
      <c r="T66" s="209"/>
      <c r="U66" s="209"/>
      <c r="V66" s="296" t="b">
        <v>1</v>
      </c>
      <c r="W66" s="301" t="b">
        <v>0</v>
      </c>
      <c r="X66" s="209"/>
      <c r="Y66" s="291"/>
      <c r="Z66" s="304" t="s">
        <v>852</v>
      </c>
      <c r="AA66" s="304" t="s">
        <v>400</v>
      </c>
      <c r="AB66" s="304" t="s">
        <v>853</v>
      </c>
      <c r="AC66" s="307">
        <v>8.10115979821E11</v>
      </c>
      <c r="AD66" s="304" t="s">
        <v>732</v>
      </c>
      <c r="AE66" s="209"/>
      <c r="AF66" s="209"/>
      <c r="AG66" s="304" t="s">
        <v>733</v>
      </c>
      <c r="AH66" s="307" t="b">
        <v>1</v>
      </c>
      <c r="AI66" s="301" t="b">
        <v>0</v>
      </c>
      <c r="AJ66" s="209"/>
      <c r="AK66" s="209"/>
    </row>
    <row r="67">
      <c r="A67" s="338"/>
      <c r="B67" s="303" t="s">
        <v>854</v>
      </c>
      <c r="C67" s="304" t="s">
        <v>855</v>
      </c>
      <c r="D67" s="304" t="s">
        <v>856</v>
      </c>
      <c r="E67" s="305">
        <v>8.10115970453E11</v>
      </c>
      <c r="F67" s="209"/>
      <c r="G67" s="209"/>
      <c r="H67" s="209"/>
      <c r="I67" s="209"/>
      <c r="J67" s="296" t="b">
        <v>1</v>
      </c>
      <c r="K67" s="301" t="b">
        <v>0</v>
      </c>
      <c r="L67" s="209"/>
      <c r="N67" s="303" t="s">
        <v>857</v>
      </c>
      <c r="O67" s="306" t="s">
        <v>858</v>
      </c>
      <c r="P67" s="304" t="s">
        <v>859</v>
      </c>
      <c r="Q67" s="307">
        <v>8.10115970972E11</v>
      </c>
      <c r="R67" s="209"/>
      <c r="S67" s="209"/>
      <c r="T67" s="209"/>
      <c r="U67" s="209"/>
      <c r="V67" s="296" t="b">
        <v>1</v>
      </c>
      <c r="W67" s="301" t="b">
        <v>0</v>
      </c>
      <c r="X67" s="209"/>
      <c r="Y67" s="291"/>
      <c r="Z67" s="304" t="s">
        <v>860</v>
      </c>
      <c r="AA67" s="304" t="s">
        <v>554</v>
      </c>
      <c r="AB67" s="304" t="s">
        <v>861</v>
      </c>
      <c r="AC67" s="307">
        <v>8.10115979838E11</v>
      </c>
      <c r="AD67" s="304" t="s">
        <v>732</v>
      </c>
      <c r="AE67" s="209"/>
      <c r="AF67" s="209"/>
      <c r="AG67" s="304" t="s">
        <v>733</v>
      </c>
      <c r="AH67" s="307" t="b">
        <v>1</v>
      </c>
      <c r="AI67" s="301" t="b">
        <v>0</v>
      </c>
      <c r="AJ67" s="209"/>
      <c r="AK67" s="209"/>
    </row>
    <row r="68">
      <c r="A68" s="338"/>
      <c r="B68" s="303" t="s">
        <v>862</v>
      </c>
      <c r="C68" s="304" t="s">
        <v>863</v>
      </c>
      <c r="D68" s="304" t="s">
        <v>864</v>
      </c>
      <c r="E68" s="305">
        <v>8.40472503032E11</v>
      </c>
      <c r="F68" s="209"/>
      <c r="G68" s="209"/>
      <c r="H68" s="209"/>
      <c r="I68" s="209"/>
      <c r="J68" s="296" t="b">
        <v>1</v>
      </c>
      <c r="K68" s="301" t="b">
        <v>0</v>
      </c>
      <c r="L68" s="209"/>
      <c r="N68" s="303" t="s">
        <v>865</v>
      </c>
      <c r="O68" s="306" t="s">
        <v>404</v>
      </c>
      <c r="P68" s="304" t="s">
        <v>866</v>
      </c>
      <c r="Q68" s="307">
        <v>8.40472501779E11</v>
      </c>
      <c r="R68" s="209"/>
      <c r="S68" s="209"/>
      <c r="T68" s="209"/>
      <c r="U68" s="209"/>
      <c r="V68" s="296" t="b">
        <v>1</v>
      </c>
      <c r="W68" s="301" t="b">
        <v>0</v>
      </c>
      <c r="X68" s="209"/>
      <c r="Y68" s="291"/>
      <c r="Z68" s="304" t="s">
        <v>867</v>
      </c>
      <c r="AA68" s="304" t="s">
        <v>554</v>
      </c>
      <c r="AB68" s="304" t="s">
        <v>868</v>
      </c>
      <c r="AC68" s="307">
        <v>8.10115979845E11</v>
      </c>
      <c r="AD68" s="304" t="s">
        <v>732</v>
      </c>
      <c r="AE68" s="209"/>
      <c r="AF68" s="209"/>
      <c r="AG68" s="304" t="s">
        <v>733</v>
      </c>
      <c r="AH68" s="307" t="b">
        <v>1</v>
      </c>
      <c r="AI68" s="301" t="b">
        <v>0</v>
      </c>
      <c r="AJ68" s="209"/>
      <c r="AK68" s="209"/>
    </row>
    <row r="69">
      <c r="A69" s="338"/>
      <c r="B69" s="310" t="s">
        <v>869</v>
      </c>
      <c r="C69" s="311" t="s">
        <v>870</v>
      </c>
      <c r="D69" s="311" t="s">
        <v>871</v>
      </c>
      <c r="E69" s="312">
        <v>8.40472503049E11</v>
      </c>
      <c r="F69" s="313"/>
      <c r="G69" s="313"/>
      <c r="H69" s="313"/>
      <c r="I69" s="313"/>
      <c r="J69" s="296" t="b">
        <v>1</v>
      </c>
      <c r="K69" s="314" t="b">
        <v>0</v>
      </c>
      <c r="L69" s="209"/>
      <c r="N69" s="303" t="s">
        <v>872</v>
      </c>
      <c r="O69" s="306" t="s">
        <v>873</v>
      </c>
      <c r="P69" s="304" t="s">
        <v>874</v>
      </c>
      <c r="Q69" s="307">
        <v>8.40472501762E11</v>
      </c>
      <c r="R69" s="209"/>
      <c r="S69" s="209"/>
      <c r="T69" s="209"/>
      <c r="U69" s="209"/>
      <c r="V69" s="296" t="b">
        <v>1</v>
      </c>
      <c r="W69" s="301" t="b">
        <v>0</v>
      </c>
      <c r="X69" s="209"/>
      <c r="Y69" s="309"/>
      <c r="Z69" s="311" t="s">
        <v>875</v>
      </c>
      <c r="AA69" s="311" t="s">
        <v>876</v>
      </c>
      <c r="AB69" s="311" t="s">
        <v>877</v>
      </c>
      <c r="AC69" s="318">
        <v>8.10115979852E11</v>
      </c>
      <c r="AD69" s="311" t="s">
        <v>732</v>
      </c>
      <c r="AE69" s="313"/>
      <c r="AF69" s="313"/>
      <c r="AG69" s="311" t="s">
        <v>733</v>
      </c>
      <c r="AH69" s="307" t="b">
        <v>1</v>
      </c>
      <c r="AI69" s="314" t="b">
        <v>0</v>
      </c>
      <c r="AJ69" s="209"/>
      <c r="AK69" s="209"/>
    </row>
    <row r="70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N70" s="303" t="s">
        <v>878</v>
      </c>
      <c r="O70" s="306" t="s">
        <v>682</v>
      </c>
      <c r="P70" s="304" t="s">
        <v>879</v>
      </c>
      <c r="Q70" s="307">
        <v>8.40472501786E11</v>
      </c>
      <c r="R70" s="209"/>
      <c r="S70" s="209"/>
      <c r="T70" s="209"/>
      <c r="U70" s="209"/>
      <c r="V70" s="296" t="b">
        <v>1</v>
      </c>
      <c r="W70" s="301" t="b">
        <v>0</v>
      </c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</row>
    <row r="71">
      <c r="A71" s="337" t="s">
        <v>828</v>
      </c>
      <c r="B71" s="282" t="s">
        <v>215</v>
      </c>
      <c r="C71" s="273"/>
      <c r="D71" s="274" t="s">
        <v>214</v>
      </c>
      <c r="E71" s="275" t="s">
        <v>805</v>
      </c>
      <c r="F71" s="273"/>
      <c r="G71" s="273"/>
      <c r="H71" s="274" t="s">
        <v>370</v>
      </c>
      <c r="I71" s="274" t="s">
        <v>880</v>
      </c>
      <c r="J71" s="278" t="str">
        <f>IF(COUNTIF(J72:J79, TRUE) = COUNTA(J72:J79), "Complete!", IF(COUNTIF(J72:J79, TRUE) &gt; 0, "Partial", "Not Started"))</f>
        <v>Complete!</v>
      </c>
      <c r="K71" s="279"/>
      <c r="L71" s="280">
        <v>8.0</v>
      </c>
      <c r="N71" s="310" t="s">
        <v>881</v>
      </c>
      <c r="O71" s="317" t="s">
        <v>882</v>
      </c>
      <c r="P71" s="311" t="s">
        <v>883</v>
      </c>
      <c r="Q71" s="318">
        <v>8.40472501755E11</v>
      </c>
      <c r="R71" s="313"/>
      <c r="S71" s="313"/>
      <c r="T71" s="313"/>
      <c r="U71" s="313"/>
      <c r="V71" s="296" t="b">
        <v>1</v>
      </c>
      <c r="W71" s="314" t="b">
        <v>0</v>
      </c>
      <c r="X71" s="209"/>
      <c r="Y71" s="326" t="s">
        <v>884</v>
      </c>
      <c r="Z71" s="339" t="s">
        <v>885</v>
      </c>
      <c r="AA71" s="320"/>
      <c r="AB71" s="283" t="s">
        <v>886</v>
      </c>
      <c r="AC71" s="336" t="s">
        <v>887</v>
      </c>
      <c r="AD71" s="320"/>
      <c r="AE71" s="320"/>
      <c r="AF71" s="285" t="s">
        <v>888</v>
      </c>
      <c r="AG71" s="285" t="s">
        <v>889</v>
      </c>
      <c r="AH71" s="333" t="str">
        <f>IF(COUNTIF(AH72:AH74, TRUE) = COUNTA(AH72:AH74), "Complete!", IF(COUNTIF(AH72:AH74, TRUE) &gt; 0, "Partial", "Not Started"))</f>
        <v>Complete!</v>
      </c>
      <c r="AI71" s="334"/>
      <c r="AJ71" s="280">
        <v>3.0</v>
      </c>
      <c r="AK71" s="209"/>
    </row>
    <row r="72">
      <c r="A72" s="338"/>
      <c r="B72" s="292" t="s">
        <v>890</v>
      </c>
      <c r="C72" s="293" t="s">
        <v>685</v>
      </c>
      <c r="D72" s="293" t="s">
        <v>891</v>
      </c>
      <c r="E72" s="294">
        <v>8.40472505906E11</v>
      </c>
      <c r="F72" s="295"/>
      <c r="G72" s="295"/>
      <c r="H72" s="295"/>
      <c r="I72" s="295"/>
      <c r="J72" s="296" t="b">
        <v>1</v>
      </c>
      <c r="K72" s="297" t="b">
        <v>0</v>
      </c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91"/>
      <c r="Z72" s="304" t="s">
        <v>892</v>
      </c>
      <c r="AA72" s="304" t="s">
        <v>893</v>
      </c>
      <c r="AB72" s="293" t="s">
        <v>894</v>
      </c>
      <c r="AC72" s="307">
        <v>8.10115970491E11</v>
      </c>
      <c r="AD72" s="304" t="s">
        <v>732</v>
      </c>
      <c r="AE72" s="209"/>
      <c r="AF72" s="209"/>
      <c r="AG72" s="209"/>
      <c r="AH72" s="307" t="b">
        <v>1</v>
      </c>
      <c r="AI72" s="301" t="b">
        <v>0</v>
      </c>
      <c r="AJ72" s="209"/>
      <c r="AK72" s="209"/>
    </row>
    <row r="73">
      <c r="A73" s="338"/>
      <c r="B73" s="303" t="s">
        <v>895</v>
      </c>
      <c r="C73" s="304" t="s">
        <v>896</v>
      </c>
      <c r="D73" s="304" t="s">
        <v>897</v>
      </c>
      <c r="E73" s="305">
        <v>8.4047250592E11</v>
      </c>
      <c r="F73" s="209"/>
      <c r="G73" s="209"/>
      <c r="H73" s="209"/>
      <c r="I73" s="209"/>
      <c r="J73" s="296" t="b">
        <v>1</v>
      </c>
      <c r="K73" s="301" t="b">
        <v>0</v>
      </c>
      <c r="L73" s="209"/>
      <c r="M73" s="281" t="s">
        <v>828</v>
      </c>
      <c r="N73" s="282" t="s">
        <v>898</v>
      </c>
      <c r="O73" s="273"/>
      <c r="P73" s="274" t="s">
        <v>899</v>
      </c>
      <c r="Q73" s="275" t="s">
        <v>374</v>
      </c>
      <c r="R73" s="273"/>
      <c r="S73" s="273"/>
      <c r="T73" s="274" t="s">
        <v>900</v>
      </c>
      <c r="U73" s="274" t="s">
        <v>901</v>
      </c>
      <c r="V73" s="278" t="str">
        <f>IF(COUNTIF(V74:V81, TRUE) = COUNTA(V74:V81), "Complete!", IF(COUNTIF(V74:V81, TRUE) &gt; 0, "Partial", "Not Started"))</f>
        <v>Complete!</v>
      </c>
      <c r="W73" s="279"/>
      <c r="X73" s="340">
        <v>8.0</v>
      </c>
      <c r="Y73" s="291"/>
      <c r="Z73" s="304" t="s">
        <v>902</v>
      </c>
      <c r="AA73" s="304" t="s">
        <v>903</v>
      </c>
      <c r="AB73" s="304" t="s">
        <v>904</v>
      </c>
      <c r="AC73" s="307">
        <v>8.10115971382E11</v>
      </c>
      <c r="AD73" s="304" t="s">
        <v>732</v>
      </c>
      <c r="AE73" s="209"/>
      <c r="AF73" s="209"/>
      <c r="AG73" s="209"/>
      <c r="AH73" s="307" t="b">
        <v>1</v>
      </c>
      <c r="AI73" s="301" t="b">
        <v>0</v>
      </c>
      <c r="AJ73" s="209"/>
      <c r="AK73" s="209"/>
    </row>
    <row r="74">
      <c r="A74" s="338"/>
      <c r="B74" s="303" t="s">
        <v>905</v>
      </c>
      <c r="C74" s="304" t="s">
        <v>676</v>
      </c>
      <c r="D74" s="304" t="s">
        <v>906</v>
      </c>
      <c r="E74" s="305">
        <v>8.10115971689E11</v>
      </c>
      <c r="F74" s="209"/>
      <c r="G74" s="209"/>
      <c r="H74" s="209"/>
      <c r="I74" s="209"/>
      <c r="J74" s="296" t="b">
        <v>1</v>
      </c>
      <c r="K74" s="301" t="b">
        <v>0</v>
      </c>
      <c r="L74" s="209"/>
      <c r="M74" s="291"/>
      <c r="N74" s="292" t="s">
        <v>907</v>
      </c>
      <c r="O74" s="341" t="s">
        <v>685</v>
      </c>
      <c r="P74" s="342" t="s">
        <v>908</v>
      </c>
      <c r="Q74" s="343">
        <v>8.4047250352E11</v>
      </c>
      <c r="R74" s="295"/>
      <c r="S74" s="295"/>
      <c r="T74" s="295"/>
      <c r="U74" s="328"/>
      <c r="V74" s="296" t="b">
        <v>1</v>
      </c>
      <c r="W74" s="297" t="b">
        <v>0</v>
      </c>
      <c r="X74" s="344"/>
      <c r="Y74" s="309"/>
      <c r="Z74" s="311" t="s">
        <v>909</v>
      </c>
      <c r="AA74" s="311" t="s">
        <v>910</v>
      </c>
      <c r="AB74" s="311" t="s">
        <v>911</v>
      </c>
      <c r="AC74" s="318">
        <v>8.10115971399E11</v>
      </c>
      <c r="AD74" s="311" t="s">
        <v>732</v>
      </c>
      <c r="AE74" s="313"/>
      <c r="AF74" s="313"/>
      <c r="AG74" s="313"/>
      <c r="AH74" s="318" t="b">
        <v>1</v>
      </c>
      <c r="AI74" s="314" t="b">
        <v>0</v>
      </c>
      <c r="AJ74" s="209"/>
      <c r="AK74" s="209"/>
    </row>
    <row r="75">
      <c r="A75" s="338"/>
      <c r="B75" s="303" t="s">
        <v>912</v>
      </c>
      <c r="C75" s="304" t="s">
        <v>913</v>
      </c>
      <c r="D75" s="304" t="s">
        <v>914</v>
      </c>
      <c r="E75" s="305">
        <v>8.40472505944E11</v>
      </c>
      <c r="F75" s="209"/>
      <c r="G75" s="209"/>
      <c r="H75" s="209"/>
      <c r="I75" s="209"/>
      <c r="J75" s="296" t="b">
        <v>1</v>
      </c>
      <c r="K75" s="301" t="b">
        <v>0</v>
      </c>
      <c r="L75" s="209"/>
      <c r="M75" s="291"/>
      <c r="N75" s="303" t="s">
        <v>915</v>
      </c>
      <c r="O75" s="306" t="s">
        <v>676</v>
      </c>
      <c r="P75" s="304" t="s">
        <v>916</v>
      </c>
      <c r="Q75" s="307">
        <v>8.40472503537E11</v>
      </c>
      <c r="R75" s="209"/>
      <c r="S75" s="209"/>
      <c r="T75" s="209"/>
      <c r="U75" s="325"/>
      <c r="V75" s="296" t="b">
        <v>1</v>
      </c>
      <c r="W75" s="301" t="b">
        <v>0</v>
      </c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</row>
    <row r="76">
      <c r="A76" s="338"/>
      <c r="B76" s="303" t="s">
        <v>917</v>
      </c>
      <c r="C76" s="304" t="s">
        <v>588</v>
      </c>
      <c r="D76" s="304" t="s">
        <v>918</v>
      </c>
      <c r="E76" s="305">
        <v>8.10115971733E11</v>
      </c>
      <c r="F76" s="209"/>
      <c r="G76" s="209"/>
      <c r="H76" s="209"/>
      <c r="I76" s="209"/>
      <c r="J76" s="296" t="b">
        <v>1</v>
      </c>
      <c r="K76" s="301" t="b">
        <v>0</v>
      </c>
      <c r="L76" s="209"/>
      <c r="M76" s="291"/>
      <c r="N76" s="303" t="s">
        <v>919</v>
      </c>
      <c r="O76" s="306" t="s">
        <v>617</v>
      </c>
      <c r="P76" s="304" t="s">
        <v>920</v>
      </c>
      <c r="Q76" s="307">
        <v>8.40472503544E11</v>
      </c>
      <c r="R76" s="209"/>
      <c r="S76" s="209"/>
      <c r="T76" s="209"/>
      <c r="U76" s="325"/>
      <c r="V76" s="296" t="b">
        <v>1</v>
      </c>
      <c r="W76" s="301" t="b">
        <v>0</v>
      </c>
      <c r="X76" s="344"/>
      <c r="Y76" s="286" t="s">
        <v>921</v>
      </c>
      <c r="Z76" s="339" t="s">
        <v>922</v>
      </c>
      <c r="AA76" s="320"/>
      <c r="AB76" s="283" t="s">
        <v>923</v>
      </c>
      <c r="AC76" s="336" t="s">
        <v>887</v>
      </c>
      <c r="AD76" s="320"/>
      <c r="AE76" s="320"/>
      <c r="AF76" s="285" t="s">
        <v>888</v>
      </c>
      <c r="AG76" s="285" t="s">
        <v>889</v>
      </c>
      <c r="AH76" s="333" t="str">
        <f>IF(COUNTIF(AH78:AH79, TRUE) = COUNTA(AH78:AH79), "Complete!", IF(COUNTIF(AH78:AH79, TRUE) &gt; 0, "Partial", "Not Started"))</f>
        <v>Complete!</v>
      </c>
      <c r="AI76" s="334"/>
      <c r="AJ76" s="280">
        <v>2.0</v>
      </c>
      <c r="AK76" s="209"/>
    </row>
    <row r="77">
      <c r="A77" s="338"/>
      <c r="B77" s="303" t="s">
        <v>924</v>
      </c>
      <c r="C77" s="304" t="s">
        <v>384</v>
      </c>
      <c r="D77" s="304" t="s">
        <v>925</v>
      </c>
      <c r="E77" s="305">
        <v>8.10115971825E11</v>
      </c>
      <c r="F77" s="209"/>
      <c r="G77" s="209"/>
      <c r="H77" s="209"/>
      <c r="I77" s="209"/>
      <c r="J77" s="296" t="b">
        <v>1</v>
      </c>
      <c r="K77" s="301" t="b">
        <v>0</v>
      </c>
      <c r="L77" s="209"/>
      <c r="M77" s="291"/>
      <c r="N77" s="303" t="s">
        <v>926</v>
      </c>
      <c r="O77" s="306" t="s">
        <v>588</v>
      </c>
      <c r="P77" s="304" t="s">
        <v>927</v>
      </c>
      <c r="Q77" s="307">
        <v>8.40472503568E11</v>
      </c>
      <c r="R77" s="209"/>
      <c r="S77" s="209"/>
      <c r="T77" s="209"/>
      <c r="U77" s="325"/>
      <c r="V77" s="296" t="b">
        <v>1</v>
      </c>
      <c r="W77" s="301" t="b">
        <v>0</v>
      </c>
      <c r="X77" s="209"/>
      <c r="Y77" s="291"/>
      <c r="Z77" s="209"/>
      <c r="AA77" s="209"/>
      <c r="AB77" s="209"/>
      <c r="AC77" s="209"/>
      <c r="AD77" s="209"/>
      <c r="AE77" s="209"/>
      <c r="AF77" s="209"/>
      <c r="AG77" s="209"/>
      <c r="AH77" s="307" t="b">
        <v>1</v>
      </c>
      <c r="AI77" s="301" t="b">
        <v>0</v>
      </c>
      <c r="AJ77" s="209"/>
      <c r="AK77" s="209"/>
    </row>
    <row r="78">
      <c r="A78" s="338"/>
      <c r="B78" s="303" t="s">
        <v>928</v>
      </c>
      <c r="C78" s="304" t="s">
        <v>929</v>
      </c>
      <c r="D78" s="304" t="s">
        <v>930</v>
      </c>
      <c r="E78" s="305">
        <v>8.40472502998E11</v>
      </c>
      <c r="F78" s="209"/>
      <c r="G78" s="209"/>
      <c r="H78" s="209"/>
      <c r="I78" s="209"/>
      <c r="J78" s="296" t="b">
        <v>1</v>
      </c>
      <c r="K78" s="301" t="b">
        <v>0</v>
      </c>
      <c r="L78" s="209"/>
      <c r="M78" s="291"/>
      <c r="N78" s="303" t="s">
        <v>931</v>
      </c>
      <c r="O78" s="306" t="s">
        <v>602</v>
      </c>
      <c r="P78" s="304" t="s">
        <v>932</v>
      </c>
      <c r="Q78" s="307">
        <v>8.40472503575E11</v>
      </c>
      <c r="R78" s="209"/>
      <c r="S78" s="209"/>
      <c r="T78" s="209"/>
      <c r="U78" s="325"/>
      <c r="V78" s="296" t="b">
        <v>1</v>
      </c>
      <c r="W78" s="301" t="b">
        <v>0</v>
      </c>
      <c r="X78" s="209"/>
      <c r="Y78" s="291"/>
      <c r="Z78" s="304" t="s">
        <v>933</v>
      </c>
      <c r="AA78" s="304" t="s">
        <v>934</v>
      </c>
      <c r="AB78" s="304" t="s">
        <v>935</v>
      </c>
      <c r="AC78" s="307">
        <v>8.10115970507E11</v>
      </c>
      <c r="AD78" s="304" t="s">
        <v>732</v>
      </c>
      <c r="AE78" s="209"/>
      <c r="AF78" s="209"/>
      <c r="AG78" s="209"/>
      <c r="AH78" s="307" t="b">
        <v>1</v>
      </c>
      <c r="AI78" s="301" t="b">
        <v>0</v>
      </c>
      <c r="AJ78" s="209"/>
      <c r="AK78" s="209"/>
    </row>
    <row r="79">
      <c r="A79" s="338"/>
      <c r="B79" s="310" t="s">
        <v>936</v>
      </c>
      <c r="C79" s="311" t="s">
        <v>602</v>
      </c>
      <c r="D79" s="311" t="s">
        <v>937</v>
      </c>
      <c r="E79" s="312">
        <v>8.10115972594E11</v>
      </c>
      <c r="F79" s="313"/>
      <c r="G79" s="313"/>
      <c r="H79" s="313"/>
      <c r="I79" s="313"/>
      <c r="J79" s="296" t="b">
        <v>1</v>
      </c>
      <c r="K79" s="314" t="b">
        <v>0</v>
      </c>
      <c r="L79" s="209"/>
      <c r="M79" s="291"/>
      <c r="N79" s="345" t="s">
        <v>938</v>
      </c>
      <c r="O79" s="306" t="s">
        <v>826</v>
      </c>
      <c r="P79" s="304" t="s">
        <v>939</v>
      </c>
      <c r="Q79" s="307">
        <v>8.40472503629E11</v>
      </c>
      <c r="R79" s="209"/>
      <c r="S79" s="209"/>
      <c r="T79" s="209"/>
      <c r="U79" s="325"/>
      <c r="V79" s="296" t="b">
        <v>1</v>
      </c>
      <c r="W79" s="301" t="b">
        <v>0</v>
      </c>
      <c r="X79" s="209"/>
      <c r="Y79" s="309"/>
      <c r="Z79" s="311" t="s">
        <v>940</v>
      </c>
      <c r="AA79" s="311" t="s">
        <v>941</v>
      </c>
      <c r="AB79" s="311" t="s">
        <v>942</v>
      </c>
      <c r="AC79" s="318">
        <v>8.10115971375E11</v>
      </c>
      <c r="AD79" s="311" t="s">
        <v>732</v>
      </c>
      <c r="AE79" s="313"/>
      <c r="AF79" s="313"/>
      <c r="AG79" s="313"/>
      <c r="AH79" s="318" t="b">
        <v>1</v>
      </c>
      <c r="AI79" s="314" t="b">
        <v>0</v>
      </c>
      <c r="AJ79" s="209"/>
      <c r="AK79" s="209"/>
    </row>
    <row r="80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91"/>
      <c r="N80" s="345" t="s">
        <v>943</v>
      </c>
      <c r="O80" s="306" t="s">
        <v>944</v>
      </c>
      <c r="P80" s="304" t="s">
        <v>945</v>
      </c>
      <c r="Q80" s="307">
        <v>8.40472503636E11</v>
      </c>
      <c r="R80" s="209"/>
      <c r="S80" s="209"/>
      <c r="T80" s="209"/>
      <c r="U80" s="325"/>
      <c r="V80" s="296" t="b">
        <v>1</v>
      </c>
      <c r="W80" s="301" t="b">
        <v>0</v>
      </c>
      <c r="X80" s="209"/>
      <c r="Y80" s="209"/>
      <c r="Z80" s="209"/>
      <c r="AA80" s="209"/>
      <c r="AB80" s="209"/>
      <c r="AC80" s="209"/>
      <c r="AD80" s="344"/>
      <c r="AE80" s="344"/>
      <c r="AF80" s="344"/>
      <c r="AG80" s="209"/>
      <c r="AH80" s="209"/>
      <c r="AI80" s="209"/>
      <c r="AJ80" s="209"/>
      <c r="AK80" s="209"/>
    </row>
    <row r="81">
      <c r="A81" s="337" t="s">
        <v>884</v>
      </c>
      <c r="B81" s="319" t="s">
        <v>231</v>
      </c>
      <c r="C81" s="320"/>
      <c r="D81" s="283" t="s">
        <v>230</v>
      </c>
      <c r="E81" s="275" t="s">
        <v>805</v>
      </c>
      <c r="F81" s="320"/>
      <c r="G81" s="320"/>
      <c r="H81" s="283" t="s">
        <v>370</v>
      </c>
      <c r="I81" s="283" t="s">
        <v>946</v>
      </c>
      <c r="J81" s="278" t="str">
        <f>IF(COUNTIF(J82:J90, TRUE) = COUNTA(J82:J90), "Complete!", IF(COUNTIF(J82:J90, TRUE) &gt; 0, "Partial", "Not Started"))</f>
        <v>Complete!</v>
      </c>
      <c r="K81" s="279"/>
      <c r="L81" s="280">
        <v>9.0</v>
      </c>
      <c r="M81" s="309"/>
      <c r="N81" s="346" t="s">
        <v>947</v>
      </c>
      <c r="O81" s="317" t="s">
        <v>394</v>
      </c>
      <c r="P81" s="311" t="s">
        <v>948</v>
      </c>
      <c r="Q81" s="318">
        <v>8.4047250365E11</v>
      </c>
      <c r="R81" s="313"/>
      <c r="S81" s="313"/>
      <c r="T81" s="313"/>
      <c r="U81" s="331"/>
      <c r="V81" s="296" t="b">
        <v>1</v>
      </c>
      <c r="W81" s="314" t="b">
        <v>0</v>
      </c>
      <c r="X81" s="209"/>
      <c r="Y81" s="286">
        <v>10.0</v>
      </c>
      <c r="Z81" s="319" t="s">
        <v>949</v>
      </c>
      <c r="AA81" s="320"/>
      <c r="AB81" s="283" t="s">
        <v>950</v>
      </c>
      <c r="AC81" s="336" t="s">
        <v>887</v>
      </c>
      <c r="AD81" s="320"/>
      <c r="AE81" s="320"/>
      <c r="AF81" s="276" t="s">
        <v>888</v>
      </c>
      <c r="AG81" s="285" t="s">
        <v>889</v>
      </c>
      <c r="AH81" s="333" t="str">
        <f>IF(COUNTIF(AH82:AH90, TRUE) = COUNTA(AH82:AH90), "Complete!", IF(COUNTIF(AH82:AH90, TRUE) &gt; 0, "Partial", "Not Started"))</f>
        <v>Partial</v>
      </c>
      <c r="AI81" s="334"/>
      <c r="AJ81" s="280">
        <v>1.0</v>
      </c>
      <c r="AK81" s="209"/>
    </row>
    <row r="82">
      <c r="A82" s="338"/>
      <c r="B82" s="292" t="s">
        <v>951</v>
      </c>
      <c r="C82" s="293" t="s">
        <v>952</v>
      </c>
      <c r="D82" s="293" t="s">
        <v>953</v>
      </c>
      <c r="E82" s="294">
        <v>8.10115972761E11</v>
      </c>
      <c r="F82" s="295"/>
      <c r="G82" s="295"/>
      <c r="H82" s="295"/>
      <c r="I82" s="295"/>
      <c r="J82" s="296" t="b">
        <v>1</v>
      </c>
      <c r="K82" s="297" t="b">
        <v>0</v>
      </c>
      <c r="L82" s="209"/>
      <c r="M82" s="344"/>
      <c r="N82" s="209"/>
      <c r="O82" s="209"/>
      <c r="P82" s="209"/>
      <c r="Q82" s="209"/>
      <c r="R82" s="344"/>
      <c r="S82" s="344"/>
      <c r="T82" s="344"/>
      <c r="U82" s="209"/>
      <c r="V82" s="209"/>
      <c r="W82" s="209"/>
      <c r="X82" s="209"/>
      <c r="Y82" s="309"/>
      <c r="Z82" s="310" t="s">
        <v>954</v>
      </c>
      <c r="AA82" s="311" t="s">
        <v>955</v>
      </c>
      <c r="AB82" s="311" t="s">
        <v>956</v>
      </c>
      <c r="AC82" s="318">
        <v>8.10115970514E11</v>
      </c>
      <c r="AD82" s="311" t="s">
        <v>732</v>
      </c>
      <c r="AE82" s="313"/>
      <c r="AF82" s="313"/>
      <c r="AG82" s="313"/>
      <c r="AH82" s="318" t="b">
        <v>1</v>
      </c>
      <c r="AI82" s="314" t="b">
        <v>0</v>
      </c>
      <c r="AJ82" s="209"/>
      <c r="AK82" s="209"/>
    </row>
    <row r="83">
      <c r="A83" s="338"/>
      <c r="B83" s="303" t="s">
        <v>957</v>
      </c>
      <c r="C83" s="304" t="s">
        <v>958</v>
      </c>
      <c r="D83" s="304" t="s">
        <v>959</v>
      </c>
      <c r="E83" s="305">
        <v>8.10115972785E11</v>
      </c>
      <c r="F83" s="209"/>
      <c r="G83" s="209"/>
      <c r="H83" s="209"/>
      <c r="I83" s="209"/>
      <c r="J83" s="296" t="b">
        <v>1</v>
      </c>
      <c r="K83" s="301" t="b">
        <v>0</v>
      </c>
      <c r="L83" s="209"/>
      <c r="M83" s="281" t="s">
        <v>884</v>
      </c>
      <c r="N83" s="282" t="s">
        <v>960</v>
      </c>
      <c r="O83" s="273"/>
      <c r="P83" s="274" t="s">
        <v>961</v>
      </c>
      <c r="Q83" s="275" t="s">
        <v>374</v>
      </c>
      <c r="R83" s="320"/>
      <c r="S83" s="320"/>
      <c r="T83" s="276" t="s">
        <v>962</v>
      </c>
      <c r="U83" s="274" t="s">
        <v>901</v>
      </c>
      <c r="V83" s="278" t="str">
        <f>IF(COUNTIF(V84:V88, TRUE) = COUNTA(V84:V88), "Complete!", IF(COUNTIF(V84:V88, TRUE) &gt; 0, "Partial", "Not Started"))</f>
        <v>Complete!</v>
      </c>
      <c r="W83" s="279"/>
      <c r="X83" s="280">
        <v>5.0</v>
      </c>
      <c r="Y83" s="209"/>
      <c r="Z83" s="209"/>
      <c r="AA83" s="209"/>
      <c r="AB83" s="209"/>
      <c r="AC83" s="209"/>
      <c r="AD83" s="344"/>
      <c r="AE83" s="344"/>
      <c r="AF83" s="344"/>
      <c r="AG83" s="209"/>
      <c r="AH83" s="209"/>
      <c r="AI83" s="209"/>
      <c r="AJ83" s="209"/>
      <c r="AK83" s="209"/>
    </row>
    <row r="84">
      <c r="A84" s="338"/>
      <c r="B84" s="303" t="s">
        <v>963</v>
      </c>
      <c r="C84" s="304" t="s">
        <v>487</v>
      </c>
      <c r="D84" s="304" t="s">
        <v>964</v>
      </c>
      <c r="E84" s="305">
        <v>8.10115972143E11</v>
      </c>
      <c r="F84" s="209"/>
      <c r="G84" s="209"/>
      <c r="H84" s="209"/>
      <c r="I84" s="209"/>
      <c r="J84" s="296" t="b">
        <v>1</v>
      </c>
      <c r="K84" s="301" t="b">
        <v>0</v>
      </c>
      <c r="L84" s="209"/>
      <c r="M84" s="291"/>
      <c r="N84" s="292" t="s">
        <v>965</v>
      </c>
      <c r="O84" s="298" t="s">
        <v>437</v>
      </c>
      <c r="P84" s="293" t="s">
        <v>966</v>
      </c>
      <c r="Q84" s="299">
        <v>8.40472503582E11</v>
      </c>
      <c r="R84" s="295"/>
      <c r="S84" s="295"/>
      <c r="T84" s="295"/>
      <c r="U84" s="328"/>
      <c r="V84" s="296" t="b">
        <v>1</v>
      </c>
      <c r="W84" s="297" t="b">
        <v>0</v>
      </c>
      <c r="X84" s="209"/>
      <c r="Y84" s="286">
        <v>11.0</v>
      </c>
      <c r="Z84" s="339" t="s">
        <v>967</v>
      </c>
      <c r="AA84" s="320"/>
      <c r="AB84" s="283" t="s">
        <v>968</v>
      </c>
      <c r="AC84" s="336" t="s">
        <v>887</v>
      </c>
      <c r="AD84" s="320"/>
      <c r="AE84" s="320"/>
      <c r="AF84" s="276" t="s">
        <v>888</v>
      </c>
      <c r="AG84" s="285" t="s">
        <v>889</v>
      </c>
      <c r="AH84" s="333" t="str">
        <f>IF(COUNTIF(AH85, TRUE) = COUNTA(AH85), "Complete!", IF(COUNTIF(AH85, TRUE) &gt; 0, "Partial", "Not Started"))</f>
        <v>Complete!</v>
      </c>
      <c r="AI84" s="334"/>
      <c r="AJ84" s="280">
        <v>1.0</v>
      </c>
      <c r="AK84" s="209"/>
    </row>
    <row r="85">
      <c r="A85" s="338"/>
      <c r="B85" s="303" t="s">
        <v>969</v>
      </c>
      <c r="C85" s="347" t="s">
        <v>440</v>
      </c>
      <c r="D85" s="304" t="s">
        <v>970</v>
      </c>
      <c r="E85" s="305">
        <v>8.10115972112E11</v>
      </c>
      <c r="F85" s="209"/>
      <c r="G85" s="209"/>
      <c r="H85" s="209"/>
      <c r="I85" s="209"/>
      <c r="J85" s="296" t="b">
        <v>1</v>
      </c>
      <c r="K85" s="301" t="b">
        <v>0</v>
      </c>
      <c r="L85" s="209"/>
      <c r="M85" s="291"/>
      <c r="N85" s="303" t="s">
        <v>971</v>
      </c>
      <c r="O85" s="306" t="s">
        <v>972</v>
      </c>
      <c r="P85" s="304" t="s">
        <v>973</v>
      </c>
      <c r="Q85" s="307">
        <v>8.40472503605E11</v>
      </c>
      <c r="R85" s="209"/>
      <c r="S85" s="209"/>
      <c r="T85" s="209"/>
      <c r="U85" s="325"/>
      <c r="V85" s="296" t="b">
        <v>1</v>
      </c>
      <c r="W85" s="301" t="b">
        <v>0</v>
      </c>
      <c r="X85" s="209"/>
      <c r="Y85" s="309"/>
      <c r="Z85" s="311" t="s">
        <v>974</v>
      </c>
      <c r="AA85" s="311" t="s">
        <v>975</v>
      </c>
      <c r="AB85" s="348" t="s">
        <v>976</v>
      </c>
      <c r="AC85" s="318">
        <v>8.10115971467E11</v>
      </c>
      <c r="AD85" s="311" t="s">
        <v>732</v>
      </c>
      <c r="AE85" s="313"/>
      <c r="AF85" s="313"/>
      <c r="AG85" s="313"/>
      <c r="AH85" s="318" t="b">
        <v>1</v>
      </c>
      <c r="AI85" s="314" t="b">
        <v>0</v>
      </c>
      <c r="AJ85" s="209"/>
      <c r="AK85" s="209"/>
    </row>
    <row r="86">
      <c r="A86" s="338"/>
      <c r="B86" s="303" t="s">
        <v>977</v>
      </c>
      <c r="C86" s="304" t="s">
        <v>458</v>
      </c>
      <c r="D86" s="304" t="s">
        <v>978</v>
      </c>
      <c r="E86" s="305">
        <v>8.10115972969E11</v>
      </c>
      <c r="F86" s="209"/>
      <c r="G86" s="209"/>
      <c r="H86" s="209"/>
      <c r="I86" s="209"/>
      <c r="J86" s="296" t="b">
        <v>1</v>
      </c>
      <c r="K86" s="301" t="b">
        <v>0</v>
      </c>
      <c r="L86" s="209"/>
      <c r="M86" s="291"/>
      <c r="N86" s="303" t="s">
        <v>979</v>
      </c>
      <c r="O86" s="306" t="s">
        <v>754</v>
      </c>
      <c r="P86" s="304" t="s">
        <v>980</v>
      </c>
      <c r="Q86" s="307">
        <v>8.40472503667E11</v>
      </c>
      <c r="R86" s="209"/>
      <c r="S86" s="209"/>
      <c r="T86" s="209"/>
      <c r="U86" s="325"/>
      <c r="V86" s="296" t="b">
        <v>1</v>
      </c>
      <c r="W86" s="301" t="b">
        <v>0</v>
      </c>
      <c r="X86" s="209"/>
      <c r="Y86" s="209"/>
      <c r="Z86" s="209"/>
      <c r="AA86" s="209"/>
      <c r="AB86" s="209"/>
      <c r="AC86" s="209"/>
      <c r="AD86" s="344"/>
      <c r="AE86" s="344"/>
      <c r="AF86" s="344"/>
      <c r="AG86" s="209"/>
      <c r="AH86" s="209"/>
      <c r="AI86" s="209"/>
      <c r="AJ86" s="209"/>
      <c r="AK86" s="209"/>
    </row>
    <row r="87">
      <c r="A87" s="338"/>
      <c r="B87" s="303" t="s">
        <v>981</v>
      </c>
      <c r="C87" s="304" t="s">
        <v>513</v>
      </c>
      <c r="D87" s="304" t="s">
        <v>982</v>
      </c>
      <c r="E87" s="305">
        <v>8.10115972099E11</v>
      </c>
      <c r="F87" s="209"/>
      <c r="G87" s="209"/>
      <c r="H87" s="209"/>
      <c r="I87" s="209"/>
      <c r="J87" s="296" t="b">
        <v>1</v>
      </c>
      <c r="K87" s="301" t="b">
        <v>0</v>
      </c>
      <c r="L87" s="209"/>
      <c r="M87" s="291"/>
      <c r="N87" s="303" t="s">
        <v>983</v>
      </c>
      <c r="O87" s="306" t="s">
        <v>726</v>
      </c>
      <c r="P87" s="304" t="s">
        <v>984</v>
      </c>
      <c r="Q87" s="307">
        <v>8.40472503674E11</v>
      </c>
      <c r="R87" s="209"/>
      <c r="S87" s="209"/>
      <c r="T87" s="209"/>
      <c r="U87" s="325"/>
      <c r="V87" s="296" t="b">
        <v>1</v>
      </c>
      <c r="W87" s="301" t="b">
        <v>0</v>
      </c>
      <c r="X87" s="209"/>
      <c r="Y87" s="286" t="s">
        <v>985</v>
      </c>
      <c r="Z87" s="329" t="s">
        <v>986</v>
      </c>
      <c r="AA87" s="273"/>
      <c r="AB87" s="274" t="s">
        <v>987</v>
      </c>
      <c r="AC87" s="336" t="s">
        <v>887</v>
      </c>
      <c r="AD87" s="320"/>
      <c r="AE87" s="320"/>
      <c r="AF87" s="276" t="s">
        <v>888</v>
      </c>
      <c r="AG87" s="276" t="s">
        <v>889</v>
      </c>
      <c r="AH87" s="333" t="str">
        <f>IF(COUNTIF(AH88:AH90, TRUE) = COUNTA(AH88:AH90), "Complete!", IF(COUNTIF(AH88:AH90, TRUE) &gt; 0, "Partial", "Not Started"))</f>
        <v>Complete!</v>
      </c>
      <c r="AI87" s="279"/>
      <c r="AJ87" s="280">
        <v>3.0</v>
      </c>
      <c r="AK87" s="209"/>
    </row>
    <row r="88">
      <c r="A88" s="338"/>
      <c r="B88" s="303" t="s">
        <v>988</v>
      </c>
      <c r="C88" s="304" t="s">
        <v>989</v>
      </c>
      <c r="D88" s="304" t="s">
        <v>990</v>
      </c>
      <c r="E88" s="305">
        <v>8.40472502639E11</v>
      </c>
      <c r="F88" s="209"/>
      <c r="G88" s="209"/>
      <c r="H88" s="209"/>
      <c r="I88" s="209"/>
      <c r="J88" s="296" t="b">
        <v>1</v>
      </c>
      <c r="K88" s="301" t="b">
        <v>0</v>
      </c>
      <c r="L88" s="209"/>
      <c r="M88" s="309"/>
      <c r="N88" s="310" t="s">
        <v>991</v>
      </c>
      <c r="O88" s="317" t="s">
        <v>736</v>
      </c>
      <c r="P88" s="311" t="s">
        <v>992</v>
      </c>
      <c r="Q88" s="318">
        <v>8.40472503698E11</v>
      </c>
      <c r="R88" s="313"/>
      <c r="S88" s="313"/>
      <c r="T88" s="313"/>
      <c r="U88" s="331"/>
      <c r="V88" s="296" t="b">
        <v>1</v>
      </c>
      <c r="W88" s="314" t="b">
        <v>0</v>
      </c>
      <c r="X88" s="209"/>
      <c r="Y88" s="291"/>
      <c r="Z88" s="292" t="s">
        <v>993</v>
      </c>
      <c r="AA88" s="293" t="s">
        <v>994</v>
      </c>
      <c r="AB88" s="293" t="s">
        <v>995</v>
      </c>
      <c r="AC88" s="299">
        <v>8.10115971344E11</v>
      </c>
      <c r="AD88" s="293" t="s">
        <v>732</v>
      </c>
      <c r="AE88" s="295"/>
      <c r="AF88" s="295"/>
      <c r="AG88" s="295"/>
      <c r="AH88" s="300" t="b">
        <v>1</v>
      </c>
      <c r="AI88" s="297" t="b">
        <v>0</v>
      </c>
      <c r="AJ88" s="209"/>
      <c r="AK88" s="209"/>
    </row>
    <row r="89">
      <c r="A89" s="338"/>
      <c r="B89" s="303" t="s">
        <v>996</v>
      </c>
      <c r="C89" s="304" t="s">
        <v>997</v>
      </c>
      <c r="D89" s="304" t="s">
        <v>998</v>
      </c>
      <c r="E89" s="305">
        <v>8.40472502592E11</v>
      </c>
      <c r="F89" s="209"/>
      <c r="G89" s="209"/>
      <c r="H89" s="209"/>
      <c r="I89" s="209"/>
      <c r="J89" s="296" t="b">
        <v>1</v>
      </c>
      <c r="K89" s="301" t="b">
        <v>0</v>
      </c>
      <c r="L89" s="209"/>
      <c r="M89" s="344"/>
      <c r="N89" s="209"/>
      <c r="O89" s="209"/>
      <c r="P89" s="209"/>
      <c r="Q89" s="209"/>
      <c r="R89" s="344"/>
      <c r="S89" s="344"/>
      <c r="T89" s="344"/>
      <c r="U89" s="209"/>
      <c r="V89" s="209"/>
      <c r="W89" s="209"/>
      <c r="X89" s="209"/>
      <c r="Y89" s="291"/>
      <c r="Z89" s="303" t="s">
        <v>999</v>
      </c>
      <c r="AA89" s="304" t="s">
        <v>1000</v>
      </c>
      <c r="AB89" s="304" t="s">
        <v>1001</v>
      </c>
      <c r="AC89" s="307">
        <v>8.10115971368E11</v>
      </c>
      <c r="AD89" s="304" t="s">
        <v>732</v>
      </c>
      <c r="AE89" s="209"/>
      <c r="AF89" s="209"/>
      <c r="AG89" s="304" t="s">
        <v>733</v>
      </c>
      <c r="AH89" s="300" t="b">
        <v>1</v>
      </c>
      <c r="AI89" s="301" t="b">
        <v>0</v>
      </c>
      <c r="AJ89" s="209"/>
      <c r="AK89" s="209"/>
    </row>
    <row r="90">
      <c r="A90" s="338"/>
      <c r="B90" s="310" t="s">
        <v>1002</v>
      </c>
      <c r="C90" s="311" t="s">
        <v>1003</v>
      </c>
      <c r="D90" s="311" t="s">
        <v>1004</v>
      </c>
      <c r="E90" s="312">
        <v>8.40472503063E11</v>
      </c>
      <c r="F90" s="313"/>
      <c r="G90" s="313"/>
      <c r="H90" s="313"/>
      <c r="I90" s="313"/>
      <c r="J90" s="296" t="b">
        <v>1</v>
      </c>
      <c r="K90" s="314" t="b">
        <v>0</v>
      </c>
      <c r="L90" s="209"/>
      <c r="M90" s="281" t="s">
        <v>1005</v>
      </c>
      <c r="N90" s="282" t="s">
        <v>1006</v>
      </c>
      <c r="O90" s="273"/>
      <c r="P90" s="274" t="s">
        <v>1007</v>
      </c>
      <c r="Q90" s="275" t="s">
        <v>374</v>
      </c>
      <c r="R90" s="320"/>
      <c r="S90" s="349" t="s">
        <v>1008</v>
      </c>
      <c r="T90" s="276" t="s">
        <v>888</v>
      </c>
      <c r="U90" s="274" t="s">
        <v>1009</v>
      </c>
      <c r="V90" s="278" t="str">
        <f>IF(COUNTIF(V91:V95, TRUE) = COUNTA(V91:V95), "Complete!", IF(COUNTIF(V91:V95, TRUE) &gt; 0, "Partial", "Not Started"))</f>
        <v>Complete!</v>
      </c>
      <c r="W90" s="279"/>
      <c r="X90" s="280">
        <v>5.0</v>
      </c>
      <c r="Y90" s="309"/>
      <c r="Z90" s="310" t="s">
        <v>1010</v>
      </c>
      <c r="AA90" s="311" t="s">
        <v>1011</v>
      </c>
      <c r="AB90" s="311" t="s">
        <v>1012</v>
      </c>
      <c r="AC90" s="318">
        <v>8.10115971429E11</v>
      </c>
      <c r="AD90" s="311" t="s">
        <v>732</v>
      </c>
      <c r="AE90" s="313"/>
      <c r="AF90" s="313"/>
      <c r="AG90" s="311" t="s">
        <v>733</v>
      </c>
      <c r="AH90" s="350" t="b">
        <v>1</v>
      </c>
      <c r="AI90" s="314" t="b">
        <v>0</v>
      </c>
      <c r="AJ90" s="209"/>
      <c r="AK90" s="209"/>
    </row>
    <row r="9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91"/>
      <c r="N91" s="292" t="s">
        <v>1013</v>
      </c>
      <c r="O91" s="298" t="s">
        <v>617</v>
      </c>
      <c r="P91" s="293" t="s">
        <v>1014</v>
      </c>
      <c r="Q91" s="299">
        <v>8.40472503551E11</v>
      </c>
      <c r="R91" s="295"/>
      <c r="S91" s="295"/>
      <c r="T91" s="295"/>
      <c r="U91" s="328"/>
      <c r="V91" s="296" t="b">
        <v>1</v>
      </c>
      <c r="W91" s="297" t="b">
        <v>0</v>
      </c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</row>
    <row r="92">
      <c r="A92" s="337" t="s">
        <v>1005</v>
      </c>
      <c r="B92" s="282" t="s">
        <v>228</v>
      </c>
      <c r="C92" s="273"/>
      <c r="D92" s="274" t="s">
        <v>227</v>
      </c>
      <c r="E92" s="275" t="s">
        <v>805</v>
      </c>
      <c r="F92" s="273"/>
      <c r="G92" s="273"/>
      <c r="H92" s="277" t="s">
        <v>370</v>
      </c>
      <c r="I92" s="277" t="s">
        <v>1015</v>
      </c>
      <c r="J92" s="278" t="str">
        <f>IF(COUNTIF(J93:J102, TRUE) = COUNTA(J93:J102), "Complete!", IF(COUNTIF(J93:J102, TRUE) &gt; 0, "Partial", "Not Started"))</f>
        <v>Complete!</v>
      </c>
      <c r="K92" s="279"/>
      <c r="L92" s="280">
        <v>10.0</v>
      </c>
      <c r="M92" s="291"/>
      <c r="N92" s="303" t="s">
        <v>1016</v>
      </c>
      <c r="O92" s="306" t="s">
        <v>437</v>
      </c>
      <c r="P92" s="304" t="s">
        <v>1017</v>
      </c>
      <c r="Q92" s="307">
        <v>8.40472503599E11</v>
      </c>
      <c r="R92" s="209"/>
      <c r="S92" s="209"/>
      <c r="T92" s="209"/>
      <c r="U92" s="325"/>
      <c r="V92" s="296" t="b">
        <v>1</v>
      </c>
      <c r="W92" s="301" t="b">
        <v>0</v>
      </c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</row>
    <row r="93">
      <c r="A93" s="338"/>
      <c r="B93" s="292" t="s">
        <v>1018</v>
      </c>
      <c r="C93" s="293" t="s">
        <v>505</v>
      </c>
      <c r="D93" s="293" t="s">
        <v>1019</v>
      </c>
      <c r="E93" s="294">
        <v>8.10115972068E11</v>
      </c>
      <c r="F93" s="295"/>
      <c r="G93" s="295"/>
      <c r="H93" s="295"/>
      <c r="I93" s="295"/>
      <c r="J93" s="296" t="b">
        <v>1</v>
      </c>
      <c r="K93" s="297" t="b">
        <v>0</v>
      </c>
      <c r="L93" s="209"/>
      <c r="M93" s="291"/>
      <c r="N93" s="303" t="s">
        <v>1020</v>
      </c>
      <c r="O93" s="306" t="s">
        <v>972</v>
      </c>
      <c r="P93" s="304" t="s">
        <v>1021</v>
      </c>
      <c r="Q93" s="307">
        <v>8.40472503612E11</v>
      </c>
      <c r="R93" s="209"/>
      <c r="S93" s="209"/>
      <c r="T93" s="209"/>
      <c r="U93" s="325"/>
      <c r="V93" s="296" t="b">
        <v>1</v>
      </c>
      <c r="W93" s="301" t="b">
        <v>0</v>
      </c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</row>
    <row r="94">
      <c r="A94" s="338"/>
      <c r="B94" s="303" t="s">
        <v>1022</v>
      </c>
      <c r="C94" s="304" t="s">
        <v>522</v>
      </c>
      <c r="D94" s="304" t="s">
        <v>1023</v>
      </c>
      <c r="E94" s="305">
        <v>8.10115972044E11</v>
      </c>
      <c r="F94" s="209"/>
      <c r="G94" s="209"/>
      <c r="H94" s="209"/>
      <c r="I94" s="209"/>
      <c r="J94" s="296" t="b">
        <v>1</v>
      </c>
      <c r="K94" s="301" t="b">
        <v>0</v>
      </c>
      <c r="L94" s="209"/>
      <c r="M94" s="291"/>
      <c r="N94" s="303" t="s">
        <v>1024</v>
      </c>
      <c r="O94" s="306" t="s">
        <v>944</v>
      </c>
      <c r="P94" s="304" t="s">
        <v>1025</v>
      </c>
      <c r="Q94" s="307">
        <v>8.40472503643E11</v>
      </c>
      <c r="R94" s="209"/>
      <c r="S94" s="209"/>
      <c r="T94" s="209"/>
      <c r="U94" s="325"/>
      <c r="V94" s="296" t="b">
        <v>1</v>
      </c>
      <c r="W94" s="301" t="b">
        <v>0</v>
      </c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</row>
    <row r="95">
      <c r="A95" s="338"/>
      <c r="B95" s="303" t="s">
        <v>229</v>
      </c>
      <c r="C95" s="304" t="s">
        <v>1026</v>
      </c>
      <c r="D95" s="304" t="s">
        <v>1027</v>
      </c>
      <c r="E95" s="305">
        <v>8.40472503056E11</v>
      </c>
      <c r="F95" s="209"/>
      <c r="G95" s="209"/>
      <c r="H95" s="209"/>
      <c r="I95" s="209"/>
      <c r="J95" s="296" t="b">
        <v>1</v>
      </c>
      <c r="K95" s="301" t="b">
        <v>0</v>
      </c>
      <c r="L95" s="209"/>
      <c r="M95" s="309"/>
      <c r="N95" s="310" t="s">
        <v>1028</v>
      </c>
      <c r="O95" s="317" t="s">
        <v>726</v>
      </c>
      <c r="P95" s="311" t="s">
        <v>1029</v>
      </c>
      <c r="Q95" s="318">
        <v>8.40472503681E11</v>
      </c>
      <c r="R95" s="313"/>
      <c r="S95" s="313"/>
      <c r="T95" s="313"/>
      <c r="U95" s="331"/>
      <c r="V95" s="296" t="b">
        <v>1</v>
      </c>
      <c r="W95" s="314" t="b">
        <v>0</v>
      </c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</row>
    <row r="96">
      <c r="A96" s="338"/>
      <c r="B96" s="303" t="s">
        <v>1030</v>
      </c>
      <c r="C96" s="304" t="s">
        <v>529</v>
      </c>
      <c r="D96" s="304" t="s">
        <v>1031</v>
      </c>
      <c r="E96" s="305">
        <v>8.10115972013E11</v>
      </c>
      <c r="F96" s="209"/>
      <c r="G96" s="209"/>
      <c r="H96" s="209"/>
      <c r="I96" s="209"/>
      <c r="J96" s="296" t="b">
        <v>1</v>
      </c>
      <c r="K96" s="301" t="b">
        <v>0</v>
      </c>
      <c r="L96" s="209"/>
      <c r="M96" s="344"/>
      <c r="N96" s="209"/>
      <c r="O96" s="209"/>
      <c r="P96" s="209"/>
      <c r="Q96" s="209"/>
      <c r="R96" s="344"/>
      <c r="S96" s="344"/>
      <c r="T96" s="344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</row>
    <row r="97">
      <c r="A97" s="338"/>
      <c r="B97" s="303" t="s">
        <v>1032</v>
      </c>
      <c r="C97" s="304" t="s">
        <v>539</v>
      </c>
      <c r="D97" s="304" t="s">
        <v>1033</v>
      </c>
      <c r="E97" s="305">
        <v>8.10115970484E11</v>
      </c>
      <c r="F97" s="209"/>
      <c r="G97" s="209"/>
      <c r="H97" s="209"/>
      <c r="I97" s="209"/>
      <c r="J97" s="296" t="b">
        <v>1</v>
      </c>
      <c r="K97" s="301" t="b">
        <v>0</v>
      </c>
      <c r="L97" s="209"/>
      <c r="M97" s="281" t="s">
        <v>1034</v>
      </c>
      <c r="N97" s="282" t="s">
        <v>1035</v>
      </c>
      <c r="O97" s="273"/>
      <c r="P97" s="274" t="s">
        <v>1036</v>
      </c>
      <c r="Q97" s="275" t="s">
        <v>374</v>
      </c>
      <c r="R97" s="320"/>
      <c r="S97" s="320"/>
      <c r="T97" s="276" t="s">
        <v>563</v>
      </c>
      <c r="U97" s="274" t="s">
        <v>1037</v>
      </c>
      <c r="V97" s="278" t="str">
        <f>IF(COUNTIF(V98:V101, TRUE) = COUNTA(V98:V101), "Complete!", IF(COUNTIF(V98:V101, TRUE) &gt; 0, "Partial", "Not Started"))</f>
        <v>Complete!</v>
      </c>
      <c r="W97" s="279"/>
      <c r="X97" s="280">
        <v>4.0</v>
      </c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</row>
    <row r="98">
      <c r="A98" s="338"/>
      <c r="B98" s="303" t="s">
        <v>1038</v>
      </c>
      <c r="C98" s="304" t="s">
        <v>547</v>
      </c>
      <c r="D98" s="304" t="s">
        <v>1039</v>
      </c>
      <c r="E98" s="305">
        <v>8.10115971986E11</v>
      </c>
      <c r="F98" s="209"/>
      <c r="G98" s="209"/>
      <c r="H98" s="209"/>
      <c r="I98" s="209"/>
      <c r="J98" s="296" t="b">
        <v>1</v>
      </c>
      <c r="K98" s="301" t="b">
        <v>0</v>
      </c>
      <c r="L98" s="209"/>
      <c r="M98" s="291"/>
      <c r="N98" s="292" t="s">
        <v>1040</v>
      </c>
      <c r="O98" s="298" t="s">
        <v>400</v>
      </c>
      <c r="P98" s="293" t="s">
        <v>1041</v>
      </c>
      <c r="Q98" s="299">
        <v>8.40472503704E11</v>
      </c>
      <c r="R98" s="295"/>
      <c r="S98" s="293" t="s">
        <v>527</v>
      </c>
      <c r="T98" s="295"/>
      <c r="U98" s="351" t="s">
        <v>1042</v>
      </c>
      <c r="V98" s="296" t="b">
        <v>1</v>
      </c>
      <c r="W98" s="297" t="b">
        <v>0</v>
      </c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</row>
    <row r="99">
      <c r="A99" s="338"/>
      <c r="B99" s="303" t="s">
        <v>1043</v>
      </c>
      <c r="C99" s="304" t="s">
        <v>1044</v>
      </c>
      <c r="D99" s="304" t="s">
        <v>1045</v>
      </c>
      <c r="E99" s="305">
        <v>8.10115972792E11</v>
      </c>
      <c r="F99" s="209"/>
      <c r="G99" s="209"/>
      <c r="H99" s="209"/>
      <c r="I99" s="209"/>
      <c r="J99" s="296" t="b">
        <v>1</v>
      </c>
      <c r="K99" s="301" t="b">
        <v>0</v>
      </c>
      <c r="L99" s="209"/>
      <c r="M99" s="291"/>
      <c r="N99" s="303" t="s">
        <v>1046</v>
      </c>
      <c r="O99" s="306" t="s">
        <v>400</v>
      </c>
      <c r="P99" s="304" t="s">
        <v>1047</v>
      </c>
      <c r="Q99" s="307">
        <v>8.40472503711E11</v>
      </c>
      <c r="R99" s="209"/>
      <c r="S99" s="293" t="s">
        <v>527</v>
      </c>
      <c r="T99" s="209"/>
      <c r="U99" s="351" t="s">
        <v>1042</v>
      </c>
      <c r="V99" s="300" t="b">
        <v>1</v>
      </c>
      <c r="W99" s="301" t="b">
        <v>0</v>
      </c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</row>
    <row r="100">
      <c r="A100" s="338"/>
      <c r="B100" s="303" t="s">
        <v>1048</v>
      </c>
      <c r="C100" s="304" t="s">
        <v>1049</v>
      </c>
      <c r="D100" s="304" t="s">
        <v>1050</v>
      </c>
      <c r="E100" s="305">
        <v>8.10115972778E11</v>
      </c>
      <c r="F100" s="209"/>
      <c r="G100" s="209"/>
      <c r="H100" s="209"/>
      <c r="I100" s="209"/>
      <c r="J100" s="296" t="b">
        <v>1</v>
      </c>
      <c r="K100" s="301" t="b">
        <v>0</v>
      </c>
      <c r="L100" s="209"/>
      <c r="M100" s="291"/>
      <c r="N100" s="303" t="s">
        <v>1051</v>
      </c>
      <c r="O100" s="306" t="s">
        <v>400</v>
      </c>
      <c r="P100" s="304" t="s">
        <v>1052</v>
      </c>
      <c r="Q100" s="307">
        <v>8.40472503728E11</v>
      </c>
      <c r="R100" s="209"/>
      <c r="S100" s="293" t="s">
        <v>527</v>
      </c>
      <c r="T100" s="209"/>
      <c r="U100" s="351" t="s">
        <v>1042</v>
      </c>
      <c r="V100" s="300" t="b">
        <v>1</v>
      </c>
      <c r="W100" s="301" t="b">
        <v>0</v>
      </c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</row>
    <row r="101">
      <c r="A101" s="338"/>
      <c r="B101" s="303" t="s">
        <v>1053</v>
      </c>
      <c r="C101" s="304" t="s">
        <v>641</v>
      </c>
      <c r="D101" s="304" t="s">
        <v>1054</v>
      </c>
      <c r="E101" s="305">
        <v>8.10115971979E11</v>
      </c>
      <c r="F101" s="209"/>
      <c r="G101" s="209"/>
      <c r="H101" s="209"/>
      <c r="I101" s="209"/>
      <c r="J101" s="296" t="b">
        <v>1</v>
      </c>
      <c r="K101" s="301" t="b">
        <v>0</v>
      </c>
      <c r="L101" s="209"/>
      <c r="M101" s="309"/>
      <c r="N101" s="310" t="s">
        <v>1055</v>
      </c>
      <c r="O101" s="317" t="s">
        <v>400</v>
      </c>
      <c r="P101" s="311" t="s">
        <v>1056</v>
      </c>
      <c r="Q101" s="318">
        <v>8.4047250815E11</v>
      </c>
      <c r="R101" s="311" t="s">
        <v>1057</v>
      </c>
      <c r="S101" s="293" t="s">
        <v>527</v>
      </c>
      <c r="T101" s="313"/>
      <c r="U101" s="352" t="s">
        <v>1058</v>
      </c>
      <c r="V101" s="350" t="b">
        <v>1</v>
      </c>
      <c r="W101" s="314" t="b">
        <v>0</v>
      </c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</row>
    <row r="102">
      <c r="A102" s="338"/>
      <c r="B102" s="310" t="s">
        <v>1059</v>
      </c>
      <c r="C102" s="311" t="s">
        <v>1060</v>
      </c>
      <c r="D102" s="311" t="s">
        <v>1061</v>
      </c>
      <c r="E102" s="312">
        <v>8.40472507559E11</v>
      </c>
      <c r="F102" s="311" t="s">
        <v>1062</v>
      </c>
      <c r="G102" s="313"/>
      <c r="H102" s="313"/>
      <c r="I102" s="311" t="s">
        <v>1063</v>
      </c>
      <c r="J102" s="296" t="b">
        <v>1</v>
      </c>
      <c r="K102" s="314" t="b">
        <v>0</v>
      </c>
      <c r="L102" s="209"/>
      <c r="M102" s="344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</row>
    <row r="103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81" t="s">
        <v>1064</v>
      </c>
      <c r="N103" s="319" t="s">
        <v>1065</v>
      </c>
      <c r="O103" s="320"/>
      <c r="P103" s="283" t="s">
        <v>1066</v>
      </c>
      <c r="Q103" s="336" t="s">
        <v>1067</v>
      </c>
      <c r="R103" s="320"/>
      <c r="S103" s="320"/>
      <c r="T103" s="285" t="s">
        <v>888</v>
      </c>
      <c r="U103" s="285" t="s">
        <v>889</v>
      </c>
      <c r="V103" s="278" t="str">
        <f>IF(COUNTIF(V104:V107, TRUE) = COUNTA(V104:V107), "Complete!", IF(COUNTIF(V104:V107, TRUE) &gt; 0, "Partial", "Not Started"))</f>
        <v>Complete!</v>
      </c>
      <c r="W103" s="279"/>
      <c r="X103" s="280">
        <v>4.0</v>
      </c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</row>
    <row r="104">
      <c r="A104" s="337" t="s">
        <v>1034</v>
      </c>
      <c r="B104" s="282" t="s">
        <v>1068</v>
      </c>
      <c r="C104" s="273"/>
      <c r="D104" s="274" t="s">
        <v>1069</v>
      </c>
      <c r="E104" s="275" t="s">
        <v>805</v>
      </c>
      <c r="F104" s="273"/>
      <c r="G104" s="273"/>
      <c r="H104" s="277" t="s">
        <v>572</v>
      </c>
      <c r="I104" s="277" t="s">
        <v>1070</v>
      </c>
      <c r="J104" s="278" t="str">
        <f>IF(COUNTIF(J105:J114, TRUE) = COUNTA(J105:J114), "Complete!", IF(COUNTIF(J105:J114, TRUE) &gt; 0, "Partial", "Not Started"))</f>
        <v>Complete!</v>
      </c>
      <c r="K104" s="279"/>
      <c r="L104" s="280">
        <v>10.0</v>
      </c>
      <c r="M104" s="291"/>
      <c r="N104" s="292" t="s">
        <v>1071</v>
      </c>
      <c r="O104" s="293" t="s">
        <v>400</v>
      </c>
      <c r="P104" s="293" t="s">
        <v>1072</v>
      </c>
      <c r="Q104" s="302">
        <v>8.40472503759E11</v>
      </c>
      <c r="R104" s="293" t="s">
        <v>1062</v>
      </c>
      <c r="S104" s="295"/>
      <c r="T104" s="295"/>
      <c r="U104" s="295"/>
      <c r="V104" s="296" t="b">
        <v>1</v>
      </c>
      <c r="W104" s="297" t="b">
        <v>0</v>
      </c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</row>
    <row r="105">
      <c r="A105" s="338"/>
      <c r="B105" s="292" t="s">
        <v>1073</v>
      </c>
      <c r="C105" s="293" t="s">
        <v>431</v>
      </c>
      <c r="D105" s="293" t="s">
        <v>1074</v>
      </c>
      <c r="E105" s="294">
        <v>8.10115972259E11</v>
      </c>
      <c r="F105" s="295"/>
      <c r="G105" s="295"/>
      <c r="H105" s="295"/>
      <c r="I105" s="295"/>
      <c r="J105" s="296" t="b">
        <v>1</v>
      </c>
      <c r="K105" s="297" t="b">
        <v>0</v>
      </c>
      <c r="L105" s="209"/>
      <c r="M105" s="291"/>
      <c r="N105" s="303" t="s">
        <v>1075</v>
      </c>
      <c r="O105" s="304" t="s">
        <v>400</v>
      </c>
      <c r="P105" s="304" t="s">
        <v>1076</v>
      </c>
      <c r="Q105" s="308">
        <v>8.40472503766E11</v>
      </c>
      <c r="R105" s="304" t="s">
        <v>1062</v>
      </c>
      <c r="S105" s="209"/>
      <c r="T105" s="209"/>
      <c r="U105" s="209"/>
      <c r="V105" s="300" t="b">
        <v>1</v>
      </c>
      <c r="W105" s="301" t="b">
        <v>0</v>
      </c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</row>
    <row r="106">
      <c r="A106" s="338"/>
      <c r="B106" s="303" t="s">
        <v>1077</v>
      </c>
      <c r="C106" s="304" t="s">
        <v>612</v>
      </c>
      <c r="D106" s="304" t="s">
        <v>1078</v>
      </c>
      <c r="E106" s="305">
        <v>8.10115972198E11</v>
      </c>
      <c r="F106" s="209"/>
      <c r="G106" s="209"/>
      <c r="H106" s="209"/>
      <c r="I106" s="209"/>
      <c r="J106" s="296" t="b">
        <v>1</v>
      </c>
      <c r="K106" s="301" t="b">
        <v>0</v>
      </c>
      <c r="L106" s="209"/>
      <c r="M106" s="291"/>
      <c r="N106" s="303" t="s">
        <v>1079</v>
      </c>
      <c r="O106" s="304" t="s">
        <v>400</v>
      </c>
      <c r="P106" s="304" t="s">
        <v>1080</v>
      </c>
      <c r="Q106" s="308" t="s">
        <v>1081</v>
      </c>
      <c r="R106" s="304" t="s">
        <v>1062</v>
      </c>
      <c r="S106" s="209"/>
      <c r="T106" s="209"/>
      <c r="U106" s="209"/>
      <c r="V106" s="300" t="b">
        <v>1</v>
      </c>
      <c r="W106" s="301" t="b">
        <v>0</v>
      </c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</row>
    <row r="107">
      <c r="A107" s="338"/>
      <c r="B107" s="303" t="s">
        <v>1082</v>
      </c>
      <c r="C107" s="304" t="s">
        <v>449</v>
      </c>
      <c r="D107" s="304" t="s">
        <v>1083</v>
      </c>
      <c r="E107" s="305">
        <v>8.10115972174E11</v>
      </c>
      <c r="F107" s="209"/>
      <c r="G107" s="209"/>
      <c r="H107" s="209"/>
      <c r="I107" s="209"/>
      <c r="J107" s="296" t="b">
        <v>1</v>
      </c>
      <c r="K107" s="301" t="b">
        <v>0</v>
      </c>
      <c r="L107" s="209"/>
      <c r="M107" s="309"/>
      <c r="N107" s="310" t="s">
        <v>1084</v>
      </c>
      <c r="O107" s="311" t="s">
        <v>400</v>
      </c>
      <c r="P107" s="311" t="s">
        <v>1085</v>
      </c>
      <c r="Q107" s="335" t="s">
        <v>1086</v>
      </c>
      <c r="R107" s="311" t="s">
        <v>1062</v>
      </c>
      <c r="S107" s="313"/>
      <c r="T107" s="313"/>
      <c r="U107" s="313"/>
      <c r="V107" s="350" t="b">
        <v>1</v>
      </c>
      <c r="W107" s="314" t="b">
        <v>0</v>
      </c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</row>
    <row r="108">
      <c r="A108" s="338"/>
      <c r="B108" s="303" t="s">
        <v>1087</v>
      </c>
      <c r="C108" s="304" t="s">
        <v>487</v>
      </c>
      <c r="D108" s="304" t="s">
        <v>1088</v>
      </c>
      <c r="E108" s="305">
        <v>8.1011597215E11</v>
      </c>
      <c r="F108" s="209"/>
      <c r="G108" s="209"/>
      <c r="H108" s="209"/>
      <c r="I108" s="209"/>
      <c r="J108" s="296" t="b">
        <v>1</v>
      </c>
      <c r="K108" s="301" t="b">
        <v>0</v>
      </c>
      <c r="L108" s="209"/>
      <c r="M108" s="209"/>
      <c r="N108" s="209"/>
      <c r="O108" s="209"/>
      <c r="P108" s="209"/>
      <c r="Q108" s="353"/>
      <c r="R108" s="344"/>
      <c r="S108" s="344"/>
      <c r="T108" s="34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</row>
    <row r="109">
      <c r="A109" s="338"/>
      <c r="B109" s="303" t="s">
        <v>1089</v>
      </c>
      <c r="C109" s="304" t="s">
        <v>440</v>
      </c>
      <c r="D109" s="304" t="s">
        <v>1090</v>
      </c>
      <c r="E109" s="305">
        <v>8.10115972136E11</v>
      </c>
      <c r="F109" s="209"/>
      <c r="G109" s="209"/>
      <c r="H109" s="209"/>
      <c r="I109" s="209"/>
      <c r="J109" s="296" t="b">
        <v>1</v>
      </c>
      <c r="K109" s="301" t="b">
        <v>0</v>
      </c>
      <c r="L109" s="209"/>
      <c r="M109" s="281" t="s">
        <v>985</v>
      </c>
      <c r="N109" s="319" t="s">
        <v>1091</v>
      </c>
      <c r="O109" s="320"/>
      <c r="P109" s="283" t="s">
        <v>1092</v>
      </c>
      <c r="Q109" s="275" t="s">
        <v>374</v>
      </c>
      <c r="R109" s="320"/>
      <c r="S109" s="320"/>
      <c r="T109" s="276" t="s">
        <v>1093</v>
      </c>
      <c r="U109" s="283" t="s">
        <v>1094</v>
      </c>
      <c r="V109" s="278" t="str">
        <f>IF(COUNTIF(V110:V113, TRUE) = COUNTA(V110:V113), "Complete!", IF(COUNTIF(V110:V113, TRUE) &gt; 0, "Partial", "Not Started"))</f>
        <v>Complete!</v>
      </c>
      <c r="W109" s="279"/>
      <c r="X109" s="280">
        <v>4.0</v>
      </c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</row>
    <row r="110">
      <c r="A110" s="338"/>
      <c r="B110" s="303" t="s">
        <v>1095</v>
      </c>
      <c r="C110" s="304" t="s">
        <v>505</v>
      </c>
      <c r="D110" s="304" t="s">
        <v>1096</v>
      </c>
      <c r="E110" s="305">
        <v>8.10115972075E11</v>
      </c>
      <c r="F110" s="209"/>
      <c r="G110" s="209"/>
      <c r="H110" s="209"/>
      <c r="I110" s="209"/>
      <c r="J110" s="296" t="b">
        <v>1</v>
      </c>
      <c r="K110" s="301" t="b">
        <v>0</v>
      </c>
      <c r="L110" s="209"/>
      <c r="M110" s="291"/>
      <c r="N110" s="292" t="s">
        <v>1097</v>
      </c>
      <c r="O110" s="298" t="s">
        <v>400</v>
      </c>
      <c r="P110" s="293" t="s">
        <v>1098</v>
      </c>
      <c r="Q110" s="299">
        <v>8.40472594528E11</v>
      </c>
      <c r="R110" s="295"/>
      <c r="S110" s="295"/>
      <c r="T110" s="295"/>
      <c r="U110" s="328"/>
      <c r="V110" s="300" t="b">
        <v>1</v>
      </c>
      <c r="W110" s="301" t="b">
        <v>0</v>
      </c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</row>
    <row r="111">
      <c r="A111" s="338"/>
      <c r="B111" s="303" t="s">
        <v>1099</v>
      </c>
      <c r="C111" s="304" t="s">
        <v>529</v>
      </c>
      <c r="D111" s="304" t="s">
        <v>1100</v>
      </c>
      <c r="E111" s="305">
        <v>8.10115972037E11</v>
      </c>
      <c r="F111" s="209"/>
      <c r="G111" s="209"/>
      <c r="H111" s="209"/>
      <c r="I111" s="209"/>
      <c r="J111" s="296" t="b">
        <v>1</v>
      </c>
      <c r="K111" s="301" t="b">
        <v>0</v>
      </c>
      <c r="L111" s="209"/>
      <c r="M111" s="291"/>
      <c r="N111" s="354" t="s">
        <v>1101</v>
      </c>
      <c r="O111" s="306" t="s">
        <v>400</v>
      </c>
      <c r="P111" s="304" t="s">
        <v>1102</v>
      </c>
      <c r="Q111" s="307">
        <v>8.40472595617E11</v>
      </c>
      <c r="R111" s="209"/>
      <c r="S111" s="209"/>
      <c r="T111" s="209"/>
      <c r="U111" s="325"/>
      <c r="V111" s="300" t="b">
        <v>1</v>
      </c>
      <c r="W111" s="301" t="b">
        <v>0</v>
      </c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</row>
    <row r="112">
      <c r="A112" s="338"/>
      <c r="B112" s="303" t="s">
        <v>1103</v>
      </c>
      <c r="C112" s="304" t="s">
        <v>539</v>
      </c>
      <c r="D112" s="304" t="s">
        <v>1104</v>
      </c>
      <c r="E112" s="305">
        <v>8.10115971993E11</v>
      </c>
      <c r="F112" s="209"/>
      <c r="G112" s="209"/>
      <c r="H112" s="209"/>
      <c r="I112" s="209"/>
      <c r="J112" s="296" t="b">
        <v>1</v>
      </c>
      <c r="K112" s="301" t="b">
        <v>0</v>
      </c>
      <c r="L112" s="209"/>
      <c r="M112" s="291"/>
      <c r="N112" s="303" t="s">
        <v>1105</v>
      </c>
      <c r="O112" s="306" t="s">
        <v>726</v>
      </c>
      <c r="P112" s="304" t="s">
        <v>1106</v>
      </c>
      <c r="Q112" s="308">
        <v>8.40472501885E11</v>
      </c>
      <c r="R112" s="209"/>
      <c r="S112" s="209"/>
      <c r="T112" s="209"/>
      <c r="U112" s="325"/>
      <c r="V112" s="300" t="b">
        <v>1</v>
      </c>
      <c r="W112" s="301" t="b">
        <v>0</v>
      </c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</row>
    <row r="113">
      <c r="A113" s="338"/>
      <c r="B113" s="303" t="s">
        <v>1107</v>
      </c>
      <c r="C113" s="304" t="s">
        <v>1060</v>
      </c>
      <c r="D113" s="304" t="s">
        <v>1108</v>
      </c>
      <c r="E113" s="305">
        <v>8.40472507542E11</v>
      </c>
      <c r="F113" s="304" t="s">
        <v>1062</v>
      </c>
      <c r="G113" s="209"/>
      <c r="H113" s="209"/>
      <c r="I113" s="304" t="s">
        <v>1109</v>
      </c>
      <c r="J113" s="296" t="b">
        <v>1</v>
      </c>
      <c r="K113" s="301" t="b">
        <v>0</v>
      </c>
      <c r="L113" s="209"/>
      <c r="M113" s="309"/>
      <c r="N113" s="310" t="s">
        <v>1110</v>
      </c>
      <c r="O113" s="317" t="s">
        <v>726</v>
      </c>
      <c r="P113" s="311" t="s">
        <v>1111</v>
      </c>
      <c r="Q113" s="335">
        <v>8.40472501892E11</v>
      </c>
      <c r="R113" s="313"/>
      <c r="S113" s="313"/>
      <c r="T113" s="313"/>
      <c r="U113" s="331"/>
      <c r="V113" s="350" t="b">
        <v>1</v>
      </c>
      <c r="W113" s="314" t="b">
        <v>0</v>
      </c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</row>
    <row r="114">
      <c r="A114" s="338"/>
      <c r="B114" s="310" t="s">
        <v>1112</v>
      </c>
      <c r="C114" s="311" t="s">
        <v>1113</v>
      </c>
      <c r="D114" s="311" t="s">
        <v>1114</v>
      </c>
      <c r="E114" s="312">
        <v>8.40472507573E11</v>
      </c>
      <c r="F114" s="311" t="s">
        <v>1062</v>
      </c>
      <c r="G114" s="313"/>
      <c r="H114" s="313"/>
      <c r="I114" s="304" t="s">
        <v>1109</v>
      </c>
      <c r="J114" s="296" t="b">
        <v>1</v>
      </c>
      <c r="K114" s="314" t="b">
        <v>0</v>
      </c>
      <c r="L114" s="209"/>
      <c r="M114" s="209"/>
      <c r="N114" s="209"/>
      <c r="O114" s="209"/>
      <c r="P114" s="209"/>
      <c r="Q114" s="353"/>
      <c r="R114" s="344"/>
      <c r="S114" s="344"/>
      <c r="T114" s="344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</row>
    <row r="115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355" t="s">
        <v>1115</v>
      </c>
      <c r="N115" s="319" t="s">
        <v>1116</v>
      </c>
      <c r="O115" s="273"/>
      <c r="P115" s="274" t="s">
        <v>1117</v>
      </c>
      <c r="Q115" s="284" t="s">
        <v>1118</v>
      </c>
      <c r="R115" s="320"/>
      <c r="S115" s="320"/>
      <c r="T115" s="276" t="s">
        <v>468</v>
      </c>
      <c r="U115" s="276" t="s">
        <v>1119</v>
      </c>
      <c r="V115" s="278" t="str">
        <f>IF(COUNTIF(V116:V121, TRUE) = COUNTA(V116:V121), "Complete!", IF(COUNTIF(V116:V121, TRUE) &gt; 0, "Partial", "Not Started"))</f>
        <v>Complete!</v>
      </c>
      <c r="W115" s="279"/>
      <c r="X115" s="280">
        <v>6.0</v>
      </c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</row>
    <row r="116">
      <c r="A116" s="337" t="s">
        <v>1064</v>
      </c>
      <c r="B116" s="282" t="s">
        <v>1120</v>
      </c>
      <c r="C116" s="273"/>
      <c r="D116" s="274" t="s">
        <v>1121</v>
      </c>
      <c r="E116" s="275" t="s">
        <v>805</v>
      </c>
      <c r="F116" s="273"/>
      <c r="G116" s="273"/>
      <c r="H116" s="274" t="s">
        <v>572</v>
      </c>
      <c r="I116" s="274" t="s">
        <v>1122</v>
      </c>
      <c r="J116" s="278" t="str">
        <f>IF(COUNTIF(J117:J123, TRUE) = COUNTA(J117:J123), "Complete!", IF(COUNTIF(J117:J123, TRUE) &gt; 0, "Partial", "Not Started"))</f>
        <v>Complete!</v>
      </c>
      <c r="K116" s="279"/>
      <c r="L116" s="280">
        <v>7.0</v>
      </c>
      <c r="M116" s="356"/>
      <c r="N116" s="292" t="s">
        <v>1123</v>
      </c>
      <c r="O116" s="298" t="s">
        <v>1124</v>
      </c>
      <c r="P116" s="293" t="s">
        <v>1125</v>
      </c>
      <c r="Q116" s="357">
        <v>8.10115970767E11</v>
      </c>
      <c r="R116" s="295"/>
      <c r="S116" s="295"/>
      <c r="T116" s="295"/>
      <c r="U116" s="295"/>
      <c r="V116" s="296" t="b">
        <v>1</v>
      </c>
      <c r="W116" s="297" t="b">
        <v>0</v>
      </c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</row>
    <row r="117">
      <c r="A117" s="338"/>
      <c r="B117" s="293" t="s">
        <v>1126</v>
      </c>
      <c r="C117" s="293" t="s">
        <v>404</v>
      </c>
      <c r="D117" s="293" t="s">
        <v>1127</v>
      </c>
      <c r="E117" s="294">
        <v>8.10115970262E11</v>
      </c>
      <c r="F117" s="295"/>
      <c r="G117" s="295"/>
      <c r="H117" s="295"/>
      <c r="I117" s="295"/>
      <c r="J117" s="296" t="b">
        <v>1</v>
      </c>
      <c r="K117" s="297" t="b">
        <v>0</v>
      </c>
      <c r="L117" s="209"/>
      <c r="M117" s="356"/>
      <c r="N117" s="303" t="s">
        <v>1128</v>
      </c>
      <c r="O117" s="306" t="s">
        <v>1129</v>
      </c>
      <c r="P117" s="304" t="s">
        <v>1130</v>
      </c>
      <c r="Q117" s="358">
        <v>8.10115970781E11</v>
      </c>
      <c r="R117" s="209"/>
      <c r="S117" s="209"/>
      <c r="T117" s="209"/>
      <c r="U117" s="209"/>
      <c r="V117" s="296" t="b">
        <v>1</v>
      </c>
      <c r="W117" s="301" t="b">
        <v>0</v>
      </c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</row>
    <row r="118">
      <c r="A118" s="338"/>
      <c r="B118" s="304" t="s">
        <v>1131</v>
      </c>
      <c r="C118" s="304" t="s">
        <v>390</v>
      </c>
      <c r="D118" s="304" t="s">
        <v>1132</v>
      </c>
      <c r="E118" s="305">
        <v>8.10115970279E11</v>
      </c>
      <c r="F118" s="209"/>
      <c r="G118" s="209"/>
      <c r="H118" s="209"/>
      <c r="I118" s="209"/>
      <c r="J118" s="296" t="b">
        <v>1</v>
      </c>
      <c r="K118" s="301" t="b">
        <v>0</v>
      </c>
      <c r="L118" s="209"/>
      <c r="M118" s="356"/>
      <c r="N118" s="303" t="s">
        <v>1133</v>
      </c>
      <c r="O118" s="306" t="s">
        <v>1134</v>
      </c>
      <c r="P118" s="304" t="s">
        <v>1135</v>
      </c>
      <c r="Q118" s="358">
        <v>8.10115970774E11</v>
      </c>
      <c r="R118" s="209"/>
      <c r="S118" s="209"/>
      <c r="T118" s="209"/>
      <c r="U118" s="209"/>
      <c r="V118" s="296" t="b">
        <v>1</v>
      </c>
      <c r="W118" s="301" t="b">
        <v>0</v>
      </c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</row>
    <row r="119">
      <c r="A119" s="338"/>
      <c r="B119" s="304" t="s">
        <v>1136</v>
      </c>
      <c r="C119" s="304" t="s">
        <v>400</v>
      </c>
      <c r="D119" s="304" t="s">
        <v>1137</v>
      </c>
      <c r="E119" s="305">
        <v>8.10115970309E11</v>
      </c>
      <c r="F119" s="209"/>
      <c r="G119" s="209"/>
      <c r="H119" s="209"/>
      <c r="I119" s="209"/>
      <c r="J119" s="296" t="b">
        <v>1</v>
      </c>
      <c r="K119" s="301" t="b">
        <v>0</v>
      </c>
      <c r="L119" s="209"/>
      <c r="M119" s="356"/>
      <c r="N119" s="303" t="s">
        <v>1138</v>
      </c>
      <c r="O119" s="306" t="s">
        <v>1139</v>
      </c>
      <c r="P119" s="304" t="s">
        <v>1140</v>
      </c>
      <c r="Q119" s="359">
        <v>8.10115970996E11</v>
      </c>
      <c r="R119" s="209"/>
      <c r="S119" s="209"/>
      <c r="T119" s="209"/>
      <c r="U119" s="209"/>
      <c r="V119" s="296" t="b">
        <v>1</v>
      </c>
      <c r="W119" s="301" t="b">
        <v>0</v>
      </c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</row>
    <row r="120">
      <c r="A120" s="338"/>
      <c r="B120" s="304" t="s">
        <v>1141</v>
      </c>
      <c r="C120" s="304" t="s">
        <v>412</v>
      </c>
      <c r="D120" s="304" t="s">
        <v>1142</v>
      </c>
      <c r="E120" s="305">
        <v>8.10115970316E11</v>
      </c>
      <c r="F120" s="209"/>
      <c r="G120" s="209"/>
      <c r="H120" s="209"/>
      <c r="I120" s="209"/>
      <c r="J120" s="296" t="b">
        <v>1</v>
      </c>
      <c r="K120" s="301" t="b">
        <v>0</v>
      </c>
      <c r="L120" s="209"/>
      <c r="M120" s="356"/>
      <c r="N120" s="303" t="s">
        <v>1143</v>
      </c>
      <c r="O120" s="304" t="s">
        <v>1144</v>
      </c>
      <c r="P120" s="304" t="s">
        <v>1145</v>
      </c>
      <c r="Q120" s="308">
        <v>8.40472503513E11</v>
      </c>
      <c r="R120" s="209"/>
      <c r="S120" s="209"/>
      <c r="T120" s="209"/>
      <c r="U120" s="209"/>
      <c r="V120" s="296" t="b">
        <v>1</v>
      </c>
      <c r="W120" s="301" t="b">
        <v>0</v>
      </c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</row>
    <row r="121">
      <c r="A121" s="338"/>
      <c r="B121" s="304" t="s">
        <v>1146</v>
      </c>
      <c r="C121" s="304" t="s">
        <v>431</v>
      </c>
      <c r="D121" s="304" t="s">
        <v>1147</v>
      </c>
      <c r="E121" s="305">
        <v>8.10115972228E11</v>
      </c>
      <c r="F121" s="209"/>
      <c r="G121" s="209"/>
      <c r="H121" s="209"/>
      <c r="I121" s="209"/>
      <c r="J121" s="296" t="b">
        <v>1</v>
      </c>
      <c r="K121" s="301" t="b">
        <v>0</v>
      </c>
      <c r="L121" s="209"/>
      <c r="M121" s="356"/>
      <c r="N121" s="310" t="s">
        <v>1148</v>
      </c>
      <c r="O121" s="317" t="s">
        <v>1149</v>
      </c>
      <c r="P121" s="311" t="s">
        <v>1150</v>
      </c>
      <c r="Q121" s="360">
        <v>8.10115970712E11</v>
      </c>
      <c r="R121" s="313"/>
      <c r="S121" s="313"/>
      <c r="T121" s="313"/>
      <c r="U121" s="313"/>
      <c r="V121" s="296" t="b">
        <v>1</v>
      </c>
      <c r="W121" s="314" t="b">
        <v>0</v>
      </c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</row>
    <row r="122">
      <c r="A122" s="338"/>
      <c r="B122" s="304" t="s">
        <v>1151</v>
      </c>
      <c r="C122" s="304" t="s">
        <v>421</v>
      </c>
      <c r="D122" s="304" t="s">
        <v>1152</v>
      </c>
      <c r="E122" s="305">
        <v>8.10115970323E11</v>
      </c>
      <c r="F122" s="209"/>
      <c r="G122" s="209"/>
      <c r="H122" s="209"/>
      <c r="I122" s="209"/>
      <c r="J122" s="296" t="b">
        <v>1</v>
      </c>
      <c r="K122" s="301" t="b">
        <v>0</v>
      </c>
      <c r="L122" s="209"/>
      <c r="M122" s="209"/>
      <c r="N122" s="209"/>
      <c r="O122" s="209"/>
      <c r="P122" s="209"/>
      <c r="Q122" s="209"/>
      <c r="R122" s="344"/>
      <c r="S122" s="344"/>
      <c r="T122" s="344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</row>
    <row r="123">
      <c r="A123" s="338"/>
      <c r="B123" s="311" t="s">
        <v>1153</v>
      </c>
      <c r="C123" s="361" t="s">
        <v>449</v>
      </c>
      <c r="D123" s="361" t="s">
        <v>1154</v>
      </c>
      <c r="E123" s="312">
        <v>8.1011597046E11</v>
      </c>
      <c r="F123" s="313"/>
      <c r="G123" s="313"/>
      <c r="H123" s="313"/>
      <c r="I123" s="313"/>
      <c r="J123" s="296" t="b">
        <v>1</v>
      </c>
      <c r="K123" s="314" t="b">
        <v>0</v>
      </c>
      <c r="L123" s="209"/>
      <c r="M123" s="281" t="s">
        <v>1155</v>
      </c>
      <c r="N123" s="319" t="s">
        <v>1156</v>
      </c>
      <c r="O123" s="320"/>
      <c r="P123" s="283" t="s">
        <v>1157</v>
      </c>
      <c r="Q123" s="362" t="s">
        <v>1118</v>
      </c>
      <c r="R123" s="320"/>
      <c r="S123" s="320"/>
      <c r="T123" s="276" t="s">
        <v>572</v>
      </c>
      <c r="U123" s="285" t="s">
        <v>1158</v>
      </c>
      <c r="V123" s="278" t="str">
        <f>IF(COUNTIF(V124:V128, TRUE) = COUNTA(V124:V128), "Complete!", IF(COUNTIF(V124:V128, TRUE) &gt; 0, "Partial", "Not Started"))</f>
        <v>Complete!</v>
      </c>
      <c r="W123" s="279"/>
      <c r="X123" s="280">
        <v>5.0</v>
      </c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</row>
    <row r="124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91"/>
      <c r="N124" s="292" t="s">
        <v>1159</v>
      </c>
      <c r="O124" s="298" t="s">
        <v>1160</v>
      </c>
      <c r="P124" s="293" t="s">
        <v>1161</v>
      </c>
      <c r="Q124" s="357">
        <v>8.10115970743E11</v>
      </c>
      <c r="R124" s="295"/>
      <c r="S124" s="295"/>
      <c r="T124" s="295"/>
      <c r="U124" s="295"/>
      <c r="V124" s="296" t="b">
        <v>1</v>
      </c>
      <c r="W124" s="297" t="b">
        <v>0</v>
      </c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</row>
    <row r="125">
      <c r="A125" s="337" t="s">
        <v>985</v>
      </c>
      <c r="B125" s="282" t="s">
        <v>1162</v>
      </c>
      <c r="C125" s="273"/>
      <c r="D125" s="274" t="s">
        <v>1163</v>
      </c>
      <c r="E125" s="275" t="s">
        <v>805</v>
      </c>
      <c r="F125" s="273"/>
      <c r="G125" s="273"/>
      <c r="H125" s="274" t="s">
        <v>468</v>
      </c>
      <c r="I125" s="274" t="s">
        <v>1164</v>
      </c>
      <c r="J125" s="278" t="str">
        <f>IF(COUNTIF(J126:J134, TRUE) = COUNTA(J126:J134), "Complete!", IF(COUNTIF(J126:J134, TRUE) &gt; 0, "Partial", "Not Started"))</f>
        <v>Complete!</v>
      </c>
      <c r="K125" s="279"/>
      <c r="L125" s="280">
        <v>9.0</v>
      </c>
      <c r="M125" s="291"/>
      <c r="N125" s="303" t="s">
        <v>1165</v>
      </c>
      <c r="O125" s="306" t="s">
        <v>1166</v>
      </c>
      <c r="P125" s="304" t="s">
        <v>1167</v>
      </c>
      <c r="Q125" s="358">
        <v>8.10115970064E11</v>
      </c>
      <c r="R125" s="209"/>
      <c r="S125" s="209"/>
      <c r="T125" s="209"/>
      <c r="U125" s="209"/>
      <c r="V125" s="300" t="b">
        <v>1</v>
      </c>
      <c r="W125" s="301" t="b">
        <v>0</v>
      </c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</row>
    <row r="126">
      <c r="A126" s="338"/>
      <c r="B126" s="292" t="s">
        <v>1168</v>
      </c>
      <c r="C126" s="293" t="s">
        <v>1169</v>
      </c>
      <c r="D126" s="293" t="s">
        <v>1170</v>
      </c>
      <c r="E126" s="294">
        <v>8.10115972914E11</v>
      </c>
      <c r="F126" s="295"/>
      <c r="G126" s="295"/>
      <c r="H126" s="295"/>
      <c r="I126" s="295"/>
      <c r="J126" s="296" t="b">
        <v>1</v>
      </c>
      <c r="K126" s="297" t="b">
        <v>0</v>
      </c>
      <c r="L126" s="209"/>
      <c r="M126" s="291"/>
      <c r="N126" s="354" t="s">
        <v>1171</v>
      </c>
      <c r="O126" s="306" t="s">
        <v>1172</v>
      </c>
      <c r="P126" s="304" t="s">
        <v>1173</v>
      </c>
      <c r="Q126" s="358">
        <v>8.10115970804E11</v>
      </c>
      <c r="R126" s="209"/>
      <c r="S126" s="209"/>
      <c r="T126" s="209"/>
      <c r="U126" s="209"/>
      <c r="V126" s="300" t="b">
        <v>1</v>
      </c>
      <c r="W126" s="301" t="b">
        <v>0</v>
      </c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</row>
    <row r="127">
      <c r="A127" s="338"/>
      <c r="B127" s="303" t="s">
        <v>1174</v>
      </c>
      <c r="C127" s="304" t="s">
        <v>1175</v>
      </c>
      <c r="D127" s="304" t="s">
        <v>1176</v>
      </c>
      <c r="E127" s="305">
        <v>8.1011597228E11</v>
      </c>
      <c r="F127" s="209"/>
      <c r="G127" s="209"/>
      <c r="H127" s="209"/>
      <c r="I127" s="209"/>
      <c r="J127" s="296" t="b">
        <v>1</v>
      </c>
      <c r="K127" s="301" t="b">
        <v>0</v>
      </c>
      <c r="L127" s="209"/>
      <c r="M127" s="291"/>
      <c r="N127" s="303" t="s">
        <v>1177</v>
      </c>
      <c r="O127" s="306" t="s">
        <v>1178</v>
      </c>
      <c r="P127" s="304" t="s">
        <v>1179</v>
      </c>
      <c r="Q127" s="358">
        <v>8.10115970828E11</v>
      </c>
      <c r="R127" s="209"/>
      <c r="S127" s="209"/>
      <c r="T127" s="209"/>
      <c r="U127" s="325"/>
      <c r="V127" s="300" t="b">
        <v>1</v>
      </c>
      <c r="W127" s="301" t="b">
        <v>0</v>
      </c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</row>
    <row r="128">
      <c r="A128" s="338"/>
      <c r="B128" s="303" t="s">
        <v>1180</v>
      </c>
      <c r="C128" s="304" t="s">
        <v>1181</v>
      </c>
      <c r="D128" s="304" t="s">
        <v>1182</v>
      </c>
      <c r="E128" s="305">
        <v>8.10115972266E11</v>
      </c>
      <c r="F128" s="209"/>
      <c r="G128" s="209"/>
      <c r="H128" s="209"/>
      <c r="I128" s="209"/>
      <c r="J128" s="296" t="b">
        <v>1</v>
      </c>
      <c r="K128" s="301" t="b">
        <v>0</v>
      </c>
      <c r="L128" s="209"/>
      <c r="M128" s="309"/>
      <c r="N128" s="310" t="s">
        <v>1183</v>
      </c>
      <c r="O128" s="317" t="s">
        <v>400</v>
      </c>
      <c r="P128" s="311" t="s">
        <v>1184</v>
      </c>
      <c r="Q128" s="350">
        <v>8.40472508136E11</v>
      </c>
      <c r="R128" s="311" t="s">
        <v>1062</v>
      </c>
      <c r="S128" s="313"/>
      <c r="T128" s="313"/>
      <c r="U128" s="331"/>
      <c r="V128" s="350" t="b">
        <v>1</v>
      </c>
      <c r="W128" s="314" t="b">
        <v>0</v>
      </c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</row>
    <row r="129">
      <c r="A129" s="338"/>
      <c r="B129" s="303" t="s">
        <v>1185</v>
      </c>
      <c r="C129" s="304" t="s">
        <v>1186</v>
      </c>
      <c r="D129" s="304" t="s">
        <v>1187</v>
      </c>
      <c r="E129" s="305">
        <v>8.1011597273E11</v>
      </c>
      <c r="F129" s="209"/>
      <c r="G129" s="209"/>
      <c r="H129" s="209"/>
      <c r="I129" s="209"/>
      <c r="J129" s="296" t="b">
        <v>1</v>
      </c>
      <c r="K129" s="301" t="b">
        <v>0</v>
      </c>
      <c r="L129" s="209"/>
      <c r="M129" s="209"/>
      <c r="N129" s="209"/>
      <c r="O129" s="209"/>
      <c r="P129" s="209"/>
      <c r="Q129" s="209"/>
      <c r="R129" s="344"/>
      <c r="S129" s="344"/>
      <c r="T129" s="344"/>
      <c r="U129" s="325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</row>
    <row r="130">
      <c r="A130" s="338"/>
      <c r="B130" s="303" t="s">
        <v>1188</v>
      </c>
      <c r="C130" s="304" t="s">
        <v>775</v>
      </c>
      <c r="D130" s="304" t="s">
        <v>1189</v>
      </c>
      <c r="E130" s="305">
        <v>8.10115972723E11</v>
      </c>
      <c r="F130" s="209"/>
      <c r="G130" s="209"/>
      <c r="H130" s="209"/>
      <c r="I130" s="209"/>
      <c r="J130" s="296" t="b">
        <v>1</v>
      </c>
      <c r="K130" s="301" t="b">
        <v>0</v>
      </c>
      <c r="L130" s="209"/>
      <c r="M130" s="281" t="s">
        <v>1190</v>
      </c>
      <c r="N130" s="319" t="s">
        <v>1191</v>
      </c>
      <c r="O130" s="273"/>
      <c r="P130" s="274" t="s">
        <v>1192</v>
      </c>
      <c r="Q130" s="284" t="s">
        <v>1118</v>
      </c>
      <c r="R130" s="320"/>
      <c r="S130" s="320"/>
      <c r="T130" s="276" t="s">
        <v>370</v>
      </c>
      <c r="U130" s="363" t="s">
        <v>1193</v>
      </c>
      <c r="V130" s="278" t="str">
        <f>IF(COUNTIF(V131:V137, TRUE) = COUNTA(V131:V137), "Complete!", IF(COUNTIF(V131:V137, TRUE) &gt; 0, "Partial", "Not Started"))</f>
        <v>Complete!</v>
      </c>
      <c r="W130" s="279"/>
      <c r="X130" s="280">
        <v>7.0</v>
      </c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</row>
    <row r="131">
      <c r="A131" s="338"/>
      <c r="B131" s="303" t="s">
        <v>1194</v>
      </c>
      <c r="C131" s="304" t="s">
        <v>697</v>
      </c>
      <c r="D131" s="304" t="s">
        <v>1195</v>
      </c>
      <c r="E131" s="305">
        <v>8.10115972105E11</v>
      </c>
      <c r="F131" s="209"/>
      <c r="G131" s="209"/>
      <c r="H131" s="209"/>
      <c r="I131" s="209"/>
      <c r="J131" s="296" t="b">
        <v>1</v>
      </c>
      <c r="K131" s="301" t="b">
        <v>0</v>
      </c>
      <c r="L131" s="209"/>
      <c r="M131" s="291"/>
      <c r="N131" s="292" t="s">
        <v>1196</v>
      </c>
      <c r="O131" s="298" t="s">
        <v>1197</v>
      </c>
      <c r="P131" s="293" t="s">
        <v>1198</v>
      </c>
      <c r="Q131" s="357">
        <v>8.10115970088E11</v>
      </c>
      <c r="R131" s="295"/>
      <c r="S131" s="295"/>
      <c r="T131" s="295"/>
      <c r="U131" s="328"/>
      <c r="V131" s="296" t="b">
        <v>1</v>
      </c>
      <c r="W131" s="297" t="b">
        <v>0</v>
      </c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</row>
    <row r="132">
      <c r="A132" s="338"/>
      <c r="B132" s="303" t="s">
        <v>1199</v>
      </c>
      <c r="C132" s="304" t="s">
        <v>796</v>
      </c>
      <c r="D132" s="304" t="s">
        <v>1200</v>
      </c>
      <c r="E132" s="305">
        <v>8.10115972747E11</v>
      </c>
      <c r="F132" s="209"/>
      <c r="G132" s="209"/>
      <c r="H132" s="209"/>
      <c r="I132" s="209"/>
      <c r="J132" s="296" t="b">
        <v>1</v>
      </c>
      <c r="K132" s="301" t="b">
        <v>0</v>
      </c>
      <c r="L132" s="209"/>
      <c r="M132" s="291"/>
      <c r="N132" s="303" t="s">
        <v>1201</v>
      </c>
      <c r="O132" s="306" t="s">
        <v>1202</v>
      </c>
      <c r="P132" s="304" t="s">
        <v>1203</v>
      </c>
      <c r="Q132" s="358">
        <v>8.10115970101E11</v>
      </c>
      <c r="R132" s="209"/>
      <c r="S132" s="209"/>
      <c r="T132" s="209"/>
      <c r="U132" s="325"/>
      <c r="V132" s="300" t="b">
        <v>1</v>
      </c>
      <c r="W132" s="301" t="b">
        <v>0</v>
      </c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</row>
    <row r="133">
      <c r="A133" s="338"/>
      <c r="B133" s="303" t="s">
        <v>1204</v>
      </c>
      <c r="C133" s="304" t="s">
        <v>705</v>
      </c>
      <c r="D133" s="304" t="s">
        <v>1205</v>
      </c>
      <c r="E133" s="305">
        <v>8.10115972181E11</v>
      </c>
      <c r="F133" s="209"/>
      <c r="G133" s="209"/>
      <c r="H133" s="209"/>
      <c r="I133" s="209"/>
      <c r="J133" s="296" t="b">
        <v>1</v>
      </c>
      <c r="K133" s="301" t="b">
        <v>0</v>
      </c>
      <c r="L133" s="209"/>
      <c r="M133" s="291"/>
      <c r="N133" s="303" t="s">
        <v>1206</v>
      </c>
      <c r="O133" s="306" t="s">
        <v>1207</v>
      </c>
      <c r="P133" s="304" t="s">
        <v>1208</v>
      </c>
      <c r="Q133" s="358">
        <v>8.10115970095E11</v>
      </c>
      <c r="R133" s="209"/>
      <c r="S133" s="209"/>
      <c r="T133" s="209"/>
      <c r="U133" s="325"/>
      <c r="V133" s="300" t="b">
        <v>1</v>
      </c>
      <c r="W133" s="301" t="b">
        <v>0</v>
      </c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</row>
    <row r="134">
      <c r="A134" s="262"/>
      <c r="B134" s="310" t="s">
        <v>1209</v>
      </c>
      <c r="C134" s="311" t="s">
        <v>715</v>
      </c>
      <c r="D134" s="311" t="s">
        <v>1210</v>
      </c>
      <c r="E134" s="312">
        <v>8.10115972211E11</v>
      </c>
      <c r="F134" s="313"/>
      <c r="G134" s="313"/>
      <c r="H134" s="313"/>
      <c r="I134" s="313"/>
      <c r="J134" s="296" t="b">
        <v>1</v>
      </c>
      <c r="K134" s="314" t="b">
        <v>0</v>
      </c>
      <c r="L134" s="209"/>
      <c r="M134" s="291"/>
      <c r="N134" s="303" t="s">
        <v>1211</v>
      </c>
      <c r="O134" s="306" t="s">
        <v>1212</v>
      </c>
      <c r="P134" s="304" t="s">
        <v>1213</v>
      </c>
      <c r="Q134" s="358">
        <v>8.10115970835E11</v>
      </c>
      <c r="R134" s="209"/>
      <c r="S134" s="209"/>
      <c r="T134" s="209"/>
      <c r="U134" s="209"/>
      <c r="V134" s="300" t="b">
        <v>1</v>
      </c>
      <c r="W134" s="301" t="b">
        <v>0</v>
      </c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</row>
    <row r="135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91"/>
      <c r="N135" s="303" t="s">
        <v>1214</v>
      </c>
      <c r="O135" s="306" t="s">
        <v>400</v>
      </c>
      <c r="P135" s="304" t="s">
        <v>1215</v>
      </c>
      <c r="Q135" s="307">
        <v>8.40472503452E11</v>
      </c>
      <c r="R135" s="304" t="s">
        <v>527</v>
      </c>
      <c r="S135" s="209"/>
      <c r="T135" s="209"/>
      <c r="U135" s="209"/>
      <c r="V135" s="300" t="b">
        <v>1</v>
      </c>
      <c r="W135" s="301" t="b">
        <v>1</v>
      </c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</row>
    <row r="136">
      <c r="A136" s="337" t="s">
        <v>1115</v>
      </c>
      <c r="B136" s="282" t="s">
        <v>218</v>
      </c>
      <c r="C136" s="273"/>
      <c r="D136" s="274" t="s">
        <v>217</v>
      </c>
      <c r="E136" s="275" t="s">
        <v>805</v>
      </c>
      <c r="F136" s="273"/>
      <c r="G136" s="273"/>
      <c r="H136" s="274" t="s">
        <v>572</v>
      </c>
      <c r="I136" s="274" t="s">
        <v>1216</v>
      </c>
      <c r="J136" s="278" t="str">
        <f>IF(COUNTIF(J137:J146, TRUE) = COUNTA(J137:J146), "Complete!", IF(COUNTIF(J137:J146, TRUE) &gt; 0, "Partial", "Not Started"))</f>
        <v>Complete!</v>
      </c>
      <c r="K136" s="279"/>
      <c r="L136" s="280">
        <v>10.0</v>
      </c>
      <c r="M136" s="291"/>
      <c r="N136" s="303" t="s">
        <v>1217</v>
      </c>
      <c r="O136" s="306" t="s">
        <v>400</v>
      </c>
      <c r="P136" s="304" t="s">
        <v>1218</v>
      </c>
      <c r="Q136" s="307">
        <v>8.40472503506E11</v>
      </c>
      <c r="R136" s="304" t="s">
        <v>527</v>
      </c>
      <c r="S136" s="209"/>
      <c r="T136" s="209"/>
      <c r="U136" s="325"/>
      <c r="V136" s="300" t="b">
        <v>1</v>
      </c>
      <c r="W136" s="301" t="b">
        <v>1</v>
      </c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</row>
    <row r="137">
      <c r="A137" s="338"/>
      <c r="B137" s="292" t="s">
        <v>1219</v>
      </c>
      <c r="C137" s="293" t="s">
        <v>676</v>
      </c>
      <c r="D137" s="293" t="s">
        <v>1220</v>
      </c>
      <c r="E137" s="294">
        <v>8.10115971702E11</v>
      </c>
      <c r="F137" s="295"/>
      <c r="G137" s="295"/>
      <c r="H137" s="295"/>
      <c r="I137" s="295"/>
      <c r="J137" s="296" t="b">
        <v>1</v>
      </c>
      <c r="K137" s="297" t="b">
        <v>0</v>
      </c>
      <c r="L137" s="209"/>
      <c r="M137" s="309"/>
      <c r="N137" s="310" t="s">
        <v>1196</v>
      </c>
      <c r="O137" s="317" t="s">
        <v>1197</v>
      </c>
      <c r="P137" s="311" t="s">
        <v>1198</v>
      </c>
      <c r="Q137" s="364">
        <v>8.10115970088E11</v>
      </c>
      <c r="R137" s="313"/>
      <c r="S137" s="313"/>
      <c r="T137" s="313"/>
      <c r="U137" s="331"/>
      <c r="V137" s="350" t="b">
        <v>1</v>
      </c>
      <c r="W137" s="314" t="b">
        <v>0</v>
      </c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</row>
    <row r="138">
      <c r="A138" s="338"/>
      <c r="B138" s="303" t="s">
        <v>1221</v>
      </c>
      <c r="C138" s="304" t="s">
        <v>588</v>
      </c>
      <c r="D138" s="304" t="s">
        <v>1222</v>
      </c>
      <c r="E138" s="305">
        <v>8.10115971757E11</v>
      </c>
      <c r="F138" s="209"/>
      <c r="G138" s="209"/>
      <c r="H138" s="209"/>
      <c r="I138" s="209"/>
      <c r="J138" s="296" t="b">
        <v>1</v>
      </c>
      <c r="K138" s="301" t="b">
        <v>0</v>
      </c>
      <c r="L138" s="209"/>
      <c r="M138" s="209"/>
      <c r="N138" s="365"/>
      <c r="O138" s="313"/>
      <c r="P138" s="313"/>
      <c r="Q138" s="209"/>
      <c r="R138" s="344"/>
      <c r="S138" s="344"/>
      <c r="T138" s="344"/>
      <c r="U138" s="331"/>
      <c r="V138" s="313"/>
      <c r="W138" s="366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</row>
    <row r="139">
      <c r="A139" s="338"/>
      <c r="B139" s="303" t="s">
        <v>1223</v>
      </c>
      <c r="C139" s="304" t="s">
        <v>1224</v>
      </c>
      <c r="D139" s="304" t="s">
        <v>1225</v>
      </c>
      <c r="E139" s="305">
        <v>8.10115971849E11</v>
      </c>
      <c r="F139" s="209"/>
      <c r="G139" s="209"/>
      <c r="H139" s="209"/>
      <c r="I139" s="209"/>
      <c r="J139" s="296" t="b">
        <v>1</v>
      </c>
      <c r="K139" s="301" t="b">
        <v>0</v>
      </c>
      <c r="L139" s="209"/>
      <c r="M139" s="281" t="s">
        <v>1226</v>
      </c>
      <c r="N139" s="319" t="s">
        <v>1227</v>
      </c>
      <c r="O139" s="320"/>
      <c r="P139" s="283" t="s">
        <v>1228</v>
      </c>
      <c r="Q139" s="284" t="s">
        <v>1118</v>
      </c>
      <c r="R139" s="320"/>
      <c r="S139" s="320"/>
      <c r="T139" s="276" t="s">
        <v>370</v>
      </c>
      <c r="U139" s="367" t="s">
        <v>1229</v>
      </c>
      <c r="V139" s="278" t="str">
        <f>IF(COUNTIF(V140:V144, TRUE) = COUNTA(V140:V144), "Complete!", IF(COUNTIF(V140:V144, TRUE) &gt; 0, "Partial", "Not Started"))</f>
        <v>Complete!</v>
      </c>
      <c r="W139" s="279"/>
      <c r="X139" s="280">
        <v>5.0</v>
      </c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</row>
    <row r="140">
      <c r="A140" s="338"/>
      <c r="B140" s="303" t="s">
        <v>1230</v>
      </c>
      <c r="C140" s="347" t="s">
        <v>394</v>
      </c>
      <c r="D140" s="304" t="s">
        <v>1231</v>
      </c>
      <c r="E140" s="305">
        <v>8.10115971917E11</v>
      </c>
      <c r="F140" s="209"/>
      <c r="G140" s="209"/>
      <c r="H140" s="209"/>
      <c r="I140" s="209"/>
      <c r="J140" s="296" t="b">
        <v>1</v>
      </c>
      <c r="K140" s="301" t="b">
        <v>0</v>
      </c>
      <c r="L140" s="209"/>
      <c r="M140" s="291"/>
      <c r="N140" s="292" t="s">
        <v>1232</v>
      </c>
      <c r="O140" s="298" t="s">
        <v>400</v>
      </c>
      <c r="P140" s="293" t="s">
        <v>1233</v>
      </c>
      <c r="Q140" s="357">
        <v>8.10115970729E11</v>
      </c>
      <c r="R140" s="295"/>
      <c r="S140" s="293" t="s">
        <v>527</v>
      </c>
      <c r="T140" s="295"/>
      <c r="U140" s="351" t="s">
        <v>1234</v>
      </c>
      <c r="V140" s="296" t="b">
        <v>1</v>
      </c>
      <c r="W140" s="297" t="b">
        <v>1</v>
      </c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</row>
    <row r="141">
      <c r="A141" s="338"/>
      <c r="B141" s="303" t="s">
        <v>1235</v>
      </c>
      <c r="C141" s="304" t="s">
        <v>404</v>
      </c>
      <c r="D141" s="304" t="s">
        <v>1236</v>
      </c>
      <c r="E141" s="305">
        <v>8.10115971948E11</v>
      </c>
      <c r="F141" s="209"/>
      <c r="G141" s="209"/>
      <c r="H141" s="209"/>
      <c r="I141" s="209"/>
      <c r="J141" s="296" t="b">
        <v>1</v>
      </c>
      <c r="K141" s="301" t="b">
        <v>0</v>
      </c>
      <c r="L141" s="209"/>
      <c r="M141" s="291"/>
      <c r="N141" s="303" t="s">
        <v>1237</v>
      </c>
      <c r="O141" s="306" t="s">
        <v>400</v>
      </c>
      <c r="P141" s="304" t="s">
        <v>1238</v>
      </c>
      <c r="Q141" s="307">
        <v>8.40472506941E11</v>
      </c>
      <c r="R141" s="209"/>
      <c r="S141" s="293" t="s">
        <v>527</v>
      </c>
      <c r="T141" s="209"/>
      <c r="U141" s="351" t="s">
        <v>1234</v>
      </c>
      <c r="V141" s="296" t="b">
        <v>1</v>
      </c>
      <c r="W141" s="301" t="b">
        <v>1</v>
      </c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  <c r="AK141" s="209"/>
    </row>
    <row r="142">
      <c r="A142" s="338"/>
      <c r="B142" s="303" t="s">
        <v>1239</v>
      </c>
      <c r="C142" s="304" t="s">
        <v>390</v>
      </c>
      <c r="D142" s="304" t="s">
        <v>1240</v>
      </c>
      <c r="E142" s="305">
        <v>8.10115972006E11</v>
      </c>
      <c r="F142" s="209"/>
      <c r="G142" s="209"/>
      <c r="H142" s="209"/>
      <c r="I142" s="209"/>
      <c r="J142" s="296" t="b">
        <v>1</v>
      </c>
      <c r="K142" s="301" t="b">
        <v>0</v>
      </c>
      <c r="L142" s="209"/>
      <c r="M142" s="291"/>
      <c r="N142" s="303" t="s">
        <v>1241</v>
      </c>
      <c r="O142" s="306" t="s">
        <v>400</v>
      </c>
      <c r="P142" s="304" t="s">
        <v>1242</v>
      </c>
      <c r="Q142" s="358">
        <v>8.10115970736E11</v>
      </c>
      <c r="R142" s="209"/>
      <c r="S142" s="293" t="s">
        <v>527</v>
      </c>
      <c r="T142" s="209"/>
      <c r="U142" s="351" t="s">
        <v>1234</v>
      </c>
      <c r="V142" s="296" t="b">
        <v>1</v>
      </c>
      <c r="W142" s="301" t="b">
        <v>1</v>
      </c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</row>
    <row r="143">
      <c r="A143" s="338"/>
      <c r="B143" s="303" t="s">
        <v>1243</v>
      </c>
      <c r="C143" s="304" t="s">
        <v>400</v>
      </c>
      <c r="D143" s="304" t="s">
        <v>1244</v>
      </c>
      <c r="E143" s="305">
        <v>8.10115972082E11</v>
      </c>
      <c r="F143" s="209"/>
      <c r="G143" s="209"/>
      <c r="H143" s="209"/>
      <c r="I143" s="209"/>
      <c r="J143" s="296" t="b">
        <v>1</v>
      </c>
      <c r="K143" s="301" t="b">
        <v>0</v>
      </c>
      <c r="L143" s="209"/>
      <c r="M143" s="291"/>
      <c r="N143" s="303" t="s">
        <v>1245</v>
      </c>
      <c r="O143" s="306" t="s">
        <v>400</v>
      </c>
      <c r="P143" s="304" t="s">
        <v>1246</v>
      </c>
      <c r="Q143" s="300">
        <v>8.40472508129E11</v>
      </c>
      <c r="R143" s="304" t="s">
        <v>1062</v>
      </c>
      <c r="S143" s="295"/>
      <c r="T143" s="209"/>
      <c r="U143" s="325"/>
      <c r="V143" s="300" t="b">
        <v>1</v>
      </c>
      <c r="W143" s="301" t="b">
        <v>0</v>
      </c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</row>
    <row r="144">
      <c r="A144" s="338"/>
      <c r="B144" s="303" t="s">
        <v>1247</v>
      </c>
      <c r="C144" s="304" t="s">
        <v>412</v>
      </c>
      <c r="D144" s="304" t="s">
        <v>1248</v>
      </c>
      <c r="E144" s="305">
        <v>8.10115972167E11</v>
      </c>
      <c r="F144" s="209"/>
      <c r="G144" s="209"/>
      <c r="H144" s="209"/>
      <c r="I144" s="209"/>
      <c r="J144" s="296" t="b">
        <v>1</v>
      </c>
      <c r="K144" s="301" t="b">
        <v>0</v>
      </c>
      <c r="L144" s="209"/>
      <c r="M144" s="309"/>
      <c r="N144" s="310" t="s">
        <v>1249</v>
      </c>
      <c r="O144" s="317" t="s">
        <v>400</v>
      </c>
      <c r="P144" s="311" t="s">
        <v>1250</v>
      </c>
      <c r="Q144" s="350">
        <v>8.40472508143E11</v>
      </c>
      <c r="R144" s="311" t="s">
        <v>1062</v>
      </c>
      <c r="S144" s="295"/>
      <c r="T144" s="313"/>
      <c r="U144" s="331"/>
      <c r="V144" s="350" t="b">
        <v>1</v>
      </c>
      <c r="W144" s="314" t="b">
        <v>0</v>
      </c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  <c r="AK144" s="209"/>
    </row>
    <row r="145">
      <c r="A145" s="338"/>
      <c r="B145" s="303" t="s">
        <v>1251</v>
      </c>
      <c r="C145" s="304" t="s">
        <v>662</v>
      </c>
      <c r="D145" s="304" t="s">
        <v>1252</v>
      </c>
      <c r="E145" s="305">
        <v>8.40472502608E11</v>
      </c>
      <c r="F145" s="209"/>
      <c r="G145" s="209"/>
      <c r="H145" s="209"/>
      <c r="I145" s="209"/>
      <c r="J145" s="296" t="b">
        <v>1</v>
      </c>
      <c r="K145" s="301" t="b">
        <v>0</v>
      </c>
      <c r="L145" s="209"/>
      <c r="M145" s="209"/>
      <c r="N145" s="209"/>
      <c r="O145" s="209"/>
      <c r="P145" s="209"/>
      <c r="Q145" s="209"/>
      <c r="R145" s="344"/>
      <c r="S145" s="344"/>
      <c r="T145" s="344"/>
      <c r="U145" s="325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</row>
    <row r="146">
      <c r="A146" s="262"/>
      <c r="B146" s="310" t="s">
        <v>1253</v>
      </c>
      <c r="C146" s="311" t="s">
        <v>679</v>
      </c>
      <c r="D146" s="311" t="s">
        <v>1254</v>
      </c>
      <c r="E146" s="312">
        <v>8.40472502615E11</v>
      </c>
      <c r="F146" s="313"/>
      <c r="G146" s="313"/>
      <c r="H146" s="313"/>
      <c r="I146" s="313"/>
      <c r="J146" s="296" t="b">
        <v>1</v>
      </c>
      <c r="K146" s="314" t="b">
        <v>0</v>
      </c>
      <c r="L146" s="209"/>
      <c r="M146" s="281" t="s">
        <v>1255</v>
      </c>
      <c r="N146" s="282" t="s">
        <v>1256</v>
      </c>
      <c r="O146" s="273"/>
      <c r="P146" s="274" t="s">
        <v>1257</v>
      </c>
      <c r="Q146" s="284" t="s">
        <v>1118</v>
      </c>
      <c r="R146" s="320"/>
      <c r="S146" s="320"/>
      <c r="T146" s="276" t="s">
        <v>370</v>
      </c>
      <c r="U146" s="363" t="s">
        <v>880</v>
      </c>
      <c r="V146" s="278" t="str">
        <f>IF(COUNTIF(V147:V152, TRUE) = COUNTA(V147:V152), "Complete!", IF(COUNTIF(V147:V152, TRUE) &gt; 0, "Partial", "Not Started"))</f>
        <v>Complete!</v>
      </c>
      <c r="W146" s="279"/>
      <c r="X146" s="280">
        <v>6.0</v>
      </c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</row>
    <row r="147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91"/>
      <c r="N147" s="292" t="s">
        <v>1258</v>
      </c>
      <c r="O147" s="298" t="s">
        <v>1160</v>
      </c>
      <c r="P147" s="293" t="s">
        <v>1259</v>
      </c>
      <c r="Q147" s="302" t="s">
        <v>1260</v>
      </c>
      <c r="R147" s="295"/>
      <c r="S147" s="295"/>
      <c r="T147" s="295"/>
      <c r="U147" s="328"/>
      <c r="V147" s="296" t="b">
        <v>1</v>
      </c>
      <c r="W147" s="297" t="b">
        <v>0</v>
      </c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</row>
    <row r="148">
      <c r="A148" s="316" t="s">
        <v>1155</v>
      </c>
      <c r="B148" s="319" t="s">
        <v>212</v>
      </c>
      <c r="C148" s="320"/>
      <c r="D148" s="283" t="s">
        <v>211</v>
      </c>
      <c r="E148" s="322" t="s">
        <v>805</v>
      </c>
      <c r="F148" s="320"/>
      <c r="G148" s="320"/>
      <c r="H148" s="285" t="s">
        <v>572</v>
      </c>
      <c r="I148" s="285" t="s">
        <v>1261</v>
      </c>
      <c r="J148" s="278" t="str">
        <f>IF(COUNTIF(J149:J158, TRUE) = COUNTA(J149:J158), "Complete!", IF(COUNTIF(J149:J158, TRUE) &gt; 0, "Partial", "Not Started"))</f>
        <v>Complete!</v>
      </c>
      <c r="K148" s="279"/>
      <c r="L148" s="280">
        <v>10.0</v>
      </c>
      <c r="M148" s="291"/>
      <c r="N148" s="303" t="s">
        <v>1262</v>
      </c>
      <c r="O148" s="306" t="s">
        <v>1166</v>
      </c>
      <c r="P148" s="304" t="s">
        <v>1263</v>
      </c>
      <c r="Q148" s="308" t="s">
        <v>1264</v>
      </c>
      <c r="R148" s="209"/>
      <c r="S148" s="209"/>
      <c r="T148" s="209"/>
      <c r="U148" s="325"/>
      <c r="V148" s="300" t="b">
        <v>1</v>
      </c>
      <c r="W148" s="301" t="b">
        <v>0</v>
      </c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</row>
    <row r="149">
      <c r="A149" s="291"/>
      <c r="B149" s="292" t="s">
        <v>1265</v>
      </c>
      <c r="C149" s="293" t="s">
        <v>449</v>
      </c>
      <c r="D149" s="293" t="s">
        <v>1266</v>
      </c>
      <c r="E149" s="294">
        <v>8.10115971955E11</v>
      </c>
      <c r="F149" s="295"/>
      <c r="G149" s="295"/>
      <c r="H149" s="295"/>
      <c r="I149" s="295"/>
      <c r="J149" s="296" t="b">
        <v>1</v>
      </c>
      <c r="K149" s="297" t="b">
        <v>0</v>
      </c>
      <c r="L149" s="209"/>
      <c r="M149" s="291"/>
      <c r="N149" s="303" t="s">
        <v>1267</v>
      </c>
      <c r="O149" s="306" t="s">
        <v>1268</v>
      </c>
      <c r="P149" s="304" t="s">
        <v>1269</v>
      </c>
      <c r="Q149" s="308" t="s">
        <v>1270</v>
      </c>
      <c r="R149" s="209"/>
      <c r="S149" s="209"/>
      <c r="T149" s="209"/>
      <c r="U149" s="325"/>
      <c r="V149" s="300" t="b">
        <v>1</v>
      </c>
      <c r="W149" s="301" t="b">
        <v>0</v>
      </c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</row>
    <row r="150">
      <c r="A150" s="291"/>
      <c r="B150" s="303" t="s">
        <v>1271</v>
      </c>
      <c r="C150" s="304" t="s">
        <v>487</v>
      </c>
      <c r="D150" s="304" t="s">
        <v>1272</v>
      </c>
      <c r="E150" s="305">
        <v>8.10115971931E11</v>
      </c>
      <c r="F150" s="209"/>
      <c r="G150" s="209"/>
      <c r="H150" s="209"/>
      <c r="I150" s="209"/>
      <c r="J150" s="300" t="b">
        <v>1</v>
      </c>
      <c r="K150" s="301" t="b">
        <v>0</v>
      </c>
      <c r="L150" s="209"/>
      <c r="M150" s="291"/>
      <c r="N150" s="303" t="s">
        <v>1273</v>
      </c>
      <c r="O150" s="306" t="s">
        <v>1172</v>
      </c>
      <c r="P150" s="304" t="s">
        <v>1274</v>
      </c>
      <c r="Q150" s="308" t="s">
        <v>1275</v>
      </c>
      <c r="R150" s="209"/>
      <c r="S150" s="209"/>
      <c r="T150" s="209"/>
      <c r="U150" s="325"/>
      <c r="V150" s="300" t="b">
        <v>1</v>
      </c>
      <c r="W150" s="301" t="b">
        <v>0</v>
      </c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</row>
    <row r="151">
      <c r="A151" s="291"/>
      <c r="B151" s="303" t="s">
        <v>1276</v>
      </c>
      <c r="C151" s="304" t="s">
        <v>440</v>
      </c>
      <c r="D151" s="304" t="s">
        <v>1277</v>
      </c>
      <c r="E151" s="305">
        <v>8.10115971924E11</v>
      </c>
      <c r="F151" s="209"/>
      <c r="G151" s="209"/>
      <c r="H151" s="209"/>
      <c r="I151" s="209"/>
      <c r="J151" s="300" t="b">
        <v>1</v>
      </c>
      <c r="K151" s="301" t="b">
        <v>0</v>
      </c>
      <c r="L151" s="209"/>
      <c r="M151" s="291"/>
      <c r="N151" s="303" t="s">
        <v>1278</v>
      </c>
      <c r="O151" s="306" t="s">
        <v>1178</v>
      </c>
      <c r="P151" s="304" t="s">
        <v>1279</v>
      </c>
      <c r="Q151" s="308" t="s">
        <v>1280</v>
      </c>
      <c r="R151" s="209"/>
      <c r="S151" s="209"/>
      <c r="T151" s="209"/>
      <c r="U151" s="325"/>
      <c r="V151" s="300" t="b">
        <v>1</v>
      </c>
      <c r="W151" s="301" t="b">
        <v>0</v>
      </c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</row>
    <row r="152">
      <c r="A152" s="291"/>
      <c r="B152" s="303" t="s">
        <v>1281</v>
      </c>
      <c r="C152" s="304" t="s">
        <v>458</v>
      </c>
      <c r="D152" s="304" t="s">
        <v>1282</v>
      </c>
      <c r="E152" s="305">
        <v>8.10115972563E11</v>
      </c>
      <c r="F152" s="209"/>
      <c r="G152" s="209"/>
      <c r="H152" s="209"/>
      <c r="I152" s="209"/>
      <c r="J152" s="300" t="b">
        <v>1</v>
      </c>
      <c r="K152" s="301" t="b">
        <v>0</v>
      </c>
      <c r="L152" s="209"/>
      <c r="M152" s="291"/>
      <c r="N152" s="310" t="s">
        <v>1283</v>
      </c>
      <c r="O152" s="317" t="s">
        <v>400</v>
      </c>
      <c r="P152" s="311" t="s">
        <v>1284</v>
      </c>
      <c r="Q152" s="318">
        <v>8.40472503445E11</v>
      </c>
      <c r="R152" s="313"/>
      <c r="S152" s="313"/>
      <c r="T152" s="313"/>
      <c r="U152" s="331"/>
      <c r="V152" s="350" t="b">
        <v>1</v>
      </c>
      <c r="W152" s="314" t="b">
        <v>0</v>
      </c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</row>
    <row r="153">
      <c r="A153" s="291"/>
      <c r="B153" s="303" t="s">
        <v>1285</v>
      </c>
      <c r="C153" s="304" t="s">
        <v>505</v>
      </c>
      <c r="D153" s="304" t="s">
        <v>1286</v>
      </c>
      <c r="E153" s="305">
        <v>8.10115971894E11</v>
      </c>
      <c r="F153" s="209"/>
      <c r="G153" s="209"/>
      <c r="H153" s="209"/>
      <c r="I153" s="209"/>
      <c r="J153" s="300" t="b">
        <v>1</v>
      </c>
      <c r="K153" s="301" t="b">
        <v>0</v>
      </c>
      <c r="L153" s="209"/>
      <c r="M153" s="209"/>
      <c r="N153" s="209"/>
      <c r="O153" s="209"/>
      <c r="P153" s="209"/>
      <c r="Q153" s="209"/>
      <c r="R153" s="344"/>
      <c r="S153" s="344"/>
      <c r="T153" s="344"/>
      <c r="U153" s="325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</row>
    <row r="154">
      <c r="A154" s="291"/>
      <c r="B154" s="303" t="s">
        <v>1287</v>
      </c>
      <c r="C154" s="304" t="s">
        <v>1026</v>
      </c>
      <c r="D154" s="304" t="s">
        <v>1288</v>
      </c>
      <c r="E154" s="305">
        <v>8.4047250307E11</v>
      </c>
      <c r="F154" s="209"/>
      <c r="G154" s="209"/>
      <c r="H154" s="209"/>
      <c r="I154" s="209"/>
      <c r="J154" s="300" t="b">
        <v>1</v>
      </c>
      <c r="K154" s="301" t="b">
        <v>0</v>
      </c>
      <c r="L154" s="209"/>
      <c r="M154" s="281" t="s">
        <v>1289</v>
      </c>
      <c r="N154" s="319" t="s">
        <v>1290</v>
      </c>
      <c r="O154" s="320"/>
      <c r="P154" s="283" t="s">
        <v>1291</v>
      </c>
      <c r="Q154" s="362" t="s">
        <v>1292</v>
      </c>
      <c r="R154" s="320"/>
      <c r="S154" s="320"/>
      <c r="T154" s="276" t="s">
        <v>376</v>
      </c>
      <c r="U154" s="367" t="s">
        <v>1293</v>
      </c>
      <c r="V154" s="278" t="str">
        <f>IF(COUNTIF(V155:V159, TRUE) = COUNTA(V155:V159), "Complete!", IF(COUNTIF(V155:V159, TRUE) &gt; 0, "Partial", "Not Started"))</f>
        <v>Complete!</v>
      </c>
      <c r="W154" s="279"/>
      <c r="X154" s="280">
        <v>5.0</v>
      </c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</row>
    <row r="155">
      <c r="A155" s="291"/>
      <c r="B155" s="303" t="s">
        <v>1294</v>
      </c>
      <c r="C155" s="304" t="s">
        <v>539</v>
      </c>
      <c r="D155" s="304" t="s">
        <v>1295</v>
      </c>
      <c r="E155" s="305">
        <v>8.10115971856E11</v>
      </c>
      <c r="F155" s="304" t="s">
        <v>1057</v>
      </c>
      <c r="G155" s="209"/>
      <c r="H155" s="209"/>
      <c r="I155" s="209"/>
      <c r="J155" s="300" t="b">
        <v>1</v>
      </c>
      <c r="K155" s="301" t="b">
        <v>1</v>
      </c>
      <c r="L155" s="209"/>
      <c r="M155" s="291"/>
      <c r="N155" s="292" t="s">
        <v>1296</v>
      </c>
      <c r="O155" s="298" t="s">
        <v>1297</v>
      </c>
      <c r="P155" s="293" t="s">
        <v>1298</v>
      </c>
      <c r="Q155" s="302" t="s">
        <v>1299</v>
      </c>
      <c r="R155" s="295"/>
      <c r="S155" s="295"/>
      <c r="T155" s="295"/>
      <c r="U155" s="295"/>
      <c r="V155" s="296" t="b">
        <v>1</v>
      </c>
      <c r="W155" s="297" t="b">
        <v>0</v>
      </c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</row>
    <row r="156">
      <c r="A156" s="291"/>
      <c r="B156" s="303" t="s">
        <v>1300</v>
      </c>
      <c r="C156" s="304" t="s">
        <v>547</v>
      </c>
      <c r="D156" s="304" t="s">
        <v>1301</v>
      </c>
      <c r="E156" s="305">
        <v>8.10115971832E11</v>
      </c>
      <c r="F156" s="304" t="s">
        <v>1057</v>
      </c>
      <c r="G156" s="209"/>
      <c r="H156" s="209"/>
      <c r="I156" s="209"/>
      <c r="J156" s="300" t="b">
        <v>1</v>
      </c>
      <c r="K156" s="301" t="b">
        <v>1</v>
      </c>
      <c r="L156" s="209"/>
      <c r="M156" s="291"/>
      <c r="N156" s="303" t="s">
        <v>1302</v>
      </c>
      <c r="O156" s="306" t="s">
        <v>1303</v>
      </c>
      <c r="P156" s="304" t="s">
        <v>1304</v>
      </c>
      <c r="Q156" s="308" t="s">
        <v>1305</v>
      </c>
      <c r="R156" s="209"/>
      <c r="S156" s="209"/>
      <c r="T156" s="209"/>
      <c r="U156" s="209"/>
      <c r="V156" s="300" t="b">
        <v>1</v>
      </c>
      <c r="W156" s="301" t="b">
        <v>0</v>
      </c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</row>
    <row r="157">
      <c r="A157" s="291"/>
      <c r="B157" s="303" t="s">
        <v>1306</v>
      </c>
      <c r="C157" s="304" t="s">
        <v>1003</v>
      </c>
      <c r="D157" s="304" t="s">
        <v>1307</v>
      </c>
      <c r="E157" s="305">
        <v>8.40472503087E11</v>
      </c>
      <c r="F157" s="209"/>
      <c r="G157" s="209"/>
      <c r="H157" s="209"/>
      <c r="I157" s="209"/>
      <c r="J157" s="300" t="b">
        <v>1</v>
      </c>
      <c r="K157" s="301" t="b">
        <v>0</v>
      </c>
      <c r="L157" s="209"/>
      <c r="M157" s="291"/>
      <c r="N157" s="303" t="s">
        <v>1308</v>
      </c>
      <c r="O157" s="306" t="s">
        <v>1309</v>
      </c>
      <c r="P157" s="304" t="s">
        <v>1310</v>
      </c>
      <c r="Q157" s="308" t="s">
        <v>1311</v>
      </c>
      <c r="R157" s="209"/>
      <c r="S157" s="209"/>
      <c r="T157" s="209"/>
      <c r="U157" s="325"/>
      <c r="V157" s="300" t="b">
        <v>1</v>
      </c>
      <c r="W157" s="301" t="b">
        <v>0</v>
      </c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</row>
    <row r="158">
      <c r="A158" s="309"/>
      <c r="B158" s="310" t="s">
        <v>1312</v>
      </c>
      <c r="C158" s="311" t="s">
        <v>641</v>
      </c>
      <c r="D158" s="311" t="s">
        <v>1313</v>
      </c>
      <c r="E158" s="312">
        <v>8.10115971818E11</v>
      </c>
      <c r="F158" s="311" t="s">
        <v>1057</v>
      </c>
      <c r="G158" s="313"/>
      <c r="H158" s="313"/>
      <c r="I158" s="313"/>
      <c r="J158" s="300" t="b">
        <v>1</v>
      </c>
      <c r="K158" s="314" t="b">
        <v>1</v>
      </c>
      <c r="L158" s="209"/>
      <c r="M158" s="291"/>
      <c r="N158" s="303" t="s">
        <v>1314</v>
      </c>
      <c r="O158" s="304" t="s">
        <v>1315</v>
      </c>
      <c r="P158" s="304" t="s">
        <v>1316</v>
      </c>
      <c r="Q158" s="307">
        <v>8.40472503438E11</v>
      </c>
      <c r="R158" s="209"/>
      <c r="S158" s="209"/>
      <c r="T158" s="209"/>
      <c r="U158" s="325"/>
      <c r="V158" s="300" t="b">
        <v>1</v>
      </c>
      <c r="W158" s="301" t="b">
        <v>0</v>
      </c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</row>
    <row r="159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91"/>
      <c r="N159" s="310" t="s">
        <v>1317</v>
      </c>
      <c r="O159" s="311" t="s">
        <v>1315</v>
      </c>
      <c r="P159" s="311" t="s">
        <v>1318</v>
      </c>
      <c r="Q159" s="318">
        <v>8.40472503421E11</v>
      </c>
      <c r="R159" s="313"/>
      <c r="S159" s="313"/>
      <c r="T159" s="313"/>
      <c r="U159" s="331"/>
      <c r="V159" s="350" t="b">
        <v>1</v>
      </c>
      <c r="W159" s="314" t="b">
        <v>0</v>
      </c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</row>
    <row r="160">
      <c r="A160" s="316" t="s">
        <v>1190</v>
      </c>
      <c r="B160" s="282" t="s">
        <v>264</v>
      </c>
      <c r="C160" s="273"/>
      <c r="D160" s="274" t="s">
        <v>263</v>
      </c>
      <c r="E160" s="275" t="s">
        <v>805</v>
      </c>
      <c r="F160" s="273"/>
      <c r="G160" s="273"/>
      <c r="H160" s="276" t="s">
        <v>370</v>
      </c>
      <c r="I160" s="276" t="s">
        <v>1319</v>
      </c>
      <c r="J160" s="278" t="str">
        <f>IF(COUNTIF(J161:J171, TRUE) = COUNTA(J161:J171), "Complete!", IF(COUNTIF(J161:J171, TRUE) &gt; 0, "Partial", "Not Started"))</f>
        <v>Complete!</v>
      </c>
      <c r="K160" s="279"/>
      <c r="L160" s="280">
        <v>11.0</v>
      </c>
      <c r="M160" s="209"/>
      <c r="N160" s="209"/>
      <c r="O160" s="209"/>
      <c r="P160" s="209"/>
      <c r="Q160" s="209"/>
      <c r="R160" s="344"/>
      <c r="S160" s="344"/>
      <c r="T160" s="344"/>
      <c r="U160" s="325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</row>
    <row r="161">
      <c r="A161" s="291"/>
      <c r="B161" s="292" t="s">
        <v>1320</v>
      </c>
      <c r="C161" s="293" t="s">
        <v>952</v>
      </c>
      <c r="D161" s="293" t="s">
        <v>1321</v>
      </c>
      <c r="E161" s="294">
        <v>8.10115972907E11</v>
      </c>
      <c r="F161" s="295"/>
      <c r="G161" s="295"/>
      <c r="H161" s="295"/>
      <c r="I161" s="295"/>
      <c r="J161" s="368" t="b">
        <v>1</v>
      </c>
      <c r="K161" s="297" t="b">
        <v>0</v>
      </c>
      <c r="L161" s="209"/>
      <c r="M161" s="281" t="s">
        <v>1322</v>
      </c>
      <c r="N161" s="319" t="s">
        <v>1323</v>
      </c>
      <c r="O161" s="320"/>
      <c r="P161" s="283" t="s">
        <v>1324</v>
      </c>
      <c r="Q161" s="362" t="s">
        <v>1292</v>
      </c>
      <c r="R161" s="320"/>
      <c r="S161" s="320"/>
      <c r="T161" s="276" t="s">
        <v>370</v>
      </c>
      <c r="U161" s="367" t="s">
        <v>1325</v>
      </c>
      <c r="V161" s="278" t="str">
        <f>IF(COUNTIF(V162:V167, TRUE) = COUNTA(V162:V167), "Complete!", IF(COUNTIF(V162:V167, TRUE) &gt; 0, "Partial", "Not Started"))</f>
        <v>Complete!</v>
      </c>
      <c r="W161" s="279"/>
      <c r="X161" s="280">
        <v>6.0</v>
      </c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</row>
    <row r="162">
      <c r="A162" s="291"/>
      <c r="B162" s="303" t="s">
        <v>1326</v>
      </c>
      <c r="C162" s="304" t="s">
        <v>958</v>
      </c>
      <c r="D162" s="304" t="s">
        <v>1327</v>
      </c>
      <c r="E162" s="305">
        <v>8.10115972808E11</v>
      </c>
      <c r="F162" s="209"/>
      <c r="G162" s="209"/>
      <c r="H162" s="209"/>
      <c r="I162" s="209"/>
      <c r="J162" s="368" t="b">
        <v>1</v>
      </c>
      <c r="K162" s="301" t="b">
        <v>0</v>
      </c>
      <c r="L162" s="209"/>
      <c r="M162" s="291"/>
      <c r="N162" s="292" t="s">
        <v>1328</v>
      </c>
      <c r="O162" s="298" t="s">
        <v>1315</v>
      </c>
      <c r="P162" s="293" t="s">
        <v>1329</v>
      </c>
      <c r="Q162" s="302" t="s">
        <v>1330</v>
      </c>
      <c r="R162" s="293" t="s">
        <v>406</v>
      </c>
      <c r="S162" s="295"/>
      <c r="T162" s="295"/>
      <c r="U162" s="328"/>
      <c r="V162" s="296" t="b">
        <v>1</v>
      </c>
      <c r="W162" s="297" t="b">
        <v>1</v>
      </c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</row>
    <row r="163">
      <c r="A163" s="291"/>
      <c r="B163" s="303" t="s">
        <v>1331</v>
      </c>
      <c r="C163" s="304" t="s">
        <v>513</v>
      </c>
      <c r="D163" s="304" t="s">
        <v>1332</v>
      </c>
      <c r="E163" s="305">
        <v>8.101159719E11</v>
      </c>
      <c r="F163" s="209"/>
      <c r="G163" s="209"/>
      <c r="H163" s="209"/>
      <c r="I163" s="209"/>
      <c r="J163" s="368" t="b">
        <v>1</v>
      </c>
      <c r="K163" s="301" t="b">
        <v>0</v>
      </c>
      <c r="L163" s="209"/>
      <c r="M163" s="291"/>
      <c r="N163" s="303" t="s">
        <v>1333</v>
      </c>
      <c r="O163" s="306" t="s">
        <v>1334</v>
      </c>
      <c r="P163" s="304" t="s">
        <v>1335</v>
      </c>
      <c r="Q163" s="308" t="s">
        <v>1336</v>
      </c>
      <c r="R163" s="304" t="s">
        <v>527</v>
      </c>
      <c r="S163" s="304" t="s">
        <v>406</v>
      </c>
      <c r="T163" s="209"/>
      <c r="U163" s="325"/>
      <c r="V163" s="296" t="b">
        <v>1</v>
      </c>
      <c r="W163" s="301" t="b">
        <v>1</v>
      </c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</row>
    <row r="164">
      <c r="A164" s="291"/>
      <c r="B164" s="303" t="s">
        <v>1337</v>
      </c>
      <c r="C164" s="304" t="s">
        <v>522</v>
      </c>
      <c r="D164" s="304" t="s">
        <v>1338</v>
      </c>
      <c r="E164" s="305">
        <v>8.10115971887E11</v>
      </c>
      <c r="F164" s="209"/>
      <c r="G164" s="209"/>
      <c r="H164" s="209"/>
      <c r="I164" s="209"/>
      <c r="J164" s="368" t="b">
        <v>1</v>
      </c>
      <c r="K164" s="301" t="b">
        <v>0</v>
      </c>
      <c r="L164" s="209"/>
      <c r="M164" s="291"/>
      <c r="N164" s="303" t="s">
        <v>1339</v>
      </c>
      <c r="O164" s="306" t="s">
        <v>1340</v>
      </c>
      <c r="P164" s="304" t="s">
        <v>1341</v>
      </c>
      <c r="Q164" s="308" t="s">
        <v>1342</v>
      </c>
      <c r="R164" s="304" t="s">
        <v>527</v>
      </c>
      <c r="S164" s="304" t="s">
        <v>406</v>
      </c>
      <c r="T164" s="209"/>
      <c r="U164" s="325"/>
      <c r="V164" s="296" t="b">
        <v>1</v>
      </c>
      <c r="W164" s="301" t="b">
        <v>1</v>
      </c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</row>
    <row r="165">
      <c r="A165" s="291"/>
      <c r="B165" s="303" t="s">
        <v>1343</v>
      </c>
      <c r="C165" s="304" t="s">
        <v>529</v>
      </c>
      <c r="D165" s="304" t="s">
        <v>1344</v>
      </c>
      <c r="E165" s="305">
        <v>8.10115971863E11</v>
      </c>
      <c r="F165" s="209"/>
      <c r="G165" s="209"/>
      <c r="H165" s="209"/>
      <c r="I165" s="209"/>
      <c r="J165" s="368" t="b">
        <v>1</v>
      </c>
      <c r="K165" s="301" t="b">
        <v>0</v>
      </c>
      <c r="L165" s="209"/>
      <c r="M165" s="291"/>
      <c r="N165" s="303" t="s">
        <v>1345</v>
      </c>
      <c r="O165" s="304" t="s">
        <v>1297</v>
      </c>
      <c r="P165" s="304" t="s">
        <v>1346</v>
      </c>
      <c r="Q165" s="307">
        <v>8.40472503391E11</v>
      </c>
      <c r="R165" s="209"/>
      <c r="S165" s="209"/>
      <c r="T165" s="209"/>
      <c r="U165" s="325"/>
      <c r="V165" s="296" t="b">
        <v>1</v>
      </c>
      <c r="W165" s="301" t="b">
        <v>0</v>
      </c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</row>
    <row r="166">
      <c r="A166" s="291"/>
      <c r="B166" s="303" t="s">
        <v>1347</v>
      </c>
      <c r="C166" s="304" t="s">
        <v>989</v>
      </c>
      <c r="D166" s="304" t="s">
        <v>1348</v>
      </c>
      <c r="E166" s="305">
        <v>8.40472502622E11</v>
      </c>
      <c r="F166" s="209"/>
      <c r="G166" s="209"/>
      <c r="H166" s="209"/>
      <c r="I166" s="209"/>
      <c r="J166" s="368" t="b">
        <v>1</v>
      </c>
      <c r="K166" s="301" t="b">
        <v>0</v>
      </c>
      <c r="L166" s="209"/>
      <c r="M166" s="291"/>
      <c r="N166" s="303" t="s">
        <v>1349</v>
      </c>
      <c r="O166" s="304" t="s">
        <v>1303</v>
      </c>
      <c r="P166" s="304" t="s">
        <v>1350</v>
      </c>
      <c r="Q166" s="307">
        <v>8.40472503407E11</v>
      </c>
      <c r="R166" s="209"/>
      <c r="S166" s="209"/>
      <c r="T166" s="209"/>
      <c r="U166" s="325"/>
      <c r="V166" s="296" t="b">
        <v>1</v>
      </c>
      <c r="W166" s="301" t="b">
        <v>0</v>
      </c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</row>
    <row r="167">
      <c r="A167" s="291"/>
      <c r="B167" s="303" t="s">
        <v>1351</v>
      </c>
      <c r="C167" s="304" t="s">
        <v>1044</v>
      </c>
      <c r="D167" s="304" t="s">
        <v>1352</v>
      </c>
      <c r="E167" s="305">
        <v>8.10115972556E11</v>
      </c>
      <c r="F167" s="209"/>
      <c r="G167" s="209"/>
      <c r="H167" s="209"/>
      <c r="I167" s="209"/>
      <c r="J167" s="368" t="b">
        <v>1</v>
      </c>
      <c r="K167" s="301" t="b">
        <v>0</v>
      </c>
      <c r="L167" s="209"/>
      <c r="M167" s="291"/>
      <c r="N167" s="310" t="s">
        <v>1353</v>
      </c>
      <c r="O167" s="311" t="s">
        <v>1309</v>
      </c>
      <c r="P167" s="311" t="s">
        <v>1354</v>
      </c>
      <c r="Q167" s="318">
        <v>8.40472503414E11</v>
      </c>
      <c r="R167" s="313"/>
      <c r="S167" s="313"/>
      <c r="T167" s="313"/>
      <c r="U167" s="331"/>
      <c r="V167" s="296" t="b">
        <v>1</v>
      </c>
      <c r="W167" s="314" t="b">
        <v>0</v>
      </c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</row>
    <row r="168">
      <c r="A168" s="291"/>
      <c r="B168" s="303" t="s">
        <v>1355</v>
      </c>
      <c r="C168" s="304" t="s">
        <v>997</v>
      </c>
      <c r="D168" s="304" t="s">
        <v>1356</v>
      </c>
      <c r="E168" s="305">
        <v>8.40472502585E11</v>
      </c>
      <c r="F168" s="209"/>
      <c r="G168" s="209"/>
      <c r="H168" s="209"/>
      <c r="I168" s="209"/>
      <c r="J168" s="368" t="b">
        <v>1</v>
      </c>
      <c r="K168" s="301" t="b">
        <v>0</v>
      </c>
      <c r="L168" s="209"/>
      <c r="M168" s="209"/>
      <c r="N168" s="209"/>
      <c r="O168" s="209"/>
      <c r="P168" s="209"/>
      <c r="Q168" s="209"/>
      <c r="R168" s="344"/>
      <c r="S168" s="344"/>
      <c r="T168" s="344"/>
      <c r="U168" s="325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</row>
    <row r="169">
      <c r="A169" s="291"/>
      <c r="B169" s="303" t="s">
        <v>1357</v>
      </c>
      <c r="C169" s="304" t="s">
        <v>1049</v>
      </c>
      <c r="D169" s="304" t="s">
        <v>1358</v>
      </c>
      <c r="E169" s="305">
        <v>8.10115972549E11</v>
      </c>
      <c r="F169" s="209"/>
      <c r="G169" s="209"/>
      <c r="H169" s="209"/>
      <c r="I169" s="209"/>
      <c r="J169" s="368" t="b">
        <v>1</v>
      </c>
      <c r="K169" s="301" t="b">
        <v>0</v>
      </c>
      <c r="L169" s="209"/>
      <c r="M169" s="281" t="s">
        <v>1359</v>
      </c>
      <c r="N169" s="282" t="s">
        <v>1360</v>
      </c>
      <c r="O169" s="273"/>
      <c r="P169" s="274" t="s">
        <v>1361</v>
      </c>
      <c r="Q169" s="284" t="s">
        <v>122</v>
      </c>
      <c r="R169" s="273"/>
      <c r="S169" s="273"/>
      <c r="T169" s="276" t="s">
        <v>468</v>
      </c>
      <c r="U169" s="276" t="s">
        <v>1362</v>
      </c>
      <c r="V169" s="278" t="str">
        <f>IF(COUNTIF(V170:V176, TRUE) = COUNTA(V170:V176), "Complete!", IF(COUNTIF(V170:V176, TRUE) &gt; 0, "Partial", "Not Started"))</f>
        <v>Complete!</v>
      </c>
      <c r="W169" s="279"/>
      <c r="X169" s="280">
        <v>12.0</v>
      </c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</row>
    <row r="170">
      <c r="A170" s="291"/>
      <c r="B170" s="303" t="s">
        <v>1363</v>
      </c>
      <c r="C170" s="304" t="s">
        <v>1060</v>
      </c>
      <c r="D170" s="304" t="s">
        <v>1364</v>
      </c>
      <c r="E170" s="305">
        <v>8.40472507535E11</v>
      </c>
      <c r="F170" s="304" t="s">
        <v>1062</v>
      </c>
      <c r="G170" s="209"/>
      <c r="H170" s="209"/>
      <c r="I170" s="304" t="s">
        <v>1063</v>
      </c>
      <c r="J170" s="369" t="b">
        <v>1</v>
      </c>
      <c r="K170" s="301" t="b">
        <v>0</v>
      </c>
      <c r="L170" s="209"/>
      <c r="M170" s="291"/>
      <c r="N170" s="292" t="s">
        <v>1365</v>
      </c>
      <c r="O170" s="298" t="s">
        <v>1366</v>
      </c>
      <c r="P170" s="293" t="s">
        <v>1367</v>
      </c>
      <c r="Q170" s="357">
        <v>8.1011597624E11</v>
      </c>
      <c r="R170" s="295"/>
      <c r="S170" s="295"/>
      <c r="T170" s="295"/>
      <c r="U170" s="328"/>
      <c r="V170" s="296" t="b">
        <v>1</v>
      </c>
      <c r="W170" s="297" t="b">
        <v>0</v>
      </c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</row>
    <row r="171">
      <c r="A171" s="309"/>
      <c r="B171" s="310" t="s">
        <v>1368</v>
      </c>
      <c r="C171" s="311" t="s">
        <v>1113</v>
      </c>
      <c r="D171" s="311" t="s">
        <v>1369</v>
      </c>
      <c r="E171" s="312">
        <v>8.40472507566E11</v>
      </c>
      <c r="F171" s="311" t="s">
        <v>1062</v>
      </c>
      <c r="G171" s="313"/>
      <c r="H171" s="313"/>
      <c r="I171" s="311" t="s">
        <v>1063</v>
      </c>
      <c r="J171" s="370" t="b">
        <v>1</v>
      </c>
      <c r="K171" s="314" t="b">
        <v>0</v>
      </c>
      <c r="L171" s="209"/>
      <c r="M171" s="291"/>
      <c r="N171" s="303" t="s">
        <v>1370</v>
      </c>
      <c r="O171" s="306" t="s">
        <v>1371</v>
      </c>
      <c r="P171" s="304" t="s">
        <v>1372</v>
      </c>
      <c r="Q171" s="358">
        <v>8.10115976226E11</v>
      </c>
      <c r="R171" s="209"/>
      <c r="S171" s="209"/>
      <c r="T171" s="209"/>
      <c r="U171" s="325"/>
      <c r="V171" s="300" t="b">
        <v>1</v>
      </c>
      <c r="W171" s="301" t="b">
        <v>0</v>
      </c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</row>
    <row r="172">
      <c r="A172" s="209"/>
      <c r="B172" s="209"/>
      <c r="C172" s="209"/>
      <c r="D172" s="209"/>
      <c r="E172" s="209"/>
      <c r="F172" s="209"/>
      <c r="G172" s="209"/>
      <c r="H172" s="209"/>
      <c r="I172" s="209"/>
      <c r="J172" s="315"/>
      <c r="K172" s="209"/>
      <c r="L172" s="209"/>
      <c r="M172" s="291"/>
      <c r="N172" s="303" t="s">
        <v>1373</v>
      </c>
      <c r="O172" s="306" t="s">
        <v>384</v>
      </c>
      <c r="P172" s="304" t="s">
        <v>1374</v>
      </c>
      <c r="Q172" s="358">
        <v>8.10115976219E11</v>
      </c>
      <c r="R172" s="209"/>
      <c r="S172" s="209"/>
      <c r="T172" s="209"/>
      <c r="U172" s="325"/>
      <c r="V172" s="300" t="b">
        <v>1</v>
      </c>
      <c r="W172" s="301" t="b">
        <v>0</v>
      </c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09"/>
      <c r="AK172" s="209"/>
    </row>
    <row r="173">
      <c r="A173" s="316" t="s">
        <v>1226</v>
      </c>
      <c r="B173" s="282" t="s">
        <v>1375</v>
      </c>
      <c r="C173" s="273"/>
      <c r="D173" s="274" t="s">
        <v>1376</v>
      </c>
      <c r="E173" s="275" t="s">
        <v>805</v>
      </c>
      <c r="F173" s="273"/>
      <c r="G173" s="275" t="s">
        <v>1377</v>
      </c>
      <c r="H173" s="276" t="s">
        <v>370</v>
      </c>
      <c r="I173" s="277" t="s">
        <v>1378</v>
      </c>
      <c r="J173" s="278" t="str">
        <f>IF(COUNTIF(J174:J182, TRUE) = COUNTA(J174:J182), "Complete!", IF(COUNTIF(J174:J182, TRUE) &gt; 0, "Partial", "Not Started"))</f>
        <v>Complete!</v>
      </c>
      <c r="K173" s="279"/>
      <c r="L173" s="280">
        <v>9.0</v>
      </c>
      <c r="M173" s="291"/>
      <c r="N173" s="303" t="s">
        <v>1379</v>
      </c>
      <c r="O173" s="306" t="s">
        <v>602</v>
      </c>
      <c r="P173" s="304" t="s">
        <v>1380</v>
      </c>
      <c r="Q173" s="358">
        <v>8.10115976233E11</v>
      </c>
      <c r="R173" s="209"/>
      <c r="S173" s="209"/>
      <c r="T173" s="209"/>
      <c r="U173" s="325"/>
      <c r="V173" s="300" t="b">
        <v>1</v>
      </c>
      <c r="W173" s="301" t="b">
        <v>0</v>
      </c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</row>
    <row r="174">
      <c r="A174" s="291"/>
      <c r="B174" s="292" t="s">
        <v>1381</v>
      </c>
      <c r="C174" s="293" t="s">
        <v>1382</v>
      </c>
      <c r="D174" s="293" t="s">
        <v>1383</v>
      </c>
      <c r="E174" s="294">
        <v>8.10115972754E11</v>
      </c>
      <c r="F174" s="295"/>
      <c r="G174" s="295"/>
      <c r="H174" s="295"/>
      <c r="I174" s="295"/>
      <c r="J174" s="296" t="b">
        <v>1</v>
      </c>
      <c r="K174" s="297" t="b">
        <v>0</v>
      </c>
      <c r="L174" s="209"/>
      <c r="M174" s="291"/>
      <c r="N174" s="303" t="s">
        <v>1384</v>
      </c>
      <c r="O174" s="306" t="s">
        <v>390</v>
      </c>
      <c r="P174" s="304" t="s">
        <v>1385</v>
      </c>
      <c r="Q174" s="358">
        <v>8.10115976257E11</v>
      </c>
      <c r="R174" s="209"/>
      <c r="S174" s="209"/>
      <c r="T174" s="209"/>
      <c r="U174" s="325"/>
      <c r="V174" s="300" t="b">
        <v>1</v>
      </c>
      <c r="W174" s="301" t="b">
        <v>0</v>
      </c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  <c r="AK174" s="209"/>
    </row>
    <row r="175">
      <c r="A175" s="291"/>
      <c r="B175" s="303" t="s">
        <v>1386</v>
      </c>
      <c r="C175" s="304" t="s">
        <v>1387</v>
      </c>
      <c r="D175" s="304" t="s">
        <v>1388</v>
      </c>
      <c r="E175" s="305">
        <v>8.10115972242E11</v>
      </c>
      <c r="F175" s="209"/>
      <c r="G175" s="209"/>
      <c r="H175" s="209"/>
      <c r="I175" s="209"/>
      <c r="J175" s="296" t="b">
        <v>1</v>
      </c>
      <c r="K175" s="301" t="b">
        <v>0</v>
      </c>
      <c r="L175" s="209"/>
      <c r="M175" s="291"/>
      <c r="N175" s="303" t="s">
        <v>1389</v>
      </c>
      <c r="O175" s="306" t="s">
        <v>1390</v>
      </c>
      <c r="P175" s="304" t="s">
        <v>1391</v>
      </c>
      <c r="Q175" s="358">
        <v>8.10115976202E11</v>
      </c>
      <c r="R175" s="209"/>
      <c r="S175" s="209"/>
      <c r="T175" s="209"/>
      <c r="U175" s="325"/>
      <c r="V175" s="300" t="b">
        <v>1</v>
      </c>
      <c r="W175" s="301" t="b">
        <v>0</v>
      </c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09"/>
    </row>
    <row r="176">
      <c r="A176" s="291"/>
      <c r="B176" s="303" t="s">
        <v>1392</v>
      </c>
      <c r="C176" s="347" t="s">
        <v>682</v>
      </c>
      <c r="D176" s="347" t="s">
        <v>1393</v>
      </c>
      <c r="E176" s="305">
        <v>8.1011597202E11</v>
      </c>
      <c r="F176" s="209"/>
      <c r="G176" s="209"/>
      <c r="H176" s="209"/>
      <c r="I176" s="209"/>
      <c r="J176" s="296" t="b">
        <v>1</v>
      </c>
      <c r="K176" s="301" t="b">
        <v>0</v>
      </c>
      <c r="L176" s="209"/>
      <c r="M176" s="291"/>
      <c r="N176" s="303" t="s">
        <v>1394</v>
      </c>
      <c r="O176" s="306" t="s">
        <v>1390</v>
      </c>
      <c r="P176" s="304" t="s">
        <v>1395</v>
      </c>
      <c r="Q176" s="358">
        <v>8.10115976196E11</v>
      </c>
      <c r="R176" s="209"/>
      <c r="S176" s="209"/>
      <c r="T176" s="209"/>
      <c r="U176" s="325"/>
      <c r="V176" s="300" t="b">
        <v>1</v>
      </c>
      <c r="W176" s="301" t="b">
        <v>0</v>
      </c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  <c r="AK176" s="209"/>
    </row>
    <row r="177">
      <c r="A177" s="291"/>
      <c r="B177" s="303" t="s">
        <v>1396</v>
      </c>
      <c r="C177" s="304" t="s">
        <v>662</v>
      </c>
      <c r="D177" s="304" t="s">
        <v>1397</v>
      </c>
      <c r="E177" s="305">
        <v>8.10115972051E11</v>
      </c>
      <c r="F177" s="209"/>
      <c r="G177" s="209"/>
      <c r="H177" s="209"/>
      <c r="I177" s="209"/>
      <c r="J177" s="296" t="b">
        <v>1</v>
      </c>
      <c r="K177" s="301" t="b">
        <v>0</v>
      </c>
      <c r="L177" s="209"/>
      <c r="M177" s="291"/>
      <c r="N177" s="303" t="s">
        <v>1398</v>
      </c>
      <c r="O177" s="304" t="s">
        <v>431</v>
      </c>
      <c r="P177" s="304" t="s">
        <v>1399</v>
      </c>
      <c r="Q177" s="307">
        <v>8.4047250125E11</v>
      </c>
      <c r="R177" s="209"/>
      <c r="S177" s="209"/>
      <c r="T177" s="209"/>
      <c r="U177" s="325"/>
      <c r="V177" s="300" t="b">
        <v>1</v>
      </c>
      <c r="W177" s="301" t="b">
        <v>0</v>
      </c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  <c r="AK177" s="209"/>
    </row>
    <row r="178">
      <c r="A178" s="291"/>
      <c r="B178" s="303" t="s">
        <v>1400</v>
      </c>
      <c r="C178" s="304" t="s">
        <v>434</v>
      </c>
      <c r="D178" s="304" t="s">
        <v>1401</v>
      </c>
      <c r="E178" s="305">
        <v>8.10115972129E11</v>
      </c>
      <c r="F178" s="209"/>
      <c r="G178" s="209"/>
      <c r="H178" s="209"/>
      <c r="I178" s="209"/>
      <c r="J178" s="296" t="b">
        <v>1</v>
      </c>
      <c r="K178" s="301" t="b">
        <v>0</v>
      </c>
      <c r="L178" s="209"/>
      <c r="M178" s="291"/>
      <c r="N178" s="354" t="s">
        <v>1402</v>
      </c>
      <c r="O178" s="304" t="s">
        <v>400</v>
      </c>
      <c r="P178" s="304" t="s">
        <v>1403</v>
      </c>
      <c r="Q178" s="307">
        <v>8.40472501267E11</v>
      </c>
      <c r="R178" s="304" t="s">
        <v>750</v>
      </c>
      <c r="S178" s="209"/>
      <c r="T178" s="209"/>
      <c r="U178" s="325"/>
      <c r="V178" s="300" t="b">
        <v>1</v>
      </c>
      <c r="W178" s="301" t="b">
        <v>0</v>
      </c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</row>
    <row r="179">
      <c r="A179" s="291"/>
      <c r="B179" s="303" t="s">
        <v>1404</v>
      </c>
      <c r="C179" s="304" t="s">
        <v>671</v>
      </c>
      <c r="D179" s="304" t="s">
        <v>1405</v>
      </c>
      <c r="E179" s="305">
        <v>8.10115972587E11</v>
      </c>
      <c r="F179" s="209"/>
      <c r="G179" s="209"/>
      <c r="H179" s="209"/>
      <c r="I179" s="209"/>
      <c r="J179" s="296" t="b">
        <v>1</v>
      </c>
      <c r="K179" s="301" t="b">
        <v>0</v>
      </c>
      <c r="L179" s="209"/>
      <c r="M179" s="291"/>
      <c r="N179" s="303" t="s">
        <v>1406</v>
      </c>
      <c r="O179" s="304" t="s">
        <v>588</v>
      </c>
      <c r="P179" s="304" t="s">
        <v>1407</v>
      </c>
      <c r="Q179" s="307">
        <v>8.40472501274E11</v>
      </c>
      <c r="R179" s="209"/>
      <c r="S179" s="209"/>
      <c r="T179" s="209"/>
      <c r="U179" s="325"/>
      <c r="V179" s="300" t="b">
        <v>1</v>
      </c>
      <c r="W179" s="301" t="b">
        <v>0</v>
      </c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</row>
    <row r="180">
      <c r="A180" s="291"/>
      <c r="B180" s="303" t="s">
        <v>1408</v>
      </c>
      <c r="C180" s="304" t="s">
        <v>1409</v>
      </c>
      <c r="D180" s="304" t="s">
        <v>1410</v>
      </c>
      <c r="E180" s="305">
        <v>8.1011597257E11</v>
      </c>
      <c r="F180" s="209"/>
      <c r="G180" s="209"/>
      <c r="H180" s="209"/>
      <c r="I180" s="209"/>
      <c r="J180" s="296" t="b">
        <v>1</v>
      </c>
      <c r="K180" s="301" t="b">
        <v>0</v>
      </c>
      <c r="L180" s="209"/>
      <c r="M180" s="291"/>
      <c r="N180" s="303" t="s">
        <v>1411</v>
      </c>
      <c r="O180" s="304" t="s">
        <v>1412</v>
      </c>
      <c r="P180" s="304" t="s">
        <v>1413</v>
      </c>
      <c r="Q180" s="307">
        <v>8.40472501281E11</v>
      </c>
      <c r="R180" s="209"/>
      <c r="S180" s="209"/>
      <c r="T180" s="209"/>
      <c r="U180" s="325"/>
      <c r="V180" s="300" t="b">
        <v>1</v>
      </c>
      <c r="W180" s="301" t="b">
        <v>0</v>
      </c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</row>
    <row r="181">
      <c r="A181" s="291"/>
      <c r="B181" s="303" t="s">
        <v>1414</v>
      </c>
      <c r="C181" s="304" t="s">
        <v>679</v>
      </c>
      <c r="D181" s="304" t="s">
        <v>1415</v>
      </c>
      <c r="E181" s="305">
        <v>8.10115972204E11</v>
      </c>
      <c r="F181" s="209"/>
      <c r="G181" s="209"/>
      <c r="H181" s="209"/>
      <c r="I181" s="209"/>
      <c r="J181" s="296" t="b">
        <v>1</v>
      </c>
      <c r="K181" s="301" t="b">
        <v>0</v>
      </c>
      <c r="L181" s="209"/>
      <c r="M181" s="291"/>
      <c r="N181" s="310" t="s">
        <v>1416</v>
      </c>
      <c r="O181" s="311" t="s">
        <v>692</v>
      </c>
      <c r="P181" s="311" t="s">
        <v>1417</v>
      </c>
      <c r="Q181" s="318">
        <v>8.40472501298E11</v>
      </c>
      <c r="R181" s="313"/>
      <c r="S181" s="313"/>
      <c r="T181" s="313"/>
      <c r="U181" s="331"/>
      <c r="V181" s="350" t="b">
        <v>1</v>
      </c>
      <c r="W181" s="314" t="b">
        <v>0</v>
      </c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</row>
    <row r="182">
      <c r="A182" s="309"/>
      <c r="B182" s="310" t="s">
        <v>1418</v>
      </c>
      <c r="C182" s="311" t="s">
        <v>1419</v>
      </c>
      <c r="D182" s="311" t="s">
        <v>1420</v>
      </c>
      <c r="E182" s="312">
        <v>8.10115972273E11</v>
      </c>
      <c r="F182" s="313"/>
      <c r="G182" s="313"/>
      <c r="H182" s="313"/>
      <c r="I182" s="313"/>
      <c r="J182" s="371" t="b">
        <v>1</v>
      </c>
      <c r="K182" s="314" t="b">
        <v>0</v>
      </c>
      <c r="L182" s="209"/>
      <c r="M182" s="209"/>
      <c r="N182" s="209"/>
      <c r="O182" s="209"/>
      <c r="P182" s="209"/>
      <c r="Q182" s="209"/>
      <c r="R182" s="344"/>
      <c r="S182" s="344"/>
      <c r="T182" s="344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</row>
    <row r="183">
      <c r="A183" s="209"/>
      <c r="B183" s="209"/>
      <c r="C183" s="209"/>
      <c r="D183" s="209"/>
      <c r="E183" s="209"/>
      <c r="F183" s="209"/>
      <c r="G183" s="209"/>
      <c r="H183" s="209"/>
      <c r="I183" s="209"/>
      <c r="J183" s="344"/>
      <c r="K183" s="209"/>
      <c r="L183" s="209"/>
      <c r="M183" s="327" t="s">
        <v>1421</v>
      </c>
      <c r="N183" s="319" t="s">
        <v>1422</v>
      </c>
      <c r="O183" s="320"/>
      <c r="P183" s="283" t="s">
        <v>1423</v>
      </c>
      <c r="Q183" s="336" t="s">
        <v>1424</v>
      </c>
      <c r="R183" s="320"/>
      <c r="S183" s="320"/>
      <c r="T183" s="276" t="s">
        <v>370</v>
      </c>
      <c r="U183" s="372" t="s">
        <v>1425</v>
      </c>
      <c r="V183" s="278" t="str">
        <f>IF(COUNTIF(V184:V195, TRUE) = COUNTA(V184:V195), "Complete!", IF(COUNTIF(V184:V195, TRUE) &gt; 0, "Partial", "Not Started"))</f>
        <v>Complete!</v>
      </c>
      <c r="W183" s="279"/>
      <c r="X183" s="280">
        <v>12.0</v>
      </c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</row>
    <row r="184">
      <c r="A184" s="316" t="s">
        <v>1255</v>
      </c>
      <c r="B184" s="319" t="s">
        <v>267</v>
      </c>
      <c r="C184" s="320"/>
      <c r="D184" s="283" t="s">
        <v>266</v>
      </c>
      <c r="E184" s="275" t="s">
        <v>805</v>
      </c>
      <c r="F184" s="320"/>
      <c r="G184" s="320"/>
      <c r="H184" s="283" t="s">
        <v>563</v>
      </c>
      <c r="I184" s="283" t="s">
        <v>1426</v>
      </c>
      <c r="J184" s="278" t="str">
        <f>IF(COUNTIF(J185:J193, TRUE) = COUNTA(J185:J193), "Complete!", IF(COUNTIF(J185:J193, TRUE) &gt; 0, "Partial", "Not Started"))</f>
        <v>Complete!</v>
      </c>
      <c r="K184" s="279"/>
      <c r="L184" s="280">
        <v>9.0</v>
      </c>
      <c r="N184" s="292" t="s">
        <v>1427</v>
      </c>
      <c r="O184" s="298" t="s">
        <v>1428</v>
      </c>
      <c r="P184" s="293" t="s">
        <v>1429</v>
      </c>
      <c r="Q184" s="295"/>
      <c r="R184" s="295"/>
      <c r="S184" s="295"/>
      <c r="T184" s="295"/>
      <c r="U184" s="328"/>
      <c r="V184" s="296" t="b">
        <v>1</v>
      </c>
      <c r="W184" s="297" t="b">
        <v>0</v>
      </c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</row>
    <row r="185">
      <c r="A185" s="291"/>
      <c r="B185" s="292" t="s">
        <v>1430</v>
      </c>
      <c r="C185" s="293" t="s">
        <v>630</v>
      </c>
      <c r="D185" s="293" t="s">
        <v>1431</v>
      </c>
      <c r="E185" s="294">
        <v>8.40472503162E11</v>
      </c>
      <c r="F185" s="293" t="s">
        <v>1432</v>
      </c>
      <c r="G185" s="295"/>
      <c r="H185" s="295"/>
      <c r="I185" s="293" t="s">
        <v>1433</v>
      </c>
      <c r="J185" s="296" t="b">
        <v>1</v>
      </c>
      <c r="K185" s="297" t="b">
        <v>1</v>
      </c>
      <c r="L185" s="209"/>
      <c r="N185" s="354" t="s">
        <v>1434</v>
      </c>
      <c r="O185" s="306" t="s">
        <v>1435</v>
      </c>
      <c r="P185" s="304" t="s">
        <v>1436</v>
      </c>
      <c r="Q185" s="209"/>
      <c r="R185" s="209"/>
      <c r="S185" s="209"/>
      <c r="T185" s="209"/>
      <c r="U185" s="325"/>
      <c r="V185" s="300" t="b">
        <v>1</v>
      </c>
      <c r="W185" s="301" t="b">
        <v>0</v>
      </c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</row>
    <row r="186">
      <c r="A186" s="291"/>
      <c r="B186" s="303" t="s">
        <v>1437</v>
      </c>
      <c r="C186" s="304" t="s">
        <v>848</v>
      </c>
      <c r="D186" s="304" t="s">
        <v>1438</v>
      </c>
      <c r="E186" s="305">
        <v>8.40472503155E11</v>
      </c>
      <c r="F186" s="293" t="s">
        <v>1432</v>
      </c>
      <c r="G186" s="209"/>
      <c r="H186" s="209"/>
      <c r="I186" s="304" t="s">
        <v>1433</v>
      </c>
      <c r="J186" s="296" t="b">
        <v>1</v>
      </c>
      <c r="K186" s="297" t="b">
        <v>1</v>
      </c>
      <c r="L186" s="209"/>
      <c r="N186" s="303" t="s">
        <v>1439</v>
      </c>
      <c r="O186" s="306" t="s">
        <v>1440</v>
      </c>
      <c r="P186" s="304" t="s">
        <v>1441</v>
      </c>
      <c r="Q186" s="209"/>
      <c r="R186" s="209"/>
      <c r="S186" s="209"/>
      <c r="T186" s="209"/>
      <c r="U186" s="325"/>
      <c r="V186" s="300" t="b">
        <v>1</v>
      </c>
      <c r="W186" s="301" t="b">
        <v>0</v>
      </c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</row>
    <row r="187">
      <c r="A187" s="291"/>
      <c r="B187" s="303" t="s">
        <v>1442</v>
      </c>
      <c r="C187" s="304" t="s">
        <v>682</v>
      </c>
      <c r="D187" s="304" t="s">
        <v>1443</v>
      </c>
      <c r="E187" s="305">
        <v>8.40472503148E11</v>
      </c>
      <c r="F187" s="293" t="s">
        <v>1432</v>
      </c>
      <c r="G187" s="209"/>
      <c r="H187" s="209"/>
      <c r="I187" s="304" t="s">
        <v>1433</v>
      </c>
      <c r="J187" s="296" t="b">
        <v>1</v>
      </c>
      <c r="K187" s="297" t="b">
        <v>1</v>
      </c>
      <c r="L187" s="209"/>
      <c r="N187" s="303" t="s">
        <v>1444</v>
      </c>
      <c r="O187" s="306" t="s">
        <v>1445</v>
      </c>
      <c r="P187" s="304" t="s">
        <v>1446</v>
      </c>
      <c r="Q187" s="209"/>
      <c r="R187" s="209"/>
      <c r="S187" s="209"/>
      <c r="T187" s="209"/>
      <c r="U187" s="325"/>
      <c r="V187" s="300" t="b">
        <v>1</v>
      </c>
      <c r="W187" s="301" t="b">
        <v>0</v>
      </c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</row>
    <row r="188">
      <c r="A188" s="291"/>
      <c r="B188" s="303" t="s">
        <v>1447</v>
      </c>
      <c r="C188" s="304" t="s">
        <v>434</v>
      </c>
      <c r="D188" s="304" t="s">
        <v>1448</v>
      </c>
      <c r="E188" s="305">
        <v>8.40472503131E11</v>
      </c>
      <c r="F188" s="293" t="s">
        <v>1432</v>
      </c>
      <c r="G188" s="209"/>
      <c r="H188" s="209"/>
      <c r="I188" s="304" t="s">
        <v>1433</v>
      </c>
      <c r="J188" s="296" t="b">
        <v>1</v>
      </c>
      <c r="K188" s="297" t="b">
        <v>1</v>
      </c>
      <c r="L188" s="209"/>
      <c r="N188" s="303" t="s">
        <v>1449</v>
      </c>
      <c r="O188" s="306" t="s">
        <v>1450</v>
      </c>
      <c r="P188" s="304" t="s">
        <v>1451</v>
      </c>
      <c r="Q188" s="307">
        <v>8.4047250097E11</v>
      </c>
      <c r="R188" s="209"/>
      <c r="S188" s="209"/>
      <c r="T188" s="209"/>
      <c r="U188" s="325"/>
      <c r="V188" s="300" t="b">
        <v>1</v>
      </c>
      <c r="W188" s="301" t="b">
        <v>0</v>
      </c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</row>
    <row r="189">
      <c r="A189" s="291"/>
      <c r="B189" s="303" t="s">
        <v>1452</v>
      </c>
      <c r="C189" s="304" t="s">
        <v>796</v>
      </c>
      <c r="D189" s="304" t="s">
        <v>1453</v>
      </c>
      <c r="E189" s="305">
        <v>8.40472503124E11</v>
      </c>
      <c r="F189" s="293" t="s">
        <v>1432</v>
      </c>
      <c r="G189" s="209"/>
      <c r="H189" s="209"/>
      <c r="I189" s="304" t="s">
        <v>1433</v>
      </c>
      <c r="J189" s="296" t="b">
        <v>1</v>
      </c>
      <c r="K189" s="297" t="b">
        <v>1</v>
      </c>
      <c r="L189" s="209"/>
      <c r="N189" s="303" t="s">
        <v>1454</v>
      </c>
      <c r="O189" s="306" t="s">
        <v>1455</v>
      </c>
      <c r="P189" s="304" t="s">
        <v>1456</v>
      </c>
      <c r="Q189" s="307">
        <v>8.40472501007E11</v>
      </c>
      <c r="R189" s="209"/>
      <c r="S189" s="209"/>
      <c r="T189" s="209"/>
      <c r="U189" s="325"/>
      <c r="V189" s="300" t="b">
        <v>1</v>
      </c>
      <c r="W189" s="301" t="b">
        <v>0</v>
      </c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</row>
    <row r="190">
      <c r="A190" s="291"/>
      <c r="B190" s="303" t="s">
        <v>1457</v>
      </c>
      <c r="C190" s="304" t="s">
        <v>1169</v>
      </c>
      <c r="D190" s="304" t="s">
        <v>1458</v>
      </c>
      <c r="E190" s="305">
        <v>8.40472503117E11</v>
      </c>
      <c r="F190" s="293" t="s">
        <v>1432</v>
      </c>
      <c r="G190" s="209"/>
      <c r="H190" s="209"/>
      <c r="I190" s="304" t="s">
        <v>1433</v>
      </c>
      <c r="J190" s="296" t="b">
        <v>1</v>
      </c>
      <c r="K190" s="297" t="b">
        <v>1</v>
      </c>
      <c r="L190" s="209"/>
      <c r="N190" s="303" t="s">
        <v>1459</v>
      </c>
      <c r="O190" s="306" t="s">
        <v>1460</v>
      </c>
      <c r="P190" s="304" t="s">
        <v>1461</v>
      </c>
      <c r="Q190" s="307">
        <v>8.40472501021E11</v>
      </c>
      <c r="R190" s="209"/>
      <c r="S190" s="209"/>
      <c r="T190" s="209"/>
      <c r="U190" s="325"/>
      <c r="V190" s="300" t="b">
        <v>1</v>
      </c>
      <c r="W190" s="301" t="b">
        <v>0</v>
      </c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</row>
    <row r="191">
      <c r="A191" s="291"/>
      <c r="B191" s="303" t="s">
        <v>1462</v>
      </c>
      <c r="C191" s="304" t="s">
        <v>431</v>
      </c>
      <c r="D191" s="304" t="s">
        <v>1463</v>
      </c>
      <c r="E191" s="305">
        <v>8.10115972235E11</v>
      </c>
      <c r="F191" s="295"/>
      <c r="G191" s="209"/>
      <c r="H191" s="209"/>
      <c r="I191" s="209"/>
      <c r="J191" s="296" t="b">
        <v>1</v>
      </c>
      <c r="K191" s="297" t="b">
        <v>0</v>
      </c>
      <c r="L191" s="209"/>
      <c r="N191" s="303" t="s">
        <v>1464</v>
      </c>
      <c r="O191" s="306" t="s">
        <v>1465</v>
      </c>
      <c r="P191" s="304" t="s">
        <v>1466</v>
      </c>
      <c r="Q191" s="307">
        <v>8.40472501038E11</v>
      </c>
      <c r="R191" s="209"/>
      <c r="S191" s="209"/>
      <c r="T191" s="209"/>
      <c r="U191" s="325"/>
      <c r="V191" s="300" t="b">
        <v>1</v>
      </c>
      <c r="W191" s="301" t="b">
        <v>0</v>
      </c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</row>
    <row r="192">
      <c r="A192" s="291"/>
      <c r="B192" s="303" t="s">
        <v>1467</v>
      </c>
      <c r="C192" s="304" t="s">
        <v>1175</v>
      </c>
      <c r="D192" s="304" t="s">
        <v>1468</v>
      </c>
      <c r="E192" s="305">
        <v>8.404725031E11</v>
      </c>
      <c r="F192" s="293" t="s">
        <v>1432</v>
      </c>
      <c r="G192" s="209"/>
      <c r="H192" s="209"/>
      <c r="I192" s="209" t="s">
        <v>1433</v>
      </c>
      <c r="J192" s="296" t="b">
        <v>1</v>
      </c>
      <c r="K192" s="297" t="b">
        <v>1</v>
      </c>
      <c r="L192" s="209"/>
      <c r="N192" s="303" t="s">
        <v>1469</v>
      </c>
      <c r="O192" s="306" t="s">
        <v>1470</v>
      </c>
      <c r="P192" s="304" t="s">
        <v>1471</v>
      </c>
      <c r="Q192" s="307">
        <v>8.40472501137E11</v>
      </c>
      <c r="R192" s="209"/>
      <c r="S192" s="209"/>
      <c r="T192" s="209"/>
      <c r="U192" s="325"/>
      <c r="V192" s="300" t="b">
        <v>1</v>
      </c>
      <c r="W192" s="301" t="b">
        <v>0</v>
      </c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</row>
    <row r="193">
      <c r="A193" s="309"/>
      <c r="B193" s="310" t="s">
        <v>1472</v>
      </c>
      <c r="C193" s="311" t="s">
        <v>870</v>
      </c>
      <c r="D193" s="311" t="s">
        <v>1473</v>
      </c>
      <c r="E193" s="312">
        <v>8.40472503094E11</v>
      </c>
      <c r="F193" s="293" t="s">
        <v>1432</v>
      </c>
      <c r="G193" s="313"/>
      <c r="H193" s="313"/>
      <c r="I193" s="313" t="s">
        <v>1433</v>
      </c>
      <c r="J193" s="371" t="b">
        <v>1</v>
      </c>
      <c r="K193" s="373" t="b">
        <v>1</v>
      </c>
      <c r="L193" s="209"/>
      <c r="N193" s="303" t="s">
        <v>1474</v>
      </c>
      <c r="O193" s="306" t="s">
        <v>1475</v>
      </c>
      <c r="P193" s="304" t="s">
        <v>1476</v>
      </c>
      <c r="Q193" s="307">
        <v>8.40472501144E11</v>
      </c>
      <c r="R193" s="209"/>
      <c r="S193" s="209"/>
      <c r="T193" s="209"/>
      <c r="U193" s="325"/>
      <c r="V193" s="300" t="b">
        <v>1</v>
      </c>
      <c r="W193" s="301" t="b">
        <v>0</v>
      </c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</row>
    <row r="194">
      <c r="A194" s="209"/>
      <c r="B194" s="209"/>
      <c r="C194" s="209"/>
      <c r="D194" s="209"/>
      <c r="E194" s="209"/>
      <c r="F194" s="209"/>
      <c r="G194" s="209"/>
      <c r="H194" s="209"/>
      <c r="I194" s="209"/>
      <c r="J194" s="344"/>
      <c r="K194" s="209"/>
      <c r="L194" s="209"/>
      <c r="N194" s="303" t="s">
        <v>1477</v>
      </c>
      <c r="O194" s="306" t="s">
        <v>1478</v>
      </c>
      <c r="P194" s="304" t="s">
        <v>1479</v>
      </c>
      <c r="Q194" s="307">
        <v>8.40472501182E11</v>
      </c>
      <c r="R194" s="209"/>
      <c r="S194" s="209"/>
      <c r="T194" s="209"/>
      <c r="U194" s="325"/>
      <c r="V194" s="300" t="b">
        <v>1</v>
      </c>
      <c r="W194" s="301" t="b">
        <v>0</v>
      </c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</row>
    <row r="195">
      <c r="A195" s="316" t="s">
        <v>1289</v>
      </c>
      <c r="B195" s="319" t="s">
        <v>270</v>
      </c>
      <c r="C195" s="320"/>
      <c r="D195" s="283" t="s">
        <v>269</v>
      </c>
      <c r="E195" s="275" t="s">
        <v>805</v>
      </c>
      <c r="F195" s="320"/>
      <c r="G195" s="320"/>
      <c r="H195" s="283" t="s">
        <v>572</v>
      </c>
      <c r="I195" s="283" t="s">
        <v>1480</v>
      </c>
      <c r="J195" s="278" t="str">
        <f>IF(COUNTIF(J196:J204, TRUE) = COUNTA(J196:J204), "Complete!", IF(COUNTIF(J196:J204, TRUE) &gt; 0, "Partial", "Not Started"))</f>
        <v>Complete!</v>
      </c>
      <c r="K195" s="279"/>
      <c r="L195" s="280">
        <v>9.0</v>
      </c>
      <c r="N195" s="310" t="s">
        <v>1481</v>
      </c>
      <c r="O195" s="317" t="s">
        <v>1482</v>
      </c>
      <c r="P195" s="311" t="s">
        <v>1483</v>
      </c>
      <c r="Q195" s="318">
        <v>8.40472501205E11</v>
      </c>
      <c r="R195" s="313"/>
      <c r="S195" s="313"/>
      <c r="T195" s="313"/>
      <c r="U195" s="331"/>
      <c r="V195" s="300" t="b">
        <v>1</v>
      </c>
      <c r="W195" s="314" t="b">
        <v>0</v>
      </c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</row>
    <row r="196">
      <c r="A196" s="291"/>
      <c r="B196" s="292" t="s">
        <v>1484</v>
      </c>
      <c r="C196" s="293" t="s">
        <v>662</v>
      </c>
      <c r="D196" s="293" t="s">
        <v>1485</v>
      </c>
      <c r="E196" s="294">
        <v>8.4047250323E11</v>
      </c>
      <c r="F196" s="293" t="s">
        <v>1432</v>
      </c>
      <c r="G196" s="295"/>
      <c r="H196" s="295"/>
      <c r="I196" s="313" t="s">
        <v>1433</v>
      </c>
      <c r="J196" s="296" t="b">
        <v>1</v>
      </c>
      <c r="K196" s="297" t="b">
        <v>1</v>
      </c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</row>
    <row r="197">
      <c r="A197" s="291"/>
      <c r="B197" s="303" t="s">
        <v>1486</v>
      </c>
      <c r="C197" s="304" t="s">
        <v>775</v>
      </c>
      <c r="D197" s="304" t="s">
        <v>1487</v>
      </c>
      <c r="E197" s="305">
        <v>8.40472503247E11</v>
      </c>
      <c r="F197" s="293" t="s">
        <v>1432</v>
      </c>
      <c r="G197" s="209"/>
      <c r="H197" s="209"/>
      <c r="I197" s="313" t="s">
        <v>1433</v>
      </c>
      <c r="J197" s="296" t="b">
        <v>1</v>
      </c>
      <c r="K197" s="301" t="b">
        <v>1</v>
      </c>
      <c r="L197" s="209"/>
      <c r="M197" s="327" t="s">
        <v>1488</v>
      </c>
      <c r="N197" s="319" t="s">
        <v>1489</v>
      </c>
      <c r="O197" s="320"/>
      <c r="P197" s="283" t="s">
        <v>1490</v>
      </c>
      <c r="Q197" s="336" t="s">
        <v>1424</v>
      </c>
      <c r="R197" s="320"/>
      <c r="S197" s="320"/>
      <c r="T197" s="283" t="s">
        <v>370</v>
      </c>
      <c r="U197" s="283" t="s">
        <v>1491</v>
      </c>
      <c r="V197" s="278" t="str">
        <f>IF(COUNTIF(V198:V209, TRUE) = COUNTA(V198:V209), "Complete!", IF(COUNTIF(V198:V209, TRUE) &gt; 0, "Partial", "Not Started"))</f>
        <v>Complete!</v>
      </c>
      <c r="W197" s="279"/>
      <c r="X197" s="280">
        <v>12.0</v>
      </c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</row>
    <row r="198">
      <c r="A198" s="291"/>
      <c r="B198" s="303" t="s">
        <v>1492</v>
      </c>
      <c r="C198" s="304" t="s">
        <v>697</v>
      </c>
      <c r="D198" s="304" t="s">
        <v>1493</v>
      </c>
      <c r="E198" s="305">
        <v>8.40472503223E11</v>
      </c>
      <c r="F198" s="293" t="s">
        <v>1432</v>
      </c>
      <c r="G198" s="209"/>
      <c r="H198" s="209"/>
      <c r="I198" s="313" t="s">
        <v>1433</v>
      </c>
      <c r="J198" s="296" t="b">
        <v>1</v>
      </c>
      <c r="K198" s="301" t="b">
        <v>1</v>
      </c>
      <c r="L198" s="209"/>
      <c r="N198" s="292" t="s">
        <v>1494</v>
      </c>
      <c r="O198" s="298" t="s">
        <v>1495</v>
      </c>
      <c r="P198" s="293" t="s">
        <v>1496</v>
      </c>
      <c r="Q198" s="295"/>
      <c r="R198" s="295"/>
      <c r="S198" s="295"/>
      <c r="T198" s="295"/>
      <c r="U198" s="328"/>
      <c r="V198" s="296" t="b">
        <v>1</v>
      </c>
      <c r="W198" s="297" t="b">
        <v>0</v>
      </c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</row>
    <row r="199">
      <c r="A199" s="291"/>
      <c r="B199" s="303" t="s">
        <v>1497</v>
      </c>
      <c r="C199" s="304" t="s">
        <v>671</v>
      </c>
      <c r="D199" s="304" t="s">
        <v>1498</v>
      </c>
      <c r="E199" s="305">
        <v>8.40472503216E11</v>
      </c>
      <c r="F199" s="209"/>
      <c r="G199" s="209"/>
      <c r="H199" s="209"/>
      <c r="I199" s="209"/>
      <c r="J199" s="296" t="b">
        <v>1</v>
      </c>
      <c r="K199" s="301" t="b">
        <v>0</v>
      </c>
      <c r="L199" s="209"/>
      <c r="N199" s="354" t="s">
        <v>1499</v>
      </c>
      <c r="O199" s="306" t="s">
        <v>1500</v>
      </c>
      <c r="P199" s="304" t="s">
        <v>1501</v>
      </c>
      <c r="Q199" s="209"/>
      <c r="R199" s="209"/>
      <c r="S199" s="209"/>
      <c r="T199" s="209"/>
      <c r="U199" s="325"/>
      <c r="V199" s="300" t="b">
        <v>1</v>
      </c>
      <c r="W199" s="301" t="b">
        <v>0</v>
      </c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</row>
    <row r="200">
      <c r="A200" s="291"/>
      <c r="B200" s="303" t="s">
        <v>1502</v>
      </c>
      <c r="C200" s="304" t="s">
        <v>705</v>
      </c>
      <c r="D200" s="304" t="s">
        <v>1503</v>
      </c>
      <c r="E200" s="305">
        <v>8.40472503209E11</v>
      </c>
      <c r="F200" s="304" t="s">
        <v>1432</v>
      </c>
      <c r="G200" s="209"/>
      <c r="H200" s="209"/>
      <c r="I200" s="313" t="s">
        <v>1433</v>
      </c>
      <c r="J200" s="296" t="b">
        <v>1</v>
      </c>
      <c r="K200" s="301" t="b">
        <v>1</v>
      </c>
      <c r="L200" s="209"/>
      <c r="N200" s="303" t="s">
        <v>1504</v>
      </c>
      <c r="O200" s="306" t="s">
        <v>1505</v>
      </c>
      <c r="P200" s="304" t="s">
        <v>1506</v>
      </c>
      <c r="Q200" s="307">
        <v>8.40472500987E11</v>
      </c>
      <c r="R200" s="209"/>
      <c r="S200" s="209"/>
      <c r="T200" s="209"/>
      <c r="U200" s="325"/>
      <c r="V200" s="300" t="b">
        <v>1</v>
      </c>
      <c r="W200" s="301" t="b">
        <v>0</v>
      </c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</row>
    <row r="201">
      <c r="A201" s="291"/>
      <c r="B201" s="303" t="s">
        <v>1507</v>
      </c>
      <c r="C201" s="304" t="s">
        <v>679</v>
      </c>
      <c r="D201" s="304" t="s">
        <v>1508</v>
      </c>
      <c r="E201" s="305">
        <v>8.40472503193E11</v>
      </c>
      <c r="F201" s="209"/>
      <c r="G201" s="209"/>
      <c r="H201" s="209"/>
      <c r="I201" s="209"/>
      <c r="J201" s="296" t="b">
        <v>1</v>
      </c>
      <c r="K201" s="301" t="b">
        <v>0</v>
      </c>
      <c r="L201" s="209"/>
      <c r="N201" s="303" t="s">
        <v>1509</v>
      </c>
      <c r="O201" s="306" t="s">
        <v>1510</v>
      </c>
      <c r="P201" s="304" t="s">
        <v>1511</v>
      </c>
      <c r="Q201" s="307">
        <v>8.40472501045E11</v>
      </c>
      <c r="R201" s="209"/>
      <c r="S201" s="209"/>
      <c r="T201" s="209"/>
      <c r="U201" s="325"/>
      <c r="V201" s="300" t="b">
        <v>1</v>
      </c>
      <c r="W201" s="301" t="b">
        <v>0</v>
      </c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</row>
    <row r="202">
      <c r="A202" s="291"/>
      <c r="B202" s="303" t="s">
        <v>1512</v>
      </c>
      <c r="C202" s="304" t="s">
        <v>1419</v>
      </c>
      <c r="D202" s="304" t="s">
        <v>1513</v>
      </c>
      <c r="E202" s="305">
        <v>8.40472503186E11</v>
      </c>
      <c r="F202" s="304" t="s">
        <v>1432</v>
      </c>
      <c r="G202" s="209"/>
      <c r="H202" s="209"/>
      <c r="I202" s="313" t="s">
        <v>1433</v>
      </c>
      <c r="J202" s="296" t="b">
        <v>1</v>
      </c>
      <c r="K202" s="301" t="b">
        <v>1</v>
      </c>
      <c r="L202" s="209"/>
      <c r="N202" s="303" t="s">
        <v>1514</v>
      </c>
      <c r="O202" s="306" t="s">
        <v>1515</v>
      </c>
      <c r="P202" s="304" t="s">
        <v>1516</v>
      </c>
      <c r="Q202" s="307">
        <v>8.40472501052E11</v>
      </c>
      <c r="R202" s="209"/>
      <c r="S202" s="209"/>
      <c r="T202" s="209"/>
      <c r="U202" s="325"/>
      <c r="V202" s="300" t="b">
        <v>1</v>
      </c>
      <c r="W202" s="301" t="b">
        <v>0</v>
      </c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</row>
    <row r="203">
      <c r="A203" s="291"/>
      <c r="B203" s="303" t="s">
        <v>1517</v>
      </c>
      <c r="C203" s="304" t="s">
        <v>1387</v>
      </c>
      <c r="D203" s="304" t="s">
        <v>1518</v>
      </c>
      <c r="E203" s="305">
        <v>8.40472503179E11</v>
      </c>
      <c r="F203" s="209"/>
      <c r="G203" s="209"/>
      <c r="H203" s="209"/>
      <c r="I203" s="209"/>
      <c r="J203" s="296" t="b">
        <v>1</v>
      </c>
      <c r="K203" s="301" t="b">
        <v>0</v>
      </c>
      <c r="L203" s="209"/>
      <c r="N203" s="303" t="s">
        <v>1519</v>
      </c>
      <c r="O203" s="306" t="s">
        <v>1520</v>
      </c>
      <c r="P203" s="304" t="s">
        <v>1521</v>
      </c>
      <c r="Q203" s="307">
        <v>8.40472501069E11</v>
      </c>
      <c r="R203" s="209"/>
      <c r="S203" s="209"/>
      <c r="T203" s="209"/>
      <c r="U203" s="325"/>
      <c r="V203" s="300" t="b">
        <v>1</v>
      </c>
      <c r="W203" s="301" t="b">
        <v>0</v>
      </c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</row>
    <row r="204">
      <c r="A204" s="309"/>
      <c r="B204" s="310" t="s">
        <v>1522</v>
      </c>
      <c r="C204" s="311" t="s">
        <v>421</v>
      </c>
      <c r="D204" s="311" t="s">
        <v>1523</v>
      </c>
      <c r="E204" s="312">
        <v>8.10115971962E11</v>
      </c>
      <c r="F204" s="313"/>
      <c r="G204" s="313"/>
      <c r="H204" s="313"/>
      <c r="I204" s="313"/>
      <c r="J204" s="296" t="b">
        <v>1</v>
      </c>
      <c r="K204" s="314" t="b">
        <v>0</v>
      </c>
      <c r="L204" s="209"/>
      <c r="N204" s="303" t="s">
        <v>1524</v>
      </c>
      <c r="O204" s="306" t="s">
        <v>1525</v>
      </c>
      <c r="P204" s="304" t="s">
        <v>1526</v>
      </c>
      <c r="Q204" s="307">
        <v>8.40472501076E11</v>
      </c>
      <c r="R204" s="209"/>
      <c r="S204" s="209"/>
      <c r="T204" s="209"/>
      <c r="U204" s="325"/>
      <c r="V204" s="300" t="b">
        <v>1</v>
      </c>
      <c r="W204" s="301" t="b">
        <v>0</v>
      </c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</row>
    <row r="205">
      <c r="A205" s="209"/>
      <c r="B205" s="209"/>
      <c r="C205" s="209"/>
      <c r="D205" s="209"/>
      <c r="E205" s="209"/>
      <c r="F205" s="209"/>
      <c r="G205" s="209"/>
      <c r="H205" s="209"/>
      <c r="I205" s="209"/>
      <c r="J205" s="315"/>
      <c r="K205" s="209"/>
      <c r="L205" s="209"/>
      <c r="N205" s="303" t="s">
        <v>1527</v>
      </c>
      <c r="O205" s="306" t="s">
        <v>1528</v>
      </c>
      <c r="P205" s="304" t="s">
        <v>1529</v>
      </c>
      <c r="Q205" s="307">
        <v>8.40472501083E11</v>
      </c>
      <c r="R205" s="209"/>
      <c r="S205" s="209"/>
      <c r="T205" s="209"/>
      <c r="U205" s="325"/>
      <c r="V205" s="300" t="b">
        <v>1</v>
      </c>
      <c r="W205" s="301" t="b">
        <v>0</v>
      </c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</row>
    <row r="206">
      <c r="A206" s="316" t="s">
        <v>1322</v>
      </c>
      <c r="B206" s="319" t="s">
        <v>301</v>
      </c>
      <c r="C206" s="320"/>
      <c r="D206" s="283" t="s">
        <v>300</v>
      </c>
      <c r="E206" s="322" t="s">
        <v>1530</v>
      </c>
      <c r="F206" s="320"/>
      <c r="G206" s="320"/>
      <c r="H206" s="285" t="s">
        <v>376</v>
      </c>
      <c r="I206" s="285" t="s">
        <v>1531</v>
      </c>
      <c r="J206" s="278" t="str">
        <f>IF(COUNTIF(J207:J216, TRUE) = COUNTA(J207:J216), "Complete!", IF(COUNTIF(J207:J216, TRUE) &gt; 0, "Partial", "Not Started"))</f>
        <v>Complete!</v>
      </c>
      <c r="K206" s="279"/>
      <c r="L206" s="280">
        <v>10.0</v>
      </c>
      <c r="N206" s="303" t="s">
        <v>1532</v>
      </c>
      <c r="O206" s="306" t="s">
        <v>1533</v>
      </c>
      <c r="P206" s="304" t="s">
        <v>1534</v>
      </c>
      <c r="Q206" s="307">
        <v>8.40472501212E11</v>
      </c>
      <c r="R206" s="209"/>
      <c r="S206" s="209"/>
      <c r="T206" s="209"/>
      <c r="U206" s="325"/>
      <c r="V206" s="300" t="b">
        <v>1</v>
      </c>
      <c r="W206" s="301" t="b">
        <v>0</v>
      </c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</row>
    <row r="207">
      <c r="A207" s="291"/>
      <c r="B207" s="292" t="s">
        <v>1535</v>
      </c>
      <c r="C207" s="293" t="s">
        <v>384</v>
      </c>
      <c r="D207" s="304" t="s">
        <v>1536</v>
      </c>
      <c r="E207" s="374" t="s">
        <v>1537</v>
      </c>
      <c r="F207" s="325"/>
      <c r="G207" s="325"/>
      <c r="H207" s="325"/>
      <c r="I207" s="325"/>
      <c r="J207" s="300" t="b">
        <v>1</v>
      </c>
      <c r="K207" s="301" t="b">
        <v>0</v>
      </c>
      <c r="L207" s="209"/>
      <c r="N207" s="303" t="s">
        <v>1538</v>
      </c>
      <c r="O207" s="306" t="s">
        <v>1539</v>
      </c>
      <c r="P207" s="304" t="s">
        <v>1540</v>
      </c>
      <c r="Q207" s="307">
        <v>8.40472501229E11</v>
      </c>
      <c r="R207" s="209"/>
      <c r="S207" s="209"/>
      <c r="T207" s="209"/>
      <c r="U207" s="325"/>
      <c r="V207" s="300" t="b">
        <v>1</v>
      </c>
      <c r="W207" s="301" t="b">
        <v>0</v>
      </c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</row>
    <row r="208">
      <c r="A208" s="291"/>
      <c r="B208" s="303" t="s">
        <v>1541</v>
      </c>
      <c r="C208" s="304" t="s">
        <v>404</v>
      </c>
      <c r="D208" s="304" t="s">
        <v>1542</v>
      </c>
      <c r="E208" s="375" t="s">
        <v>1543</v>
      </c>
      <c r="F208" s="325"/>
      <c r="G208" s="325"/>
      <c r="H208" s="325"/>
      <c r="I208" s="325"/>
      <c r="J208" s="300" t="b">
        <v>1</v>
      </c>
      <c r="K208" s="301" t="b">
        <v>0</v>
      </c>
      <c r="L208" s="209"/>
      <c r="N208" s="303" t="s">
        <v>1544</v>
      </c>
      <c r="O208" s="306" t="s">
        <v>1545</v>
      </c>
      <c r="P208" s="304" t="s">
        <v>1546</v>
      </c>
      <c r="Q208" s="307">
        <v>8.40472501236E11</v>
      </c>
      <c r="R208" s="304" t="s">
        <v>750</v>
      </c>
      <c r="S208" s="209"/>
      <c r="T208" s="209"/>
      <c r="U208" s="325"/>
      <c r="V208" s="300" t="b">
        <v>1</v>
      </c>
      <c r="W208" s="301" t="b">
        <v>0</v>
      </c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</row>
    <row r="209">
      <c r="A209" s="291"/>
      <c r="B209" s="303" t="s">
        <v>1547</v>
      </c>
      <c r="C209" s="304" t="s">
        <v>390</v>
      </c>
      <c r="D209" s="304" t="s">
        <v>1548</v>
      </c>
      <c r="E209" s="375" t="s">
        <v>1549</v>
      </c>
      <c r="F209" s="325"/>
      <c r="G209" s="325"/>
      <c r="H209" s="325"/>
      <c r="I209" s="325"/>
      <c r="J209" s="300" t="b">
        <v>1</v>
      </c>
      <c r="K209" s="301" t="b">
        <v>0</v>
      </c>
      <c r="L209" s="209"/>
      <c r="N209" s="310" t="s">
        <v>1550</v>
      </c>
      <c r="O209" s="317" t="s">
        <v>1551</v>
      </c>
      <c r="P209" s="311" t="s">
        <v>1552</v>
      </c>
      <c r="Q209" s="318">
        <v>8.40472501243E11</v>
      </c>
      <c r="R209" s="311" t="s">
        <v>750</v>
      </c>
      <c r="S209" s="313"/>
      <c r="T209" s="313"/>
      <c r="U209" s="331"/>
      <c r="V209" s="350" t="b">
        <v>1</v>
      </c>
      <c r="W209" s="314" t="b">
        <v>0</v>
      </c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</row>
    <row r="210">
      <c r="A210" s="291"/>
      <c r="B210" s="376" t="s">
        <v>1553</v>
      </c>
      <c r="C210" s="377" t="s">
        <v>662</v>
      </c>
      <c r="D210" s="304" t="s">
        <v>1554</v>
      </c>
      <c r="E210" s="305">
        <v>8.40472502691E11</v>
      </c>
      <c r="F210" s="325"/>
      <c r="G210" s="325"/>
      <c r="H210" s="325"/>
      <c r="I210" s="325"/>
      <c r="J210" s="300" t="b">
        <v>1</v>
      </c>
      <c r="K210" s="301" t="b">
        <v>0</v>
      </c>
      <c r="L210" s="209"/>
      <c r="M210" s="209"/>
      <c r="N210" s="209"/>
      <c r="O210" s="209"/>
      <c r="P210" s="209"/>
      <c r="Q210" s="209"/>
      <c r="R210" s="344"/>
      <c r="S210" s="344"/>
      <c r="T210" s="344"/>
      <c r="U210" s="325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</row>
    <row r="211">
      <c r="A211" s="291"/>
      <c r="B211" s="376" t="s">
        <v>1555</v>
      </c>
      <c r="C211" s="377" t="s">
        <v>400</v>
      </c>
      <c r="D211" s="304" t="s">
        <v>1556</v>
      </c>
      <c r="E211" s="375" t="s">
        <v>1557</v>
      </c>
      <c r="F211" s="325"/>
      <c r="G211" s="325"/>
      <c r="H211" s="325"/>
      <c r="I211" s="325"/>
      <c r="J211" s="300" t="b">
        <v>1</v>
      </c>
      <c r="K211" s="301" t="b">
        <v>0</v>
      </c>
      <c r="L211" s="209"/>
      <c r="M211" s="327" t="s">
        <v>1558</v>
      </c>
      <c r="N211" s="319" t="s">
        <v>1559</v>
      </c>
      <c r="O211" s="320"/>
      <c r="P211" s="283" t="s">
        <v>1560</v>
      </c>
      <c r="Q211" s="336" t="s">
        <v>1424</v>
      </c>
      <c r="R211" s="320"/>
      <c r="S211" s="320"/>
      <c r="T211" s="276" t="s">
        <v>563</v>
      </c>
      <c r="U211" s="372" t="s">
        <v>1561</v>
      </c>
      <c r="V211" s="278" t="str">
        <f>IF(COUNTIF(V212:V223, TRUE) = COUNTA(V212:V223), "Complete!", IF(COUNTIF(V212:V223, TRUE) &gt; 0, "Partial", "Not Started"))</f>
        <v>Complete!</v>
      </c>
      <c r="W211" s="279"/>
      <c r="X211" s="280">
        <v>12.0</v>
      </c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</row>
    <row r="212">
      <c r="A212" s="291"/>
      <c r="B212" s="303" t="s">
        <v>1562</v>
      </c>
      <c r="C212" s="304" t="s">
        <v>412</v>
      </c>
      <c r="D212" s="304" t="s">
        <v>1563</v>
      </c>
      <c r="E212" s="375" t="s">
        <v>1564</v>
      </c>
      <c r="F212" s="325"/>
      <c r="G212" s="325"/>
      <c r="H212" s="325"/>
      <c r="I212" s="325"/>
      <c r="J212" s="300" t="b">
        <v>1</v>
      </c>
      <c r="K212" s="301" t="b">
        <v>0</v>
      </c>
      <c r="L212" s="209"/>
      <c r="N212" s="292" t="s">
        <v>1565</v>
      </c>
      <c r="O212" s="298" t="s">
        <v>1566</v>
      </c>
      <c r="P212" s="293" t="s">
        <v>1567</v>
      </c>
      <c r="Q212" s="295"/>
      <c r="R212" s="295"/>
      <c r="S212" s="295"/>
      <c r="T212" s="295"/>
      <c r="U212" s="328"/>
      <c r="V212" s="296" t="b">
        <v>1</v>
      </c>
      <c r="W212" s="297" t="b">
        <v>0</v>
      </c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</row>
    <row r="213">
      <c r="A213" s="291"/>
      <c r="B213" s="303" t="s">
        <v>1568</v>
      </c>
      <c r="C213" s="304" t="s">
        <v>679</v>
      </c>
      <c r="D213" s="304" t="s">
        <v>1569</v>
      </c>
      <c r="E213" s="305">
        <v>8.40472502714E11</v>
      </c>
      <c r="F213" s="325"/>
      <c r="G213" s="325"/>
      <c r="H213" s="325"/>
      <c r="I213" s="325"/>
      <c r="J213" s="300" t="b">
        <v>1</v>
      </c>
      <c r="K213" s="301" t="b">
        <v>0</v>
      </c>
      <c r="L213" s="209"/>
      <c r="N213" s="354" t="s">
        <v>1570</v>
      </c>
      <c r="O213" s="306" t="s">
        <v>1571</v>
      </c>
      <c r="P213" s="304" t="s">
        <v>1572</v>
      </c>
      <c r="Q213" s="209"/>
      <c r="R213" s="209"/>
      <c r="S213" s="209"/>
      <c r="T213" s="209"/>
      <c r="U213" s="325"/>
      <c r="V213" s="296" t="b">
        <v>1</v>
      </c>
      <c r="W213" s="301" t="b">
        <v>0</v>
      </c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</row>
    <row r="214">
      <c r="A214" s="291"/>
      <c r="B214" s="303" t="s">
        <v>1573</v>
      </c>
      <c r="C214" s="304" t="s">
        <v>1574</v>
      </c>
      <c r="D214" s="304" t="s">
        <v>1575</v>
      </c>
      <c r="E214" s="375" t="s">
        <v>1576</v>
      </c>
      <c r="F214" s="325"/>
      <c r="G214" s="325"/>
      <c r="H214" s="325"/>
      <c r="I214" s="325"/>
      <c r="J214" s="300" t="b">
        <v>1</v>
      </c>
      <c r="K214" s="301" t="b">
        <v>0</v>
      </c>
      <c r="L214" s="209"/>
      <c r="N214" s="303" t="s">
        <v>1577</v>
      </c>
      <c r="O214" s="306" t="s">
        <v>1578</v>
      </c>
      <c r="P214" s="304" t="s">
        <v>1579</v>
      </c>
      <c r="Q214" s="209"/>
      <c r="R214" s="209"/>
      <c r="S214" s="209"/>
      <c r="T214" s="209"/>
      <c r="U214" s="325"/>
      <c r="V214" s="296" t="b">
        <v>1</v>
      </c>
      <c r="W214" s="301" t="b">
        <v>0</v>
      </c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</row>
    <row r="215">
      <c r="A215" s="291"/>
      <c r="B215" s="303" t="s">
        <v>1580</v>
      </c>
      <c r="C215" s="304" t="s">
        <v>612</v>
      </c>
      <c r="D215" s="304" t="s">
        <v>1581</v>
      </c>
      <c r="E215" s="375" t="s">
        <v>1582</v>
      </c>
      <c r="F215" s="325"/>
      <c r="G215" s="325"/>
      <c r="H215" s="325"/>
      <c r="I215" s="325"/>
      <c r="J215" s="300" t="b">
        <v>1</v>
      </c>
      <c r="K215" s="301" t="b">
        <v>0</v>
      </c>
      <c r="L215" s="209"/>
      <c r="N215" s="303" t="s">
        <v>1583</v>
      </c>
      <c r="O215" s="306" t="s">
        <v>1584</v>
      </c>
      <c r="P215" s="304" t="s">
        <v>1585</v>
      </c>
      <c r="Q215" s="209"/>
      <c r="R215" s="209"/>
      <c r="S215" s="209"/>
      <c r="T215" s="209"/>
      <c r="U215" s="325"/>
      <c r="V215" s="296" t="b">
        <v>1</v>
      </c>
      <c r="W215" s="301" t="b">
        <v>0</v>
      </c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</row>
    <row r="216">
      <c r="A216" s="309"/>
      <c r="B216" s="378" t="s">
        <v>1586</v>
      </c>
      <c r="C216" s="379" t="s">
        <v>449</v>
      </c>
      <c r="D216" s="311" t="s">
        <v>1587</v>
      </c>
      <c r="E216" s="380" t="s">
        <v>1588</v>
      </c>
      <c r="F216" s="331"/>
      <c r="G216" s="331"/>
      <c r="H216" s="331"/>
      <c r="I216" s="331"/>
      <c r="J216" s="300" t="b">
        <v>1</v>
      </c>
      <c r="K216" s="381" t="b">
        <v>0</v>
      </c>
      <c r="L216" s="209"/>
      <c r="N216" s="303" t="s">
        <v>1589</v>
      </c>
      <c r="O216" s="306" t="s">
        <v>1590</v>
      </c>
      <c r="P216" s="304" t="s">
        <v>1591</v>
      </c>
      <c r="Q216" s="209"/>
      <c r="R216" s="209"/>
      <c r="S216" s="209"/>
      <c r="T216" s="209"/>
      <c r="U216" s="325"/>
      <c r="V216" s="296" t="b">
        <v>1</v>
      </c>
      <c r="W216" s="301" t="b">
        <v>0</v>
      </c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</row>
    <row r="217">
      <c r="A217" s="209"/>
      <c r="B217" s="209"/>
      <c r="C217" s="209"/>
      <c r="D217" s="209"/>
      <c r="E217" s="209"/>
      <c r="F217" s="209"/>
      <c r="G217" s="209"/>
      <c r="H217" s="209"/>
      <c r="I217" s="209"/>
      <c r="J217" s="315"/>
      <c r="K217" s="209"/>
      <c r="L217" s="209"/>
      <c r="N217" s="303" t="s">
        <v>1592</v>
      </c>
      <c r="O217" s="306" t="s">
        <v>1593</v>
      </c>
      <c r="P217" s="304" t="s">
        <v>1594</v>
      </c>
      <c r="Q217" s="209"/>
      <c r="R217" s="209"/>
      <c r="S217" s="209"/>
      <c r="T217" s="209"/>
      <c r="U217" s="325"/>
      <c r="V217" s="296" t="b">
        <v>1</v>
      </c>
      <c r="W217" s="301" t="b">
        <v>0</v>
      </c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</row>
    <row r="218">
      <c r="A218" s="316" t="s">
        <v>1359</v>
      </c>
      <c r="B218" s="319" t="s">
        <v>258</v>
      </c>
      <c r="C218" s="320"/>
      <c r="D218" s="283" t="s">
        <v>257</v>
      </c>
      <c r="E218" s="322" t="s">
        <v>1595</v>
      </c>
      <c r="F218" s="320"/>
      <c r="G218" s="320"/>
      <c r="H218" s="285" t="s">
        <v>563</v>
      </c>
      <c r="I218" s="285" t="s">
        <v>1596</v>
      </c>
      <c r="J218" s="278" t="str">
        <f>IF(COUNTIF(J219:J229, TRUE) = COUNTA(J219:J229), "Complete!", IF(COUNTIF(J219:J229, TRUE) &gt; 0, "Partial", "Not Started"))</f>
        <v>Complete!</v>
      </c>
      <c r="K218" s="279"/>
      <c r="L218" s="280">
        <v>11.0</v>
      </c>
      <c r="N218" s="303" t="s">
        <v>1597</v>
      </c>
      <c r="O218" s="306" t="s">
        <v>1598</v>
      </c>
      <c r="P218" s="304" t="s">
        <v>1599</v>
      </c>
      <c r="Q218" s="307">
        <v>8.40472500963E11</v>
      </c>
      <c r="R218" s="209"/>
      <c r="S218" s="209"/>
      <c r="T218" s="209"/>
      <c r="U218" s="325"/>
      <c r="V218" s="296" t="b">
        <v>1</v>
      </c>
      <c r="W218" s="301" t="b">
        <v>0</v>
      </c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</row>
    <row r="219">
      <c r="A219" s="291"/>
      <c r="B219" s="382" t="s">
        <v>1600</v>
      </c>
      <c r="C219" s="342" t="s">
        <v>390</v>
      </c>
      <c r="D219" s="342" t="s">
        <v>1601</v>
      </c>
      <c r="E219" s="383">
        <v>8.40472502219E11</v>
      </c>
      <c r="F219" s="295"/>
      <c r="G219" s="295"/>
      <c r="H219" s="295"/>
      <c r="I219" s="295"/>
      <c r="J219" s="296" t="b">
        <v>1</v>
      </c>
      <c r="K219" s="297" t="b">
        <v>0</v>
      </c>
      <c r="L219" s="209"/>
      <c r="N219" s="303" t="s">
        <v>1602</v>
      </c>
      <c r="O219" s="306" t="s">
        <v>1603</v>
      </c>
      <c r="P219" s="304" t="s">
        <v>1604</v>
      </c>
      <c r="Q219" s="307">
        <v>8.40472501014E11</v>
      </c>
      <c r="R219" s="209"/>
      <c r="S219" s="209"/>
      <c r="T219" s="209"/>
      <c r="U219" s="325"/>
      <c r="V219" s="296" t="b">
        <v>1</v>
      </c>
      <c r="W219" s="301" t="b">
        <v>0</v>
      </c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</row>
    <row r="220">
      <c r="A220" s="291"/>
      <c r="B220" s="303" t="s">
        <v>1605</v>
      </c>
      <c r="C220" s="384" t="s">
        <v>400</v>
      </c>
      <c r="D220" s="384" t="s">
        <v>1606</v>
      </c>
      <c r="E220" s="385">
        <v>8.40472502226E11</v>
      </c>
      <c r="F220" s="209"/>
      <c r="G220" s="209"/>
      <c r="H220" s="209"/>
      <c r="I220" s="209"/>
      <c r="J220" s="296" t="b">
        <v>1</v>
      </c>
      <c r="K220" s="301" t="b">
        <v>0</v>
      </c>
      <c r="L220" s="209"/>
      <c r="N220" s="303" t="s">
        <v>1607</v>
      </c>
      <c r="O220" s="306" t="s">
        <v>1608</v>
      </c>
      <c r="P220" s="304" t="s">
        <v>1609</v>
      </c>
      <c r="Q220" s="307">
        <v>8.40472501151E11</v>
      </c>
      <c r="R220" s="209"/>
      <c r="S220" s="209"/>
      <c r="T220" s="209"/>
      <c r="U220" s="325"/>
      <c r="V220" s="296" t="b">
        <v>1</v>
      </c>
      <c r="W220" s="301" t="b">
        <v>0</v>
      </c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</row>
    <row r="221">
      <c r="A221" s="291"/>
      <c r="B221" s="303" t="s">
        <v>1610</v>
      </c>
      <c r="C221" s="304" t="s">
        <v>1611</v>
      </c>
      <c r="D221" s="304" t="s">
        <v>1612</v>
      </c>
      <c r="E221" s="305">
        <v>8.40472502233E11</v>
      </c>
      <c r="F221" s="209"/>
      <c r="G221" s="209"/>
      <c r="H221" s="209"/>
      <c r="I221" s="209"/>
      <c r="J221" s="296" t="b">
        <v>1</v>
      </c>
      <c r="K221" s="301" t="b">
        <v>0</v>
      </c>
      <c r="L221" s="209"/>
      <c r="N221" s="303" t="s">
        <v>1613</v>
      </c>
      <c r="O221" s="306" t="s">
        <v>1614</v>
      </c>
      <c r="P221" s="304" t="s">
        <v>1615</v>
      </c>
      <c r="Q221" s="307">
        <v>8.40472501168E11</v>
      </c>
      <c r="R221" s="209"/>
      <c r="S221" s="209"/>
      <c r="T221" s="209"/>
      <c r="U221" s="325"/>
      <c r="V221" s="296" t="b">
        <v>1</v>
      </c>
      <c r="W221" s="301" t="b">
        <v>0</v>
      </c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</row>
    <row r="222">
      <c r="A222" s="291"/>
      <c r="B222" s="303" t="s">
        <v>1616</v>
      </c>
      <c r="C222" s="304" t="s">
        <v>679</v>
      </c>
      <c r="D222" s="304" t="s">
        <v>1617</v>
      </c>
      <c r="E222" s="305">
        <v>8.4047250224E11</v>
      </c>
      <c r="F222" s="209"/>
      <c r="G222" s="209"/>
      <c r="H222" s="209"/>
      <c r="I222" s="209"/>
      <c r="J222" s="296" t="b">
        <v>1</v>
      </c>
      <c r="K222" s="301" t="b">
        <v>0</v>
      </c>
      <c r="L222" s="209"/>
      <c r="N222" s="303" t="s">
        <v>1618</v>
      </c>
      <c r="O222" s="306" t="s">
        <v>1619</v>
      </c>
      <c r="P222" s="304" t="s">
        <v>1620</v>
      </c>
      <c r="Q222" s="307">
        <v>8.40472501175E11</v>
      </c>
      <c r="R222" s="209"/>
      <c r="S222" s="209"/>
      <c r="T222" s="209"/>
      <c r="U222" s="325"/>
      <c r="V222" s="296" t="b">
        <v>1</v>
      </c>
      <c r="W222" s="301" t="b">
        <v>0</v>
      </c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</row>
    <row r="223">
      <c r="A223" s="291"/>
      <c r="B223" s="303" t="s">
        <v>1621</v>
      </c>
      <c r="C223" s="304" t="s">
        <v>431</v>
      </c>
      <c r="D223" s="304" t="s">
        <v>1622</v>
      </c>
      <c r="E223" s="305">
        <v>8.40472502257E11</v>
      </c>
      <c r="F223" s="209"/>
      <c r="G223" s="209"/>
      <c r="H223" s="209"/>
      <c r="I223" s="209"/>
      <c r="J223" s="296" t="b">
        <v>1</v>
      </c>
      <c r="K223" s="301" t="b">
        <v>0</v>
      </c>
      <c r="L223" s="209"/>
      <c r="N223" s="310" t="s">
        <v>1623</v>
      </c>
      <c r="O223" s="317" t="s">
        <v>1624</v>
      </c>
      <c r="P223" s="311" t="s">
        <v>1625</v>
      </c>
      <c r="Q223" s="318">
        <v>8.40472501199E11</v>
      </c>
      <c r="R223" s="313"/>
      <c r="S223" s="313"/>
      <c r="T223" s="313"/>
      <c r="U223" s="331"/>
      <c r="V223" s="296" t="b">
        <v>1</v>
      </c>
      <c r="W223" s="314" t="b">
        <v>0</v>
      </c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</row>
    <row r="224">
      <c r="A224" s="291"/>
      <c r="B224" s="303" t="s">
        <v>1626</v>
      </c>
      <c r="C224" s="304" t="s">
        <v>421</v>
      </c>
      <c r="D224" s="304" t="s">
        <v>1627</v>
      </c>
      <c r="E224" s="305">
        <v>8.40472502264E11</v>
      </c>
      <c r="F224" s="209"/>
      <c r="G224" s="209"/>
      <c r="H224" s="209"/>
      <c r="I224" s="209"/>
      <c r="J224" s="296" t="b">
        <v>1</v>
      </c>
      <c r="K224" s="301" t="b">
        <v>0</v>
      </c>
      <c r="L224" s="209"/>
      <c r="M224" s="209"/>
      <c r="N224" s="209"/>
      <c r="O224" s="209"/>
      <c r="P224" s="209"/>
      <c r="Q224" s="209"/>
      <c r="R224" s="344"/>
      <c r="S224" s="344"/>
      <c r="T224" s="344"/>
      <c r="U224" s="325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</row>
    <row r="225">
      <c r="A225" s="291"/>
      <c r="B225" s="303" t="s">
        <v>1628</v>
      </c>
      <c r="C225" s="304" t="s">
        <v>449</v>
      </c>
      <c r="D225" s="304" t="s">
        <v>1629</v>
      </c>
      <c r="E225" s="305">
        <v>8.40472502271E11</v>
      </c>
      <c r="F225" s="209"/>
      <c r="G225" s="209"/>
      <c r="H225" s="209"/>
      <c r="I225" s="209"/>
      <c r="J225" s="296" t="b">
        <v>1</v>
      </c>
      <c r="K225" s="301" t="b">
        <v>0</v>
      </c>
      <c r="L225" s="209"/>
      <c r="M225" s="327" t="s">
        <v>1630</v>
      </c>
      <c r="N225" s="319" t="s">
        <v>1631</v>
      </c>
      <c r="O225" s="320"/>
      <c r="P225" s="283" t="s">
        <v>1632</v>
      </c>
      <c r="Q225" s="336" t="s">
        <v>1424</v>
      </c>
      <c r="R225" s="320"/>
      <c r="S225" s="320"/>
      <c r="T225" s="276" t="s">
        <v>563</v>
      </c>
      <c r="U225" s="372" t="s">
        <v>1633</v>
      </c>
      <c r="V225" s="278" t="str">
        <f>IF(COUNTIF(V226:V236, TRUE) = COUNTA(V226:V236), "Complete!", IF(COUNTIF(V226:V236, TRUE) &gt; 0, "Partial", "Not Started"))</f>
        <v>Complete!</v>
      </c>
      <c r="W225" s="279"/>
      <c r="X225" s="280">
        <v>11.0</v>
      </c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</row>
    <row r="226">
      <c r="A226" s="291"/>
      <c r="B226" s="303" t="s">
        <v>1634</v>
      </c>
      <c r="C226" s="304" t="s">
        <v>440</v>
      </c>
      <c r="D226" s="304" t="s">
        <v>1635</v>
      </c>
      <c r="E226" s="305">
        <v>8.40472502288E11</v>
      </c>
      <c r="F226" s="209"/>
      <c r="G226" s="209"/>
      <c r="H226" s="209"/>
      <c r="I226" s="209"/>
      <c r="J226" s="296" t="b">
        <v>1</v>
      </c>
      <c r="K226" s="301" t="b">
        <v>0</v>
      </c>
      <c r="L226" s="209"/>
      <c r="N226" s="292" t="s">
        <v>1636</v>
      </c>
      <c r="O226" s="298" t="s">
        <v>1637</v>
      </c>
      <c r="P226" s="293" t="s">
        <v>1638</v>
      </c>
      <c r="Q226" s="295"/>
      <c r="R226" s="295"/>
      <c r="S226" s="295"/>
      <c r="T226" s="295"/>
      <c r="U226" s="328"/>
      <c r="V226" s="296" t="b">
        <v>1</v>
      </c>
      <c r="W226" s="297" t="b">
        <v>0</v>
      </c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</row>
    <row r="227">
      <c r="A227" s="291"/>
      <c r="B227" s="303" t="s">
        <v>1639</v>
      </c>
      <c r="C227" s="304" t="s">
        <v>505</v>
      </c>
      <c r="D227" s="304" t="s">
        <v>1640</v>
      </c>
      <c r="E227" s="305">
        <v>8.40472502295E11</v>
      </c>
      <c r="F227" s="209"/>
      <c r="G227" s="209"/>
      <c r="H227" s="209"/>
      <c r="I227" s="209"/>
      <c r="J227" s="296" t="b">
        <v>1</v>
      </c>
      <c r="K227" s="301" t="b">
        <v>0</v>
      </c>
      <c r="L227" s="209"/>
      <c r="N227" s="354" t="s">
        <v>1641</v>
      </c>
      <c r="O227" s="306" t="s">
        <v>1642</v>
      </c>
      <c r="P227" s="304" t="s">
        <v>1643</v>
      </c>
      <c r="Q227" s="209"/>
      <c r="R227" s="209"/>
      <c r="S227" s="209"/>
      <c r="T227" s="209"/>
      <c r="U227" s="325"/>
      <c r="V227" s="300" t="b">
        <v>1</v>
      </c>
      <c r="W227" s="301" t="b">
        <v>0</v>
      </c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</row>
    <row r="228">
      <c r="A228" s="291"/>
      <c r="B228" s="303" t="s">
        <v>1644</v>
      </c>
      <c r="C228" s="304" t="s">
        <v>529</v>
      </c>
      <c r="D228" s="304" t="s">
        <v>1645</v>
      </c>
      <c r="E228" s="305">
        <v>8.40472502301E11</v>
      </c>
      <c r="F228" s="209"/>
      <c r="G228" s="209"/>
      <c r="H228" s="209"/>
      <c r="I228" s="209"/>
      <c r="J228" s="296" t="b">
        <v>1</v>
      </c>
      <c r="K228" s="301" t="b">
        <v>0</v>
      </c>
      <c r="L228" s="209"/>
      <c r="N228" s="303" t="s">
        <v>1646</v>
      </c>
      <c r="O228" s="306" t="s">
        <v>1647</v>
      </c>
      <c r="P228" s="304" t="s">
        <v>1648</v>
      </c>
      <c r="Q228" s="209"/>
      <c r="R228" s="209"/>
      <c r="S228" s="209"/>
      <c r="T228" s="209"/>
      <c r="U228" s="325"/>
      <c r="V228" s="300" t="b">
        <v>1</v>
      </c>
      <c r="W228" s="301" t="b">
        <v>0</v>
      </c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</row>
    <row r="229">
      <c r="A229" s="309"/>
      <c r="B229" s="310" t="s">
        <v>1649</v>
      </c>
      <c r="C229" s="311" t="s">
        <v>539</v>
      </c>
      <c r="D229" s="311" t="s">
        <v>1650</v>
      </c>
      <c r="E229" s="312">
        <v>8.40472502318E11</v>
      </c>
      <c r="F229" s="313"/>
      <c r="G229" s="313"/>
      <c r="H229" s="313"/>
      <c r="I229" s="313"/>
      <c r="J229" s="296" t="b">
        <v>1</v>
      </c>
      <c r="K229" s="314" t="b">
        <v>0</v>
      </c>
      <c r="L229" s="209"/>
      <c r="N229" s="303" t="s">
        <v>1651</v>
      </c>
      <c r="O229" s="306" t="s">
        <v>1652</v>
      </c>
      <c r="P229" s="304" t="s">
        <v>1653</v>
      </c>
      <c r="Q229" s="209"/>
      <c r="R229" s="209"/>
      <c r="S229" s="209"/>
      <c r="T229" s="209"/>
      <c r="U229" s="325"/>
      <c r="V229" s="300" t="b">
        <v>1</v>
      </c>
      <c r="W229" s="301" t="b">
        <v>0</v>
      </c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</row>
    <row r="230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N230" s="303" t="s">
        <v>1654</v>
      </c>
      <c r="O230" s="306" t="s">
        <v>1655</v>
      </c>
      <c r="P230" s="304" t="s">
        <v>1656</v>
      </c>
      <c r="Q230" s="307">
        <v>8.40472500949E11</v>
      </c>
      <c r="R230" s="209"/>
      <c r="S230" s="209"/>
      <c r="T230" s="209"/>
      <c r="U230" s="325"/>
      <c r="V230" s="300" t="b">
        <v>1</v>
      </c>
      <c r="W230" s="301" t="b">
        <v>0</v>
      </c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</row>
    <row r="231">
      <c r="A231" s="316" t="s">
        <v>1421</v>
      </c>
      <c r="B231" s="319" t="s">
        <v>261</v>
      </c>
      <c r="C231" s="320"/>
      <c r="D231" s="283" t="s">
        <v>260</v>
      </c>
      <c r="E231" s="322" t="s">
        <v>1595</v>
      </c>
      <c r="F231" s="320"/>
      <c r="G231" s="320"/>
      <c r="H231" s="276" t="s">
        <v>900</v>
      </c>
      <c r="I231" s="285" t="s">
        <v>1037</v>
      </c>
      <c r="J231" s="278" t="str">
        <f>IF(COUNTIF(J232:J240, TRUE) = COUNTA(J232:J240), "Complete!", IF(COUNTIF(J232:J240, TRUE) &gt; 0, "Partial", "Not Started"))</f>
        <v>Complete!</v>
      </c>
      <c r="K231" s="279"/>
      <c r="L231" s="280">
        <v>9.0</v>
      </c>
      <c r="N231" s="303" t="s">
        <v>1657</v>
      </c>
      <c r="O231" s="306" t="s">
        <v>1658</v>
      </c>
      <c r="P231" s="304" t="s">
        <v>1659</v>
      </c>
      <c r="Q231" s="307">
        <v>8.40472500956E11</v>
      </c>
      <c r="R231" s="209"/>
      <c r="S231" s="209"/>
      <c r="T231" s="209"/>
      <c r="U231" s="325"/>
      <c r="V231" s="300" t="b">
        <v>1</v>
      </c>
      <c r="W231" s="301" t="b">
        <v>0</v>
      </c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</row>
    <row r="232">
      <c r="A232" s="291"/>
      <c r="B232" s="382" t="s">
        <v>1660</v>
      </c>
      <c r="C232" s="293" t="s">
        <v>390</v>
      </c>
      <c r="D232" s="293" t="s">
        <v>1661</v>
      </c>
      <c r="E232" s="294">
        <v>8.40472502325E11</v>
      </c>
      <c r="F232" s="295"/>
      <c r="G232" s="295"/>
      <c r="H232" s="295"/>
      <c r="I232" s="295"/>
      <c r="J232" s="296" t="b">
        <v>1</v>
      </c>
      <c r="K232" s="297" t="b">
        <v>0</v>
      </c>
      <c r="L232" s="209"/>
      <c r="N232" s="303" t="s">
        <v>1662</v>
      </c>
      <c r="O232" s="306" t="s">
        <v>1663</v>
      </c>
      <c r="P232" s="304" t="s">
        <v>1664</v>
      </c>
      <c r="Q232" s="307">
        <v>8.40472500994E11</v>
      </c>
      <c r="R232" s="209"/>
      <c r="S232" s="209"/>
      <c r="T232" s="209"/>
      <c r="U232" s="325"/>
      <c r="V232" s="300" t="b">
        <v>1</v>
      </c>
      <c r="W232" s="301" t="b">
        <v>0</v>
      </c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</row>
    <row r="233">
      <c r="A233" s="291"/>
      <c r="B233" s="303" t="s">
        <v>1665</v>
      </c>
      <c r="C233" s="304" t="s">
        <v>400</v>
      </c>
      <c r="D233" s="304" t="s">
        <v>1666</v>
      </c>
      <c r="E233" s="305">
        <v>8.40472502332E11</v>
      </c>
      <c r="F233" s="209"/>
      <c r="G233" s="209"/>
      <c r="H233" s="209"/>
      <c r="I233" s="209"/>
      <c r="J233" s="296" t="b">
        <v>1</v>
      </c>
      <c r="K233" s="301" t="b">
        <v>0</v>
      </c>
      <c r="L233" s="209"/>
      <c r="N233" s="303" t="s">
        <v>1667</v>
      </c>
      <c r="O233" s="306" t="s">
        <v>1668</v>
      </c>
      <c r="P233" s="304" t="s">
        <v>1669</v>
      </c>
      <c r="Q233" s="307">
        <v>8.4047250109E11</v>
      </c>
      <c r="R233" s="209"/>
      <c r="S233" s="209"/>
      <c r="T233" s="209"/>
      <c r="U233" s="325"/>
      <c r="V233" s="300" t="b">
        <v>1</v>
      </c>
      <c r="W233" s="301" t="b">
        <v>0</v>
      </c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</row>
    <row r="234">
      <c r="A234" s="291"/>
      <c r="B234" s="303" t="s">
        <v>1670</v>
      </c>
      <c r="C234" s="304" t="s">
        <v>412</v>
      </c>
      <c r="D234" s="304" t="s">
        <v>1671</v>
      </c>
      <c r="E234" s="305">
        <v>8.40472502349E11</v>
      </c>
      <c r="F234" s="209"/>
      <c r="G234" s="209"/>
      <c r="H234" s="209"/>
      <c r="I234" s="209"/>
      <c r="J234" s="296" t="b">
        <v>1</v>
      </c>
      <c r="K234" s="301" t="b">
        <v>0</v>
      </c>
      <c r="L234" s="209"/>
      <c r="N234" s="303" t="s">
        <v>1672</v>
      </c>
      <c r="O234" s="306" t="s">
        <v>1673</v>
      </c>
      <c r="P234" s="304" t="s">
        <v>1674</v>
      </c>
      <c r="Q234" s="307">
        <v>8.40472501106E11</v>
      </c>
      <c r="R234" s="209"/>
      <c r="S234" s="209"/>
      <c r="T234" s="209"/>
      <c r="U234" s="325"/>
      <c r="V234" s="300" t="b">
        <v>1</v>
      </c>
      <c r="W234" s="301" t="b">
        <v>0</v>
      </c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</row>
    <row r="235">
      <c r="A235" s="291"/>
      <c r="B235" s="303" t="s">
        <v>1675</v>
      </c>
      <c r="C235" s="304" t="s">
        <v>679</v>
      </c>
      <c r="D235" s="304" t="s">
        <v>1676</v>
      </c>
      <c r="E235" s="305">
        <v>8.40472502356E11</v>
      </c>
      <c r="F235" s="209"/>
      <c r="G235" s="209"/>
      <c r="H235" s="209"/>
      <c r="I235" s="209"/>
      <c r="J235" s="296" t="b">
        <v>1</v>
      </c>
      <c r="K235" s="301" t="b">
        <v>0</v>
      </c>
      <c r="L235" s="209"/>
      <c r="N235" s="303" t="s">
        <v>1677</v>
      </c>
      <c r="O235" s="306" t="s">
        <v>1678</v>
      </c>
      <c r="P235" s="304" t="s">
        <v>1679</v>
      </c>
      <c r="Q235" s="307">
        <v>8.40472501113E11</v>
      </c>
      <c r="R235" s="209"/>
      <c r="S235" s="209"/>
      <c r="T235" s="209"/>
      <c r="U235" s="325"/>
      <c r="V235" s="300" t="b">
        <v>1</v>
      </c>
      <c r="W235" s="301" t="b">
        <v>0</v>
      </c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</row>
    <row r="236">
      <c r="A236" s="291"/>
      <c r="B236" s="303" t="s">
        <v>1680</v>
      </c>
      <c r="C236" s="304" t="s">
        <v>431</v>
      </c>
      <c r="D236" s="304" t="s">
        <v>1681</v>
      </c>
      <c r="E236" s="305">
        <v>8.40472502363E11</v>
      </c>
      <c r="F236" s="304" t="s">
        <v>750</v>
      </c>
      <c r="G236" s="209"/>
      <c r="H236" s="209"/>
      <c r="I236" s="209"/>
      <c r="J236" s="296" t="b">
        <v>1</v>
      </c>
      <c r="K236" s="301" t="b">
        <v>0</v>
      </c>
      <c r="L236" s="209"/>
      <c r="N236" s="310" t="s">
        <v>1682</v>
      </c>
      <c r="O236" s="317" t="s">
        <v>1683</v>
      </c>
      <c r="P236" s="311" t="s">
        <v>1684</v>
      </c>
      <c r="Q236" s="318">
        <v>8.4047250112E11</v>
      </c>
      <c r="R236" s="313"/>
      <c r="S236" s="313"/>
      <c r="T236" s="313"/>
      <c r="U236" s="331"/>
      <c r="V236" s="350" t="b">
        <v>1</v>
      </c>
      <c r="W236" s="314" t="b">
        <v>0</v>
      </c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</row>
    <row r="237">
      <c r="A237" s="291"/>
      <c r="B237" s="303" t="s">
        <v>1685</v>
      </c>
      <c r="C237" s="304" t="s">
        <v>449</v>
      </c>
      <c r="D237" s="304" t="s">
        <v>1686</v>
      </c>
      <c r="E237" s="305">
        <v>8.40472502387E11</v>
      </c>
      <c r="F237" s="209"/>
      <c r="G237" s="209"/>
      <c r="H237" s="209"/>
      <c r="I237" s="209"/>
      <c r="J237" s="296" t="b">
        <v>1</v>
      </c>
      <c r="K237" s="301" t="b">
        <v>0</v>
      </c>
      <c r="L237" s="209"/>
      <c r="M237" s="209"/>
      <c r="N237" s="209"/>
      <c r="O237" s="209"/>
      <c r="P237" s="209"/>
      <c r="Q237" s="209"/>
      <c r="R237" s="344"/>
      <c r="S237" s="344"/>
      <c r="T237" s="344"/>
      <c r="U237" s="325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</row>
    <row r="238">
      <c r="A238" s="291"/>
      <c r="B238" s="303" t="s">
        <v>1687</v>
      </c>
      <c r="C238" s="304" t="s">
        <v>440</v>
      </c>
      <c r="D238" s="304" t="s">
        <v>1688</v>
      </c>
      <c r="E238" s="305">
        <v>8.40472502394E11</v>
      </c>
      <c r="F238" s="209"/>
      <c r="G238" s="209"/>
      <c r="H238" s="209"/>
      <c r="I238" s="209"/>
      <c r="J238" s="296" t="b">
        <v>1</v>
      </c>
      <c r="K238" s="301" t="b">
        <v>0</v>
      </c>
      <c r="L238" s="209"/>
      <c r="M238" s="327" t="s">
        <v>1689</v>
      </c>
      <c r="N238" s="386" t="s">
        <v>1690</v>
      </c>
      <c r="O238" s="273"/>
      <c r="P238" s="274" t="s">
        <v>1691</v>
      </c>
      <c r="Q238" s="387" t="s">
        <v>1424</v>
      </c>
      <c r="R238" s="320"/>
      <c r="S238" s="320"/>
      <c r="T238" s="276" t="s">
        <v>888</v>
      </c>
      <c r="U238" s="274" t="s">
        <v>1009</v>
      </c>
      <c r="V238" s="278" t="str">
        <f>IF(COUNTIF(V239:V244, TRUE) = COUNTA(V239:V244), "Complete!", IF(COUNTIF(V239:V244, TRUE) &gt; 0, "Partial", "Not Started"))</f>
        <v>Complete!</v>
      </c>
      <c r="W238" s="279"/>
      <c r="X238" s="280">
        <v>6.0</v>
      </c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</row>
    <row r="239">
      <c r="A239" s="291"/>
      <c r="B239" s="303" t="s">
        <v>1692</v>
      </c>
      <c r="C239" s="304" t="s">
        <v>505</v>
      </c>
      <c r="D239" s="304" t="s">
        <v>1693</v>
      </c>
      <c r="E239" s="305">
        <v>8.404725024E11</v>
      </c>
      <c r="F239" s="209"/>
      <c r="G239" s="209"/>
      <c r="H239" s="209"/>
      <c r="I239" s="209"/>
      <c r="J239" s="296" t="b">
        <v>1</v>
      </c>
      <c r="K239" s="301" t="b">
        <v>0</v>
      </c>
      <c r="L239" s="209"/>
      <c r="N239" s="292" t="s">
        <v>1694</v>
      </c>
      <c r="O239" s="293" t="s">
        <v>1695</v>
      </c>
      <c r="P239" s="293" t="s">
        <v>1696</v>
      </c>
      <c r="Q239" s="295"/>
      <c r="R239" s="293" t="s">
        <v>1062</v>
      </c>
      <c r="S239" s="295"/>
      <c r="T239" s="295"/>
      <c r="U239" s="295"/>
      <c r="V239" s="296" t="b">
        <v>1</v>
      </c>
      <c r="W239" s="297" t="b">
        <v>0</v>
      </c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</row>
    <row r="240">
      <c r="A240" s="309"/>
      <c r="B240" s="310" t="s">
        <v>1697</v>
      </c>
      <c r="C240" s="311" t="s">
        <v>529</v>
      </c>
      <c r="D240" s="311" t="s">
        <v>1698</v>
      </c>
      <c r="E240" s="312">
        <v>8.40472502417E11</v>
      </c>
      <c r="F240" s="313"/>
      <c r="G240" s="313"/>
      <c r="H240" s="313"/>
      <c r="I240" s="313"/>
      <c r="J240" s="296" t="b">
        <v>1</v>
      </c>
      <c r="K240" s="314" t="b">
        <v>0</v>
      </c>
      <c r="L240" s="209"/>
      <c r="N240" s="303" t="s">
        <v>1699</v>
      </c>
      <c r="O240" s="304" t="s">
        <v>1700</v>
      </c>
      <c r="P240" s="304" t="s">
        <v>1701</v>
      </c>
      <c r="Q240" s="209"/>
      <c r="R240" s="304" t="s">
        <v>1062</v>
      </c>
      <c r="S240" s="209"/>
      <c r="T240" s="209"/>
      <c r="U240" s="209"/>
      <c r="V240" s="300" t="b">
        <v>1</v>
      </c>
      <c r="W240" s="301" t="b">
        <v>0</v>
      </c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</row>
    <row r="24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N241" s="303" t="s">
        <v>1702</v>
      </c>
      <c r="O241" s="304" t="s">
        <v>1703</v>
      </c>
      <c r="P241" s="304" t="s">
        <v>1704</v>
      </c>
      <c r="Q241" s="209"/>
      <c r="R241" s="304" t="s">
        <v>1062</v>
      </c>
      <c r="S241" s="209"/>
      <c r="T241" s="209"/>
      <c r="U241" s="325"/>
      <c r="V241" s="300" t="b">
        <v>1</v>
      </c>
      <c r="W241" s="301" t="b">
        <v>0</v>
      </c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</row>
    <row r="242">
      <c r="A242" s="316" t="s">
        <v>1488</v>
      </c>
      <c r="B242" s="319" t="s">
        <v>221</v>
      </c>
      <c r="C242" s="320"/>
      <c r="D242" s="388" t="s">
        <v>220</v>
      </c>
      <c r="E242" s="322" t="s">
        <v>1705</v>
      </c>
      <c r="F242" s="273"/>
      <c r="G242" s="273"/>
      <c r="H242" s="276" t="s">
        <v>563</v>
      </c>
      <c r="I242" s="285" t="s">
        <v>1706</v>
      </c>
      <c r="J242" s="278" t="str">
        <f>IF(COUNTIF(J243:J249, TRUE) = COUNTA(J243:J249), "Complete!", IF(COUNTIF(J243:J249, TRUE) &gt; 0, "Partial", "Not Started"))</f>
        <v>Complete!</v>
      </c>
      <c r="K242" s="279"/>
      <c r="L242" s="280">
        <v>7.0</v>
      </c>
      <c r="N242" s="303" t="s">
        <v>1707</v>
      </c>
      <c r="O242" s="304" t="s">
        <v>1708</v>
      </c>
      <c r="P242" s="304" t="s">
        <v>1709</v>
      </c>
      <c r="Q242" s="209"/>
      <c r="R242" s="304" t="s">
        <v>1062</v>
      </c>
      <c r="S242" s="209"/>
      <c r="T242" s="209"/>
      <c r="U242" s="325"/>
      <c r="V242" s="300" t="b">
        <v>1</v>
      </c>
      <c r="W242" s="301" t="b">
        <v>0</v>
      </c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</row>
    <row r="243">
      <c r="A243" s="291"/>
      <c r="B243" s="292" t="s">
        <v>1710</v>
      </c>
      <c r="C243" s="293" t="s">
        <v>384</v>
      </c>
      <c r="D243" s="293" t="s">
        <v>1711</v>
      </c>
      <c r="E243" s="294">
        <v>8.4047250266E11</v>
      </c>
      <c r="F243" s="295"/>
      <c r="G243" s="295"/>
      <c r="H243" s="295"/>
      <c r="I243" s="295"/>
      <c r="J243" s="296" t="b">
        <v>1</v>
      </c>
      <c r="K243" s="297" t="b">
        <v>0</v>
      </c>
      <c r="L243" s="209"/>
      <c r="N243" s="303" t="s">
        <v>1712</v>
      </c>
      <c r="O243" s="304" t="s">
        <v>1713</v>
      </c>
      <c r="P243" s="304" t="s">
        <v>1714</v>
      </c>
      <c r="Q243" s="209"/>
      <c r="R243" s="304" t="s">
        <v>1062</v>
      </c>
      <c r="S243" s="209"/>
      <c r="T243" s="209"/>
      <c r="U243" s="325"/>
      <c r="V243" s="300" t="b">
        <v>1</v>
      </c>
      <c r="W243" s="301" t="b">
        <v>0</v>
      </c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</row>
    <row r="244">
      <c r="A244" s="291"/>
      <c r="B244" s="303" t="s">
        <v>1715</v>
      </c>
      <c r="C244" s="304" t="s">
        <v>404</v>
      </c>
      <c r="D244" s="304" t="s">
        <v>1716</v>
      </c>
      <c r="E244" s="305">
        <v>8.40472502677E11</v>
      </c>
      <c r="F244" s="209"/>
      <c r="G244" s="209"/>
      <c r="H244" s="209"/>
      <c r="I244" s="209"/>
      <c r="J244" s="296" t="b">
        <v>1</v>
      </c>
      <c r="K244" s="301" t="b">
        <v>0</v>
      </c>
      <c r="L244" s="209"/>
      <c r="N244" s="310" t="s">
        <v>1717</v>
      </c>
      <c r="O244" s="317" t="s">
        <v>1718</v>
      </c>
      <c r="P244" s="311" t="s">
        <v>1719</v>
      </c>
      <c r="Q244" s="364">
        <v>8.10115970682E11</v>
      </c>
      <c r="R244" s="313"/>
      <c r="S244" s="313"/>
      <c r="T244" s="313"/>
      <c r="U244" s="331"/>
      <c r="V244" s="350" t="b">
        <v>1</v>
      </c>
      <c r="W244" s="314" t="b">
        <v>0</v>
      </c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</row>
    <row r="245">
      <c r="A245" s="291"/>
      <c r="B245" s="303" t="s">
        <v>1720</v>
      </c>
      <c r="C245" s="304" t="s">
        <v>390</v>
      </c>
      <c r="D245" s="304" t="s">
        <v>1721</v>
      </c>
      <c r="E245" s="305">
        <v>8.40472502684E11</v>
      </c>
      <c r="F245" s="209"/>
      <c r="G245" s="209"/>
      <c r="H245" s="209"/>
      <c r="I245" s="209"/>
      <c r="J245" s="296" t="b">
        <v>1</v>
      </c>
      <c r="K245" s="301" t="b">
        <v>0</v>
      </c>
      <c r="L245" s="209"/>
      <c r="M245" s="209"/>
      <c r="N245" s="209"/>
      <c r="O245" s="209"/>
      <c r="P245" s="209"/>
      <c r="Q245" s="209"/>
      <c r="R245" s="344"/>
      <c r="S245" s="344"/>
      <c r="T245" s="344"/>
      <c r="U245" s="325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</row>
    <row r="246">
      <c r="A246" s="291"/>
      <c r="B246" s="303" t="s">
        <v>1722</v>
      </c>
      <c r="C246" s="304" t="s">
        <v>400</v>
      </c>
      <c r="D246" s="304" t="s">
        <v>1723</v>
      </c>
      <c r="E246" s="305">
        <v>8.40472502707E11</v>
      </c>
      <c r="F246" s="209"/>
      <c r="G246" s="209"/>
      <c r="H246" s="209"/>
      <c r="I246" s="209"/>
      <c r="J246" s="296" t="b">
        <v>1</v>
      </c>
      <c r="K246" s="301" t="b">
        <v>0</v>
      </c>
      <c r="L246" s="209"/>
      <c r="M246" s="327" t="s">
        <v>1724</v>
      </c>
      <c r="N246" s="386" t="s">
        <v>1725</v>
      </c>
      <c r="O246" s="273"/>
      <c r="P246" s="274" t="s">
        <v>1726</v>
      </c>
      <c r="Q246" s="387" t="s">
        <v>1424</v>
      </c>
      <c r="R246" s="320"/>
      <c r="S246" s="320"/>
      <c r="T246" s="276" t="s">
        <v>888</v>
      </c>
      <c r="U246" s="274" t="s">
        <v>1009</v>
      </c>
      <c r="V246" s="278" t="str">
        <f>IF(COUNTIF(V247:V251, TRUE) = COUNTA(V247:V251), "Complete!", IF(COUNTIF(V247:V251, TRUE) &gt; 0, "Partial", "Not Started"))</f>
        <v>Complete!</v>
      </c>
      <c r="W246" s="279"/>
      <c r="X246" s="280">
        <v>5.0</v>
      </c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</row>
    <row r="247">
      <c r="A247" s="291"/>
      <c r="B247" s="303" t="s">
        <v>1727</v>
      </c>
      <c r="C247" s="304" t="s">
        <v>1728</v>
      </c>
      <c r="D247" s="304" t="s">
        <v>1729</v>
      </c>
      <c r="E247" s="305">
        <v>8.40472502721E11</v>
      </c>
      <c r="F247" s="209"/>
      <c r="G247" s="209"/>
      <c r="H247" s="209"/>
      <c r="I247" s="209"/>
      <c r="J247" s="296" t="b">
        <v>1</v>
      </c>
      <c r="K247" s="301" t="b">
        <v>0</v>
      </c>
      <c r="L247" s="209"/>
      <c r="N247" s="292" t="s">
        <v>1730</v>
      </c>
      <c r="O247" s="293" t="s">
        <v>1695</v>
      </c>
      <c r="P247" s="293" t="s">
        <v>1731</v>
      </c>
      <c r="Q247" s="295"/>
      <c r="R247" s="293" t="s">
        <v>1062</v>
      </c>
      <c r="S247" s="295"/>
      <c r="T247" s="295"/>
      <c r="U247" s="295"/>
      <c r="V247" s="296" t="b">
        <v>1</v>
      </c>
      <c r="W247" s="297" t="b">
        <v>0</v>
      </c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</row>
    <row r="248">
      <c r="A248" s="291"/>
      <c r="B248" s="303" t="s">
        <v>1732</v>
      </c>
      <c r="C248" s="304" t="s">
        <v>662</v>
      </c>
      <c r="D248" s="304" t="s">
        <v>1554</v>
      </c>
      <c r="E248" s="305">
        <v>8.40472502691E11</v>
      </c>
      <c r="F248" s="209"/>
      <c r="G248" s="209"/>
      <c r="H248" s="209"/>
      <c r="I248" s="209"/>
      <c r="J248" s="296" t="b">
        <v>1</v>
      </c>
      <c r="K248" s="301" t="b">
        <v>0</v>
      </c>
      <c r="L248" s="209"/>
      <c r="N248" s="303" t="s">
        <v>1733</v>
      </c>
      <c r="O248" s="304" t="s">
        <v>1700</v>
      </c>
      <c r="P248" s="304" t="s">
        <v>1734</v>
      </c>
      <c r="Q248" s="209"/>
      <c r="R248" s="304" t="s">
        <v>1062</v>
      </c>
      <c r="S248" s="209"/>
      <c r="T248" s="209"/>
      <c r="U248" s="209"/>
      <c r="V248" s="300" t="b">
        <v>1</v>
      </c>
      <c r="W248" s="301" t="b">
        <v>0</v>
      </c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</row>
    <row r="249">
      <c r="A249" s="309"/>
      <c r="B249" s="310" t="s">
        <v>1735</v>
      </c>
      <c r="C249" s="311" t="s">
        <v>1736</v>
      </c>
      <c r="D249" s="311" t="s">
        <v>1569</v>
      </c>
      <c r="E249" s="312">
        <v>8.40472502714E11</v>
      </c>
      <c r="F249" s="313"/>
      <c r="G249" s="313"/>
      <c r="H249" s="313"/>
      <c r="I249" s="313"/>
      <c r="J249" s="296" t="b">
        <v>1</v>
      </c>
      <c r="K249" s="314" t="b">
        <v>0</v>
      </c>
      <c r="L249" s="209"/>
      <c r="N249" s="303" t="s">
        <v>1737</v>
      </c>
      <c r="O249" s="304" t="s">
        <v>1703</v>
      </c>
      <c r="P249" s="304" t="s">
        <v>1738</v>
      </c>
      <c r="Q249" s="209"/>
      <c r="R249" s="304" t="s">
        <v>1062</v>
      </c>
      <c r="S249" s="209"/>
      <c r="T249" s="209"/>
      <c r="U249" s="325"/>
      <c r="V249" s="300" t="b">
        <v>1</v>
      </c>
      <c r="W249" s="301" t="b">
        <v>0</v>
      </c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</row>
    <row r="250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N250" s="303" t="s">
        <v>1739</v>
      </c>
      <c r="O250" s="304" t="s">
        <v>1708</v>
      </c>
      <c r="P250" s="304" t="s">
        <v>1740</v>
      </c>
      <c r="Q250" s="209"/>
      <c r="R250" s="304" t="s">
        <v>1062</v>
      </c>
      <c r="S250" s="209"/>
      <c r="T250" s="209"/>
      <c r="U250" s="325"/>
      <c r="V250" s="300" t="b">
        <v>1</v>
      </c>
      <c r="W250" s="301" t="b">
        <v>0</v>
      </c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</row>
    <row r="251">
      <c r="A251" s="316" t="s">
        <v>1558</v>
      </c>
      <c r="B251" s="319" t="s">
        <v>225</v>
      </c>
      <c r="C251" s="320"/>
      <c r="D251" s="388" t="s">
        <v>224</v>
      </c>
      <c r="E251" s="322" t="s">
        <v>1705</v>
      </c>
      <c r="F251" s="273"/>
      <c r="G251" s="273"/>
      <c r="H251" s="276" t="s">
        <v>563</v>
      </c>
      <c r="I251" s="285" t="s">
        <v>1706</v>
      </c>
      <c r="J251" s="278" t="str">
        <f>IF(COUNTIF(J252:J258, TRUE) = COUNTA(J252:J258), "Complete!", IF(COUNTIF(J252:J258, TRUE) &gt; 0, "Partial", "Not Started"))</f>
        <v>Complete!</v>
      </c>
      <c r="K251" s="279"/>
      <c r="L251" s="280">
        <v>7.0</v>
      </c>
      <c r="N251" s="310" t="s">
        <v>1741</v>
      </c>
      <c r="O251" s="311" t="s">
        <v>1713</v>
      </c>
      <c r="P251" s="311" t="s">
        <v>1742</v>
      </c>
      <c r="Q251" s="313"/>
      <c r="R251" s="311" t="s">
        <v>1062</v>
      </c>
      <c r="S251" s="313"/>
      <c r="T251" s="313"/>
      <c r="U251" s="331"/>
      <c r="V251" s="350" t="b">
        <v>1</v>
      </c>
      <c r="W251" s="314" t="b">
        <v>0</v>
      </c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</row>
    <row r="252">
      <c r="A252" s="291"/>
      <c r="B252" s="292" t="s">
        <v>1743</v>
      </c>
      <c r="C252" s="293" t="s">
        <v>384</v>
      </c>
      <c r="D252" s="293" t="s">
        <v>1744</v>
      </c>
      <c r="E252" s="294">
        <v>8.40472502738E11</v>
      </c>
      <c r="F252" s="295"/>
      <c r="G252" s="295"/>
      <c r="H252" s="295"/>
      <c r="I252" s="295"/>
      <c r="J252" s="296" t="b">
        <v>1</v>
      </c>
      <c r="K252" s="297" t="b">
        <v>0</v>
      </c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</row>
    <row r="253">
      <c r="A253" s="291"/>
      <c r="B253" s="303" t="s">
        <v>1745</v>
      </c>
      <c r="C253" s="304" t="s">
        <v>404</v>
      </c>
      <c r="D253" s="304" t="s">
        <v>1746</v>
      </c>
      <c r="E253" s="305">
        <v>8.40472502745E11</v>
      </c>
      <c r="F253" s="209"/>
      <c r="G253" s="209"/>
      <c r="H253" s="209"/>
      <c r="I253" s="209"/>
      <c r="J253" s="296" t="b">
        <v>1</v>
      </c>
      <c r="K253" s="301" t="b">
        <v>0</v>
      </c>
      <c r="L253" s="209"/>
      <c r="M253" s="281" t="s">
        <v>1747</v>
      </c>
      <c r="N253" s="319" t="s">
        <v>1748</v>
      </c>
      <c r="O253" s="320"/>
      <c r="P253" s="283" t="s">
        <v>1749</v>
      </c>
      <c r="Q253" s="336" t="s">
        <v>116</v>
      </c>
      <c r="R253" s="320"/>
      <c r="S253" s="320"/>
      <c r="T253" s="276" t="s">
        <v>1750</v>
      </c>
      <c r="U253" s="372" t="s">
        <v>1751</v>
      </c>
      <c r="V253" s="278" t="str">
        <f>IF(COUNTIF(V254:V257, TRUE) = COUNTA(V254:V257), "Complete!", IF(COUNTIF(V254:V257, TRUE) &gt; 0, "Partial", "Not Started"))</f>
        <v>Complete!</v>
      </c>
      <c r="W253" s="279"/>
      <c r="X253" s="280">
        <v>4.0</v>
      </c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</row>
    <row r="254">
      <c r="A254" s="291"/>
      <c r="B254" s="303" t="s">
        <v>1752</v>
      </c>
      <c r="C254" s="304" t="s">
        <v>390</v>
      </c>
      <c r="D254" s="304" t="s">
        <v>1753</v>
      </c>
      <c r="E254" s="305">
        <v>8.40472502752E11</v>
      </c>
      <c r="F254" s="209"/>
      <c r="G254" s="209"/>
      <c r="H254" s="209"/>
      <c r="I254" s="209"/>
      <c r="J254" s="296" t="b">
        <v>1</v>
      </c>
      <c r="K254" s="301" t="b">
        <v>0</v>
      </c>
      <c r="L254" s="209"/>
      <c r="M254" s="291"/>
      <c r="N254" s="389" t="s">
        <v>1754</v>
      </c>
      <c r="O254" s="298" t="s">
        <v>588</v>
      </c>
      <c r="P254" s="293" t="s">
        <v>1755</v>
      </c>
      <c r="Q254" s="299">
        <v>8.40472500109E11</v>
      </c>
      <c r="R254" s="295"/>
      <c r="S254" s="295"/>
      <c r="T254" s="295"/>
      <c r="U254" s="328"/>
      <c r="V254" s="300" t="b">
        <v>1</v>
      </c>
      <c r="W254" s="301" t="b">
        <v>0</v>
      </c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</row>
    <row r="255">
      <c r="A255" s="291"/>
      <c r="B255" s="303" t="s">
        <v>1756</v>
      </c>
      <c r="C255" s="304" t="s">
        <v>400</v>
      </c>
      <c r="D255" s="304" t="s">
        <v>1757</v>
      </c>
      <c r="E255" s="305">
        <v>8.40472502776E11</v>
      </c>
      <c r="F255" s="209"/>
      <c r="G255" s="209"/>
      <c r="H255" s="209"/>
      <c r="I255" s="209"/>
      <c r="J255" s="296" t="b">
        <v>1</v>
      </c>
      <c r="K255" s="301" t="b">
        <v>0</v>
      </c>
      <c r="L255" s="209"/>
      <c r="M255" s="291"/>
      <c r="N255" s="303" t="s">
        <v>1758</v>
      </c>
      <c r="O255" s="306" t="s">
        <v>588</v>
      </c>
      <c r="P255" s="304" t="s">
        <v>1759</v>
      </c>
      <c r="Q255" s="307">
        <v>8.40472500116E11</v>
      </c>
      <c r="R255" s="209"/>
      <c r="S255" s="209"/>
      <c r="T255" s="209"/>
      <c r="U255" s="325"/>
      <c r="V255" s="300" t="b">
        <v>1</v>
      </c>
      <c r="W255" s="301" t="b">
        <v>0</v>
      </c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</row>
    <row r="256">
      <c r="A256" s="291"/>
      <c r="B256" s="303" t="s">
        <v>1760</v>
      </c>
      <c r="C256" s="304" t="s">
        <v>1728</v>
      </c>
      <c r="D256" s="304" t="s">
        <v>1761</v>
      </c>
      <c r="E256" s="305">
        <v>8.4047250279E11</v>
      </c>
      <c r="F256" s="209"/>
      <c r="G256" s="209"/>
      <c r="H256" s="209"/>
      <c r="I256" s="209"/>
      <c r="J256" s="296" t="b">
        <v>1</v>
      </c>
      <c r="K256" s="301" t="b">
        <v>0</v>
      </c>
      <c r="L256" s="209"/>
      <c r="M256" s="291"/>
      <c r="N256" s="354" t="s">
        <v>1762</v>
      </c>
      <c r="O256" s="306" t="s">
        <v>588</v>
      </c>
      <c r="P256" s="304" t="s">
        <v>1763</v>
      </c>
      <c r="Q256" s="209"/>
      <c r="R256" s="209"/>
      <c r="S256" s="209"/>
      <c r="T256" s="209"/>
      <c r="U256" s="325"/>
      <c r="V256" s="300" t="b">
        <v>1</v>
      </c>
      <c r="W256" s="301" t="b">
        <v>0</v>
      </c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</row>
    <row r="257">
      <c r="A257" s="291"/>
      <c r="B257" s="303" t="s">
        <v>1764</v>
      </c>
      <c r="C257" s="304" t="s">
        <v>662</v>
      </c>
      <c r="D257" s="304" t="s">
        <v>1765</v>
      </c>
      <c r="E257" s="305">
        <v>8.40472502769E11</v>
      </c>
      <c r="F257" s="209"/>
      <c r="G257" s="209"/>
      <c r="H257" s="209"/>
      <c r="I257" s="209"/>
      <c r="J257" s="296" t="b">
        <v>1</v>
      </c>
      <c r="K257" s="301" t="b">
        <v>0</v>
      </c>
      <c r="L257" s="209"/>
      <c r="M257" s="309"/>
      <c r="N257" s="310" t="s">
        <v>1766</v>
      </c>
      <c r="O257" s="317" t="s">
        <v>588</v>
      </c>
      <c r="P257" s="311" t="s">
        <v>1767</v>
      </c>
      <c r="Q257" s="318">
        <v>8.40472500123E11</v>
      </c>
      <c r="R257" s="313"/>
      <c r="S257" s="313"/>
      <c r="T257" s="313"/>
      <c r="U257" s="331"/>
      <c r="V257" s="350" t="b">
        <v>1</v>
      </c>
      <c r="W257" s="314" t="b">
        <v>0</v>
      </c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</row>
    <row r="258">
      <c r="A258" s="309"/>
      <c r="B258" s="310" t="s">
        <v>1768</v>
      </c>
      <c r="C258" s="311" t="s">
        <v>1736</v>
      </c>
      <c r="D258" s="311" t="s">
        <v>1769</v>
      </c>
      <c r="E258" s="312">
        <v>8.40472502783E11</v>
      </c>
      <c r="F258" s="313"/>
      <c r="G258" s="313"/>
      <c r="H258" s="313"/>
      <c r="I258" s="313"/>
      <c r="J258" s="296" t="b">
        <v>1</v>
      </c>
      <c r="K258" s="314" t="b">
        <v>0</v>
      </c>
      <c r="L258" s="209"/>
      <c r="M258" s="209"/>
      <c r="N258" s="209"/>
      <c r="O258" s="209"/>
      <c r="P258" s="209"/>
      <c r="Q258" s="209"/>
      <c r="R258" s="344"/>
      <c r="S258" s="344"/>
      <c r="T258" s="344"/>
      <c r="U258" s="325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</row>
    <row r="259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81" t="s">
        <v>1770</v>
      </c>
      <c r="N259" s="319" t="s">
        <v>1771</v>
      </c>
      <c r="O259" s="320"/>
      <c r="P259" s="283" t="s">
        <v>1772</v>
      </c>
      <c r="Q259" s="336" t="s">
        <v>116</v>
      </c>
      <c r="R259" s="320"/>
      <c r="S259" s="320"/>
      <c r="T259" s="276" t="s">
        <v>468</v>
      </c>
      <c r="U259" s="372" t="s">
        <v>657</v>
      </c>
      <c r="V259" s="278" t="str">
        <f>IF(COUNTIF(V260:V263, TRUE) = COUNTA(V260:V263), "Complete!", IF(COUNTIF(V260:V263, TRUE) &gt; 0, "Partial", "Not Started"))</f>
        <v>Complete!</v>
      </c>
      <c r="W259" s="279"/>
      <c r="X259" s="280">
        <v>4.0</v>
      </c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</row>
    <row r="260">
      <c r="A260" s="316" t="s">
        <v>1630</v>
      </c>
      <c r="B260" s="319" t="s">
        <v>252</v>
      </c>
      <c r="C260" s="320"/>
      <c r="D260" s="388" t="s">
        <v>251</v>
      </c>
      <c r="E260" s="322" t="s">
        <v>1773</v>
      </c>
      <c r="F260" s="273"/>
      <c r="G260" s="273"/>
      <c r="H260" s="276" t="s">
        <v>563</v>
      </c>
      <c r="I260" s="285" t="s">
        <v>1774</v>
      </c>
      <c r="J260" s="278" t="str">
        <f>IF(COUNTIF(J261:J276, TRUE) = COUNTA(J261:J276), "Complete!", IF(COUNTIF(J261:J276, TRUE) &gt; 0, "Partial", "Not Started"))</f>
        <v>Complete!</v>
      </c>
      <c r="K260" s="279"/>
      <c r="L260" s="280">
        <v>16.0</v>
      </c>
      <c r="M260" s="291"/>
      <c r="N260" s="389" t="s">
        <v>1775</v>
      </c>
      <c r="O260" s="298" t="s">
        <v>394</v>
      </c>
      <c r="P260" s="293" t="s">
        <v>1776</v>
      </c>
      <c r="Q260" s="299">
        <v>8.40472500147E11</v>
      </c>
      <c r="R260" s="295"/>
      <c r="S260" s="295"/>
      <c r="T260" s="295"/>
      <c r="U260" s="328"/>
      <c r="V260" s="300" t="b">
        <v>1</v>
      </c>
      <c r="W260" s="301" t="b">
        <v>0</v>
      </c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</row>
    <row r="261">
      <c r="A261" s="291"/>
      <c r="B261" s="292" t="s">
        <v>1777</v>
      </c>
      <c r="C261" s="293" t="s">
        <v>404</v>
      </c>
      <c r="D261" s="293" t="s">
        <v>1778</v>
      </c>
      <c r="E261" s="294">
        <v>8.40472502806E11</v>
      </c>
      <c r="F261" s="295"/>
      <c r="G261" s="295"/>
      <c r="H261" s="295"/>
      <c r="I261" s="295"/>
      <c r="J261" s="296" t="b">
        <v>1</v>
      </c>
      <c r="K261" s="297" t="b">
        <v>0</v>
      </c>
      <c r="L261" s="209"/>
      <c r="M261" s="291"/>
      <c r="N261" s="303" t="s">
        <v>1779</v>
      </c>
      <c r="O261" s="306" t="s">
        <v>394</v>
      </c>
      <c r="P261" s="304" t="s">
        <v>1780</v>
      </c>
      <c r="Q261" s="307">
        <v>8.40472500154E11</v>
      </c>
      <c r="R261" s="209"/>
      <c r="S261" s="209"/>
      <c r="T261" s="209"/>
      <c r="U261" s="325"/>
      <c r="V261" s="300" t="b">
        <v>1</v>
      </c>
      <c r="W261" s="301" t="b">
        <v>0</v>
      </c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</row>
    <row r="262">
      <c r="A262" s="291"/>
      <c r="B262" s="303" t="s">
        <v>1781</v>
      </c>
      <c r="C262" s="304" t="s">
        <v>662</v>
      </c>
      <c r="D262" s="304" t="s">
        <v>1782</v>
      </c>
      <c r="E262" s="305">
        <v>8.40472502813E11</v>
      </c>
      <c r="F262" s="209"/>
      <c r="G262" s="209"/>
      <c r="H262" s="209"/>
      <c r="I262" s="209"/>
      <c r="J262" s="296" t="b">
        <v>1</v>
      </c>
      <c r="K262" s="301" t="b">
        <v>0</v>
      </c>
      <c r="L262" s="209"/>
      <c r="M262" s="291"/>
      <c r="N262" s="354" t="s">
        <v>1783</v>
      </c>
      <c r="O262" s="306" t="s">
        <v>394</v>
      </c>
      <c r="P262" s="304" t="s">
        <v>1784</v>
      </c>
      <c r="Q262" s="209"/>
      <c r="R262" s="209"/>
      <c r="S262" s="209"/>
      <c r="T262" s="209"/>
      <c r="U262" s="325"/>
      <c r="V262" s="300" t="b">
        <v>1</v>
      </c>
      <c r="W262" s="301" t="b">
        <v>0</v>
      </c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</row>
    <row r="263">
      <c r="A263" s="291"/>
      <c r="B263" s="303" t="s">
        <v>1785</v>
      </c>
      <c r="C263" s="304" t="s">
        <v>400</v>
      </c>
      <c r="D263" s="304" t="s">
        <v>1786</v>
      </c>
      <c r="E263" s="305">
        <v>8.4047250282E11</v>
      </c>
      <c r="F263" s="209"/>
      <c r="G263" s="209"/>
      <c r="H263" s="209"/>
      <c r="I263" s="209"/>
      <c r="J263" s="296" t="b">
        <v>1</v>
      </c>
      <c r="K263" s="301" t="b">
        <v>0</v>
      </c>
      <c r="L263" s="209"/>
      <c r="M263" s="309"/>
      <c r="N263" s="310" t="s">
        <v>1787</v>
      </c>
      <c r="O263" s="317" t="s">
        <v>394</v>
      </c>
      <c r="P263" s="311" t="s">
        <v>1788</v>
      </c>
      <c r="Q263" s="318">
        <v>8.40472500161E11</v>
      </c>
      <c r="R263" s="311" t="s">
        <v>750</v>
      </c>
      <c r="S263" s="313"/>
      <c r="T263" s="313"/>
      <c r="U263" s="331"/>
      <c r="V263" s="350" t="b">
        <v>1</v>
      </c>
      <c r="W263" s="314" t="b">
        <v>0</v>
      </c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</row>
    <row r="264">
      <c r="A264" s="291"/>
      <c r="B264" s="303" t="s">
        <v>1789</v>
      </c>
      <c r="C264" s="304" t="s">
        <v>671</v>
      </c>
      <c r="D264" s="304" t="s">
        <v>1790</v>
      </c>
      <c r="E264" s="305">
        <v>8.40472502837E11</v>
      </c>
      <c r="F264" s="209"/>
      <c r="G264" s="209"/>
      <c r="H264" s="209"/>
      <c r="I264" s="209"/>
      <c r="J264" s="296" t="b">
        <v>1</v>
      </c>
      <c r="K264" s="301" t="b">
        <v>0</v>
      </c>
      <c r="L264" s="209"/>
      <c r="M264" s="209"/>
      <c r="N264" s="209"/>
      <c r="O264" s="209"/>
      <c r="P264" s="209"/>
      <c r="Q264" s="209"/>
      <c r="R264" s="344"/>
      <c r="S264" s="344"/>
      <c r="T264" s="344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</row>
    <row r="265">
      <c r="A265" s="291"/>
      <c r="B265" s="303" t="s">
        <v>1791</v>
      </c>
      <c r="C265" s="304" t="s">
        <v>705</v>
      </c>
      <c r="D265" s="304" t="s">
        <v>1792</v>
      </c>
      <c r="E265" s="305">
        <v>8.40472502844E11</v>
      </c>
      <c r="F265" s="209"/>
      <c r="G265" s="209"/>
      <c r="H265" s="209"/>
      <c r="I265" s="209"/>
      <c r="J265" s="296" t="b">
        <v>1</v>
      </c>
      <c r="K265" s="301" t="b">
        <v>0</v>
      </c>
      <c r="L265" s="209"/>
      <c r="M265" s="281" t="s">
        <v>1793</v>
      </c>
      <c r="N265" s="319" t="s">
        <v>1794</v>
      </c>
      <c r="O265" s="320"/>
      <c r="P265" s="283" t="s">
        <v>1795</v>
      </c>
      <c r="Q265" s="336" t="s">
        <v>116</v>
      </c>
      <c r="R265" s="320"/>
      <c r="S265" s="320"/>
      <c r="T265" s="276" t="s">
        <v>1796</v>
      </c>
      <c r="U265" s="372" t="s">
        <v>1797</v>
      </c>
      <c r="V265" s="278" t="str">
        <f>IF(COUNTIF(V266:V269, TRUE) = COUNTA(V266:V269), "Complete!", IF(COUNTIF(V266:V269, TRUE) &gt; 0, "Partial", "Not Started"))</f>
        <v>Complete!</v>
      </c>
      <c r="W265" s="279"/>
      <c r="X265" s="280">
        <v>4.0</v>
      </c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</row>
    <row r="266">
      <c r="A266" s="291"/>
      <c r="B266" s="303" t="s">
        <v>1798</v>
      </c>
      <c r="C266" s="304" t="s">
        <v>679</v>
      </c>
      <c r="D266" s="304" t="s">
        <v>1799</v>
      </c>
      <c r="E266" s="305">
        <v>8.40472502851E11</v>
      </c>
      <c r="F266" s="209"/>
      <c r="G266" s="209"/>
      <c r="H266" s="209"/>
      <c r="I266" s="209"/>
      <c r="J266" s="296" t="b">
        <v>1</v>
      </c>
      <c r="K266" s="301" t="b">
        <v>0</v>
      </c>
      <c r="L266" s="209"/>
      <c r="M266" s="291"/>
      <c r="N266" s="389" t="s">
        <v>1800</v>
      </c>
      <c r="O266" s="298" t="s">
        <v>662</v>
      </c>
      <c r="P266" s="293" t="s">
        <v>1801</v>
      </c>
      <c r="Q266" s="299">
        <v>8.40472500185E11</v>
      </c>
      <c r="R266" s="295"/>
      <c r="S266" s="295"/>
      <c r="T266" s="295"/>
      <c r="U266" s="328"/>
      <c r="V266" s="300" t="b">
        <v>1</v>
      </c>
      <c r="W266" s="301" t="b">
        <v>0</v>
      </c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</row>
    <row r="267">
      <c r="A267" s="291"/>
      <c r="B267" s="303" t="s">
        <v>1802</v>
      </c>
      <c r="C267" s="304" t="s">
        <v>431</v>
      </c>
      <c r="D267" s="304" t="s">
        <v>1803</v>
      </c>
      <c r="E267" s="305">
        <v>8.40472502868E11</v>
      </c>
      <c r="F267" s="209"/>
      <c r="G267" s="209"/>
      <c r="H267" s="209"/>
      <c r="I267" s="209"/>
      <c r="J267" s="296" t="b">
        <v>1</v>
      </c>
      <c r="K267" s="301" t="b">
        <v>0</v>
      </c>
      <c r="L267" s="209"/>
      <c r="M267" s="291"/>
      <c r="N267" s="303" t="s">
        <v>1804</v>
      </c>
      <c r="O267" s="306" t="s">
        <v>662</v>
      </c>
      <c r="P267" s="304" t="s">
        <v>1805</v>
      </c>
      <c r="Q267" s="307">
        <v>8.40472500192E11</v>
      </c>
      <c r="R267" s="209"/>
      <c r="S267" s="209"/>
      <c r="T267" s="209"/>
      <c r="U267" s="325"/>
      <c r="V267" s="300" t="b">
        <v>1</v>
      </c>
      <c r="W267" s="301" t="b">
        <v>0</v>
      </c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</row>
    <row r="268">
      <c r="A268" s="291"/>
      <c r="B268" s="303" t="s">
        <v>1806</v>
      </c>
      <c r="C268" s="304" t="s">
        <v>449</v>
      </c>
      <c r="D268" s="304" t="s">
        <v>1807</v>
      </c>
      <c r="E268" s="305">
        <v>8.40472502875E11</v>
      </c>
      <c r="F268" s="209"/>
      <c r="G268" s="209"/>
      <c r="H268" s="209"/>
      <c r="I268" s="209"/>
      <c r="J268" s="296" t="b">
        <v>1</v>
      </c>
      <c r="K268" s="301" t="b">
        <v>0</v>
      </c>
      <c r="L268" s="209"/>
      <c r="M268" s="291"/>
      <c r="N268" s="354" t="s">
        <v>1808</v>
      </c>
      <c r="O268" s="306" t="s">
        <v>662</v>
      </c>
      <c r="P268" s="304" t="s">
        <v>1809</v>
      </c>
      <c r="Q268" s="209"/>
      <c r="R268" s="209"/>
      <c r="S268" s="209"/>
      <c r="T268" s="209"/>
      <c r="U268" s="325"/>
      <c r="V268" s="300" t="b">
        <v>1</v>
      </c>
      <c r="W268" s="301" t="b">
        <v>0</v>
      </c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</row>
    <row r="269">
      <c r="A269" s="291"/>
      <c r="B269" s="303" t="s">
        <v>1810</v>
      </c>
      <c r="C269" s="304" t="s">
        <v>404</v>
      </c>
      <c r="D269" s="304" t="s">
        <v>1811</v>
      </c>
      <c r="E269" s="305">
        <v>8.40472502882E11</v>
      </c>
      <c r="F269" s="209"/>
      <c r="G269" s="209"/>
      <c r="H269" s="209"/>
      <c r="I269" s="209"/>
      <c r="J269" s="296" t="b">
        <v>1</v>
      </c>
      <c r="K269" s="301" t="b">
        <v>0</v>
      </c>
      <c r="L269" s="209"/>
      <c r="M269" s="309"/>
      <c r="N269" s="310" t="s">
        <v>1812</v>
      </c>
      <c r="O269" s="317" t="s">
        <v>662</v>
      </c>
      <c r="P269" s="311" t="s">
        <v>1813</v>
      </c>
      <c r="Q269" s="318">
        <v>8.40472500208E11</v>
      </c>
      <c r="R269" s="313"/>
      <c r="S269" s="313"/>
      <c r="T269" s="313"/>
      <c r="U269" s="331"/>
      <c r="V269" s="350" t="b">
        <v>1</v>
      </c>
      <c r="W269" s="314" t="b">
        <v>0</v>
      </c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</row>
    <row r="270">
      <c r="A270" s="291"/>
      <c r="B270" s="303" t="s">
        <v>1814</v>
      </c>
      <c r="C270" s="304" t="s">
        <v>662</v>
      </c>
      <c r="D270" s="304" t="s">
        <v>1815</v>
      </c>
      <c r="E270" s="305">
        <v>8.40472502899E11</v>
      </c>
      <c r="F270" s="209"/>
      <c r="G270" s="209"/>
      <c r="H270" s="209"/>
      <c r="I270" s="209"/>
      <c r="J270" s="296" t="b">
        <v>1</v>
      </c>
      <c r="K270" s="301" t="b">
        <v>0</v>
      </c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</row>
    <row r="271">
      <c r="A271" s="291"/>
      <c r="B271" s="303" t="s">
        <v>1816</v>
      </c>
      <c r="C271" s="304" t="s">
        <v>400</v>
      </c>
      <c r="D271" s="304" t="s">
        <v>1817</v>
      </c>
      <c r="E271" s="305">
        <v>8.40472502905E11</v>
      </c>
      <c r="F271" s="209"/>
      <c r="G271" s="209"/>
      <c r="H271" s="209"/>
      <c r="I271" s="209"/>
      <c r="J271" s="296" t="b">
        <v>1</v>
      </c>
      <c r="K271" s="301" t="b">
        <v>0</v>
      </c>
      <c r="L271" s="209"/>
      <c r="M271" s="281" t="s">
        <v>1818</v>
      </c>
      <c r="N271" s="319" t="s">
        <v>1819</v>
      </c>
      <c r="O271" s="320"/>
      <c r="P271" s="283" t="s">
        <v>1820</v>
      </c>
      <c r="Q271" s="336" t="s">
        <v>116</v>
      </c>
      <c r="R271" s="320"/>
      <c r="S271" s="320"/>
      <c r="T271" s="283" t="s">
        <v>370</v>
      </c>
      <c r="U271" s="283" t="s">
        <v>1821</v>
      </c>
      <c r="V271" s="278" t="str">
        <f>IF(COUNTIF(V272:V275, TRUE) = COUNTA(V272:V275), "Complete!", IF(COUNTIF(V272:V275, TRUE) &gt; 0, "Partial", "Not Started"))</f>
        <v>Complete!</v>
      </c>
      <c r="W271" s="279"/>
      <c r="X271" s="280">
        <v>4.0</v>
      </c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</row>
    <row r="272">
      <c r="A272" s="291"/>
      <c r="B272" s="303" t="s">
        <v>1822</v>
      </c>
      <c r="C272" s="304" t="s">
        <v>671</v>
      </c>
      <c r="D272" s="304" t="s">
        <v>1823</v>
      </c>
      <c r="E272" s="305">
        <v>8.40472502912E11</v>
      </c>
      <c r="F272" s="209"/>
      <c r="G272" s="209"/>
      <c r="H272" s="209"/>
      <c r="I272" s="209"/>
      <c r="J272" s="296" t="b">
        <v>1</v>
      </c>
      <c r="K272" s="301" t="b">
        <v>0</v>
      </c>
      <c r="L272" s="209"/>
      <c r="M272" s="291"/>
      <c r="N272" s="389" t="s">
        <v>1824</v>
      </c>
      <c r="O272" s="298" t="s">
        <v>1825</v>
      </c>
      <c r="P272" s="293" t="s">
        <v>1826</v>
      </c>
      <c r="Q272" s="299">
        <v>8.40472500222E11</v>
      </c>
      <c r="R272" s="295"/>
      <c r="S272" s="295"/>
      <c r="T272" s="295"/>
      <c r="U272" s="328"/>
      <c r="V272" s="300" t="b">
        <v>1</v>
      </c>
      <c r="W272" s="301" t="b">
        <v>0</v>
      </c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</row>
    <row r="273">
      <c r="A273" s="291"/>
      <c r="B273" s="303" t="s">
        <v>1827</v>
      </c>
      <c r="C273" s="304" t="s">
        <v>705</v>
      </c>
      <c r="D273" s="304" t="s">
        <v>1828</v>
      </c>
      <c r="E273" s="305">
        <v>8.40472502929E11</v>
      </c>
      <c r="F273" s="209"/>
      <c r="G273" s="209"/>
      <c r="H273" s="209"/>
      <c r="I273" s="209"/>
      <c r="J273" s="296" t="b">
        <v>1</v>
      </c>
      <c r="K273" s="301" t="b">
        <v>0</v>
      </c>
      <c r="L273" s="209"/>
      <c r="M273" s="291"/>
      <c r="N273" s="303" t="s">
        <v>1829</v>
      </c>
      <c r="O273" s="306" t="s">
        <v>1825</v>
      </c>
      <c r="P273" s="304" t="s">
        <v>1830</v>
      </c>
      <c r="Q273" s="307">
        <v>8.40472500239E11</v>
      </c>
      <c r="R273" s="209"/>
      <c r="S273" s="209"/>
      <c r="T273" s="209"/>
      <c r="U273" s="325"/>
      <c r="V273" s="300" t="b">
        <v>1</v>
      </c>
      <c r="W273" s="301" t="b">
        <v>0</v>
      </c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</row>
    <row r="274">
      <c r="A274" s="291"/>
      <c r="B274" s="303" t="s">
        <v>1831</v>
      </c>
      <c r="C274" s="304" t="s">
        <v>679</v>
      </c>
      <c r="D274" s="304" t="s">
        <v>1832</v>
      </c>
      <c r="E274" s="305">
        <v>8.40472502936E11</v>
      </c>
      <c r="F274" s="209"/>
      <c r="G274" s="209"/>
      <c r="H274" s="209"/>
      <c r="I274" s="209"/>
      <c r="J274" s="296" t="b">
        <v>1</v>
      </c>
      <c r="K274" s="301" t="b">
        <v>0</v>
      </c>
      <c r="L274" s="209"/>
      <c r="M274" s="291"/>
      <c r="N274" s="354" t="s">
        <v>1833</v>
      </c>
      <c r="O274" s="306" t="s">
        <v>1825</v>
      </c>
      <c r="P274" s="304" t="s">
        <v>1834</v>
      </c>
      <c r="Q274" s="209"/>
      <c r="R274" s="209"/>
      <c r="S274" s="209"/>
      <c r="T274" s="209"/>
      <c r="U274" s="325"/>
      <c r="V274" s="300" t="b">
        <v>1</v>
      </c>
      <c r="W274" s="301" t="b">
        <v>0</v>
      </c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</row>
    <row r="275">
      <c r="A275" s="291"/>
      <c r="B275" s="303" t="s">
        <v>1835</v>
      </c>
      <c r="C275" s="304" t="s">
        <v>431</v>
      </c>
      <c r="D275" s="304" t="s">
        <v>1836</v>
      </c>
      <c r="E275" s="305">
        <v>8.40472502943E11</v>
      </c>
      <c r="F275" s="209"/>
      <c r="G275" s="209"/>
      <c r="H275" s="209"/>
      <c r="I275" s="209"/>
      <c r="J275" s="296" t="b">
        <v>1</v>
      </c>
      <c r="K275" s="301" t="b">
        <v>0</v>
      </c>
      <c r="L275" s="209"/>
      <c r="M275" s="309"/>
      <c r="N275" s="310" t="s">
        <v>1837</v>
      </c>
      <c r="O275" s="317" t="s">
        <v>1825</v>
      </c>
      <c r="P275" s="311" t="s">
        <v>1838</v>
      </c>
      <c r="Q275" s="318">
        <v>8.40472500246E11</v>
      </c>
      <c r="R275" s="313"/>
      <c r="S275" s="313"/>
      <c r="T275" s="313"/>
      <c r="U275" s="331"/>
      <c r="V275" s="350" t="b">
        <v>1</v>
      </c>
      <c r="W275" s="314" t="b">
        <v>0</v>
      </c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</row>
    <row r="276">
      <c r="A276" s="309"/>
      <c r="B276" s="310" t="s">
        <v>1839</v>
      </c>
      <c r="C276" s="311" t="s">
        <v>449</v>
      </c>
      <c r="D276" s="311" t="s">
        <v>1840</v>
      </c>
      <c r="E276" s="312">
        <v>8.4047250295E11</v>
      </c>
      <c r="F276" s="313"/>
      <c r="G276" s="313"/>
      <c r="H276" s="313"/>
      <c r="I276" s="313"/>
      <c r="J276" s="296" t="b">
        <v>1</v>
      </c>
      <c r="K276" s="314" t="b">
        <v>0</v>
      </c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</row>
    <row r="277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81" t="s">
        <v>1841</v>
      </c>
      <c r="N277" s="319" t="s">
        <v>1842</v>
      </c>
      <c r="O277" s="320"/>
      <c r="P277" s="283" t="s">
        <v>1843</v>
      </c>
      <c r="Q277" s="336" t="s">
        <v>116</v>
      </c>
      <c r="R277" s="320"/>
      <c r="S277" s="320"/>
      <c r="T277" s="283" t="s">
        <v>1844</v>
      </c>
      <c r="U277" s="283" t="s">
        <v>1845</v>
      </c>
      <c r="V277" s="278" t="str">
        <f>IF(COUNTIF(V278:V281, TRUE) = COUNTA(V278:V281), "Complete!", IF(COUNTIF(V278:V281, TRUE) &gt; 0, "Partial", "Not Started"))</f>
        <v>Complete!</v>
      </c>
      <c r="W277" s="279"/>
      <c r="X277" s="280">
        <v>4.0</v>
      </c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</row>
    <row r="278">
      <c r="A278" s="316" t="s">
        <v>1689</v>
      </c>
      <c r="B278" s="319" t="s">
        <v>255</v>
      </c>
      <c r="C278" s="320"/>
      <c r="D278" s="283" t="s">
        <v>254</v>
      </c>
      <c r="E278" s="322" t="s">
        <v>1846</v>
      </c>
      <c r="F278" s="320"/>
      <c r="G278" s="320"/>
      <c r="H278" s="285" t="s">
        <v>1847</v>
      </c>
      <c r="I278" s="285" t="s">
        <v>1848</v>
      </c>
      <c r="J278" s="278" t="str">
        <f>IF(COUNTIF(J279:J292, TRUE) = COUNTA(J279:J292), "Complete!", IF(COUNTIF(J279:J292, TRUE) &gt; 0, "Partial", "Not Started"))</f>
        <v>Complete!</v>
      </c>
      <c r="K278" s="279"/>
      <c r="L278" s="209"/>
      <c r="M278" s="291"/>
      <c r="N278" s="389" t="s">
        <v>1849</v>
      </c>
      <c r="O278" s="298" t="s">
        <v>685</v>
      </c>
      <c r="P278" s="293" t="s">
        <v>1850</v>
      </c>
      <c r="Q278" s="295"/>
      <c r="R278" s="295"/>
      <c r="S278" s="295"/>
      <c r="T278" s="295"/>
      <c r="U278" s="328"/>
      <c r="V278" s="300" t="b">
        <v>1</v>
      </c>
      <c r="W278" s="301" t="b">
        <v>0</v>
      </c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</row>
    <row r="279">
      <c r="A279" s="291"/>
      <c r="B279" s="292" t="s">
        <v>1851</v>
      </c>
      <c r="C279" s="293" t="s">
        <v>404</v>
      </c>
      <c r="D279" s="293" t="s">
        <v>1852</v>
      </c>
      <c r="E279" s="294">
        <v>8.40472503254E11</v>
      </c>
      <c r="F279" s="293" t="s">
        <v>1432</v>
      </c>
      <c r="G279" s="295"/>
      <c r="H279" s="295"/>
      <c r="I279" s="293" t="s">
        <v>1853</v>
      </c>
      <c r="J279" s="296" t="b">
        <v>1</v>
      </c>
      <c r="K279" s="297" t="b">
        <v>1</v>
      </c>
      <c r="L279" s="209"/>
      <c r="M279" s="291"/>
      <c r="N279" s="303" t="s">
        <v>1854</v>
      </c>
      <c r="O279" s="306" t="s">
        <v>685</v>
      </c>
      <c r="P279" s="304" t="s">
        <v>1855</v>
      </c>
      <c r="Q279" s="209"/>
      <c r="R279" s="209"/>
      <c r="S279" s="209"/>
      <c r="T279" s="209"/>
      <c r="U279" s="325"/>
      <c r="V279" s="300" t="b">
        <v>1</v>
      </c>
      <c r="W279" s="301" t="b">
        <v>0</v>
      </c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</row>
    <row r="280">
      <c r="A280" s="291"/>
      <c r="B280" s="303" t="s">
        <v>1856</v>
      </c>
      <c r="C280" s="304" t="s">
        <v>404</v>
      </c>
      <c r="D280" s="304" t="s">
        <v>1857</v>
      </c>
      <c r="E280" s="305">
        <v>8.40472503261E11</v>
      </c>
      <c r="F280" s="304" t="s">
        <v>1432</v>
      </c>
      <c r="G280" s="209"/>
      <c r="H280" s="209"/>
      <c r="I280" s="304" t="s">
        <v>1853</v>
      </c>
      <c r="J280" s="296" t="b">
        <v>1</v>
      </c>
      <c r="K280" s="301" t="b">
        <v>1</v>
      </c>
      <c r="L280" s="209"/>
      <c r="M280" s="291"/>
      <c r="N280" s="354" t="s">
        <v>1858</v>
      </c>
      <c r="O280" s="306" t="s">
        <v>685</v>
      </c>
      <c r="P280" s="304" t="s">
        <v>1859</v>
      </c>
      <c r="Q280" s="209"/>
      <c r="R280" s="209"/>
      <c r="S280" s="209"/>
      <c r="T280" s="209"/>
      <c r="U280" s="325"/>
      <c r="V280" s="300" t="b">
        <v>1</v>
      </c>
      <c r="W280" s="301" t="b">
        <v>0</v>
      </c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</row>
    <row r="281">
      <c r="A281" s="291"/>
      <c r="B281" s="303" t="s">
        <v>1860</v>
      </c>
      <c r="C281" s="304" t="s">
        <v>390</v>
      </c>
      <c r="D281" s="304" t="s">
        <v>1861</v>
      </c>
      <c r="E281" s="305">
        <v>8.40472503278E11</v>
      </c>
      <c r="F281" s="304" t="s">
        <v>1432</v>
      </c>
      <c r="G281" s="209"/>
      <c r="H281" s="209"/>
      <c r="I281" s="304" t="s">
        <v>1853</v>
      </c>
      <c r="J281" s="296" t="b">
        <v>1</v>
      </c>
      <c r="K281" s="301" t="b">
        <v>1</v>
      </c>
      <c r="L281" s="209"/>
      <c r="M281" s="309"/>
      <c r="N281" s="310" t="s">
        <v>1862</v>
      </c>
      <c r="O281" s="317" t="s">
        <v>685</v>
      </c>
      <c r="P281" s="311" t="s">
        <v>1863</v>
      </c>
      <c r="Q281" s="313"/>
      <c r="R281" s="313"/>
      <c r="S281" s="313"/>
      <c r="T281" s="313"/>
      <c r="U281" s="331"/>
      <c r="V281" s="350" t="b">
        <v>1</v>
      </c>
      <c r="W281" s="314" t="b">
        <v>0</v>
      </c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</row>
    <row r="282">
      <c r="A282" s="291"/>
      <c r="B282" s="303" t="s">
        <v>1864</v>
      </c>
      <c r="C282" s="304" t="s">
        <v>390</v>
      </c>
      <c r="D282" s="304" t="s">
        <v>1865</v>
      </c>
      <c r="E282" s="305">
        <v>8.40472503285E11</v>
      </c>
      <c r="F282" s="304" t="s">
        <v>1432</v>
      </c>
      <c r="G282" s="209"/>
      <c r="H282" s="209"/>
      <c r="I282" s="304" t="s">
        <v>1866</v>
      </c>
      <c r="J282" s="296" t="b">
        <v>1</v>
      </c>
      <c r="K282" s="301" t="b">
        <v>1</v>
      </c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</row>
    <row r="283">
      <c r="A283" s="291"/>
      <c r="B283" s="303" t="s">
        <v>1867</v>
      </c>
      <c r="C283" s="304" t="s">
        <v>400</v>
      </c>
      <c r="D283" s="304" t="s">
        <v>1868</v>
      </c>
      <c r="E283" s="305">
        <v>8.40472503292E11</v>
      </c>
      <c r="F283" s="304" t="s">
        <v>1432</v>
      </c>
      <c r="G283" s="209"/>
      <c r="H283" s="209"/>
      <c r="I283" s="304" t="s">
        <v>1866</v>
      </c>
      <c r="J283" s="296" t="b">
        <v>1</v>
      </c>
      <c r="K283" s="301" t="b">
        <v>1</v>
      </c>
      <c r="L283" s="209"/>
      <c r="M283" s="281" t="s">
        <v>1869</v>
      </c>
      <c r="N283" s="319" t="s">
        <v>1870</v>
      </c>
      <c r="O283" s="320"/>
      <c r="P283" s="283" t="s">
        <v>1871</v>
      </c>
      <c r="Q283" s="336" t="s">
        <v>116</v>
      </c>
      <c r="R283" s="320"/>
      <c r="S283" s="320"/>
      <c r="T283" s="283" t="s">
        <v>370</v>
      </c>
      <c r="U283" s="283" t="s">
        <v>1872</v>
      </c>
      <c r="V283" s="278" t="str">
        <f>IF(COUNTIF(V284:V287, TRUE) = COUNTA(V284:V287), "Complete!", IF(COUNTIF(V284:V287, TRUE) &gt; 0, "Partial", "Not Started"))</f>
        <v>Complete!</v>
      </c>
      <c r="W283" s="279"/>
      <c r="X283" s="280">
        <v>4.0</v>
      </c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</row>
    <row r="284">
      <c r="A284" s="291"/>
      <c r="B284" s="303" t="s">
        <v>1873</v>
      </c>
      <c r="C284" s="304" t="s">
        <v>400</v>
      </c>
      <c r="D284" s="304" t="s">
        <v>1874</v>
      </c>
      <c r="E284" s="305">
        <v>8.40472503308E11</v>
      </c>
      <c r="F284" s="304" t="s">
        <v>1432</v>
      </c>
      <c r="G284" s="209"/>
      <c r="H284" s="209"/>
      <c r="I284" s="304" t="s">
        <v>1866</v>
      </c>
      <c r="J284" s="296" t="b">
        <v>1</v>
      </c>
      <c r="K284" s="301" t="b">
        <v>1</v>
      </c>
      <c r="L284" s="209"/>
      <c r="M284" s="291"/>
      <c r="N284" s="389" t="s">
        <v>1875</v>
      </c>
      <c r="O284" s="298" t="s">
        <v>1876</v>
      </c>
      <c r="P284" s="293" t="s">
        <v>1877</v>
      </c>
      <c r="Q284" s="299">
        <v>8.40472500628E11</v>
      </c>
      <c r="R284" s="295"/>
      <c r="S284" s="295"/>
      <c r="T284" s="295"/>
      <c r="U284" s="328"/>
      <c r="V284" s="300" t="b">
        <v>1</v>
      </c>
      <c r="W284" s="301" t="b">
        <v>0</v>
      </c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</row>
    <row r="285">
      <c r="A285" s="291"/>
      <c r="B285" s="303" t="s">
        <v>1878</v>
      </c>
      <c r="C285" s="304" t="s">
        <v>671</v>
      </c>
      <c r="D285" s="304" t="s">
        <v>1879</v>
      </c>
      <c r="E285" s="305">
        <v>8.40472503315E11</v>
      </c>
      <c r="F285" s="304" t="s">
        <v>1432</v>
      </c>
      <c r="G285" s="209"/>
      <c r="H285" s="209"/>
      <c r="I285" s="304" t="s">
        <v>1866</v>
      </c>
      <c r="J285" s="296" t="b">
        <v>1</v>
      </c>
      <c r="K285" s="301" t="b">
        <v>1</v>
      </c>
      <c r="L285" s="209"/>
      <c r="M285" s="291"/>
      <c r="N285" s="303" t="s">
        <v>1880</v>
      </c>
      <c r="O285" s="306" t="s">
        <v>1876</v>
      </c>
      <c r="P285" s="304" t="s">
        <v>1881</v>
      </c>
      <c r="Q285" s="307">
        <v>8.40472500635E11</v>
      </c>
      <c r="R285" s="209"/>
      <c r="S285" s="209"/>
      <c r="T285" s="209"/>
      <c r="U285" s="325"/>
      <c r="V285" s="300" t="b">
        <v>1</v>
      </c>
      <c r="W285" s="301" t="b">
        <v>0</v>
      </c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</row>
    <row r="286">
      <c r="A286" s="291"/>
      <c r="B286" s="303" t="s">
        <v>1882</v>
      </c>
      <c r="C286" s="304" t="s">
        <v>671</v>
      </c>
      <c r="D286" s="304" t="s">
        <v>1883</v>
      </c>
      <c r="E286" s="305">
        <v>8.40472503322E11</v>
      </c>
      <c r="F286" s="304" t="s">
        <v>1432</v>
      </c>
      <c r="G286" s="209"/>
      <c r="H286" s="209"/>
      <c r="I286" s="304" t="s">
        <v>1866</v>
      </c>
      <c r="J286" s="296" t="b">
        <v>1</v>
      </c>
      <c r="K286" s="301" t="b">
        <v>1</v>
      </c>
      <c r="L286" s="209"/>
      <c r="M286" s="291"/>
      <c r="N286" s="303" t="s">
        <v>1884</v>
      </c>
      <c r="O286" s="306" t="s">
        <v>1876</v>
      </c>
      <c r="P286" s="304" t="s">
        <v>1885</v>
      </c>
      <c r="Q286" s="307">
        <v>8.40472500642E11</v>
      </c>
      <c r="R286" s="209"/>
      <c r="S286" s="209"/>
      <c r="T286" s="209"/>
      <c r="U286" s="325"/>
      <c r="V286" s="300" t="b">
        <v>1</v>
      </c>
      <c r="W286" s="301" t="b">
        <v>0</v>
      </c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</row>
    <row r="287">
      <c r="A287" s="291"/>
      <c r="B287" s="303" t="s">
        <v>1886</v>
      </c>
      <c r="C287" s="304" t="s">
        <v>705</v>
      </c>
      <c r="D287" s="304" t="s">
        <v>1887</v>
      </c>
      <c r="E287" s="305">
        <v>8.40472503339E11</v>
      </c>
      <c r="F287" s="304" t="s">
        <v>1432</v>
      </c>
      <c r="G287" s="209"/>
      <c r="H287" s="209"/>
      <c r="I287" s="304" t="s">
        <v>1866</v>
      </c>
      <c r="J287" s="296" t="b">
        <v>1</v>
      </c>
      <c r="K287" s="301" t="b">
        <v>1</v>
      </c>
      <c r="L287" s="209"/>
      <c r="M287" s="309"/>
      <c r="N287" s="310" t="s">
        <v>1888</v>
      </c>
      <c r="O287" s="317" t="s">
        <v>1876</v>
      </c>
      <c r="P287" s="311" t="s">
        <v>1889</v>
      </c>
      <c r="Q287" s="313"/>
      <c r="R287" s="313"/>
      <c r="S287" s="313"/>
      <c r="T287" s="313"/>
      <c r="U287" s="331"/>
      <c r="V287" s="350" t="b">
        <v>1</v>
      </c>
      <c r="W287" s="314" t="b">
        <v>0</v>
      </c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</row>
    <row r="288">
      <c r="A288" s="291"/>
      <c r="B288" s="303" t="s">
        <v>1890</v>
      </c>
      <c r="C288" s="304" t="s">
        <v>705</v>
      </c>
      <c r="D288" s="304" t="s">
        <v>1891</v>
      </c>
      <c r="E288" s="305">
        <v>8.40472503346E11</v>
      </c>
      <c r="F288" s="304" t="s">
        <v>1432</v>
      </c>
      <c r="G288" s="209"/>
      <c r="H288" s="209"/>
      <c r="I288" s="304" t="s">
        <v>1866</v>
      </c>
      <c r="J288" s="296" t="b">
        <v>1</v>
      </c>
      <c r="K288" s="301" t="b">
        <v>1</v>
      </c>
      <c r="L288" s="209"/>
      <c r="M288" s="344"/>
      <c r="N288" s="209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</row>
    <row r="289">
      <c r="A289" s="291"/>
      <c r="B289" s="303" t="s">
        <v>1892</v>
      </c>
      <c r="C289" s="304" t="s">
        <v>679</v>
      </c>
      <c r="D289" s="304" t="s">
        <v>1893</v>
      </c>
      <c r="E289" s="305">
        <v>8.40472503353E11</v>
      </c>
      <c r="F289" s="304" t="s">
        <v>1432</v>
      </c>
      <c r="G289" s="209"/>
      <c r="H289" s="209"/>
      <c r="I289" s="304" t="s">
        <v>1866</v>
      </c>
      <c r="J289" s="296" t="b">
        <v>1</v>
      </c>
      <c r="K289" s="301" t="b">
        <v>1</v>
      </c>
      <c r="L289" s="209"/>
      <c r="M289" s="281" t="s">
        <v>1894</v>
      </c>
      <c r="N289" s="319" t="s">
        <v>273</v>
      </c>
      <c r="O289" s="320"/>
      <c r="P289" s="283" t="s">
        <v>272</v>
      </c>
      <c r="Q289" s="336" t="s">
        <v>116</v>
      </c>
      <c r="R289" s="320"/>
      <c r="S289" s="320"/>
      <c r="T289" s="283" t="s">
        <v>563</v>
      </c>
      <c r="U289" s="283" t="s">
        <v>1895</v>
      </c>
      <c r="V289" s="278" t="str">
        <f>IF(COUNTIF(V290:V293, TRUE) = COUNTA(V290:V293), "Complete!", IF(COUNTIF(V290:V293, TRUE) &gt; 0, "Partial", "Not Started"))</f>
        <v>Complete!</v>
      </c>
      <c r="W289" s="279"/>
      <c r="X289" s="280">
        <v>4.0</v>
      </c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</row>
    <row r="290">
      <c r="A290" s="291"/>
      <c r="B290" s="303" t="s">
        <v>1896</v>
      </c>
      <c r="C290" s="304" t="s">
        <v>679</v>
      </c>
      <c r="D290" s="304" t="s">
        <v>1897</v>
      </c>
      <c r="E290" s="305">
        <v>8.4047250336E11</v>
      </c>
      <c r="F290" s="304" t="s">
        <v>1432</v>
      </c>
      <c r="G290" s="209"/>
      <c r="H290" s="209"/>
      <c r="I290" s="304" t="s">
        <v>1866</v>
      </c>
      <c r="J290" s="296" t="b">
        <v>1</v>
      </c>
      <c r="K290" s="301" t="b">
        <v>1</v>
      </c>
      <c r="L290" s="209"/>
      <c r="M290" s="291"/>
      <c r="N290" s="292" t="s">
        <v>1898</v>
      </c>
      <c r="O290" s="298" t="s">
        <v>692</v>
      </c>
      <c r="P290" s="293" t="s">
        <v>1899</v>
      </c>
      <c r="Q290" s="299">
        <v>8.4047250349E11</v>
      </c>
      <c r="R290" s="295"/>
      <c r="S290" s="295"/>
      <c r="T290" s="295"/>
      <c r="U290" s="328"/>
      <c r="V290" s="300" t="b">
        <v>1</v>
      </c>
      <c r="W290" s="301" t="b">
        <v>0</v>
      </c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</row>
    <row r="291">
      <c r="A291" s="291"/>
      <c r="B291" s="303" t="s">
        <v>1900</v>
      </c>
      <c r="C291" s="304" t="s">
        <v>431</v>
      </c>
      <c r="D291" s="304" t="s">
        <v>1901</v>
      </c>
      <c r="E291" s="305">
        <v>8.40472503377E11</v>
      </c>
      <c r="F291" s="304" t="s">
        <v>1432</v>
      </c>
      <c r="G291" s="209"/>
      <c r="H291" s="209"/>
      <c r="I291" s="304" t="s">
        <v>1866</v>
      </c>
      <c r="J291" s="296" t="b">
        <v>1</v>
      </c>
      <c r="K291" s="301" t="b">
        <v>1</v>
      </c>
      <c r="L291" s="209"/>
      <c r="M291" s="291"/>
      <c r="N291" s="303" t="s">
        <v>1902</v>
      </c>
      <c r="O291" s="306" t="s">
        <v>692</v>
      </c>
      <c r="P291" s="304" t="s">
        <v>1903</v>
      </c>
      <c r="Q291" s="307">
        <v>8.40472506958E11</v>
      </c>
      <c r="R291" s="209"/>
      <c r="S291" s="209"/>
      <c r="T291" s="209"/>
      <c r="U291" s="325"/>
      <c r="V291" s="300" t="b">
        <v>1</v>
      </c>
      <c r="W291" s="301" t="b">
        <v>0</v>
      </c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</row>
    <row r="292">
      <c r="A292" s="309"/>
      <c r="B292" s="310" t="s">
        <v>1904</v>
      </c>
      <c r="C292" s="311" t="s">
        <v>431</v>
      </c>
      <c r="D292" s="311" t="s">
        <v>1905</v>
      </c>
      <c r="E292" s="312">
        <v>8.40472503384E11</v>
      </c>
      <c r="F292" s="304" t="s">
        <v>1432</v>
      </c>
      <c r="G292" s="313"/>
      <c r="H292" s="313"/>
      <c r="I292" s="304" t="s">
        <v>1866</v>
      </c>
      <c r="J292" s="296" t="b">
        <v>1</v>
      </c>
      <c r="K292" s="301" t="b">
        <v>1</v>
      </c>
      <c r="L292" s="209"/>
      <c r="M292" s="291"/>
      <c r="N292" s="303" t="s">
        <v>1906</v>
      </c>
      <c r="O292" s="306" t="s">
        <v>692</v>
      </c>
      <c r="P292" s="304" t="s">
        <v>1907</v>
      </c>
      <c r="Q292" s="307">
        <v>8.40472506965E11</v>
      </c>
      <c r="R292" s="209"/>
      <c r="S292" s="209"/>
      <c r="T292" s="209"/>
      <c r="U292" s="325"/>
      <c r="V292" s="300" t="b">
        <v>1</v>
      </c>
      <c r="W292" s="301" t="b">
        <v>0</v>
      </c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</row>
    <row r="293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390"/>
      <c r="L293" s="209"/>
      <c r="M293" s="309"/>
      <c r="N293" s="310" t="s">
        <v>1908</v>
      </c>
      <c r="O293" s="317" t="s">
        <v>692</v>
      </c>
      <c r="P293" s="311" t="s">
        <v>1909</v>
      </c>
      <c r="Q293" s="312">
        <v>8.40472506972E11</v>
      </c>
      <c r="R293" s="313"/>
      <c r="S293" s="313"/>
      <c r="T293" s="313"/>
      <c r="U293" s="331"/>
      <c r="V293" s="300" t="b">
        <v>1</v>
      </c>
      <c r="W293" s="314" t="b">
        <v>0</v>
      </c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</row>
    <row r="294">
      <c r="A294" s="316" t="s">
        <v>1724</v>
      </c>
      <c r="B294" s="282" t="s">
        <v>194</v>
      </c>
      <c r="C294" s="273"/>
      <c r="D294" s="274" t="s">
        <v>193</v>
      </c>
      <c r="E294" s="275" t="s">
        <v>1910</v>
      </c>
      <c r="F294" s="273"/>
      <c r="G294" s="273"/>
      <c r="H294" s="276" t="s">
        <v>376</v>
      </c>
      <c r="I294" s="276" t="s">
        <v>1911</v>
      </c>
      <c r="J294" s="278" t="str">
        <f>IF(COUNTIF(J295:J302, TRUE) = COUNTA(J295:J302), "Complete!", IF(COUNTIF(J295:J302, TRUE) &gt; 0, "Partial", "Not Started"))</f>
        <v>Complete!</v>
      </c>
      <c r="K294" s="279"/>
      <c r="L294" s="280">
        <v>8.0</v>
      </c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</row>
    <row r="295">
      <c r="A295" s="291"/>
      <c r="B295" s="292" t="s">
        <v>1912</v>
      </c>
      <c r="C295" s="293" t="s">
        <v>440</v>
      </c>
      <c r="D295" s="293" t="s">
        <v>1913</v>
      </c>
      <c r="E295" s="294">
        <v>8.40472501984E11</v>
      </c>
      <c r="F295" s="295"/>
      <c r="G295" s="295"/>
      <c r="H295" s="295"/>
      <c r="I295" s="295"/>
      <c r="J295" s="296" t="b">
        <v>1</v>
      </c>
      <c r="K295" s="297" t="b">
        <v>0</v>
      </c>
      <c r="L295" s="209"/>
      <c r="M295" s="281" t="s">
        <v>1914</v>
      </c>
      <c r="N295" s="319" t="s">
        <v>277</v>
      </c>
      <c r="O295" s="320"/>
      <c r="P295" s="283" t="s">
        <v>276</v>
      </c>
      <c r="Q295" s="336" t="s">
        <v>116</v>
      </c>
      <c r="R295" s="320"/>
      <c r="S295" s="320"/>
      <c r="T295" s="283" t="s">
        <v>563</v>
      </c>
      <c r="U295" s="283" t="s">
        <v>1895</v>
      </c>
      <c r="V295" s="278" t="str">
        <f>IF(COUNTIF(V296:V299, TRUE) = COUNTA(V296:V299), "Complete!", IF(COUNTIF(V296:V299, TRUE) &gt; 0, "Partial", "Not Started"))</f>
        <v>Complete!</v>
      </c>
      <c r="W295" s="279"/>
      <c r="X295" s="280">
        <v>4.0</v>
      </c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</row>
    <row r="296">
      <c r="A296" s="291"/>
      <c r="B296" s="303" t="s">
        <v>1915</v>
      </c>
      <c r="C296" s="304" t="s">
        <v>1916</v>
      </c>
      <c r="D296" s="304" t="s">
        <v>1917</v>
      </c>
      <c r="E296" s="305">
        <v>8.1011597653E11</v>
      </c>
      <c r="F296" s="209"/>
      <c r="G296" s="209"/>
      <c r="H296" s="209"/>
      <c r="I296" s="209"/>
      <c r="J296" s="296" t="b">
        <v>1</v>
      </c>
      <c r="K296" s="301" t="b">
        <v>0</v>
      </c>
      <c r="L296" s="209"/>
      <c r="M296" s="291"/>
      <c r="N296" s="292" t="s">
        <v>1918</v>
      </c>
      <c r="O296" s="298" t="s">
        <v>651</v>
      </c>
      <c r="P296" s="293" t="s">
        <v>1919</v>
      </c>
      <c r="Q296" s="299">
        <v>8.40472506989E11</v>
      </c>
      <c r="R296" s="295"/>
      <c r="S296" s="295"/>
      <c r="T296" s="295"/>
      <c r="U296" s="328"/>
      <c r="V296" s="300" t="b">
        <v>1</v>
      </c>
      <c r="W296" s="301" t="b">
        <v>0</v>
      </c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</row>
    <row r="297">
      <c r="A297" s="291"/>
      <c r="B297" s="303" t="s">
        <v>1920</v>
      </c>
      <c r="C297" s="304" t="s">
        <v>505</v>
      </c>
      <c r="D297" s="304" t="s">
        <v>1921</v>
      </c>
      <c r="E297" s="305">
        <v>8.1011597174E11</v>
      </c>
      <c r="F297" s="209"/>
      <c r="G297" s="209"/>
      <c r="H297" s="209"/>
      <c r="I297" s="209"/>
      <c r="J297" s="296" t="b">
        <v>1</v>
      </c>
      <c r="K297" s="301" t="b">
        <v>0</v>
      </c>
      <c r="L297" s="209"/>
      <c r="M297" s="291"/>
      <c r="N297" s="303" t="s">
        <v>1922</v>
      </c>
      <c r="O297" s="306" t="s">
        <v>651</v>
      </c>
      <c r="P297" s="304" t="s">
        <v>1923</v>
      </c>
      <c r="Q297" s="307">
        <v>8.40472506996E11</v>
      </c>
      <c r="R297" s="209"/>
      <c r="S297" s="209"/>
      <c r="T297" s="209"/>
      <c r="U297" s="325"/>
      <c r="V297" s="300" t="b">
        <v>1</v>
      </c>
      <c r="W297" s="301" t="b">
        <v>0</v>
      </c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</row>
    <row r="298">
      <c r="A298" s="291"/>
      <c r="B298" s="303" t="s">
        <v>1924</v>
      </c>
      <c r="C298" s="304" t="s">
        <v>522</v>
      </c>
      <c r="D298" s="304" t="s">
        <v>1925</v>
      </c>
      <c r="E298" s="305">
        <v>8.10115971771E11</v>
      </c>
      <c r="F298" s="209"/>
      <c r="G298" s="209"/>
      <c r="H298" s="209"/>
      <c r="I298" s="209"/>
      <c r="J298" s="296" t="b">
        <v>1</v>
      </c>
      <c r="K298" s="301" t="b">
        <v>0</v>
      </c>
      <c r="L298" s="209"/>
      <c r="M298" s="291"/>
      <c r="N298" s="303" t="s">
        <v>1926</v>
      </c>
      <c r="O298" s="306" t="s">
        <v>651</v>
      </c>
      <c r="P298" s="304" t="s">
        <v>1927</v>
      </c>
      <c r="Q298" s="307">
        <v>8.40472507009E11</v>
      </c>
      <c r="R298" s="209"/>
      <c r="S298" s="209"/>
      <c r="T298" s="209"/>
      <c r="U298" s="325"/>
      <c r="V298" s="300" t="b">
        <v>1</v>
      </c>
      <c r="W298" s="301" t="b">
        <v>0</v>
      </c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</row>
    <row r="299">
      <c r="A299" s="291"/>
      <c r="B299" s="303" t="s">
        <v>1928</v>
      </c>
      <c r="C299" s="304" t="s">
        <v>1049</v>
      </c>
      <c r="D299" s="304" t="s">
        <v>1929</v>
      </c>
      <c r="E299" s="305">
        <v>8.10115976554E11</v>
      </c>
      <c r="F299" s="209"/>
      <c r="G299" s="209"/>
      <c r="H299" s="209"/>
      <c r="I299" s="209"/>
      <c r="J299" s="296" t="b">
        <v>1</v>
      </c>
      <c r="K299" s="301" t="b">
        <v>0</v>
      </c>
      <c r="L299" s="209"/>
      <c r="M299" s="309"/>
      <c r="N299" s="310" t="s">
        <v>1930</v>
      </c>
      <c r="O299" s="317" t="s">
        <v>651</v>
      </c>
      <c r="P299" s="311" t="s">
        <v>1931</v>
      </c>
      <c r="Q299" s="312">
        <v>8.40472507016E11</v>
      </c>
      <c r="R299" s="313"/>
      <c r="S299" s="313"/>
      <c r="T299" s="313"/>
      <c r="U299" s="331"/>
      <c r="V299" s="300" t="b">
        <v>1</v>
      </c>
      <c r="W299" s="314" t="b">
        <v>0</v>
      </c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</row>
    <row r="300">
      <c r="A300" s="291"/>
      <c r="B300" s="303" t="s">
        <v>1932</v>
      </c>
      <c r="C300" s="304" t="s">
        <v>1060</v>
      </c>
      <c r="D300" s="304" t="s">
        <v>1933</v>
      </c>
      <c r="E300" s="305">
        <v>8.10115971795E11</v>
      </c>
      <c r="F300" s="209"/>
      <c r="G300" s="209"/>
      <c r="H300" s="209"/>
      <c r="I300" s="209"/>
      <c r="J300" s="296" t="b">
        <v>1</v>
      </c>
      <c r="K300" s="301" t="b">
        <v>0</v>
      </c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</row>
    <row r="301">
      <c r="A301" s="291"/>
      <c r="B301" s="303" t="s">
        <v>1934</v>
      </c>
      <c r="C301" s="304" t="s">
        <v>1935</v>
      </c>
      <c r="D301" s="304" t="s">
        <v>1936</v>
      </c>
      <c r="E301" s="305">
        <v>8.40472502004E11</v>
      </c>
      <c r="F301" s="209"/>
      <c r="G301" s="209"/>
      <c r="H301" s="209"/>
      <c r="I301" s="209"/>
      <c r="J301" s="296" t="b">
        <v>1</v>
      </c>
      <c r="K301" s="301" t="b">
        <v>0</v>
      </c>
      <c r="L301" s="209"/>
      <c r="M301" s="281" t="s">
        <v>1937</v>
      </c>
      <c r="N301" s="319" t="s">
        <v>280</v>
      </c>
      <c r="O301" s="320"/>
      <c r="P301" s="283" t="s">
        <v>279</v>
      </c>
      <c r="Q301" s="336" t="s">
        <v>116</v>
      </c>
      <c r="R301" s="320"/>
      <c r="S301" s="320"/>
      <c r="T301" s="283" t="s">
        <v>1938</v>
      </c>
      <c r="U301" s="283" t="s">
        <v>1009</v>
      </c>
      <c r="V301" s="278" t="str">
        <f>IF(COUNTIF(V302:V305, TRUE) = COUNTA(V302:V305), "Complete!", IF(COUNTIF(V302:V305, TRUE) &gt; 0, "Partial", "Not Started"))</f>
        <v>Complete!</v>
      </c>
      <c r="W301" s="279"/>
      <c r="X301" s="280">
        <v>4.0</v>
      </c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</row>
    <row r="302">
      <c r="A302" s="309"/>
      <c r="B302" s="310" t="s">
        <v>1939</v>
      </c>
      <c r="C302" s="311" t="s">
        <v>1940</v>
      </c>
      <c r="D302" s="311" t="s">
        <v>1941</v>
      </c>
      <c r="E302" s="312">
        <v>8.40472502028E11</v>
      </c>
      <c r="F302" s="313"/>
      <c r="G302" s="313"/>
      <c r="H302" s="313"/>
      <c r="I302" s="313"/>
      <c r="J302" s="296" t="b">
        <v>1</v>
      </c>
      <c r="K302" s="314" t="b">
        <v>0</v>
      </c>
      <c r="L302" s="209"/>
      <c r="M302" s="291"/>
      <c r="N302" s="391" t="s">
        <v>1942</v>
      </c>
      <c r="O302" s="298" t="s">
        <v>588</v>
      </c>
      <c r="P302" s="293" t="s">
        <v>1943</v>
      </c>
      <c r="Q302" s="299">
        <v>8.40472507023E11</v>
      </c>
      <c r="R302" s="295"/>
      <c r="S302" s="295"/>
      <c r="T302" s="295"/>
      <c r="U302" s="328"/>
      <c r="V302" s="300" t="b">
        <v>1</v>
      </c>
      <c r="W302" s="301" t="b">
        <v>0</v>
      </c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  <c r="AK302" s="209"/>
    </row>
    <row r="303">
      <c r="A303" s="209"/>
      <c r="B303" s="209"/>
      <c r="C303" s="209"/>
      <c r="D303" s="209"/>
      <c r="E303" s="209"/>
      <c r="F303" s="209"/>
      <c r="G303" s="209"/>
      <c r="H303" s="209"/>
      <c r="I303" s="209"/>
      <c r="J303" s="313"/>
      <c r="K303" s="209"/>
      <c r="L303" s="209"/>
      <c r="M303" s="291"/>
      <c r="N303" s="392" t="s">
        <v>1944</v>
      </c>
      <c r="O303" s="306" t="s">
        <v>588</v>
      </c>
      <c r="P303" s="304" t="s">
        <v>1945</v>
      </c>
      <c r="Q303" s="307">
        <v>8.4047250703E11</v>
      </c>
      <c r="R303" s="209"/>
      <c r="S303" s="209"/>
      <c r="T303" s="209"/>
      <c r="U303" s="325"/>
      <c r="V303" s="300" t="b">
        <v>1</v>
      </c>
      <c r="W303" s="301" t="b">
        <v>0</v>
      </c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  <c r="AI303" s="209"/>
      <c r="AJ303" s="209"/>
      <c r="AK303" s="209"/>
    </row>
    <row r="304">
      <c r="A304" s="316" t="s">
        <v>1747</v>
      </c>
      <c r="B304" s="319" t="s">
        <v>1946</v>
      </c>
      <c r="C304" s="320"/>
      <c r="D304" s="283" t="s">
        <v>1947</v>
      </c>
      <c r="E304" s="322" t="s">
        <v>1910</v>
      </c>
      <c r="F304" s="320"/>
      <c r="G304" s="320"/>
      <c r="H304" s="276" t="s">
        <v>468</v>
      </c>
      <c r="I304" s="285" t="s">
        <v>771</v>
      </c>
      <c r="J304" s="278" t="str">
        <f>IF(COUNTIF(J305:J310, TRUE) = COUNTA(J305:J310), "Complete!", IF(COUNTIF(J305:J310, TRUE) &gt; 0, "Partial", "Not Started"))</f>
        <v>Complete!</v>
      </c>
      <c r="K304" s="279"/>
      <c r="L304" s="280">
        <v>6.0</v>
      </c>
      <c r="M304" s="291"/>
      <c r="N304" s="392" t="s">
        <v>1948</v>
      </c>
      <c r="O304" s="306" t="s">
        <v>588</v>
      </c>
      <c r="P304" s="304" t="s">
        <v>1949</v>
      </c>
      <c r="Q304" s="307">
        <v>8.40472507047E11</v>
      </c>
      <c r="R304" s="209"/>
      <c r="S304" s="209"/>
      <c r="T304" s="209"/>
      <c r="U304" s="325"/>
      <c r="V304" s="300" t="b">
        <v>1</v>
      </c>
      <c r="W304" s="301" t="b">
        <v>0</v>
      </c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  <c r="AI304" s="209"/>
      <c r="AJ304" s="209"/>
      <c r="AK304" s="209"/>
    </row>
    <row r="305">
      <c r="A305" s="291"/>
      <c r="B305" s="303" t="s">
        <v>1950</v>
      </c>
      <c r="C305" s="304" t="s">
        <v>449</v>
      </c>
      <c r="D305" s="304" t="s">
        <v>1951</v>
      </c>
      <c r="E305" s="305">
        <v>8.10115975816E11</v>
      </c>
      <c r="F305" s="209"/>
      <c r="G305" s="209"/>
      <c r="H305" s="209"/>
      <c r="I305" s="209"/>
      <c r="J305" s="300" t="b">
        <v>1</v>
      </c>
      <c r="K305" s="301" t="b">
        <v>0</v>
      </c>
      <c r="L305" s="209"/>
      <c r="M305" s="309"/>
      <c r="N305" s="393" t="s">
        <v>1952</v>
      </c>
      <c r="O305" s="317" t="s">
        <v>588</v>
      </c>
      <c r="P305" s="311" t="s">
        <v>1953</v>
      </c>
      <c r="Q305" s="312">
        <v>8.40472507054E11</v>
      </c>
      <c r="R305" s="313"/>
      <c r="S305" s="313"/>
      <c r="T305" s="313"/>
      <c r="U305" s="331"/>
      <c r="V305" s="300" t="b">
        <v>1</v>
      </c>
      <c r="W305" s="314" t="b">
        <v>0</v>
      </c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  <c r="AI305" s="209"/>
      <c r="AJ305" s="209"/>
      <c r="AK305" s="209"/>
    </row>
    <row r="306">
      <c r="A306" s="291"/>
      <c r="B306" s="303" t="s">
        <v>1954</v>
      </c>
      <c r="C306" s="304" t="s">
        <v>1916</v>
      </c>
      <c r="D306" s="304" t="s">
        <v>1955</v>
      </c>
      <c r="E306" s="305">
        <v>8.10115972624E11</v>
      </c>
      <c r="F306" s="209"/>
      <c r="G306" s="209"/>
      <c r="H306" s="209"/>
      <c r="I306" s="209"/>
      <c r="J306" s="300" t="b">
        <v>1</v>
      </c>
      <c r="K306" s="301" t="b">
        <v>0</v>
      </c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  <c r="AI306" s="209"/>
      <c r="AJ306" s="209"/>
      <c r="AK306" s="209"/>
    </row>
    <row r="307">
      <c r="A307" s="291"/>
      <c r="B307" s="303" t="s">
        <v>1956</v>
      </c>
      <c r="C307" s="304" t="s">
        <v>505</v>
      </c>
      <c r="D307" s="304" t="s">
        <v>1957</v>
      </c>
      <c r="E307" s="305">
        <v>8.10115972617E11</v>
      </c>
      <c r="F307" s="209"/>
      <c r="G307" s="209"/>
      <c r="H307" s="209"/>
      <c r="I307" s="209"/>
      <c r="J307" s="300" t="b">
        <v>1</v>
      </c>
      <c r="K307" s="301" t="b">
        <v>0</v>
      </c>
      <c r="L307" s="209"/>
      <c r="M307" s="281" t="s">
        <v>1958</v>
      </c>
      <c r="N307" s="319" t="s">
        <v>283</v>
      </c>
      <c r="O307" s="320"/>
      <c r="P307" s="283" t="s">
        <v>282</v>
      </c>
      <c r="Q307" s="336" t="s">
        <v>116</v>
      </c>
      <c r="R307" s="320"/>
      <c r="S307" s="320"/>
      <c r="T307" s="283" t="s">
        <v>572</v>
      </c>
      <c r="U307" s="283" t="s">
        <v>1959</v>
      </c>
      <c r="V307" s="278" t="str">
        <f>IF(COUNTIF(V308:V311, TRUE) = COUNTA(V308:V311), "Complete!", IF(COUNTIF(V308:V311, TRUE) &gt; 0, "Partial", "Not Started"))</f>
        <v>Complete!</v>
      </c>
      <c r="W307" s="279"/>
      <c r="X307" s="280">
        <v>4.0</v>
      </c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  <c r="AI307" s="209"/>
      <c r="AJ307" s="209"/>
      <c r="AK307" s="209"/>
    </row>
    <row r="308">
      <c r="A308" s="291"/>
      <c r="B308" s="303" t="s">
        <v>1960</v>
      </c>
      <c r="C308" s="304" t="s">
        <v>522</v>
      </c>
      <c r="D308" s="304" t="s">
        <v>1961</v>
      </c>
      <c r="E308" s="305">
        <v>8.101159726E11</v>
      </c>
      <c r="F308" s="209"/>
      <c r="G308" s="209"/>
      <c r="H308" s="209"/>
      <c r="I308" s="209"/>
      <c r="J308" s="300" t="b">
        <v>1</v>
      </c>
      <c r="K308" s="301" t="b">
        <v>0</v>
      </c>
      <c r="L308" s="209"/>
      <c r="M308" s="291"/>
      <c r="N308" s="292" t="s">
        <v>1962</v>
      </c>
      <c r="O308" s="298" t="s">
        <v>1963</v>
      </c>
      <c r="P308" s="293" t="s">
        <v>1964</v>
      </c>
      <c r="Q308" s="299">
        <v>8.40472507061E11</v>
      </c>
      <c r="R308" s="295"/>
      <c r="S308" s="295"/>
      <c r="T308" s="295"/>
      <c r="U308" s="328"/>
      <c r="V308" s="300" t="b">
        <v>1</v>
      </c>
      <c r="W308" s="301" t="b">
        <v>0</v>
      </c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  <c r="AI308" s="209"/>
      <c r="AJ308" s="209"/>
      <c r="AK308" s="209"/>
    </row>
    <row r="309">
      <c r="A309" s="291"/>
      <c r="B309" s="303" t="s">
        <v>1965</v>
      </c>
      <c r="C309" s="304" t="s">
        <v>1049</v>
      </c>
      <c r="D309" s="304" t="s">
        <v>1966</v>
      </c>
      <c r="E309" s="305">
        <v>8.10115972655E11</v>
      </c>
      <c r="F309" s="209"/>
      <c r="G309" s="209"/>
      <c r="H309" s="209"/>
      <c r="I309" s="209"/>
      <c r="J309" s="300" t="b">
        <v>1</v>
      </c>
      <c r="K309" s="301" t="b">
        <v>0</v>
      </c>
      <c r="L309" s="209"/>
      <c r="M309" s="291"/>
      <c r="N309" s="303" t="s">
        <v>1967</v>
      </c>
      <c r="O309" s="306" t="s">
        <v>1963</v>
      </c>
      <c r="P309" s="304" t="s">
        <v>1968</v>
      </c>
      <c r="Q309" s="307">
        <v>8.40472507078E11</v>
      </c>
      <c r="R309" s="209"/>
      <c r="S309" s="209"/>
      <c r="T309" s="209"/>
      <c r="U309" s="325"/>
      <c r="V309" s="300" t="b">
        <v>1</v>
      </c>
      <c r="W309" s="301" t="b">
        <v>0</v>
      </c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  <c r="AI309" s="209"/>
      <c r="AJ309" s="209"/>
      <c r="AK309" s="209"/>
    </row>
    <row r="310">
      <c r="A310" s="309"/>
      <c r="B310" s="310" t="s">
        <v>1969</v>
      </c>
      <c r="C310" s="311" t="s">
        <v>1060</v>
      </c>
      <c r="D310" s="311" t="s">
        <v>1970</v>
      </c>
      <c r="E310" s="312">
        <v>8.10115972648E11</v>
      </c>
      <c r="F310" s="313"/>
      <c r="G310" s="313"/>
      <c r="H310" s="313"/>
      <c r="I310" s="313"/>
      <c r="J310" s="300" t="b">
        <v>1</v>
      </c>
      <c r="K310" s="314" t="b">
        <v>0</v>
      </c>
      <c r="L310" s="209"/>
      <c r="M310" s="291"/>
      <c r="N310" s="303" t="s">
        <v>1971</v>
      </c>
      <c r="O310" s="306" t="s">
        <v>1963</v>
      </c>
      <c r="P310" s="304" t="s">
        <v>1972</v>
      </c>
      <c r="Q310" s="307">
        <v>8.40472507085E11</v>
      </c>
      <c r="R310" s="209"/>
      <c r="S310" s="209"/>
      <c r="T310" s="209"/>
      <c r="U310" s="325"/>
      <c r="V310" s="300" t="b">
        <v>1</v>
      </c>
      <c r="W310" s="301" t="b">
        <v>0</v>
      </c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  <c r="AI310" s="209"/>
      <c r="AJ310" s="209"/>
      <c r="AK310" s="209"/>
    </row>
    <row r="311">
      <c r="A311" s="209"/>
      <c r="B311" s="209"/>
      <c r="C311" s="209"/>
      <c r="D311" s="209"/>
      <c r="E311" s="209"/>
      <c r="F311" s="209"/>
      <c r="G311" s="209"/>
      <c r="H311" s="209"/>
      <c r="I311" s="209"/>
      <c r="J311" s="313"/>
      <c r="K311" s="209"/>
      <c r="L311" s="209"/>
      <c r="M311" s="309"/>
      <c r="N311" s="310" t="s">
        <v>1973</v>
      </c>
      <c r="O311" s="317" t="s">
        <v>1963</v>
      </c>
      <c r="P311" s="311" t="s">
        <v>1974</v>
      </c>
      <c r="Q311" s="312">
        <v>8.40472507092E11</v>
      </c>
      <c r="R311" s="313"/>
      <c r="S311" s="313"/>
      <c r="T311" s="313"/>
      <c r="U311" s="331"/>
      <c r="V311" s="300" t="b">
        <v>1</v>
      </c>
      <c r="W311" s="314" t="b">
        <v>0</v>
      </c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  <c r="AI311" s="209"/>
      <c r="AJ311" s="209"/>
      <c r="AK311" s="209"/>
    </row>
    <row r="312">
      <c r="A312" s="316" t="s">
        <v>1770</v>
      </c>
      <c r="B312" s="319" t="s">
        <v>200</v>
      </c>
      <c r="C312" s="320"/>
      <c r="D312" s="283" t="s">
        <v>199</v>
      </c>
      <c r="E312" s="322" t="s">
        <v>1910</v>
      </c>
      <c r="F312" s="320"/>
      <c r="G312" s="320"/>
      <c r="H312" s="276" t="s">
        <v>376</v>
      </c>
      <c r="I312" s="283" t="s">
        <v>1975</v>
      </c>
      <c r="J312" s="278" t="str">
        <f>IF(COUNTIF(J313:J320, TRUE) = COUNTA(J313:J320), "Complete!", IF(COUNTIF(J313:J320, TRUE) &gt; 0, "Partial", "Not Started"))</f>
        <v>Complete!</v>
      </c>
      <c r="K312" s="279"/>
      <c r="L312" s="280">
        <v>8.0</v>
      </c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  <c r="AI312" s="209"/>
      <c r="AJ312" s="209"/>
      <c r="AK312" s="209"/>
    </row>
    <row r="313">
      <c r="A313" s="291"/>
      <c r="B313" s="292" t="s">
        <v>1976</v>
      </c>
      <c r="C313" s="293" t="s">
        <v>390</v>
      </c>
      <c r="D313" s="293" t="s">
        <v>1977</v>
      </c>
      <c r="E313" s="294">
        <v>8.4047252192E11</v>
      </c>
      <c r="F313" s="295"/>
      <c r="G313" s="295"/>
      <c r="H313" s="295"/>
      <c r="I313" s="295"/>
      <c r="J313" s="296" t="b">
        <v>1</v>
      </c>
      <c r="K313" s="297" t="b">
        <v>0</v>
      </c>
      <c r="L313" s="209"/>
      <c r="M313" s="281" t="s">
        <v>1978</v>
      </c>
      <c r="N313" s="319" t="s">
        <v>286</v>
      </c>
      <c r="O313" s="320"/>
      <c r="P313" s="283" t="s">
        <v>285</v>
      </c>
      <c r="Q313" s="336" t="s">
        <v>116</v>
      </c>
      <c r="R313" s="320"/>
      <c r="S313" s="320"/>
      <c r="T313" s="283" t="s">
        <v>370</v>
      </c>
      <c r="U313" s="283" t="s">
        <v>1895</v>
      </c>
      <c r="V313" s="278" t="str">
        <f>IF(COUNTIF(V314:V317, TRUE) = COUNTA(V314:V317), "Complete!", IF(COUNTIF(V314:V317, TRUE) &gt; 0, "Partial", "Not Started"))</f>
        <v>Complete!</v>
      </c>
      <c r="W313" s="279"/>
      <c r="X313" s="280">
        <v>4.0</v>
      </c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  <c r="AI313" s="209"/>
      <c r="AJ313" s="209"/>
      <c r="AK313" s="209"/>
    </row>
    <row r="314">
      <c r="A314" s="291"/>
      <c r="B314" s="303" t="s">
        <v>1979</v>
      </c>
      <c r="C314" s="304" t="s">
        <v>400</v>
      </c>
      <c r="D314" s="304" t="s">
        <v>1980</v>
      </c>
      <c r="E314" s="305">
        <v>8.40472501939E11</v>
      </c>
      <c r="F314" s="209"/>
      <c r="G314" s="209"/>
      <c r="H314" s="209"/>
      <c r="I314" s="209"/>
      <c r="J314" s="296" t="b">
        <v>1</v>
      </c>
      <c r="K314" s="301" t="b">
        <v>0</v>
      </c>
      <c r="L314" s="209"/>
      <c r="M314" s="291"/>
      <c r="N314" s="292" t="s">
        <v>1981</v>
      </c>
      <c r="O314" s="298" t="s">
        <v>944</v>
      </c>
      <c r="P314" s="293" t="s">
        <v>1982</v>
      </c>
      <c r="Q314" s="299">
        <v>8.40472507108E11</v>
      </c>
      <c r="R314" s="295"/>
      <c r="S314" s="295"/>
      <c r="T314" s="295"/>
      <c r="U314" s="328"/>
      <c r="V314" s="300" t="b">
        <v>1</v>
      </c>
      <c r="W314" s="301" t="b">
        <v>0</v>
      </c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  <c r="AI314" s="209"/>
      <c r="AJ314" s="209"/>
      <c r="AK314" s="209"/>
    </row>
    <row r="315">
      <c r="A315" s="291"/>
      <c r="B315" s="303" t="s">
        <v>1983</v>
      </c>
      <c r="C315" s="304" t="s">
        <v>412</v>
      </c>
      <c r="D315" s="304" t="s">
        <v>1984</v>
      </c>
      <c r="E315" s="305">
        <v>8.40472501946E11</v>
      </c>
      <c r="F315" s="209"/>
      <c r="G315" s="209"/>
      <c r="H315" s="209"/>
      <c r="I315" s="209"/>
      <c r="J315" s="296" t="b">
        <v>1</v>
      </c>
      <c r="K315" s="301" t="b">
        <v>0</v>
      </c>
      <c r="L315" s="209"/>
      <c r="M315" s="291"/>
      <c r="N315" s="303" t="s">
        <v>1985</v>
      </c>
      <c r="O315" s="306" t="s">
        <v>944</v>
      </c>
      <c r="P315" s="304" t="s">
        <v>1986</v>
      </c>
      <c r="Q315" s="307">
        <v>8.40472507115E11</v>
      </c>
      <c r="R315" s="209"/>
      <c r="S315" s="209"/>
      <c r="T315" s="209"/>
      <c r="U315" s="325"/>
      <c r="V315" s="300" t="b">
        <v>1</v>
      </c>
      <c r="W315" s="301" t="b">
        <v>0</v>
      </c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  <c r="AK315" s="209"/>
    </row>
    <row r="316">
      <c r="A316" s="291"/>
      <c r="B316" s="303" t="s">
        <v>1987</v>
      </c>
      <c r="C316" s="304" t="s">
        <v>715</v>
      </c>
      <c r="D316" s="304" t="s">
        <v>1988</v>
      </c>
      <c r="E316" s="305">
        <v>8.10115975793E11</v>
      </c>
      <c r="F316" s="209"/>
      <c r="G316" s="209"/>
      <c r="H316" s="209"/>
      <c r="I316" s="209"/>
      <c r="J316" s="296" t="b">
        <v>1</v>
      </c>
      <c r="K316" s="301" t="b">
        <v>0</v>
      </c>
      <c r="L316" s="209"/>
      <c r="M316" s="291"/>
      <c r="N316" s="303" t="s">
        <v>1989</v>
      </c>
      <c r="O316" s="306" t="s">
        <v>944</v>
      </c>
      <c r="P316" s="304" t="s">
        <v>1990</v>
      </c>
      <c r="Q316" s="307">
        <v>8.40472507122E11</v>
      </c>
      <c r="R316" s="209"/>
      <c r="S316" s="209"/>
      <c r="T316" s="209"/>
      <c r="U316" s="325"/>
      <c r="V316" s="300" t="b">
        <v>1</v>
      </c>
      <c r="W316" s="301" t="b">
        <v>0</v>
      </c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  <c r="AI316" s="209"/>
      <c r="AJ316" s="209"/>
      <c r="AK316" s="209"/>
    </row>
    <row r="317">
      <c r="A317" s="291"/>
      <c r="B317" s="303" t="s">
        <v>1991</v>
      </c>
      <c r="C317" s="304" t="s">
        <v>421</v>
      </c>
      <c r="D317" s="304" t="s">
        <v>1992</v>
      </c>
      <c r="E317" s="305">
        <v>8.40472501953E11</v>
      </c>
      <c r="F317" s="209"/>
      <c r="G317" s="209"/>
      <c r="H317" s="209"/>
      <c r="I317" s="209"/>
      <c r="J317" s="296" t="b">
        <v>1</v>
      </c>
      <c r="K317" s="301" t="b">
        <v>0</v>
      </c>
      <c r="L317" s="209"/>
      <c r="M317" s="309"/>
      <c r="N317" s="310" t="s">
        <v>1993</v>
      </c>
      <c r="O317" s="317" t="s">
        <v>944</v>
      </c>
      <c r="P317" s="311" t="s">
        <v>1994</v>
      </c>
      <c r="Q317" s="312">
        <v>8.40472507139E11</v>
      </c>
      <c r="R317" s="313"/>
      <c r="S317" s="313"/>
      <c r="T317" s="313"/>
      <c r="U317" s="331"/>
      <c r="V317" s="350" t="b">
        <v>1</v>
      </c>
      <c r="W317" s="314" t="b">
        <v>0</v>
      </c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  <c r="AI317" s="209"/>
      <c r="AJ317" s="209"/>
      <c r="AK317" s="209"/>
    </row>
    <row r="318">
      <c r="A318" s="291"/>
      <c r="B318" s="303" t="s">
        <v>1995</v>
      </c>
      <c r="C318" s="304" t="s">
        <v>449</v>
      </c>
      <c r="D318" s="304" t="s">
        <v>1996</v>
      </c>
      <c r="E318" s="305">
        <v>8.10115975809E11</v>
      </c>
      <c r="F318" s="209"/>
      <c r="G318" s="209"/>
      <c r="H318" s="209"/>
      <c r="I318" s="209"/>
      <c r="J318" s="296" t="b">
        <v>1</v>
      </c>
      <c r="K318" s="301" t="b">
        <v>0</v>
      </c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  <c r="AK318" s="209"/>
    </row>
    <row r="319">
      <c r="A319" s="291"/>
      <c r="B319" s="303" t="s">
        <v>1997</v>
      </c>
      <c r="C319" s="304" t="s">
        <v>487</v>
      </c>
      <c r="D319" s="304" t="s">
        <v>1998</v>
      </c>
      <c r="E319" s="305">
        <v>8.4047250196E11</v>
      </c>
      <c r="F319" s="209"/>
      <c r="G319" s="209"/>
      <c r="H319" s="209"/>
      <c r="I319" s="209"/>
      <c r="J319" s="296" t="b">
        <v>1</v>
      </c>
      <c r="K319" s="301" t="b">
        <v>0</v>
      </c>
      <c r="L319" s="209"/>
      <c r="M319" s="281" t="s">
        <v>1999</v>
      </c>
      <c r="N319" s="319" t="s">
        <v>289</v>
      </c>
      <c r="O319" s="320"/>
      <c r="P319" s="283" t="s">
        <v>288</v>
      </c>
      <c r="Q319" s="336" t="s">
        <v>116</v>
      </c>
      <c r="R319" s="320"/>
      <c r="S319" s="320"/>
      <c r="T319" s="283" t="s">
        <v>900</v>
      </c>
      <c r="U319" s="283" t="s">
        <v>2000</v>
      </c>
      <c r="V319" s="278" t="str">
        <f>IF(COUNTIF(V320:V323, TRUE) = COUNTA(V320:V323), "Complete!", IF(COUNTIF(V320:V323, TRUE) &gt; 0, "Partial", "Not Started"))</f>
        <v>Complete!</v>
      </c>
      <c r="W319" s="279"/>
      <c r="X319" s="280">
        <v>4.0</v>
      </c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  <c r="AI319" s="209"/>
      <c r="AJ319" s="209"/>
      <c r="AK319" s="209"/>
    </row>
    <row r="320">
      <c r="A320" s="309"/>
      <c r="B320" s="394" t="s">
        <v>2001</v>
      </c>
      <c r="C320" s="311" t="s">
        <v>2002</v>
      </c>
      <c r="D320" s="311" t="s">
        <v>2003</v>
      </c>
      <c r="E320" s="312">
        <v>8.40472501977E11</v>
      </c>
      <c r="F320" s="313"/>
      <c r="G320" s="313"/>
      <c r="H320" s="313"/>
      <c r="I320" s="313"/>
      <c r="J320" s="296" t="b">
        <v>1</v>
      </c>
      <c r="K320" s="314" t="b">
        <v>0</v>
      </c>
      <c r="L320" s="209"/>
      <c r="M320" s="291"/>
      <c r="N320" s="292" t="s">
        <v>2004</v>
      </c>
      <c r="O320" s="298" t="s">
        <v>2005</v>
      </c>
      <c r="P320" s="293" t="s">
        <v>2006</v>
      </c>
      <c r="Q320" s="299">
        <v>8.40472507146E11</v>
      </c>
      <c r="R320" s="295"/>
      <c r="S320" s="295"/>
      <c r="T320" s="295"/>
      <c r="U320" s="328"/>
      <c r="V320" s="300" t="b">
        <v>1</v>
      </c>
      <c r="W320" s="301" t="b">
        <v>0</v>
      </c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  <c r="AI320" s="209"/>
      <c r="AJ320" s="209"/>
      <c r="AK320" s="209"/>
    </row>
    <row r="32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91"/>
      <c r="N321" s="303" t="s">
        <v>2007</v>
      </c>
      <c r="O321" s="306" t="s">
        <v>2005</v>
      </c>
      <c r="P321" s="304" t="s">
        <v>2008</v>
      </c>
      <c r="Q321" s="307">
        <v>8.40472507153E11</v>
      </c>
      <c r="R321" s="209"/>
      <c r="S321" s="209"/>
      <c r="T321" s="209"/>
      <c r="U321" s="325"/>
      <c r="V321" s="300" t="b">
        <v>1</v>
      </c>
      <c r="W321" s="301" t="b">
        <v>0</v>
      </c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  <c r="AI321" s="209"/>
      <c r="AJ321" s="209"/>
      <c r="AK321" s="209"/>
    </row>
    <row r="322">
      <c r="A322" s="316" t="s">
        <v>1793</v>
      </c>
      <c r="B322" s="282" t="s">
        <v>209</v>
      </c>
      <c r="C322" s="273"/>
      <c r="D322" s="274" t="s">
        <v>208</v>
      </c>
      <c r="E322" s="275" t="s">
        <v>1910</v>
      </c>
      <c r="F322" s="273"/>
      <c r="G322" s="273"/>
      <c r="H322" s="276" t="s">
        <v>468</v>
      </c>
      <c r="I322" s="276" t="s">
        <v>2009</v>
      </c>
      <c r="J322" s="278" t="str">
        <f>IF(COUNTIF(J323:J330, TRUE) = COUNTA(J323:J330), "Complete!", IF(COUNTIF(J323:J330, TRUE) &gt; 0, "Partial", "Not Started"))</f>
        <v>Complete!</v>
      </c>
      <c r="K322" s="279"/>
      <c r="L322" s="280">
        <v>8.0</v>
      </c>
      <c r="M322" s="291"/>
      <c r="N322" s="303" t="s">
        <v>2010</v>
      </c>
      <c r="O322" s="306" t="s">
        <v>2005</v>
      </c>
      <c r="P322" s="304" t="s">
        <v>2011</v>
      </c>
      <c r="Q322" s="307">
        <v>8.4047250716E11</v>
      </c>
      <c r="R322" s="209"/>
      <c r="S322" s="209"/>
      <c r="T322" s="209"/>
      <c r="U322" s="325"/>
      <c r="V322" s="300" t="b">
        <v>1</v>
      </c>
      <c r="W322" s="301" t="b">
        <v>0</v>
      </c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  <c r="AI322" s="209"/>
      <c r="AJ322" s="209"/>
      <c r="AK322" s="209"/>
    </row>
    <row r="323">
      <c r="A323" s="291"/>
      <c r="B323" s="292" t="s">
        <v>2012</v>
      </c>
      <c r="C323" s="293" t="s">
        <v>440</v>
      </c>
      <c r="D323" s="293" t="s">
        <v>2013</v>
      </c>
      <c r="E323" s="294">
        <v>8.40472501991E11</v>
      </c>
      <c r="F323" s="295"/>
      <c r="G323" s="295"/>
      <c r="H323" s="295"/>
      <c r="I323" s="295"/>
      <c r="J323" s="296" t="b">
        <v>1</v>
      </c>
      <c r="K323" s="297" t="b">
        <v>0</v>
      </c>
      <c r="L323" s="209"/>
      <c r="M323" s="309"/>
      <c r="N323" s="310" t="s">
        <v>2014</v>
      </c>
      <c r="O323" s="317" t="s">
        <v>2005</v>
      </c>
      <c r="P323" s="311" t="s">
        <v>2015</v>
      </c>
      <c r="Q323" s="312">
        <v>8.40472507177E11</v>
      </c>
      <c r="R323" s="313"/>
      <c r="S323" s="313"/>
      <c r="T323" s="313"/>
      <c r="U323" s="331"/>
      <c r="V323" s="350" t="b">
        <v>1</v>
      </c>
      <c r="W323" s="314" t="b">
        <v>0</v>
      </c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</row>
    <row r="324">
      <c r="A324" s="291"/>
      <c r="B324" s="303" t="s">
        <v>2016</v>
      </c>
      <c r="C324" s="304" t="s">
        <v>1916</v>
      </c>
      <c r="D324" s="304" t="s">
        <v>2017</v>
      </c>
      <c r="E324" s="305">
        <v>8.10115976547E11</v>
      </c>
      <c r="F324" s="209"/>
      <c r="G324" s="209"/>
      <c r="H324" s="209"/>
      <c r="I324" s="209"/>
      <c r="J324" s="296" t="b">
        <v>1</v>
      </c>
      <c r="K324" s="301" t="b">
        <v>0</v>
      </c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  <c r="AI324" s="209"/>
      <c r="AJ324" s="209"/>
      <c r="AK324" s="209"/>
    </row>
    <row r="325">
      <c r="A325" s="291"/>
      <c r="B325" s="303" t="s">
        <v>2018</v>
      </c>
      <c r="C325" s="304" t="s">
        <v>505</v>
      </c>
      <c r="D325" s="304" t="s">
        <v>2019</v>
      </c>
      <c r="E325" s="305">
        <v>8.10115971764E11</v>
      </c>
      <c r="F325" s="209"/>
      <c r="G325" s="209"/>
      <c r="H325" s="209"/>
      <c r="I325" s="209"/>
      <c r="J325" s="296" t="b">
        <v>1</v>
      </c>
      <c r="K325" s="301" t="b">
        <v>0</v>
      </c>
      <c r="L325" s="209"/>
      <c r="M325" s="281" t="s">
        <v>2020</v>
      </c>
      <c r="N325" s="319" t="s">
        <v>292</v>
      </c>
      <c r="O325" s="320"/>
      <c r="P325" s="283" t="s">
        <v>291</v>
      </c>
      <c r="Q325" s="336" t="s">
        <v>116</v>
      </c>
      <c r="R325" s="320"/>
      <c r="S325" s="320"/>
      <c r="T325" s="283" t="s">
        <v>900</v>
      </c>
      <c r="U325" s="283" t="s">
        <v>1491</v>
      </c>
      <c r="V325" s="278" t="str">
        <f>IF(COUNTIF(V326:V329, TRUE) = COUNTA(V326:V329), "Complete!", IF(COUNTIF(V326:V329, TRUE) &gt; 0, "Partial", "Not Started"))</f>
        <v>Complete!</v>
      </c>
      <c r="W325" s="279"/>
      <c r="X325" s="280">
        <v>4.0</v>
      </c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09"/>
      <c r="AJ325" s="209"/>
      <c r="AK325" s="209"/>
    </row>
    <row r="326">
      <c r="A326" s="291"/>
      <c r="B326" s="303" t="s">
        <v>2021</v>
      </c>
      <c r="C326" s="304" t="s">
        <v>522</v>
      </c>
      <c r="D326" s="304" t="s">
        <v>2022</v>
      </c>
      <c r="E326" s="305">
        <v>8.10115971788E11</v>
      </c>
      <c r="F326" s="304" t="s">
        <v>527</v>
      </c>
      <c r="G326" s="304" t="s">
        <v>406</v>
      </c>
      <c r="H326" s="209"/>
      <c r="I326" s="304" t="s">
        <v>2023</v>
      </c>
      <c r="J326" s="296" t="b">
        <v>1</v>
      </c>
      <c r="K326" s="301" t="b">
        <v>1</v>
      </c>
      <c r="L326" s="209"/>
      <c r="M326" s="291"/>
      <c r="N326" s="292" t="s">
        <v>2024</v>
      </c>
      <c r="O326" s="298" t="s">
        <v>782</v>
      </c>
      <c r="P326" s="293" t="s">
        <v>2025</v>
      </c>
      <c r="Q326" s="299">
        <v>8.40472507184E11</v>
      </c>
      <c r="R326" s="295"/>
      <c r="S326" s="295"/>
      <c r="T326" s="295"/>
      <c r="U326" s="328"/>
      <c r="V326" s="300" t="b">
        <v>1</v>
      </c>
      <c r="W326" s="301" t="b">
        <v>0</v>
      </c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  <c r="AI326" s="209"/>
      <c r="AJ326" s="209"/>
      <c r="AK326" s="209"/>
    </row>
    <row r="327">
      <c r="A327" s="291"/>
      <c r="B327" s="303" t="s">
        <v>2026</v>
      </c>
      <c r="C327" s="304" t="s">
        <v>1049</v>
      </c>
      <c r="D327" s="304" t="s">
        <v>2027</v>
      </c>
      <c r="E327" s="305">
        <v>8.10115976561E11</v>
      </c>
      <c r="F327" s="209"/>
      <c r="G327" s="209"/>
      <c r="H327" s="209"/>
      <c r="I327" s="209"/>
      <c r="J327" s="296" t="b">
        <v>1</v>
      </c>
      <c r="K327" s="301" t="b">
        <v>0</v>
      </c>
      <c r="L327" s="209"/>
      <c r="M327" s="291"/>
      <c r="N327" s="303" t="s">
        <v>2028</v>
      </c>
      <c r="O327" s="306" t="s">
        <v>782</v>
      </c>
      <c r="P327" s="304" t="s">
        <v>2029</v>
      </c>
      <c r="Q327" s="307">
        <v>8.40472507191E11</v>
      </c>
      <c r="R327" s="209"/>
      <c r="S327" s="209"/>
      <c r="T327" s="209"/>
      <c r="U327" s="325"/>
      <c r="V327" s="300" t="b">
        <v>1</v>
      </c>
      <c r="W327" s="301" t="b">
        <v>0</v>
      </c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  <c r="AK327" s="209"/>
    </row>
    <row r="328">
      <c r="A328" s="291"/>
      <c r="B328" s="303" t="s">
        <v>2030</v>
      </c>
      <c r="C328" s="304" t="s">
        <v>1060</v>
      </c>
      <c r="D328" s="304" t="s">
        <v>2031</v>
      </c>
      <c r="E328" s="305">
        <v>8.10115976561E11</v>
      </c>
      <c r="F328" s="209"/>
      <c r="G328" s="209"/>
      <c r="H328" s="209"/>
      <c r="I328" s="209"/>
      <c r="J328" s="296" t="b">
        <v>1</v>
      </c>
      <c r="K328" s="301" t="b">
        <v>0</v>
      </c>
      <c r="L328" s="209"/>
      <c r="M328" s="291"/>
      <c r="N328" s="303" t="s">
        <v>2032</v>
      </c>
      <c r="O328" s="306" t="s">
        <v>782</v>
      </c>
      <c r="P328" s="304" t="s">
        <v>2033</v>
      </c>
      <c r="Q328" s="307">
        <v>8.40472507207E11</v>
      </c>
      <c r="R328" s="209"/>
      <c r="S328" s="209"/>
      <c r="T328" s="209"/>
      <c r="U328" s="325"/>
      <c r="V328" s="300" t="b">
        <v>1</v>
      </c>
      <c r="W328" s="301" t="b">
        <v>0</v>
      </c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  <c r="AK328" s="209"/>
    </row>
    <row r="329">
      <c r="A329" s="291"/>
      <c r="B329" s="303" t="s">
        <v>2034</v>
      </c>
      <c r="C329" s="304" t="s">
        <v>2035</v>
      </c>
      <c r="D329" s="304" t="s">
        <v>2036</v>
      </c>
      <c r="E329" s="305">
        <v>8.40472502011E11</v>
      </c>
      <c r="F329" s="209"/>
      <c r="G329" s="209"/>
      <c r="H329" s="209"/>
      <c r="I329" s="209"/>
      <c r="J329" s="296" t="b">
        <v>1</v>
      </c>
      <c r="K329" s="301" t="b">
        <v>0</v>
      </c>
      <c r="L329" s="209"/>
      <c r="M329" s="309"/>
      <c r="N329" s="310" t="s">
        <v>2037</v>
      </c>
      <c r="O329" s="317" t="s">
        <v>782</v>
      </c>
      <c r="P329" s="311" t="s">
        <v>2038</v>
      </c>
      <c r="Q329" s="312">
        <v>8.40472507214E11</v>
      </c>
      <c r="R329" s="313"/>
      <c r="S329" s="313"/>
      <c r="T329" s="313"/>
      <c r="U329" s="331"/>
      <c r="V329" s="350" t="b">
        <v>1</v>
      </c>
      <c r="W329" s="314" t="b">
        <v>0</v>
      </c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  <c r="AI329" s="209"/>
      <c r="AJ329" s="209"/>
      <c r="AK329" s="209"/>
    </row>
    <row r="330">
      <c r="A330" s="309"/>
      <c r="B330" s="310" t="s">
        <v>2039</v>
      </c>
      <c r="C330" s="311" t="s">
        <v>1113</v>
      </c>
      <c r="D330" s="311" t="s">
        <v>2040</v>
      </c>
      <c r="E330" s="312">
        <v>8.40472502035E11</v>
      </c>
      <c r="F330" s="311" t="s">
        <v>750</v>
      </c>
      <c r="G330" s="313"/>
      <c r="H330" s="313"/>
      <c r="I330" s="313"/>
      <c r="J330" s="296" t="b">
        <v>1</v>
      </c>
      <c r="K330" s="314" t="b">
        <v>0</v>
      </c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  <c r="AI330" s="209"/>
      <c r="AJ330" s="209"/>
      <c r="AK330" s="209"/>
    </row>
    <row r="331">
      <c r="A331" s="209"/>
      <c r="B331" s="209"/>
      <c r="C331" s="209"/>
      <c r="D331" s="209"/>
      <c r="E331" s="209"/>
      <c r="F331" s="209"/>
      <c r="G331" s="209"/>
      <c r="H331" s="209"/>
      <c r="I331" s="209"/>
      <c r="J331" s="313"/>
      <c r="K331" s="209"/>
      <c r="L331" s="209"/>
      <c r="M331" s="281" t="s">
        <v>2041</v>
      </c>
      <c r="N331" s="319" t="s">
        <v>295</v>
      </c>
      <c r="O331" s="320"/>
      <c r="P331" s="283" t="s">
        <v>294</v>
      </c>
      <c r="Q331" s="336" t="s">
        <v>116</v>
      </c>
      <c r="R331" s="320"/>
      <c r="S331" s="320"/>
      <c r="T331" s="283" t="s">
        <v>1938</v>
      </c>
      <c r="U331" s="283" t="s">
        <v>1009</v>
      </c>
      <c r="V331" s="278" t="str">
        <f>IF(COUNTIF(V332:V335, TRUE) = COUNTA(V332:V335), "Complete!", IF(COUNTIF(V332:V335, TRUE) &gt; 0, "Partial", "Not Started"))</f>
        <v>Complete!</v>
      </c>
      <c r="W331" s="279"/>
      <c r="X331" s="280">
        <v>4.0</v>
      </c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  <c r="AI331" s="209"/>
      <c r="AJ331" s="209"/>
      <c r="AK331" s="209"/>
    </row>
    <row r="332">
      <c r="A332" s="316" t="s">
        <v>1818</v>
      </c>
      <c r="B332" s="282" t="s">
        <v>2042</v>
      </c>
      <c r="C332" s="273"/>
      <c r="D332" s="274" t="s">
        <v>2043</v>
      </c>
      <c r="E332" s="275" t="s">
        <v>2044</v>
      </c>
      <c r="F332" s="273"/>
      <c r="G332" s="273"/>
      <c r="H332" s="276" t="s">
        <v>888</v>
      </c>
      <c r="I332" s="276" t="s">
        <v>889</v>
      </c>
      <c r="J332" s="278" t="str">
        <f>IF(COUNTIF(J333:J340, TRUE) = COUNTA(J333:J340), "Complete!", IF(COUNTIF(J333:J340, TRUE) &gt; 0, "Partial", "Not Started"))</f>
        <v>Complete!</v>
      </c>
      <c r="K332" s="279"/>
      <c r="L332" s="280">
        <v>8.0</v>
      </c>
      <c r="M332" s="291"/>
      <c r="N332" s="391" t="s">
        <v>2045</v>
      </c>
      <c r="O332" s="298" t="s">
        <v>662</v>
      </c>
      <c r="P332" s="293" t="s">
        <v>2046</v>
      </c>
      <c r="Q332" s="299">
        <v>8.40472507221E11</v>
      </c>
      <c r="R332" s="295"/>
      <c r="S332" s="295"/>
      <c r="T332" s="295"/>
      <c r="U332" s="328"/>
      <c r="V332" s="300" t="b">
        <v>1</v>
      </c>
      <c r="W332" s="301" t="b">
        <v>0</v>
      </c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  <c r="AI332" s="209"/>
      <c r="AJ332" s="209"/>
      <c r="AK332" s="209"/>
    </row>
    <row r="333">
      <c r="A333" s="291"/>
      <c r="B333" s="292" t="s">
        <v>2047</v>
      </c>
      <c r="C333" s="293" t="s">
        <v>2048</v>
      </c>
      <c r="D333" s="293" t="s">
        <v>2049</v>
      </c>
      <c r="E333" s="294">
        <v>8.4047250745E11</v>
      </c>
      <c r="F333" s="293" t="s">
        <v>1062</v>
      </c>
      <c r="G333" s="295"/>
      <c r="H333" s="295"/>
      <c r="I333" s="293" t="s">
        <v>1063</v>
      </c>
      <c r="J333" s="296" t="b">
        <v>1</v>
      </c>
      <c r="K333" s="297" t="b">
        <v>0</v>
      </c>
      <c r="L333" s="209"/>
      <c r="M333" s="291"/>
      <c r="N333" s="392" t="s">
        <v>2050</v>
      </c>
      <c r="O333" s="306" t="s">
        <v>662</v>
      </c>
      <c r="P333" s="304" t="s">
        <v>2051</v>
      </c>
      <c r="Q333" s="307">
        <v>8.40472507238E11</v>
      </c>
      <c r="R333" s="209"/>
      <c r="S333" s="209"/>
      <c r="T333" s="209"/>
      <c r="U333" s="325"/>
      <c r="V333" s="300" t="b">
        <v>1</v>
      </c>
      <c r="W333" s="301" t="b">
        <v>0</v>
      </c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  <c r="AK333" s="209"/>
    </row>
    <row r="334">
      <c r="A334" s="291"/>
      <c r="B334" s="303" t="s">
        <v>2052</v>
      </c>
      <c r="C334" s="304" t="s">
        <v>2053</v>
      </c>
      <c r="D334" s="304" t="s">
        <v>2054</v>
      </c>
      <c r="E334" s="305">
        <v>8.40472507467E11</v>
      </c>
      <c r="F334" s="304" t="s">
        <v>1062</v>
      </c>
      <c r="G334" s="209"/>
      <c r="H334" s="209"/>
      <c r="I334" s="304" t="s">
        <v>1063</v>
      </c>
      <c r="J334" s="296" t="b">
        <v>1</v>
      </c>
      <c r="K334" s="301" t="b">
        <v>0</v>
      </c>
      <c r="L334" s="209"/>
      <c r="M334" s="291"/>
      <c r="N334" s="392" t="s">
        <v>2055</v>
      </c>
      <c r="O334" s="306" t="s">
        <v>662</v>
      </c>
      <c r="P334" s="304" t="s">
        <v>2056</v>
      </c>
      <c r="Q334" s="307">
        <v>8.40472507245E11</v>
      </c>
      <c r="R334" s="209"/>
      <c r="S334" s="209"/>
      <c r="T334" s="209"/>
      <c r="U334" s="325"/>
      <c r="V334" s="300" t="b">
        <v>1</v>
      </c>
      <c r="W334" s="301" t="b">
        <v>0</v>
      </c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  <c r="AI334" s="209"/>
      <c r="AJ334" s="209"/>
      <c r="AK334" s="209"/>
    </row>
    <row r="335">
      <c r="A335" s="291"/>
      <c r="B335" s="303" t="s">
        <v>2057</v>
      </c>
      <c r="C335" s="304" t="s">
        <v>2058</v>
      </c>
      <c r="D335" s="304" t="s">
        <v>2059</v>
      </c>
      <c r="E335" s="305">
        <v>8.40472507474E11</v>
      </c>
      <c r="F335" s="304" t="s">
        <v>1062</v>
      </c>
      <c r="G335" s="209"/>
      <c r="H335" s="209"/>
      <c r="I335" s="304" t="s">
        <v>1063</v>
      </c>
      <c r="J335" s="296" t="b">
        <v>1</v>
      </c>
      <c r="K335" s="301" t="b">
        <v>0</v>
      </c>
      <c r="L335" s="209"/>
      <c r="M335" s="309"/>
      <c r="N335" s="393" t="s">
        <v>2060</v>
      </c>
      <c r="O335" s="317" t="s">
        <v>662</v>
      </c>
      <c r="P335" s="311" t="s">
        <v>2061</v>
      </c>
      <c r="Q335" s="312">
        <v>8.40472507252E11</v>
      </c>
      <c r="R335" s="313"/>
      <c r="S335" s="313"/>
      <c r="T335" s="313"/>
      <c r="U335" s="352" t="s">
        <v>2062</v>
      </c>
      <c r="V335" s="350" t="b">
        <v>1</v>
      </c>
      <c r="W335" s="314" t="b">
        <v>0</v>
      </c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  <c r="AI335" s="209"/>
      <c r="AJ335" s="209"/>
      <c r="AK335" s="209"/>
    </row>
    <row r="336">
      <c r="A336" s="291"/>
      <c r="B336" s="303" t="s">
        <v>2063</v>
      </c>
      <c r="C336" s="304" t="s">
        <v>2064</v>
      </c>
      <c r="D336" s="304" t="s">
        <v>2065</v>
      </c>
      <c r="E336" s="305">
        <v>8.40472507481E11</v>
      </c>
      <c r="F336" s="304" t="s">
        <v>1062</v>
      </c>
      <c r="G336" s="209"/>
      <c r="H336" s="209"/>
      <c r="I336" s="304" t="s">
        <v>1063</v>
      </c>
      <c r="J336" s="296" t="b">
        <v>1</v>
      </c>
      <c r="K336" s="301" t="b">
        <v>0</v>
      </c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  <c r="AI336" s="209"/>
      <c r="AJ336" s="209"/>
      <c r="AK336" s="209"/>
    </row>
    <row r="337">
      <c r="A337" s="291"/>
      <c r="B337" s="303" t="s">
        <v>2066</v>
      </c>
      <c r="C337" s="304" t="s">
        <v>2048</v>
      </c>
      <c r="D337" s="304" t="s">
        <v>2067</v>
      </c>
      <c r="E337" s="305">
        <v>8.40472507498E11</v>
      </c>
      <c r="F337" s="304" t="s">
        <v>1062</v>
      </c>
      <c r="G337" s="209"/>
      <c r="H337" s="209"/>
      <c r="I337" s="304" t="s">
        <v>1063</v>
      </c>
      <c r="J337" s="296" t="b">
        <v>1</v>
      </c>
      <c r="K337" s="301" t="b">
        <v>0</v>
      </c>
      <c r="L337" s="209"/>
      <c r="M337" s="281" t="s">
        <v>2068</v>
      </c>
      <c r="N337" s="319" t="s">
        <v>298</v>
      </c>
      <c r="O337" s="320"/>
      <c r="P337" s="283" t="s">
        <v>297</v>
      </c>
      <c r="Q337" s="336" t="s">
        <v>116</v>
      </c>
      <c r="R337" s="320"/>
      <c r="S337" s="320"/>
      <c r="T337" s="283" t="s">
        <v>900</v>
      </c>
      <c r="U337" s="283" t="s">
        <v>2069</v>
      </c>
      <c r="V337" s="278" t="str">
        <f>IF(COUNTIF(V338:V341, TRUE) = COUNTA(V338:V341), "Complete!", IF(COUNTIF(V338:V341, TRUE) &gt; 0, "Partial", "Not Started"))</f>
        <v>Complete!</v>
      </c>
      <c r="W337" s="279"/>
      <c r="X337" s="280">
        <v>4.0</v>
      </c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  <c r="AI337" s="209"/>
      <c r="AJ337" s="209"/>
      <c r="AK337" s="209"/>
    </row>
    <row r="338">
      <c r="A338" s="291"/>
      <c r="B338" s="303" t="s">
        <v>2070</v>
      </c>
      <c r="C338" s="304" t="s">
        <v>2053</v>
      </c>
      <c r="D338" s="304" t="s">
        <v>2071</v>
      </c>
      <c r="E338" s="305">
        <v>8.40472507504E11</v>
      </c>
      <c r="F338" s="304" t="s">
        <v>1062</v>
      </c>
      <c r="G338" s="209"/>
      <c r="H338" s="209"/>
      <c r="I338" s="304" t="s">
        <v>1063</v>
      </c>
      <c r="J338" s="296" t="b">
        <v>1</v>
      </c>
      <c r="K338" s="301" t="b">
        <v>0</v>
      </c>
      <c r="L338" s="209"/>
      <c r="M338" s="291"/>
      <c r="N338" s="292" t="s">
        <v>2072</v>
      </c>
      <c r="O338" s="298" t="s">
        <v>775</v>
      </c>
      <c r="P338" s="293" t="s">
        <v>2073</v>
      </c>
      <c r="Q338" s="299">
        <v>8.40472507269E11</v>
      </c>
      <c r="R338" s="295"/>
      <c r="S338" s="295"/>
      <c r="T338" s="295"/>
      <c r="U338" s="328"/>
      <c r="V338" s="300" t="b">
        <v>1</v>
      </c>
      <c r="W338" s="301" t="b">
        <v>0</v>
      </c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  <c r="AK338" s="209"/>
    </row>
    <row r="339">
      <c r="A339" s="291"/>
      <c r="B339" s="303" t="s">
        <v>2074</v>
      </c>
      <c r="C339" s="304" t="s">
        <v>2058</v>
      </c>
      <c r="D339" s="304" t="s">
        <v>2075</v>
      </c>
      <c r="E339" s="305">
        <v>8.40472507511E11</v>
      </c>
      <c r="F339" s="304" t="s">
        <v>1062</v>
      </c>
      <c r="G339" s="209"/>
      <c r="H339" s="209"/>
      <c r="I339" s="304" t="s">
        <v>1063</v>
      </c>
      <c r="J339" s="296" t="b">
        <v>1</v>
      </c>
      <c r="K339" s="301" t="b">
        <v>0</v>
      </c>
      <c r="L339" s="209"/>
      <c r="M339" s="291"/>
      <c r="N339" s="303" t="s">
        <v>2076</v>
      </c>
      <c r="O339" s="306" t="s">
        <v>775</v>
      </c>
      <c r="P339" s="304" t="s">
        <v>2077</v>
      </c>
      <c r="Q339" s="307">
        <v>8.40472507276E11</v>
      </c>
      <c r="R339" s="209"/>
      <c r="S339" s="209"/>
      <c r="T339" s="209"/>
      <c r="U339" s="325"/>
      <c r="V339" s="300" t="b">
        <v>1</v>
      </c>
      <c r="W339" s="301" t="b">
        <v>0</v>
      </c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  <c r="AI339" s="209"/>
      <c r="AJ339" s="209"/>
      <c r="AK339" s="209"/>
    </row>
    <row r="340">
      <c r="A340" s="309"/>
      <c r="B340" s="394" t="s">
        <v>2078</v>
      </c>
      <c r="C340" s="311" t="s">
        <v>2064</v>
      </c>
      <c r="D340" s="311" t="s">
        <v>2079</v>
      </c>
      <c r="E340" s="312">
        <v>8.40472507528E11</v>
      </c>
      <c r="F340" s="311" t="s">
        <v>1062</v>
      </c>
      <c r="G340" s="313"/>
      <c r="H340" s="313"/>
      <c r="I340" s="311" t="s">
        <v>1063</v>
      </c>
      <c r="J340" s="296" t="b">
        <v>1</v>
      </c>
      <c r="K340" s="314" t="b">
        <v>0</v>
      </c>
      <c r="L340" s="209"/>
      <c r="M340" s="291"/>
      <c r="N340" s="303" t="s">
        <v>2080</v>
      </c>
      <c r="O340" s="306" t="s">
        <v>775</v>
      </c>
      <c r="P340" s="304" t="s">
        <v>2081</v>
      </c>
      <c r="Q340" s="307">
        <v>8.40472507283E11</v>
      </c>
      <c r="R340" s="209"/>
      <c r="S340" s="209"/>
      <c r="T340" s="209"/>
      <c r="U340" s="325"/>
      <c r="V340" s="300" t="b">
        <v>1</v>
      </c>
      <c r="W340" s="301" t="b">
        <v>0</v>
      </c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  <c r="AI340" s="209"/>
      <c r="AJ340" s="209"/>
      <c r="AK340" s="209"/>
    </row>
    <row r="341">
      <c r="A341" s="209"/>
      <c r="B341" s="209"/>
      <c r="C341" s="209"/>
      <c r="D341" s="209"/>
      <c r="E341" s="209"/>
      <c r="F341" s="209"/>
      <c r="G341" s="209"/>
      <c r="H341" s="209"/>
      <c r="I341" s="209"/>
      <c r="J341" s="313"/>
      <c r="K341" s="209"/>
      <c r="L341" s="209"/>
      <c r="M341" s="309"/>
      <c r="N341" s="310" t="s">
        <v>2082</v>
      </c>
      <c r="O341" s="317" t="s">
        <v>775</v>
      </c>
      <c r="P341" s="311" t="s">
        <v>2083</v>
      </c>
      <c r="Q341" s="312">
        <v>8.4047250729E11</v>
      </c>
      <c r="R341" s="313"/>
      <c r="S341" s="313"/>
      <c r="T341" s="313"/>
      <c r="U341" s="331"/>
      <c r="V341" s="350" t="b">
        <v>1</v>
      </c>
      <c r="W341" s="314" t="b">
        <v>0</v>
      </c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  <c r="AI341" s="209"/>
      <c r="AJ341" s="209"/>
      <c r="AK341" s="209"/>
    </row>
    <row r="342">
      <c r="A342" s="316" t="s">
        <v>1841</v>
      </c>
      <c r="B342" s="319" t="s">
        <v>2084</v>
      </c>
      <c r="C342" s="320"/>
      <c r="D342" s="283" t="s">
        <v>2085</v>
      </c>
      <c r="E342" s="322" t="s">
        <v>2086</v>
      </c>
      <c r="F342" s="320"/>
      <c r="G342" s="320"/>
      <c r="H342" s="276" t="s">
        <v>468</v>
      </c>
      <c r="I342" s="283" t="s">
        <v>2087</v>
      </c>
      <c r="J342" s="333" t="str">
        <f>IF(COUNTIF(J343:J348, TRUE) = COUNTA(J343:J348), "Complete!", IF(COUNTIF(J343:J348, TRUE) &gt; 0, "Partial", "Not Started"))</f>
        <v>Complete!</v>
      </c>
      <c r="K342" s="334"/>
      <c r="L342" s="280">
        <v>6.0</v>
      </c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  <c r="AI342" s="209"/>
      <c r="AJ342" s="209"/>
      <c r="AK342" s="209"/>
    </row>
    <row r="343">
      <c r="A343" s="291"/>
      <c r="B343" s="292" t="s">
        <v>2088</v>
      </c>
      <c r="C343" s="293" t="s">
        <v>855</v>
      </c>
      <c r="D343" s="293" t="s">
        <v>2089</v>
      </c>
      <c r="E343" s="294">
        <v>8.10115972631E11</v>
      </c>
      <c r="F343" s="295"/>
      <c r="G343" s="295"/>
      <c r="H343" s="295"/>
      <c r="I343" s="295"/>
      <c r="J343" s="296" t="b">
        <v>1</v>
      </c>
      <c r="K343" s="297" t="b">
        <v>0</v>
      </c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  <c r="AI343" s="209"/>
      <c r="AJ343" s="209"/>
      <c r="AK343" s="209"/>
    </row>
    <row r="344">
      <c r="A344" s="291"/>
      <c r="B344" s="303" t="s">
        <v>2090</v>
      </c>
      <c r="C344" s="304" t="s">
        <v>2091</v>
      </c>
      <c r="D344" s="304" t="s">
        <v>2092</v>
      </c>
      <c r="E344" s="305">
        <v>8.10115973201E11</v>
      </c>
      <c r="F344" s="209"/>
      <c r="G344" s="209"/>
      <c r="H344" s="209"/>
      <c r="I344" s="209"/>
      <c r="J344" s="296" t="b">
        <v>1</v>
      </c>
      <c r="K344" s="301" t="b">
        <v>0</v>
      </c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  <c r="AI344" s="209"/>
      <c r="AJ344" s="209"/>
      <c r="AK344" s="209"/>
    </row>
    <row r="345">
      <c r="A345" s="291"/>
      <c r="B345" s="303" t="s">
        <v>2093</v>
      </c>
      <c r="C345" s="304" t="s">
        <v>2094</v>
      </c>
      <c r="D345" s="304" t="s">
        <v>2095</v>
      </c>
      <c r="E345" s="305">
        <v>8.10115972815E11</v>
      </c>
      <c r="F345" s="209"/>
      <c r="G345" s="209"/>
      <c r="H345" s="209"/>
      <c r="I345" s="209"/>
      <c r="J345" s="296" t="b">
        <v>1</v>
      </c>
      <c r="K345" s="301" t="b">
        <v>0</v>
      </c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  <c r="AI345" s="209"/>
      <c r="AJ345" s="209"/>
      <c r="AK345" s="209"/>
    </row>
    <row r="346">
      <c r="A346" s="291"/>
      <c r="B346" s="303" t="s">
        <v>2096</v>
      </c>
      <c r="C346" s="304" t="s">
        <v>2097</v>
      </c>
      <c r="D346" s="304" t="s">
        <v>2098</v>
      </c>
      <c r="E346" s="305">
        <v>8.10115972839E11</v>
      </c>
      <c r="F346" s="209"/>
      <c r="G346" s="209"/>
      <c r="H346" s="209"/>
      <c r="I346" s="209"/>
      <c r="J346" s="296" t="b">
        <v>1</v>
      </c>
      <c r="K346" s="301" t="b">
        <v>0</v>
      </c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  <c r="AK346" s="209"/>
    </row>
    <row r="347">
      <c r="A347" s="291"/>
      <c r="B347" s="303" t="s">
        <v>2099</v>
      </c>
      <c r="C347" s="304" t="s">
        <v>2100</v>
      </c>
      <c r="D347" s="304" t="s">
        <v>2101</v>
      </c>
      <c r="E347" s="305">
        <v>8.10115972853E11</v>
      </c>
      <c r="F347" s="209"/>
      <c r="G347" s="209"/>
      <c r="H347" s="209"/>
      <c r="I347" s="209"/>
      <c r="J347" s="296" t="b">
        <v>1</v>
      </c>
      <c r="K347" s="301" t="b">
        <v>0</v>
      </c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  <c r="AI347" s="209"/>
      <c r="AJ347" s="209"/>
      <c r="AK347" s="209"/>
    </row>
    <row r="348">
      <c r="A348" s="291"/>
      <c r="B348" s="310" t="s">
        <v>2102</v>
      </c>
      <c r="C348" s="311" t="s">
        <v>2103</v>
      </c>
      <c r="D348" s="311" t="s">
        <v>2104</v>
      </c>
      <c r="E348" s="312">
        <v>8.10115972846E11</v>
      </c>
      <c r="F348" s="313"/>
      <c r="G348" s="313"/>
      <c r="H348" s="313"/>
      <c r="I348" s="313"/>
      <c r="J348" s="296" t="b">
        <v>1</v>
      </c>
      <c r="K348" s="314" t="b">
        <v>0</v>
      </c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  <c r="AI348" s="209"/>
      <c r="AJ348" s="209"/>
      <c r="AK348" s="209"/>
    </row>
    <row r="349">
      <c r="A349" s="209"/>
      <c r="B349" s="209"/>
      <c r="C349" s="209"/>
      <c r="D349" s="209"/>
      <c r="E349" s="209"/>
      <c r="F349" s="209"/>
      <c r="G349" s="209"/>
      <c r="H349" s="209"/>
      <c r="I349" s="209"/>
      <c r="J349" s="313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  <c r="AK349" s="209"/>
    </row>
    <row r="350">
      <c r="A350" s="316" t="s">
        <v>1869</v>
      </c>
      <c r="B350" s="282" t="s">
        <v>203</v>
      </c>
      <c r="C350" s="273"/>
      <c r="D350" s="274" t="s">
        <v>202</v>
      </c>
      <c r="E350" s="275" t="s">
        <v>2086</v>
      </c>
      <c r="F350" s="295"/>
      <c r="G350" s="295"/>
      <c r="H350" s="276" t="s">
        <v>572</v>
      </c>
      <c r="I350" s="276" t="s">
        <v>2105</v>
      </c>
      <c r="J350" s="278" t="str">
        <f>IF(COUNTIF(J351:J360, TRUE) = COUNTA(J351:J360), "Complete!", IF(COUNTIF(J351:J360, TRUE) &gt; 0, "Partial", "Not Started"))</f>
        <v>Complete!</v>
      </c>
      <c r="K350" s="279"/>
      <c r="L350" s="280">
        <v>11.0</v>
      </c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  <c r="AI350" s="209"/>
      <c r="AJ350" s="209"/>
      <c r="AK350" s="209"/>
    </row>
    <row r="351">
      <c r="A351" s="291"/>
      <c r="B351" s="292" t="s">
        <v>2106</v>
      </c>
      <c r="C351" s="293" t="s">
        <v>1916</v>
      </c>
      <c r="D351" s="293" t="s">
        <v>2107</v>
      </c>
      <c r="E351" s="294">
        <v>8.10115973218E11</v>
      </c>
      <c r="F351" s="295"/>
      <c r="G351" s="295"/>
      <c r="H351" s="295"/>
      <c r="I351" s="295"/>
      <c r="J351" s="296" t="b">
        <v>1</v>
      </c>
      <c r="K351" s="297" t="b">
        <v>0</v>
      </c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09"/>
      <c r="AJ351" s="209"/>
      <c r="AK351" s="209"/>
    </row>
    <row r="352">
      <c r="A352" s="291"/>
      <c r="B352" s="303" t="s">
        <v>2108</v>
      </c>
      <c r="C352" s="304" t="s">
        <v>505</v>
      </c>
      <c r="D352" s="304" t="s">
        <v>2109</v>
      </c>
      <c r="E352" s="305">
        <v>8.10115973225E11</v>
      </c>
      <c r="F352" s="304" t="s">
        <v>406</v>
      </c>
      <c r="G352" s="209"/>
      <c r="H352" s="209"/>
      <c r="I352" s="304" t="s">
        <v>2110</v>
      </c>
      <c r="J352" s="296" t="b">
        <v>1</v>
      </c>
      <c r="K352" s="301" t="b">
        <v>1</v>
      </c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  <c r="AI352" s="209"/>
      <c r="AJ352" s="209"/>
      <c r="AK352" s="209"/>
    </row>
    <row r="353">
      <c r="A353" s="291"/>
      <c r="B353" s="303" t="s">
        <v>2111</v>
      </c>
      <c r="C353" s="304" t="s">
        <v>522</v>
      </c>
      <c r="D353" s="304" t="s">
        <v>2112</v>
      </c>
      <c r="E353" s="305">
        <v>8.10115973232E11</v>
      </c>
      <c r="F353" s="209"/>
      <c r="G353" s="209"/>
      <c r="H353" s="209"/>
      <c r="I353" s="209"/>
      <c r="J353" s="296" t="b">
        <v>1</v>
      </c>
      <c r="K353" s="301" t="b">
        <v>0</v>
      </c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  <c r="AI353" s="209"/>
      <c r="AJ353" s="209"/>
      <c r="AK353" s="209"/>
    </row>
    <row r="354">
      <c r="A354" s="291"/>
      <c r="B354" s="303" t="s">
        <v>2113</v>
      </c>
      <c r="C354" s="304" t="s">
        <v>1060</v>
      </c>
      <c r="D354" s="304" t="s">
        <v>2114</v>
      </c>
      <c r="E354" s="305">
        <v>8.10115973133E11</v>
      </c>
      <c r="F354" s="209"/>
      <c r="G354" s="209"/>
      <c r="H354" s="209"/>
      <c r="I354" s="209"/>
      <c r="J354" s="296" t="b">
        <v>1</v>
      </c>
      <c r="K354" s="301" t="b">
        <v>0</v>
      </c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  <c r="AK354" s="209"/>
    </row>
    <row r="355">
      <c r="A355" s="291"/>
      <c r="B355" s="303" t="s">
        <v>2115</v>
      </c>
      <c r="C355" s="304" t="s">
        <v>390</v>
      </c>
      <c r="D355" s="304" t="s">
        <v>2116</v>
      </c>
      <c r="E355" s="305">
        <v>8.10115975823E11</v>
      </c>
      <c r="F355" s="209"/>
      <c r="G355" s="209"/>
      <c r="H355" s="209"/>
      <c r="I355" s="209"/>
      <c r="J355" s="296" t="b">
        <v>1</v>
      </c>
      <c r="K355" s="301" t="b">
        <v>0</v>
      </c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  <c r="AI355" s="209"/>
      <c r="AJ355" s="209"/>
      <c r="AK355" s="209"/>
    </row>
    <row r="356">
      <c r="A356" s="291"/>
      <c r="B356" s="303" t="s">
        <v>2117</v>
      </c>
      <c r="C356" s="304" t="s">
        <v>400</v>
      </c>
      <c r="D356" s="304" t="s">
        <v>2118</v>
      </c>
      <c r="E356" s="305">
        <v>8.1011597286E11</v>
      </c>
      <c r="F356" s="209"/>
      <c r="G356" s="209"/>
      <c r="H356" s="209"/>
      <c r="I356" s="209"/>
      <c r="J356" s="296" t="b">
        <v>1</v>
      </c>
      <c r="K356" s="301" t="b">
        <v>0</v>
      </c>
      <c r="L356" s="209"/>
      <c r="M356" s="209"/>
      <c r="N356" s="209"/>
      <c r="O356" s="209"/>
      <c r="P356" s="209"/>
      <c r="Q356" s="209"/>
      <c r="R356" s="209"/>
      <c r="S356" s="209"/>
      <c r="T356" s="209"/>
      <c r="U356" s="325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  <c r="AI356" s="209"/>
      <c r="AJ356" s="209"/>
      <c r="AK356" s="209"/>
    </row>
    <row r="357">
      <c r="A357" s="291"/>
      <c r="B357" s="354" t="s">
        <v>2119</v>
      </c>
      <c r="C357" s="304" t="s">
        <v>412</v>
      </c>
      <c r="D357" s="304" t="s">
        <v>2120</v>
      </c>
      <c r="E357" s="305">
        <v>8.40472502042E11</v>
      </c>
      <c r="F357" s="209"/>
      <c r="G357" s="209"/>
      <c r="H357" s="209"/>
      <c r="I357" s="209"/>
      <c r="J357" s="296" t="b">
        <v>1</v>
      </c>
      <c r="K357" s="301" t="b">
        <v>0</v>
      </c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  <c r="AK357" s="209"/>
    </row>
    <row r="358">
      <c r="A358" s="291"/>
      <c r="B358" s="303" t="s">
        <v>2121</v>
      </c>
      <c r="C358" s="304" t="s">
        <v>715</v>
      </c>
      <c r="D358" s="304" t="s">
        <v>2122</v>
      </c>
      <c r="E358" s="305">
        <v>8.1011597583E11</v>
      </c>
      <c r="F358" s="209"/>
      <c r="G358" s="209"/>
      <c r="H358" s="209"/>
      <c r="I358" s="209"/>
      <c r="J358" s="296" t="b">
        <v>1</v>
      </c>
      <c r="K358" s="301" t="b">
        <v>0</v>
      </c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  <c r="AI358" s="209"/>
      <c r="AJ358" s="209"/>
      <c r="AK358" s="209"/>
    </row>
    <row r="359">
      <c r="A359" s="291"/>
      <c r="B359" s="303" t="s">
        <v>2123</v>
      </c>
      <c r="C359" s="304" t="s">
        <v>421</v>
      </c>
      <c r="D359" s="304" t="s">
        <v>2124</v>
      </c>
      <c r="E359" s="305">
        <v>8.40472502059E11</v>
      </c>
      <c r="F359" s="209"/>
      <c r="G359" s="209"/>
      <c r="H359" s="209"/>
      <c r="I359" s="209"/>
      <c r="J359" s="296" t="b">
        <v>1</v>
      </c>
      <c r="K359" s="301" t="b">
        <v>0</v>
      </c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  <c r="AK359" s="209"/>
    </row>
    <row r="360">
      <c r="A360" s="291"/>
      <c r="B360" s="303" t="s">
        <v>2125</v>
      </c>
      <c r="C360" s="304" t="s">
        <v>449</v>
      </c>
      <c r="D360" s="304" t="s">
        <v>2126</v>
      </c>
      <c r="E360" s="209"/>
      <c r="F360" s="209"/>
      <c r="G360" s="209"/>
      <c r="H360" s="209"/>
      <c r="I360" s="209"/>
      <c r="J360" s="296" t="b">
        <v>1</v>
      </c>
      <c r="K360" s="301" t="b">
        <v>0</v>
      </c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  <c r="AK360" s="209"/>
    </row>
    <row r="361">
      <c r="A361" s="291"/>
      <c r="B361" s="310" t="s">
        <v>2127</v>
      </c>
      <c r="C361" s="311" t="s">
        <v>2128</v>
      </c>
      <c r="D361" s="311" t="s">
        <v>2129</v>
      </c>
      <c r="E361" s="313"/>
      <c r="F361" s="313"/>
      <c r="G361" s="313"/>
      <c r="H361" s="313"/>
      <c r="I361" s="313"/>
      <c r="J361" s="296" t="b">
        <v>1</v>
      </c>
      <c r="K361" s="314" t="b">
        <v>0</v>
      </c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  <c r="AI361" s="209"/>
      <c r="AJ361" s="209"/>
      <c r="AK361" s="209"/>
    </row>
    <row r="362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  <c r="AI362" s="209"/>
      <c r="AJ362" s="209"/>
      <c r="AK362" s="209"/>
    </row>
    <row r="363">
      <c r="A363" s="316" t="s">
        <v>1894</v>
      </c>
      <c r="B363" s="282" t="s">
        <v>2130</v>
      </c>
      <c r="C363" s="273"/>
      <c r="D363" s="274" t="s">
        <v>2131</v>
      </c>
      <c r="E363" s="275" t="s">
        <v>2086</v>
      </c>
      <c r="F363" s="273"/>
      <c r="G363" s="273"/>
      <c r="H363" s="276" t="s">
        <v>370</v>
      </c>
      <c r="I363" s="274" t="s">
        <v>2132</v>
      </c>
      <c r="J363" s="278" t="str">
        <f>IF(COUNTIF(J364:J368, TRUE) = COUNTA(J364:J368), "Complete!", IF(COUNTIF(J364:J368, TRUE) &gt; 0, "Partial", "Not Started"))</f>
        <v>Complete!</v>
      </c>
      <c r="K363" s="279"/>
      <c r="L363" s="280">
        <v>5.0</v>
      </c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  <c r="AI363" s="209"/>
      <c r="AJ363" s="209"/>
      <c r="AK363" s="209"/>
    </row>
    <row r="364">
      <c r="A364" s="291"/>
      <c r="B364" s="292" t="s">
        <v>2133</v>
      </c>
      <c r="C364" s="293" t="s">
        <v>2094</v>
      </c>
      <c r="D364" s="293" t="s">
        <v>2134</v>
      </c>
      <c r="E364" s="294">
        <v>8.10115973089E11</v>
      </c>
      <c r="F364" s="295"/>
      <c r="G364" s="295"/>
      <c r="H364" s="295"/>
      <c r="I364" s="295"/>
      <c r="J364" s="296" t="b">
        <v>1</v>
      </c>
      <c r="K364" s="297" t="b">
        <v>0</v>
      </c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  <c r="AI364" s="209"/>
      <c r="AJ364" s="209"/>
      <c r="AK364" s="209"/>
    </row>
    <row r="365">
      <c r="A365" s="291"/>
      <c r="B365" s="303" t="s">
        <v>2135</v>
      </c>
      <c r="C365" s="304" t="s">
        <v>2097</v>
      </c>
      <c r="D365" s="304" t="s">
        <v>2136</v>
      </c>
      <c r="E365" s="305">
        <v>8.1011597314E11</v>
      </c>
      <c r="F365" s="209"/>
      <c r="G365" s="209"/>
      <c r="H365" s="209"/>
      <c r="I365" s="209"/>
      <c r="J365" s="296" t="b">
        <v>1</v>
      </c>
      <c r="K365" s="301" t="b">
        <v>0</v>
      </c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  <c r="AI365" s="209"/>
      <c r="AJ365" s="209"/>
      <c r="AK365" s="209"/>
    </row>
    <row r="366">
      <c r="A366" s="291"/>
      <c r="B366" s="303" t="s">
        <v>2137</v>
      </c>
      <c r="C366" s="304" t="s">
        <v>2100</v>
      </c>
      <c r="D366" s="304" t="s">
        <v>2138</v>
      </c>
      <c r="E366" s="305">
        <v>8.10115973096E11</v>
      </c>
      <c r="F366" s="209"/>
      <c r="G366" s="209"/>
      <c r="H366" s="209"/>
      <c r="I366" s="209"/>
      <c r="J366" s="296" t="b">
        <v>1</v>
      </c>
      <c r="K366" s="301" t="b">
        <v>0</v>
      </c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  <c r="AI366" s="209"/>
      <c r="AJ366" s="209"/>
      <c r="AK366" s="209"/>
    </row>
    <row r="367">
      <c r="A367" s="291"/>
      <c r="B367" s="303" t="s">
        <v>2139</v>
      </c>
      <c r="C367" s="304" t="s">
        <v>2103</v>
      </c>
      <c r="D367" s="304" t="s">
        <v>2140</v>
      </c>
      <c r="E367" s="305">
        <v>8.10115973157E11</v>
      </c>
      <c r="F367" s="209"/>
      <c r="G367" s="209"/>
      <c r="H367" s="209"/>
      <c r="I367" s="209"/>
      <c r="J367" s="296" t="b">
        <v>1</v>
      </c>
      <c r="K367" s="301" t="b">
        <v>0</v>
      </c>
      <c r="L367" s="209"/>
      <c r="M367" s="209"/>
      <c r="N367" s="209"/>
      <c r="O367" s="209"/>
      <c r="P367" s="209"/>
      <c r="Q367" s="209"/>
      <c r="R367" s="209"/>
      <c r="S367" s="209"/>
      <c r="T367" s="209"/>
      <c r="U367" s="325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  <c r="AI367" s="209"/>
      <c r="AJ367" s="209"/>
      <c r="AK367" s="209"/>
    </row>
    <row r="368">
      <c r="A368" s="291"/>
      <c r="B368" s="310" t="s">
        <v>2141</v>
      </c>
      <c r="C368" s="311" t="s">
        <v>2091</v>
      </c>
      <c r="D368" s="311" t="s">
        <v>2142</v>
      </c>
      <c r="E368" s="312">
        <v>8.10115973102E11</v>
      </c>
      <c r="F368" s="313"/>
      <c r="G368" s="313"/>
      <c r="H368" s="313"/>
      <c r="I368" s="313"/>
      <c r="J368" s="296" t="b">
        <v>1</v>
      </c>
      <c r="K368" s="314" t="b">
        <v>0</v>
      </c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  <c r="AI368" s="209"/>
      <c r="AJ368" s="209"/>
      <c r="AK368" s="209"/>
    </row>
    <row r="369">
      <c r="A369" s="209"/>
      <c r="B369" s="209"/>
      <c r="C369" s="209"/>
      <c r="D369" s="209"/>
      <c r="E369" s="209"/>
      <c r="F369" s="209"/>
      <c r="G369" s="209"/>
      <c r="H369" s="209"/>
      <c r="I369" s="209"/>
      <c r="J369" s="313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</row>
    <row r="370">
      <c r="A370" s="316" t="s">
        <v>1914</v>
      </c>
      <c r="B370" s="282" t="s">
        <v>206</v>
      </c>
      <c r="C370" s="273"/>
      <c r="D370" s="274" t="s">
        <v>205</v>
      </c>
      <c r="E370" s="275" t="s">
        <v>2086</v>
      </c>
      <c r="F370" s="273"/>
      <c r="G370" s="273"/>
      <c r="H370" s="276" t="s">
        <v>370</v>
      </c>
      <c r="I370" s="276" t="s">
        <v>2143</v>
      </c>
      <c r="J370" s="278" t="str">
        <f>IF(COUNTIF(J371:J380, TRUE) = COUNTA(J371:J380), "Complete!", IF(COUNTIF(J371:J380, TRUE) &gt; 0, "Partial", "Not Started"))</f>
        <v>Complete!</v>
      </c>
      <c r="K370" s="279"/>
      <c r="L370" s="280">
        <v>10.0</v>
      </c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  <c r="AI370" s="209"/>
      <c r="AJ370" s="209"/>
      <c r="AK370" s="209"/>
    </row>
    <row r="371">
      <c r="A371" s="291"/>
      <c r="B371" s="292" t="s">
        <v>2144</v>
      </c>
      <c r="C371" s="293" t="s">
        <v>1916</v>
      </c>
      <c r="D371" s="293" t="s">
        <v>2145</v>
      </c>
      <c r="E371" s="294">
        <v>8.10115973164E11</v>
      </c>
      <c r="F371" s="295"/>
      <c r="G371" s="295"/>
      <c r="H371" s="295"/>
      <c r="I371" s="295"/>
      <c r="J371" s="296" t="b">
        <v>1</v>
      </c>
      <c r="K371" s="297" t="b">
        <v>0</v>
      </c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  <c r="AK371" s="209"/>
    </row>
    <row r="372">
      <c r="A372" s="291"/>
      <c r="B372" s="303" t="s">
        <v>2146</v>
      </c>
      <c r="C372" s="304" t="s">
        <v>505</v>
      </c>
      <c r="D372" s="304" t="s">
        <v>2147</v>
      </c>
      <c r="E372" s="305">
        <v>8.10115973119E11</v>
      </c>
      <c r="F372" s="209"/>
      <c r="G372" s="209"/>
      <c r="H372" s="209"/>
      <c r="I372" s="209"/>
      <c r="J372" s="296" t="b">
        <v>1</v>
      </c>
      <c r="K372" s="301" t="b">
        <v>0</v>
      </c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  <c r="AI372" s="209"/>
      <c r="AJ372" s="209"/>
      <c r="AK372" s="209"/>
    </row>
    <row r="373">
      <c r="A373" s="291"/>
      <c r="B373" s="303" t="s">
        <v>2148</v>
      </c>
      <c r="C373" s="304" t="s">
        <v>522</v>
      </c>
      <c r="D373" s="304" t="s">
        <v>2149</v>
      </c>
      <c r="E373" s="305">
        <v>8.10115973171E11</v>
      </c>
      <c r="F373" s="209"/>
      <c r="G373" s="209"/>
      <c r="H373" s="209"/>
      <c r="I373" s="209"/>
      <c r="J373" s="296" t="b">
        <v>1</v>
      </c>
      <c r="K373" s="301" t="b">
        <v>0</v>
      </c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  <c r="AI373" s="209"/>
      <c r="AJ373" s="209"/>
      <c r="AK373" s="209"/>
    </row>
    <row r="374">
      <c r="A374" s="291"/>
      <c r="B374" s="303" t="s">
        <v>2150</v>
      </c>
      <c r="C374" s="304" t="s">
        <v>1060</v>
      </c>
      <c r="D374" s="304" t="s">
        <v>2151</v>
      </c>
      <c r="E374" s="305">
        <v>8.10115973126E11</v>
      </c>
      <c r="F374" s="209"/>
      <c r="G374" s="209"/>
      <c r="H374" s="209"/>
      <c r="I374" s="209"/>
      <c r="J374" s="296" t="b">
        <v>1</v>
      </c>
      <c r="K374" s="301" t="b">
        <v>0</v>
      </c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  <c r="AK374" s="209"/>
    </row>
    <row r="375">
      <c r="A375" s="291"/>
      <c r="B375" s="303" t="s">
        <v>2152</v>
      </c>
      <c r="C375" s="304" t="s">
        <v>2128</v>
      </c>
      <c r="D375" s="304" t="s">
        <v>2153</v>
      </c>
      <c r="E375" s="305">
        <v>8.10115975847E11</v>
      </c>
      <c r="F375" s="209"/>
      <c r="G375" s="209"/>
      <c r="H375" s="209"/>
      <c r="I375" s="209"/>
      <c r="J375" s="296" t="b">
        <v>1</v>
      </c>
      <c r="K375" s="301" t="b">
        <v>0</v>
      </c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  <c r="AK375" s="209"/>
    </row>
    <row r="376">
      <c r="A376" s="291"/>
      <c r="B376" s="303" t="s">
        <v>2154</v>
      </c>
      <c r="C376" s="304" t="s">
        <v>2155</v>
      </c>
      <c r="D376" s="304" t="s">
        <v>2156</v>
      </c>
      <c r="E376" s="305">
        <v>8.10115973188E11</v>
      </c>
      <c r="F376" s="209"/>
      <c r="G376" s="209"/>
      <c r="H376" s="209"/>
      <c r="I376" s="209"/>
      <c r="J376" s="296" t="b">
        <v>1</v>
      </c>
      <c r="K376" s="301" t="b">
        <v>0</v>
      </c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09"/>
      <c r="AJ376" s="209"/>
      <c r="AK376" s="209"/>
    </row>
    <row r="377">
      <c r="A377" s="291"/>
      <c r="B377" s="303" t="s">
        <v>2157</v>
      </c>
      <c r="C377" s="304" t="s">
        <v>2158</v>
      </c>
      <c r="D377" s="304" t="s">
        <v>2159</v>
      </c>
      <c r="E377" s="305">
        <v>8.40472502172E11</v>
      </c>
      <c r="F377" s="209"/>
      <c r="G377" s="209"/>
      <c r="H377" s="209"/>
      <c r="I377" s="209"/>
      <c r="J377" s="296" t="b">
        <v>1</v>
      </c>
      <c r="K377" s="301" t="b">
        <v>0</v>
      </c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  <c r="AI377" s="209"/>
      <c r="AJ377" s="209"/>
      <c r="AK377" s="209"/>
    </row>
    <row r="378">
      <c r="A378" s="291"/>
      <c r="B378" s="303" t="s">
        <v>2160</v>
      </c>
      <c r="C378" s="304" t="s">
        <v>2161</v>
      </c>
      <c r="D378" s="304" t="s">
        <v>2162</v>
      </c>
      <c r="E378" s="305">
        <v>8.40472502189E11</v>
      </c>
      <c r="F378" s="209"/>
      <c r="G378" s="209"/>
      <c r="H378" s="209"/>
      <c r="I378" s="209"/>
      <c r="J378" s="296" t="b">
        <v>1</v>
      </c>
      <c r="K378" s="301" t="b">
        <v>0</v>
      </c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  <c r="AI378" s="209"/>
      <c r="AJ378" s="209"/>
      <c r="AK378" s="209"/>
    </row>
    <row r="379">
      <c r="A379" s="291"/>
      <c r="B379" s="303" t="s">
        <v>2163</v>
      </c>
      <c r="C379" s="304" t="s">
        <v>2164</v>
      </c>
      <c r="D379" s="304" t="s">
        <v>2165</v>
      </c>
      <c r="E379" s="305">
        <v>8.40472502196E11</v>
      </c>
      <c r="F379" s="209"/>
      <c r="G379" s="209"/>
      <c r="H379" s="209"/>
      <c r="I379" s="209"/>
      <c r="J379" s="296" t="b">
        <v>1</v>
      </c>
      <c r="K379" s="301" t="b">
        <v>0</v>
      </c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  <c r="AI379" s="209"/>
      <c r="AJ379" s="209"/>
      <c r="AK379" s="209"/>
    </row>
    <row r="380">
      <c r="A380" s="291"/>
      <c r="B380" s="310" t="s">
        <v>2166</v>
      </c>
      <c r="C380" s="311" t="s">
        <v>2167</v>
      </c>
      <c r="D380" s="311" t="s">
        <v>2168</v>
      </c>
      <c r="E380" s="312">
        <v>8.40472502202E11</v>
      </c>
      <c r="F380" s="313"/>
      <c r="G380" s="313"/>
      <c r="H380" s="313"/>
      <c r="I380" s="313"/>
      <c r="J380" s="296" t="b">
        <v>1</v>
      </c>
      <c r="K380" s="314" t="b">
        <v>0</v>
      </c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  <c r="AI380" s="209"/>
      <c r="AJ380" s="209"/>
      <c r="AK380" s="209"/>
    </row>
    <row r="38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  <c r="AI381" s="209"/>
      <c r="AJ381" s="209"/>
      <c r="AK381" s="209"/>
    </row>
    <row r="382">
      <c r="A382" s="316" t="s">
        <v>1937</v>
      </c>
      <c r="B382" s="319" t="s">
        <v>2169</v>
      </c>
      <c r="C382" s="320"/>
      <c r="D382" s="283" t="s">
        <v>2170</v>
      </c>
      <c r="E382" s="322" t="s">
        <v>2171</v>
      </c>
      <c r="F382" s="273"/>
      <c r="G382" s="273"/>
      <c r="H382" s="276" t="s">
        <v>888</v>
      </c>
      <c r="I382" s="276" t="s">
        <v>889</v>
      </c>
      <c r="J382" s="278" t="str">
        <f>IF(COUNTIF(J383:J390, TRUE) = COUNTA(J383:J390), "Complete!", IF(COUNTIF(J383:J390, TRUE) &gt; 0, "Partial", "Not Started"))</f>
        <v>Complete!</v>
      </c>
      <c r="K382" s="279"/>
      <c r="L382" s="280">
        <v>8.0</v>
      </c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  <c r="AI382" s="209"/>
      <c r="AJ382" s="209"/>
      <c r="AK382" s="209"/>
    </row>
    <row r="383">
      <c r="A383" s="291"/>
      <c r="B383" s="292" t="s">
        <v>2172</v>
      </c>
      <c r="C383" s="293" t="s">
        <v>2173</v>
      </c>
      <c r="D383" s="293" t="s">
        <v>2174</v>
      </c>
      <c r="E383" s="294">
        <v>8.4047250758E11</v>
      </c>
      <c r="F383" s="293" t="s">
        <v>1062</v>
      </c>
      <c r="G383" s="295"/>
      <c r="H383" s="295"/>
      <c r="I383" s="293" t="s">
        <v>1063</v>
      </c>
      <c r="J383" s="296" t="b">
        <v>1</v>
      </c>
      <c r="K383" s="297" t="b">
        <v>0</v>
      </c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  <c r="AI383" s="209"/>
      <c r="AJ383" s="209"/>
      <c r="AK383" s="209"/>
    </row>
    <row r="384">
      <c r="A384" s="291"/>
      <c r="B384" s="303" t="s">
        <v>2175</v>
      </c>
      <c r="C384" s="304" t="s">
        <v>2176</v>
      </c>
      <c r="D384" s="304" t="s">
        <v>2177</v>
      </c>
      <c r="E384" s="305">
        <v>8.40472507597E11</v>
      </c>
      <c r="F384" s="304" t="s">
        <v>1062</v>
      </c>
      <c r="G384" s="209"/>
      <c r="H384" s="209"/>
      <c r="I384" s="304" t="s">
        <v>1063</v>
      </c>
      <c r="J384" s="296" t="b">
        <v>1</v>
      </c>
      <c r="K384" s="301" t="b">
        <v>0</v>
      </c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  <c r="AK384" s="209"/>
    </row>
    <row r="385">
      <c r="A385" s="291"/>
      <c r="B385" s="303" t="s">
        <v>2178</v>
      </c>
      <c r="C385" s="304" t="s">
        <v>2179</v>
      </c>
      <c r="D385" s="304" t="s">
        <v>2180</v>
      </c>
      <c r="E385" s="305">
        <v>8.40472507603E11</v>
      </c>
      <c r="F385" s="304" t="s">
        <v>1062</v>
      </c>
      <c r="G385" s="209"/>
      <c r="H385" s="209"/>
      <c r="I385" s="304" t="s">
        <v>1063</v>
      </c>
      <c r="J385" s="296" t="b">
        <v>1</v>
      </c>
      <c r="K385" s="301" t="b">
        <v>0</v>
      </c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209"/>
      <c r="AJ385" s="209"/>
      <c r="AK385" s="209"/>
    </row>
    <row r="386">
      <c r="A386" s="291"/>
      <c r="B386" s="303" t="s">
        <v>2181</v>
      </c>
      <c r="C386" s="304" t="s">
        <v>2182</v>
      </c>
      <c r="D386" s="304" t="s">
        <v>2183</v>
      </c>
      <c r="E386" s="305">
        <v>8.4047250761E11</v>
      </c>
      <c r="F386" s="304" t="s">
        <v>1062</v>
      </c>
      <c r="G386" s="209"/>
      <c r="H386" s="209"/>
      <c r="I386" s="304" t="s">
        <v>1063</v>
      </c>
      <c r="J386" s="296" t="b">
        <v>1</v>
      </c>
      <c r="K386" s="301" t="b">
        <v>0</v>
      </c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  <c r="AI386" s="209"/>
      <c r="AJ386" s="209"/>
      <c r="AK386" s="209"/>
    </row>
    <row r="387">
      <c r="A387" s="291"/>
      <c r="B387" s="303" t="s">
        <v>2184</v>
      </c>
      <c r="C387" s="304" t="s">
        <v>2173</v>
      </c>
      <c r="D387" s="304" t="s">
        <v>2185</v>
      </c>
      <c r="E387" s="305">
        <v>8.40472507627E11</v>
      </c>
      <c r="F387" s="304" t="s">
        <v>1062</v>
      </c>
      <c r="G387" s="209"/>
      <c r="H387" s="209"/>
      <c r="I387" s="304" t="s">
        <v>1063</v>
      </c>
      <c r="J387" s="296" t="b">
        <v>1</v>
      </c>
      <c r="K387" s="301" t="b">
        <v>0</v>
      </c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  <c r="AI387" s="209"/>
      <c r="AJ387" s="209"/>
      <c r="AK387" s="209"/>
    </row>
    <row r="388">
      <c r="A388" s="291"/>
      <c r="B388" s="354" t="s">
        <v>2186</v>
      </c>
      <c r="C388" s="304" t="s">
        <v>2187</v>
      </c>
      <c r="D388" s="304" t="s">
        <v>2188</v>
      </c>
      <c r="E388" s="305">
        <v>8.40472507634E11</v>
      </c>
      <c r="F388" s="304" t="s">
        <v>1062</v>
      </c>
      <c r="G388" s="209"/>
      <c r="H388" s="209"/>
      <c r="I388" s="304" t="s">
        <v>1063</v>
      </c>
      <c r="J388" s="296" t="b">
        <v>1</v>
      </c>
      <c r="K388" s="301" t="b">
        <v>0</v>
      </c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  <c r="AK388" s="209"/>
    </row>
    <row r="389">
      <c r="A389" s="291"/>
      <c r="B389" s="303" t="s">
        <v>2189</v>
      </c>
      <c r="C389" s="304" t="s">
        <v>2179</v>
      </c>
      <c r="D389" s="304" t="s">
        <v>2190</v>
      </c>
      <c r="E389" s="305">
        <v>8.40472507641E11</v>
      </c>
      <c r="F389" s="304" t="s">
        <v>1062</v>
      </c>
      <c r="G389" s="209"/>
      <c r="H389" s="209"/>
      <c r="I389" s="304" t="s">
        <v>1063</v>
      </c>
      <c r="J389" s="296" t="b">
        <v>1</v>
      </c>
      <c r="K389" s="301" t="b">
        <v>0</v>
      </c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  <c r="AI389" s="209"/>
      <c r="AJ389" s="209"/>
      <c r="AK389" s="209"/>
    </row>
    <row r="390">
      <c r="A390" s="291"/>
      <c r="B390" s="310" t="s">
        <v>2191</v>
      </c>
      <c r="C390" s="311" t="s">
        <v>2182</v>
      </c>
      <c r="D390" s="311" t="s">
        <v>2192</v>
      </c>
      <c r="E390" s="312">
        <v>8.40472507658E11</v>
      </c>
      <c r="F390" s="311" t="s">
        <v>1062</v>
      </c>
      <c r="G390" s="313"/>
      <c r="H390" s="313"/>
      <c r="I390" s="311" t="s">
        <v>1063</v>
      </c>
      <c r="J390" s="296" t="b">
        <v>1</v>
      </c>
      <c r="K390" s="314" t="b">
        <v>0</v>
      </c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  <c r="AI390" s="209"/>
      <c r="AJ390" s="209"/>
      <c r="AK390" s="209"/>
    </row>
    <row r="391">
      <c r="A391" s="209"/>
      <c r="B391" s="209"/>
      <c r="C391" s="209"/>
      <c r="D391" s="209"/>
      <c r="E391" s="353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  <c r="AI391" s="209"/>
      <c r="AJ391" s="209"/>
      <c r="AK391" s="209"/>
    </row>
    <row r="392">
      <c r="A392" s="316" t="s">
        <v>1958</v>
      </c>
      <c r="B392" s="319" t="s">
        <v>2193</v>
      </c>
      <c r="C392" s="320"/>
      <c r="D392" s="283" t="s">
        <v>2194</v>
      </c>
      <c r="E392" s="322" t="s">
        <v>2195</v>
      </c>
      <c r="F392" s="320"/>
      <c r="G392" s="322" t="s">
        <v>2196</v>
      </c>
      <c r="H392" s="276" t="s">
        <v>376</v>
      </c>
      <c r="I392" s="285" t="s">
        <v>2197</v>
      </c>
      <c r="J392" s="278" t="str">
        <f>IF(COUNTIF(J393:J410, TRUE) = COUNTA(J393:J410), "Complete!", IF(COUNTIF(J393:J410, TRUE) &gt; 0, "Partial", "Not Started"))</f>
        <v>Complete!</v>
      </c>
      <c r="K392" s="279"/>
      <c r="L392" s="280">
        <v>18.0</v>
      </c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  <c r="AI392" s="209"/>
      <c r="AJ392" s="209"/>
      <c r="AK392" s="209"/>
    </row>
    <row r="393">
      <c r="A393" s="291"/>
      <c r="B393" s="376" t="s">
        <v>2198</v>
      </c>
      <c r="C393" s="377" t="s">
        <v>431</v>
      </c>
      <c r="D393" s="304" t="s">
        <v>2199</v>
      </c>
      <c r="E393" s="395">
        <v>8.10115975977E11</v>
      </c>
      <c r="F393" s="209"/>
      <c r="G393" s="209"/>
      <c r="H393" s="209"/>
      <c r="I393" s="209"/>
      <c r="J393" s="300" t="b">
        <v>1</v>
      </c>
      <c r="K393" s="301" t="b">
        <v>0</v>
      </c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  <c r="AI393" s="209"/>
      <c r="AJ393" s="209"/>
      <c r="AK393" s="209"/>
    </row>
    <row r="394">
      <c r="A394" s="291"/>
      <c r="B394" s="376" t="s">
        <v>2200</v>
      </c>
      <c r="C394" s="377" t="s">
        <v>431</v>
      </c>
      <c r="D394" s="304" t="s">
        <v>2201</v>
      </c>
      <c r="E394" s="395">
        <v>8.10115975984E11</v>
      </c>
      <c r="F394" s="209"/>
      <c r="G394" s="209"/>
      <c r="H394" s="209"/>
      <c r="I394" s="209"/>
      <c r="J394" s="300" t="b">
        <v>1</v>
      </c>
      <c r="K394" s="301" t="b">
        <v>0</v>
      </c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  <c r="AI394" s="209"/>
      <c r="AJ394" s="209"/>
      <c r="AK394" s="209"/>
    </row>
    <row r="395">
      <c r="A395" s="291"/>
      <c r="B395" s="376" t="s">
        <v>2202</v>
      </c>
      <c r="C395" s="377" t="s">
        <v>421</v>
      </c>
      <c r="D395" s="304" t="s">
        <v>2203</v>
      </c>
      <c r="E395" s="395">
        <v>8.10115976004E11</v>
      </c>
      <c r="F395" s="209"/>
      <c r="G395" s="209"/>
      <c r="H395" s="209"/>
      <c r="I395" s="209"/>
      <c r="J395" s="300" t="b">
        <v>1</v>
      </c>
      <c r="K395" s="301" t="b">
        <v>0</v>
      </c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  <c r="AI395" s="209"/>
      <c r="AJ395" s="209"/>
      <c r="AK395" s="209"/>
    </row>
    <row r="396">
      <c r="A396" s="291"/>
      <c r="B396" s="376" t="s">
        <v>2204</v>
      </c>
      <c r="C396" s="377" t="s">
        <v>421</v>
      </c>
      <c r="D396" s="304" t="s">
        <v>2205</v>
      </c>
      <c r="E396" s="395">
        <v>8.10115975991E11</v>
      </c>
      <c r="F396" s="209"/>
      <c r="G396" s="209"/>
      <c r="H396" s="209"/>
      <c r="I396" s="209"/>
      <c r="J396" s="300" t="b">
        <v>1</v>
      </c>
      <c r="K396" s="301" t="b">
        <v>0</v>
      </c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  <c r="AI396" s="209"/>
      <c r="AJ396" s="209"/>
      <c r="AK396" s="209"/>
    </row>
    <row r="397">
      <c r="A397" s="291"/>
      <c r="B397" s="376" t="s">
        <v>2206</v>
      </c>
      <c r="C397" s="377" t="s">
        <v>449</v>
      </c>
      <c r="D397" s="304" t="s">
        <v>2207</v>
      </c>
      <c r="E397" s="395">
        <v>8.10115978299E11</v>
      </c>
      <c r="F397" s="209"/>
      <c r="G397" s="209"/>
      <c r="H397" s="209"/>
      <c r="I397" s="209"/>
      <c r="J397" s="300" t="b">
        <v>1</v>
      </c>
      <c r="K397" s="301" t="b">
        <v>0</v>
      </c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09"/>
      <c r="AJ397" s="209"/>
      <c r="AK397" s="209"/>
    </row>
    <row r="398">
      <c r="A398" s="291"/>
      <c r="B398" s="396" t="s">
        <v>2208</v>
      </c>
      <c r="C398" s="377" t="s">
        <v>449</v>
      </c>
      <c r="D398" s="304" t="s">
        <v>2209</v>
      </c>
      <c r="E398" s="395">
        <v>8.1011597835E11</v>
      </c>
      <c r="F398" s="209"/>
      <c r="G398" s="209"/>
      <c r="H398" s="209"/>
      <c r="I398" s="209"/>
      <c r="J398" s="300" t="b">
        <v>1</v>
      </c>
      <c r="K398" s="301" t="b">
        <v>0</v>
      </c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  <c r="AI398" s="209"/>
      <c r="AJ398" s="209"/>
      <c r="AK398" s="209"/>
    </row>
    <row r="399">
      <c r="A399" s="291"/>
      <c r="B399" s="376" t="s">
        <v>2210</v>
      </c>
      <c r="C399" s="377" t="s">
        <v>440</v>
      </c>
      <c r="D399" s="304" t="s">
        <v>2211</v>
      </c>
      <c r="E399" s="395">
        <v>8.10115978305E11</v>
      </c>
      <c r="F399" s="209"/>
      <c r="G399" s="209"/>
      <c r="H399" s="209"/>
      <c r="I399" s="209"/>
      <c r="J399" s="300" t="b">
        <v>1</v>
      </c>
      <c r="K399" s="301" t="b">
        <v>0</v>
      </c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  <c r="AI399" s="209"/>
      <c r="AJ399" s="209"/>
      <c r="AK399" s="209"/>
    </row>
    <row r="400">
      <c r="A400" s="291"/>
      <c r="B400" s="376" t="s">
        <v>2212</v>
      </c>
      <c r="C400" s="377" t="s">
        <v>440</v>
      </c>
      <c r="D400" s="304" t="s">
        <v>2213</v>
      </c>
      <c r="E400" s="395">
        <v>8.10115978367E11</v>
      </c>
      <c r="F400" s="304" t="s">
        <v>750</v>
      </c>
      <c r="G400" s="209"/>
      <c r="H400" s="209"/>
      <c r="I400" s="209"/>
      <c r="J400" s="300" t="b">
        <v>1</v>
      </c>
      <c r="K400" s="301" t="b">
        <v>0</v>
      </c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  <c r="AI400" s="209"/>
      <c r="AJ400" s="209"/>
      <c r="AK400" s="209"/>
    </row>
    <row r="401">
      <c r="A401" s="291"/>
      <c r="B401" s="376" t="s">
        <v>2214</v>
      </c>
      <c r="C401" s="377" t="s">
        <v>458</v>
      </c>
      <c r="D401" s="304" t="s">
        <v>2215</v>
      </c>
      <c r="E401" s="395">
        <v>8.10115978312E11</v>
      </c>
      <c r="F401" s="209"/>
      <c r="G401" s="209"/>
      <c r="H401" s="209"/>
      <c r="I401" s="209"/>
      <c r="J401" s="300" t="b">
        <v>1</v>
      </c>
      <c r="K401" s="301" t="b">
        <v>0</v>
      </c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  <c r="AI401" s="209"/>
      <c r="AJ401" s="209"/>
      <c r="AK401" s="209"/>
    </row>
    <row r="402">
      <c r="A402" s="291"/>
      <c r="B402" s="376" t="s">
        <v>2216</v>
      </c>
      <c r="C402" s="377" t="s">
        <v>458</v>
      </c>
      <c r="D402" s="304" t="s">
        <v>2217</v>
      </c>
      <c r="E402" s="395">
        <v>8.10115978374E11</v>
      </c>
      <c r="F402" s="209"/>
      <c r="G402" s="209"/>
      <c r="H402" s="209"/>
      <c r="I402" s="209"/>
      <c r="J402" s="300" t="b">
        <v>1</v>
      </c>
      <c r="K402" s="301" t="b">
        <v>0</v>
      </c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  <c r="AI402" s="209"/>
      <c r="AJ402" s="209"/>
      <c r="AK402" s="209"/>
    </row>
    <row r="403">
      <c r="A403" s="291"/>
      <c r="B403" s="376" t="s">
        <v>2218</v>
      </c>
      <c r="C403" s="377" t="s">
        <v>505</v>
      </c>
      <c r="D403" s="304" t="s">
        <v>2219</v>
      </c>
      <c r="E403" s="395">
        <v>8.10115978329E11</v>
      </c>
      <c r="F403" s="209"/>
      <c r="G403" s="209"/>
      <c r="H403" s="209"/>
      <c r="I403" s="209"/>
      <c r="J403" s="300" t="b">
        <v>1</v>
      </c>
      <c r="K403" s="301" t="b">
        <v>0</v>
      </c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  <c r="AI403" s="209"/>
      <c r="AJ403" s="209"/>
      <c r="AK403" s="209"/>
    </row>
    <row r="404">
      <c r="A404" s="291"/>
      <c r="B404" s="376" t="s">
        <v>2220</v>
      </c>
      <c r="C404" s="377" t="s">
        <v>505</v>
      </c>
      <c r="D404" s="304" t="s">
        <v>2221</v>
      </c>
      <c r="E404" s="395">
        <v>8.10115978381E11</v>
      </c>
      <c r="F404" s="209"/>
      <c r="G404" s="209"/>
      <c r="H404" s="209"/>
      <c r="I404" s="209"/>
      <c r="J404" s="300" t="b">
        <v>1</v>
      </c>
      <c r="K404" s="301" t="b">
        <v>0</v>
      </c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  <c r="AI404" s="209"/>
      <c r="AJ404" s="209"/>
      <c r="AK404" s="209"/>
    </row>
    <row r="405">
      <c r="A405" s="291"/>
      <c r="B405" s="376" t="s">
        <v>2222</v>
      </c>
      <c r="C405" s="377" t="s">
        <v>539</v>
      </c>
      <c r="D405" s="304" t="s">
        <v>2223</v>
      </c>
      <c r="E405" s="395">
        <v>8.10115978336E11</v>
      </c>
      <c r="F405" s="209"/>
      <c r="G405" s="209"/>
      <c r="H405" s="209"/>
      <c r="I405" s="209"/>
      <c r="J405" s="300" t="b">
        <v>1</v>
      </c>
      <c r="K405" s="301" t="b">
        <v>0</v>
      </c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  <c r="AI405" s="209"/>
      <c r="AJ405" s="209"/>
      <c r="AK405" s="209"/>
    </row>
    <row r="406">
      <c r="A406" s="291"/>
      <c r="B406" s="376" t="s">
        <v>2224</v>
      </c>
      <c r="C406" s="377" t="s">
        <v>539</v>
      </c>
      <c r="D406" s="304" t="s">
        <v>2225</v>
      </c>
      <c r="E406" s="395">
        <v>8.10115978398E11</v>
      </c>
      <c r="F406" s="209"/>
      <c r="G406" s="209"/>
      <c r="H406" s="209"/>
      <c r="I406" s="209"/>
      <c r="J406" s="300" t="b">
        <v>1</v>
      </c>
      <c r="K406" s="301" t="b">
        <v>0</v>
      </c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  <c r="AI406" s="209"/>
      <c r="AJ406" s="209"/>
      <c r="AK406" s="209"/>
    </row>
    <row r="407">
      <c r="A407" s="291"/>
      <c r="B407" s="303" t="s">
        <v>2226</v>
      </c>
      <c r="C407" s="304" t="s">
        <v>547</v>
      </c>
      <c r="D407" s="304" t="s">
        <v>2227</v>
      </c>
      <c r="E407" s="305">
        <v>8.10115978343E11</v>
      </c>
      <c r="F407" s="209"/>
      <c r="G407" s="209"/>
      <c r="H407" s="209"/>
      <c r="I407" s="209"/>
      <c r="J407" s="300" t="b">
        <v>1</v>
      </c>
      <c r="K407" s="301" t="b">
        <v>0</v>
      </c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  <c r="AK407" s="209"/>
    </row>
    <row r="408">
      <c r="A408" s="291"/>
      <c r="B408" s="303" t="s">
        <v>2228</v>
      </c>
      <c r="C408" s="304" t="s">
        <v>547</v>
      </c>
      <c r="D408" s="304" t="s">
        <v>2229</v>
      </c>
      <c r="E408" s="305">
        <v>8.10115978404E11</v>
      </c>
      <c r="F408" s="209"/>
      <c r="G408" s="209"/>
      <c r="H408" s="209"/>
      <c r="I408" s="209"/>
      <c r="J408" s="300" t="b">
        <v>1</v>
      </c>
      <c r="K408" s="301" t="b">
        <v>0</v>
      </c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  <c r="AI408" s="209"/>
      <c r="AJ408" s="209"/>
      <c r="AK408" s="209"/>
    </row>
    <row r="409">
      <c r="A409" s="291"/>
      <c r="B409" s="303" t="s">
        <v>2230</v>
      </c>
      <c r="C409" s="304" t="s">
        <v>641</v>
      </c>
      <c r="D409" s="304" t="s">
        <v>2231</v>
      </c>
      <c r="E409" s="305">
        <v>8.1011597596E11</v>
      </c>
      <c r="F409" s="209"/>
      <c r="G409" s="209"/>
      <c r="H409" s="209"/>
      <c r="I409" s="209"/>
      <c r="J409" s="300" t="b">
        <v>1</v>
      </c>
      <c r="K409" s="301" t="b">
        <v>0</v>
      </c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  <c r="AI409" s="209"/>
      <c r="AJ409" s="209"/>
      <c r="AK409" s="209"/>
    </row>
    <row r="410">
      <c r="A410" s="309"/>
      <c r="B410" s="310" t="s">
        <v>2232</v>
      </c>
      <c r="C410" s="311" t="s">
        <v>641</v>
      </c>
      <c r="D410" s="311" t="s">
        <v>2233</v>
      </c>
      <c r="E410" s="312">
        <v>8.10115975953E11</v>
      </c>
      <c r="F410" s="313"/>
      <c r="G410" s="313"/>
      <c r="H410" s="313"/>
      <c r="I410" s="313"/>
      <c r="J410" s="300" t="b">
        <v>1</v>
      </c>
      <c r="K410" s="314" t="b">
        <v>0</v>
      </c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  <c r="AI410" s="209"/>
      <c r="AJ410" s="209"/>
      <c r="AK410" s="209"/>
    </row>
    <row r="41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  <c r="AK411" s="209"/>
    </row>
    <row r="412">
      <c r="A412" s="316" t="s">
        <v>1978</v>
      </c>
      <c r="B412" s="282" t="s">
        <v>2234</v>
      </c>
      <c r="C412" s="273"/>
      <c r="D412" s="274" t="s">
        <v>2235</v>
      </c>
      <c r="E412" s="275" t="s">
        <v>2236</v>
      </c>
      <c r="F412" s="273"/>
      <c r="G412" s="273"/>
      <c r="H412" s="276" t="s">
        <v>572</v>
      </c>
      <c r="I412" s="276" t="s">
        <v>2237</v>
      </c>
      <c r="J412" s="278" t="str">
        <f>IF(COUNTIF(J413:J420, TRUE) = COUNTA(J413:J420), "Complete!", IF(COUNTIF(J413:J420, TRUE) &gt; 0, "Partial", "Not Started"))</f>
        <v>Complete!</v>
      </c>
      <c r="K412" s="279"/>
      <c r="L412" s="280">
        <v>8.0</v>
      </c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  <c r="AI412" s="209"/>
      <c r="AJ412" s="209"/>
      <c r="AK412" s="209"/>
    </row>
    <row r="413">
      <c r="A413" s="291"/>
      <c r="B413" s="292" t="s">
        <v>2238</v>
      </c>
      <c r="C413" s="293" t="s">
        <v>449</v>
      </c>
      <c r="D413" s="293" t="s">
        <v>2239</v>
      </c>
      <c r="E413" s="294">
        <v>8.10115970293E11</v>
      </c>
      <c r="F413" s="295"/>
      <c r="G413" s="295"/>
      <c r="H413" s="295"/>
      <c r="I413" s="295"/>
      <c r="J413" s="296" t="b">
        <v>1</v>
      </c>
      <c r="K413" s="297" t="b">
        <v>0</v>
      </c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  <c r="AI413" s="209"/>
      <c r="AJ413" s="209"/>
      <c r="AK413" s="209"/>
    </row>
    <row r="414">
      <c r="A414" s="291"/>
      <c r="B414" s="303" t="s">
        <v>2240</v>
      </c>
      <c r="C414" s="304" t="s">
        <v>487</v>
      </c>
      <c r="D414" s="304" t="s">
        <v>2241</v>
      </c>
      <c r="E414" s="305">
        <v>8.10115972327E11</v>
      </c>
      <c r="F414" s="209"/>
      <c r="G414" s="209"/>
      <c r="H414" s="209"/>
      <c r="I414" s="209"/>
      <c r="J414" s="300" t="b">
        <v>1</v>
      </c>
      <c r="K414" s="301" t="b">
        <v>0</v>
      </c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  <c r="AI414" s="209"/>
      <c r="AJ414" s="209"/>
      <c r="AK414" s="209"/>
    </row>
    <row r="415">
      <c r="A415" s="291"/>
      <c r="B415" s="303" t="s">
        <v>2242</v>
      </c>
      <c r="C415" s="304" t="s">
        <v>440</v>
      </c>
      <c r="D415" s="304" t="s">
        <v>2243</v>
      </c>
      <c r="E415" s="305">
        <v>8.1011597033E11</v>
      </c>
      <c r="F415" s="209"/>
      <c r="G415" s="209"/>
      <c r="H415" s="209"/>
      <c r="I415" s="209"/>
      <c r="J415" s="300" t="b">
        <v>1</v>
      </c>
      <c r="K415" s="301" t="b">
        <v>0</v>
      </c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  <c r="AI415" s="209"/>
      <c r="AJ415" s="209"/>
      <c r="AK415" s="209"/>
    </row>
    <row r="416">
      <c r="A416" s="291"/>
      <c r="B416" s="303" t="s">
        <v>2244</v>
      </c>
      <c r="C416" s="304" t="s">
        <v>458</v>
      </c>
      <c r="D416" s="304" t="s">
        <v>2245</v>
      </c>
      <c r="E416" s="305">
        <v>8.10115971672E11</v>
      </c>
      <c r="F416" s="209"/>
      <c r="G416" s="209"/>
      <c r="H416" s="209"/>
      <c r="I416" s="209"/>
      <c r="J416" s="300" t="b">
        <v>1</v>
      </c>
      <c r="K416" s="301" t="b">
        <v>0</v>
      </c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  <c r="AI416" s="209"/>
      <c r="AJ416" s="209"/>
      <c r="AK416" s="209"/>
    </row>
    <row r="417">
      <c r="A417" s="291"/>
      <c r="B417" s="303" t="s">
        <v>2246</v>
      </c>
      <c r="C417" s="304" t="s">
        <v>505</v>
      </c>
      <c r="D417" s="304" t="s">
        <v>2247</v>
      </c>
      <c r="E417" s="305">
        <v>8.10115970354E11</v>
      </c>
      <c r="F417" s="209"/>
      <c r="G417" s="209"/>
      <c r="H417" s="209"/>
      <c r="I417" s="209"/>
      <c r="J417" s="300" t="b">
        <v>1</v>
      </c>
      <c r="K417" s="301" t="b">
        <v>0</v>
      </c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  <c r="AI417" s="209"/>
      <c r="AJ417" s="209"/>
      <c r="AK417" s="209"/>
    </row>
    <row r="418">
      <c r="A418" s="291"/>
      <c r="B418" s="354" t="s">
        <v>2248</v>
      </c>
      <c r="C418" s="304" t="s">
        <v>547</v>
      </c>
      <c r="D418" s="304" t="s">
        <v>2249</v>
      </c>
      <c r="E418" s="305">
        <v>8.10115972341E11</v>
      </c>
      <c r="F418" s="209"/>
      <c r="G418" s="209"/>
      <c r="H418" s="209"/>
      <c r="I418" s="209"/>
      <c r="J418" s="300" t="b">
        <v>1</v>
      </c>
      <c r="K418" s="301" t="b">
        <v>0</v>
      </c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  <c r="AI418" s="209"/>
      <c r="AJ418" s="209"/>
      <c r="AK418" s="209"/>
    </row>
    <row r="419">
      <c r="A419" s="291"/>
      <c r="B419" s="303" t="s">
        <v>2250</v>
      </c>
      <c r="C419" s="304" t="s">
        <v>522</v>
      </c>
      <c r="D419" s="304" t="s">
        <v>2251</v>
      </c>
      <c r="E419" s="209"/>
      <c r="F419" s="304" t="s">
        <v>750</v>
      </c>
      <c r="G419" s="304" t="s">
        <v>1057</v>
      </c>
      <c r="H419" s="209"/>
      <c r="I419" s="209"/>
      <c r="J419" s="300" t="b">
        <v>1</v>
      </c>
      <c r="K419" s="301" t="b">
        <v>1</v>
      </c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  <c r="AK419" s="209"/>
    </row>
    <row r="420">
      <c r="A420" s="309"/>
      <c r="B420" s="397" t="s">
        <v>2252</v>
      </c>
      <c r="C420" s="311" t="s">
        <v>487</v>
      </c>
      <c r="D420" s="311" t="s">
        <v>2253</v>
      </c>
      <c r="E420" s="398"/>
      <c r="F420" s="311" t="s">
        <v>2254</v>
      </c>
      <c r="G420" s="313"/>
      <c r="H420" s="313"/>
      <c r="I420" s="313"/>
      <c r="J420" s="300" t="b">
        <v>1</v>
      </c>
      <c r="K420" s="314" t="b">
        <v>1</v>
      </c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  <c r="AI420" s="209"/>
      <c r="AJ420" s="209"/>
      <c r="AK420" s="209"/>
    </row>
    <row r="42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  <c r="AI421" s="209"/>
      <c r="AJ421" s="209"/>
      <c r="AK421" s="209"/>
    </row>
    <row r="422">
      <c r="A422" s="316" t="s">
        <v>1999</v>
      </c>
      <c r="B422" s="319" t="s">
        <v>2255</v>
      </c>
      <c r="C422" s="320"/>
      <c r="D422" s="283" t="s">
        <v>2256</v>
      </c>
      <c r="E422" s="322" t="s">
        <v>2236</v>
      </c>
      <c r="F422" s="320"/>
      <c r="G422" s="320"/>
      <c r="H422" s="276" t="s">
        <v>468</v>
      </c>
      <c r="I422" s="285" t="s">
        <v>2257</v>
      </c>
      <c r="J422" s="278" t="str">
        <f>IF(COUNTIF(J423:J428, TRUE) = COUNTA(J423:J428), "Complete!", IF(COUNTIF(J423:J428, TRUE) &gt; 0, "Partial", "Not Started"))</f>
        <v>Complete!</v>
      </c>
      <c r="K422" s="279"/>
      <c r="L422" s="280">
        <v>6.0</v>
      </c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09"/>
      <c r="AJ422" s="209"/>
      <c r="AK422" s="209"/>
    </row>
    <row r="423">
      <c r="A423" s="291"/>
      <c r="B423" s="303" t="s">
        <v>2258</v>
      </c>
      <c r="C423" s="304" t="s">
        <v>449</v>
      </c>
      <c r="D423" s="304" t="s">
        <v>2259</v>
      </c>
      <c r="E423" s="305">
        <v>8.10115971641E11</v>
      </c>
      <c r="F423" s="209"/>
      <c r="G423" s="209"/>
      <c r="H423" s="209"/>
      <c r="I423" s="209"/>
      <c r="J423" s="300" t="b">
        <v>1</v>
      </c>
      <c r="K423" s="301" t="b">
        <v>0</v>
      </c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  <c r="AK423" s="209"/>
    </row>
    <row r="424">
      <c r="A424" s="291"/>
      <c r="B424" s="303" t="s">
        <v>2260</v>
      </c>
      <c r="C424" s="304" t="s">
        <v>487</v>
      </c>
      <c r="D424" s="304" t="s">
        <v>2261</v>
      </c>
      <c r="E424" s="305">
        <v>8.10115973195E11</v>
      </c>
      <c r="F424" s="209"/>
      <c r="G424" s="209"/>
      <c r="H424" s="209"/>
      <c r="I424" s="209"/>
      <c r="J424" s="300" t="b">
        <v>1</v>
      </c>
      <c r="K424" s="301" t="b">
        <v>0</v>
      </c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  <c r="AI424" s="209"/>
      <c r="AJ424" s="209"/>
      <c r="AK424" s="209"/>
    </row>
    <row r="425">
      <c r="A425" s="291"/>
      <c r="B425" s="303" t="s">
        <v>2262</v>
      </c>
      <c r="C425" s="304" t="s">
        <v>440</v>
      </c>
      <c r="D425" s="304" t="s">
        <v>2263</v>
      </c>
      <c r="E425" s="305">
        <v>8.10115971658E11</v>
      </c>
      <c r="F425" s="304" t="s">
        <v>406</v>
      </c>
      <c r="G425" s="209"/>
      <c r="H425" s="209"/>
      <c r="I425" s="304" t="s">
        <v>2264</v>
      </c>
      <c r="J425" s="300" t="b">
        <v>1</v>
      </c>
      <c r="K425" s="301" t="b">
        <v>1</v>
      </c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  <c r="AI425" s="209"/>
      <c r="AJ425" s="209"/>
      <c r="AK425" s="209"/>
    </row>
    <row r="426">
      <c r="A426" s="291"/>
      <c r="B426" s="303" t="s">
        <v>2265</v>
      </c>
      <c r="C426" s="304" t="s">
        <v>458</v>
      </c>
      <c r="D426" s="304" t="s">
        <v>2266</v>
      </c>
      <c r="E426" s="305">
        <v>8.10115971665E11</v>
      </c>
      <c r="F426" s="209"/>
      <c r="G426" s="209"/>
      <c r="H426" s="209"/>
      <c r="I426" s="209"/>
      <c r="J426" s="300" t="b">
        <v>1</v>
      </c>
      <c r="K426" s="301" t="b">
        <v>0</v>
      </c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  <c r="AI426" s="209"/>
      <c r="AJ426" s="209"/>
      <c r="AK426" s="209"/>
    </row>
    <row r="427">
      <c r="A427" s="291"/>
      <c r="B427" s="303" t="s">
        <v>2267</v>
      </c>
      <c r="C427" s="304" t="s">
        <v>505</v>
      </c>
      <c r="D427" s="304" t="s">
        <v>2268</v>
      </c>
      <c r="E427" s="305">
        <v>8.10115971719E11</v>
      </c>
      <c r="F427" s="209"/>
      <c r="G427" s="209"/>
      <c r="H427" s="209"/>
      <c r="I427" s="209"/>
      <c r="J427" s="300" t="b">
        <v>1</v>
      </c>
      <c r="K427" s="301" t="b">
        <v>0</v>
      </c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  <c r="AI427" s="209"/>
      <c r="AJ427" s="209"/>
      <c r="AK427" s="209"/>
    </row>
    <row r="428">
      <c r="A428" s="309"/>
      <c r="B428" s="310" t="s">
        <v>2269</v>
      </c>
      <c r="C428" s="311" t="s">
        <v>547</v>
      </c>
      <c r="D428" s="311" t="s">
        <v>2270</v>
      </c>
      <c r="E428" s="312">
        <v>8.10115977841E11</v>
      </c>
      <c r="F428" s="313"/>
      <c r="G428" s="313"/>
      <c r="H428" s="313"/>
      <c r="I428" s="313"/>
      <c r="J428" s="300" t="b">
        <v>1</v>
      </c>
      <c r="K428" s="314" t="b">
        <v>0</v>
      </c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  <c r="AI428" s="209"/>
      <c r="AJ428" s="209"/>
      <c r="AK428" s="209"/>
    </row>
    <row r="429">
      <c r="A429" s="209"/>
      <c r="B429" s="209"/>
      <c r="C429" s="209"/>
      <c r="D429" s="209"/>
      <c r="E429" s="209"/>
      <c r="F429" s="209"/>
      <c r="G429" s="209"/>
      <c r="H429" s="209"/>
      <c r="I429" s="209"/>
      <c r="J429" s="313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  <c r="AI429" s="209"/>
      <c r="AJ429" s="209"/>
      <c r="AK429" s="209"/>
    </row>
    <row r="430">
      <c r="A430" s="316" t="s">
        <v>2020</v>
      </c>
      <c r="B430" s="319" t="s">
        <v>2271</v>
      </c>
      <c r="C430" s="320"/>
      <c r="D430" s="283" t="s">
        <v>2272</v>
      </c>
      <c r="E430" s="322" t="s">
        <v>2273</v>
      </c>
      <c r="F430" s="399"/>
      <c r="G430" s="399"/>
      <c r="H430" s="400" t="s">
        <v>468</v>
      </c>
      <c r="I430" s="285" t="s">
        <v>2274</v>
      </c>
      <c r="J430" s="278" t="str">
        <f>IF(COUNTIF(J431:J440, TRUE) = COUNTA(J431:J440), "Complete!", IF(COUNTIF(J431:J440, TRUE) &gt; 0, "Partial", "Not Started"))</f>
        <v>Complete!</v>
      </c>
      <c r="K430" s="279"/>
      <c r="L430" s="280">
        <v>10.0</v>
      </c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  <c r="AI430" s="209"/>
      <c r="AJ430" s="209"/>
      <c r="AK430" s="209"/>
    </row>
    <row r="431">
      <c r="A431" s="291"/>
      <c r="B431" s="292" t="s">
        <v>2275</v>
      </c>
      <c r="C431" s="293" t="s">
        <v>630</v>
      </c>
      <c r="D431" s="304" t="s">
        <v>2276</v>
      </c>
      <c r="E431" s="294">
        <v>8.10115977858E11</v>
      </c>
      <c r="F431" s="209"/>
      <c r="G431" s="209"/>
      <c r="H431" s="209"/>
      <c r="I431" s="209"/>
      <c r="J431" s="300" t="b">
        <v>1</v>
      </c>
      <c r="K431" s="301" t="b">
        <v>0</v>
      </c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  <c r="AI431" s="209"/>
      <c r="AJ431" s="209"/>
      <c r="AK431" s="209"/>
    </row>
    <row r="432">
      <c r="A432" s="291"/>
      <c r="B432" s="303" t="s">
        <v>2277</v>
      </c>
      <c r="C432" s="304" t="s">
        <v>2278</v>
      </c>
      <c r="D432" s="304" t="s">
        <v>2279</v>
      </c>
      <c r="E432" s="305">
        <v>8.10115977865E11</v>
      </c>
      <c r="F432" s="209"/>
      <c r="G432" s="209"/>
      <c r="H432" s="209"/>
      <c r="I432" s="209"/>
      <c r="J432" s="300" t="b">
        <v>1</v>
      </c>
      <c r="K432" s="301" t="b">
        <v>0</v>
      </c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  <c r="AI432" s="209"/>
      <c r="AJ432" s="209"/>
      <c r="AK432" s="209"/>
    </row>
    <row r="433">
      <c r="A433" s="291"/>
      <c r="B433" s="303" t="s">
        <v>2280</v>
      </c>
      <c r="C433" s="304" t="s">
        <v>394</v>
      </c>
      <c r="D433" s="304" t="s">
        <v>2281</v>
      </c>
      <c r="E433" s="305">
        <v>8.10115977872E11</v>
      </c>
      <c r="F433" s="209"/>
      <c r="G433" s="209"/>
      <c r="H433" s="209"/>
      <c r="I433" s="209"/>
      <c r="J433" s="300" t="b">
        <v>1</v>
      </c>
      <c r="K433" s="301" t="b">
        <v>0</v>
      </c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  <c r="AI433" s="209"/>
      <c r="AJ433" s="209"/>
      <c r="AK433" s="209"/>
    </row>
    <row r="434">
      <c r="A434" s="291"/>
      <c r="B434" s="303" t="s">
        <v>2282</v>
      </c>
      <c r="C434" s="304" t="s">
        <v>404</v>
      </c>
      <c r="D434" s="304" t="s">
        <v>2283</v>
      </c>
      <c r="E434" s="305">
        <v>8.10115971214E11</v>
      </c>
      <c r="F434" s="209"/>
      <c r="G434" s="209"/>
      <c r="H434" s="209"/>
      <c r="I434" s="209"/>
      <c r="J434" s="300" t="b">
        <v>1</v>
      </c>
      <c r="K434" s="301" t="b">
        <v>0</v>
      </c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  <c r="AI434" s="209"/>
      <c r="AJ434" s="209"/>
      <c r="AK434" s="209"/>
    </row>
    <row r="435">
      <c r="A435" s="291"/>
      <c r="B435" s="303" t="s">
        <v>2284</v>
      </c>
      <c r="C435" s="304" t="s">
        <v>390</v>
      </c>
      <c r="D435" s="304" t="s">
        <v>2285</v>
      </c>
      <c r="E435" s="305">
        <v>8.10115971221E11</v>
      </c>
      <c r="F435" s="209"/>
      <c r="G435" s="209"/>
      <c r="H435" s="209"/>
      <c r="I435" s="209"/>
      <c r="J435" s="300" t="b">
        <v>1</v>
      </c>
      <c r="K435" s="301" t="b">
        <v>0</v>
      </c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  <c r="AI435" s="209"/>
      <c r="AJ435" s="209"/>
      <c r="AK435" s="209"/>
    </row>
    <row r="436">
      <c r="A436" s="291"/>
      <c r="B436" s="303" t="s">
        <v>2286</v>
      </c>
      <c r="C436" s="304" t="s">
        <v>682</v>
      </c>
      <c r="D436" s="304" t="s">
        <v>2287</v>
      </c>
      <c r="E436" s="305">
        <v>8.10115977889E11</v>
      </c>
      <c r="F436" s="209"/>
      <c r="G436" s="209"/>
      <c r="H436" s="209"/>
      <c r="I436" s="209"/>
      <c r="J436" s="300" t="b">
        <v>1</v>
      </c>
      <c r="K436" s="301" t="b">
        <v>0</v>
      </c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  <c r="AI436" s="209"/>
      <c r="AJ436" s="209"/>
      <c r="AK436" s="209"/>
    </row>
    <row r="437">
      <c r="A437" s="291"/>
      <c r="B437" s="303" t="s">
        <v>2288</v>
      </c>
      <c r="C437" s="304" t="s">
        <v>662</v>
      </c>
      <c r="D437" s="304" t="s">
        <v>2289</v>
      </c>
      <c r="E437" s="305">
        <v>8.10115977896E11</v>
      </c>
      <c r="F437" s="209"/>
      <c r="G437" s="209"/>
      <c r="H437" s="209"/>
      <c r="I437" s="209"/>
      <c r="J437" s="300" t="b">
        <v>1</v>
      </c>
      <c r="K437" s="301" t="b">
        <v>0</v>
      </c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  <c r="AI437" s="209"/>
      <c r="AJ437" s="209"/>
      <c r="AK437" s="209"/>
    </row>
    <row r="438">
      <c r="A438" s="291"/>
      <c r="B438" s="303" t="s">
        <v>2290</v>
      </c>
      <c r="C438" s="304" t="s">
        <v>400</v>
      </c>
      <c r="D438" s="304" t="s">
        <v>2291</v>
      </c>
      <c r="E438" s="305">
        <v>8.10115971245E11</v>
      </c>
      <c r="F438" s="209"/>
      <c r="G438" s="209"/>
      <c r="H438" s="209"/>
      <c r="I438" s="209"/>
      <c r="J438" s="300" t="b">
        <v>1</v>
      </c>
      <c r="K438" s="301" t="b">
        <v>0</v>
      </c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  <c r="AI438" s="209"/>
      <c r="AJ438" s="209"/>
      <c r="AK438" s="209"/>
    </row>
    <row r="439">
      <c r="A439" s="291"/>
      <c r="B439" s="354" t="s">
        <v>2292</v>
      </c>
      <c r="C439" s="304" t="s">
        <v>697</v>
      </c>
      <c r="D439" s="304" t="s">
        <v>2293</v>
      </c>
      <c r="E439" s="305">
        <v>8.10115977902E11</v>
      </c>
      <c r="F439" s="209"/>
      <c r="G439" s="209"/>
      <c r="H439" s="209"/>
      <c r="I439" s="209"/>
      <c r="J439" s="300" t="b">
        <v>1</v>
      </c>
      <c r="K439" s="301" t="b">
        <v>0</v>
      </c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  <c r="AK439" s="209"/>
    </row>
    <row r="440">
      <c r="A440" s="309"/>
      <c r="B440" s="310" t="s">
        <v>2294</v>
      </c>
      <c r="C440" s="311" t="s">
        <v>434</v>
      </c>
      <c r="D440" s="311" t="s">
        <v>2295</v>
      </c>
      <c r="E440" s="312">
        <v>8.10115977919E11</v>
      </c>
      <c r="F440" s="313"/>
      <c r="G440" s="313"/>
      <c r="H440" s="313"/>
      <c r="I440" s="313"/>
      <c r="J440" s="300" t="b">
        <v>1</v>
      </c>
      <c r="K440" s="314" t="b">
        <v>0</v>
      </c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  <c r="AI440" s="209"/>
      <c r="AJ440" s="209"/>
      <c r="AK440" s="209"/>
    </row>
    <row r="441">
      <c r="A441" s="209"/>
      <c r="B441" s="209"/>
      <c r="C441" s="209"/>
      <c r="D441" s="209"/>
      <c r="E441" s="209"/>
      <c r="F441" s="209"/>
      <c r="G441" s="209"/>
      <c r="H441" s="209"/>
      <c r="I441" s="209"/>
      <c r="J441" s="313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  <c r="AK441" s="209"/>
    </row>
    <row r="442">
      <c r="A442" s="316" t="s">
        <v>2041</v>
      </c>
      <c r="B442" s="319" t="s">
        <v>2296</v>
      </c>
      <c r="C442" s="320"/>
      <c r="D442" s="283" t="s">
        <v>2297</v>
      </c>
      <c r="E442" s="322" t="s">
        <v>2273</v>
      </c>
      <c r="F442" s="320"/>
      <c r="G442" s="320"/>
      <c r="H442" s="276" t="s">
        <v>370</v>
      </c>
      <c r="I442" s="285" t="s">
        <v>2298</v>
      </c>
      <c r="J442" s="278" t="str">
        <f>IF(COUNTIF(J443:J451, TRUE) = COUNTA(J443:J451), "Complete!", IF(COUNTIF(J443:J451, TRUE) &gt; 0, "Partial", "Not Started"))</f>
        <v>Complete!</v>
      </c>
      <c r="K442" s="279"/>
      <c r="L442" s="280">
        <v>9.0</v>
      </c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  <c r="AI442" s="209"/>
      <c r="AJ442" s="209"/>
      <c r="AK442" s="209"/>
    </row>
    <row r="443">
      <c r="A443" s="291"/>
      <c r="B443" s="292" t="s">
        <v>2299</v>
      </c>
      <c r="C443" s="293" t="s">
        <v>671</v>
      </c>
      <c r="D443" s="304" t="s">
        <v>2300</v>
      </c>
      <c r="E443" s="294">
        <v>8.10115977926E11</v>
      </c>
      <c r="F443" s="209"/>
      <c r="G443" s="209"/>
      <c r="H443" s="209"/>
      <c r="I443" s="209"/>
      <c r="J443" s="300" t="b">
        <v>1</v>
      </c>
      <c r="K443" s="301" t="b">
        <v>0</v>
      </c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  <c r="AK443" s="209"/>
    </row>
    <row r="444">
      <c r="A444" s="291"/>
      <c r="B444" s="303" t="s">
        <v>2301</v>
      </c>
      <c r="C444" s="304" t="s">
        <v>412</v>
      </c>
      <c r="D444" s="304" t="s">
        <v>2302</v>
      </c>
      <c r="E444" s="305">
        <v>8.10115970385E11</v>
      </c>
      <c r="F444" s="209"/>
      <c r="G444" s="209"/>
      <c r="H444" s="209"/>
      <c r="I444" s="209"/>
      <c r="J444" s="300" t="b">
        <v>1</v>
      </c>
      <c r="K444" s="301" t="b">
        <v>0</v>
      </c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  <c r="AK444" s="209"/>
    </row>
    <row r="445">
      <c r="A445" s="291"/>
      <c r="B445" s="303" t="s">
        <v>2303</v>
      </c>
      <c r="C445" s="304" t="s">
        <v>705</v>
      </c>
      <c r="D445" s="304" t="s">
        <v>2304</v>
      </c>
      <c r="E445" s="305">
        <v>8.10115977933E11</v>
      </c>
      <c r="F445" s="209"/>
      <c r="G445" s="209"/>
      <c r="H445" s="209"/>
      <c r="I445" s="209"/>
      <c r="J445" s="300" t="b">
        <v>1</v>
      </c>
      <c r="K445" s="301" t="b">
        <v>0</v>
      </c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  <c r="AK445" s="209"/>
    </row>
    <row r="446">
      <c r="A446" s="291"/>
      <c r="B446" s="303" t="s">
        <v>2305</v>
      </c>
      <c r="C446" s="304" t="s">
        <v>679</v>
      </c>
      <c r="D446" s="304" t="s">
        <v>2306</v>
      </c>
      <c r="E446" s="305">
        <v>8.1011597794E11</v>
      </c>
      <c r="F446" s="209"/>
      <c r="G446" s="209"/>
      <c r="H446" s="209"/>
      <c r="I446" s="209"/>
      <c r="J446" s="300" t="b">
        <v>1</v>
      </c>
      <c r="K446" s="301" t="b">
        <v>0</v>
      </c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  <c r="AI446" s="209"/>
      <c r="AJ446" s="209"/>
      <c r="AK446" s="209"/>
    </row>
    <row r="447">
      <c r="A447" s="291"/>
      <c r="B447" s="303" t="s">
        <v>2307</v>
      </c>
      <c r="C447" s="304" t="s">
        <v>715</v>
      </c>
      <c r="D447" s="304" t="s">
        <v>2308</v>
      </c>
      <c r="E447" s="305">
        <v>8.10115977957E11</v>
      </c>
      <c r="F447" s="209"/>
      <c r="G447" s="209"/>
      <c r="H447" s="209"/>
      <c r="I447" s="209"/>
      <c r="J447" s="300" t="b">
        <v>1</v>
      </c>
      <c r="K447" s="301" t="b">
        <v>0</v>
      </c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  <c r="AI447" s="209"/>
      <c r="AJ447" s="209"/>
      <c r="AK447" s="209"/>
    </row>
    <row r="448">
      <c r="A448" s="291"/>
      <c r="B448" s="303" t="s">
        <v>2309</v>
      </c>
      <c r="C448" s="304" t="s">
        <v>431</v>
      </c>
      <c r="D448" s="304" t="s">
        <v>2310</v>
      </c>
      <c r="E448" s="305">
        <v>8.10115971276E11</v>
      </c>
      <c r="F448" s="209"/>
      <c r="G448" s="209"/>
      <c r="H448" s="209"/>
      <c r="I448" s="209"/>
      <c r="J448" s="300" t="b">
        <v>1</v>
      </c>
      <c r="K448" s="301" t="b">
        <v>0</v>
      </c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  <c r="AI448" s="209"/>
      <c r="AJ448" s="209"/>
      <c r="AK448" s="209"/>
    </row>
    <row r="449">
      <c r="A449" s="291"/>
      <c r="B449" s="303" t="s">
        <v>2311</v>
      </c>
      <c r="C449" s="304" t="s">
        <v>1419</v>
      </c>
      <c r="D449" s="304" t="s">
        <v>2312</v>
      </c>
      <c r="E449" s="305">
        <v>8.10115977964E11</v>
      </c>
      <c r="F449" s="209"/>
      <c r="G449" s="209"/>
      <c r="H449" s="209"/>
      <c r="I449" s="209"/>
      <c r="J449" s="300" t="b">
        <v>1</v>
      </c>
      <c r="K449" s="301" t="b">
        <v>0</v>
      </c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  <c r="AK449" s="209"/>
    </row>
    <row r="450">
      <c r="A450" s="291"/>
      <c r="B450" s="354" t="s">
        <v>2313</v>
      </c>
      <c r="C450" s="304" t="s">
        <v>1387</v>
      </c>
      <c r="D450" s="304" t="s">
        <v>2314</v>
      </c>
      <c r="E450" s="305">
        <v>8.10115977971E11</v>
      </c>
      <c r="F450" s="209"/>
      <c r="G450" s="209"/>
      <c r="H450" s="209"/>
      <c r="I450" s="209"/>
      <c r="J450" s="300" t="b">
        <v>1</v>
      </c>
      <c r="K450" s="301" t="b">
        <v>0</v>
      </c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  <c r="AI450" s="209"/>
      <c r="AJ450" s="209"/>
      <c r="AK450" s="209"/>
    </row>
    <row r="451">
      <c r="A451" s="309"/>
      <c r="B451" s="310" t="s">
        <v>2315</v>
      </c>
      <c r="C451" s="311" t="s">
        <v>421</v>
      </c>
      <c r="D451" s="311" t="s">
        <v>2316</v>
      </c>
      <c r="E451" s="312">
        <v>8.1011597129E11</v>
      </c>
      <c r="F451" s="313"/>
      <c r="G451" s="313"/>
      <c r="H451" s="313"/>
      <c r="I451" s="313"/>
      <c r="J451" s="300" t="b">
        <v>1</v>
      </c>
      <c r="K451" s="314" t="b">
        <v>0</v>
      </c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  <c r="AI451" s="209"/>
      <c r="AJ451" s="209"/>
      <c r="AK451" s="209"/>
    </row>
    <row r="452">
      <c r="A452" s="209"/>
      <c r="B452" s="209"/>
      <c r="C452" s="209"/>
      <c r="D452" s="209"/>
      <c r="E452" s="209"/>
      <c r="F452" s="209"/>
      <c r="G452" s="209"/>
      <c r="H452" s="209"/>
      <c r="I452" s="209"/>
      <c r="J452" s="313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  <c r="AI452" s="209"/>
      <c r="AJ452" s="209"/>
      <c r="AK452" s="209"/>
    </row>
    <row r="453">
      <c r="A453" s="316" t="s">
        <v>2068</v>
      </c>
      <c r="B453" s="319" t="s">
        <v>2317</v>
      </c>
      <c r="C453" s="320"/>
      <c r="D453" s="283" t="s">
        <v>2318</v>
      </c>
      <c r="E453" s="322" t="s">
        <v>2273</v>
      </c>
      <c r="F453" s="320"/>
      <c r="G453" s="320"/>
      <c r="H453" s="276" t="s">
        <v>572</v>
      </c>
      <c r="I453" s="285" t="s">
        <v>2319</v>
      </c>
      <c r="J453" s="278" t="str">
        <f>IF(COUNTIF(J454:J458, TRUE) = COUNTA(J454:J458), "Complete!", IF(COUNTIF(J454:J458, TRUE) &gt; 0, "Partial", "Not Started"))</f>
        <v>Complete!</v>
      </c>
      <c r="K453" s="279"/>
      <c r="L453" s="280">
        <v>5.0</v>
      </c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  <c r="AI453" s="209"/>
      <c r="AJ453" s="209"/>
      <c r="AK453" s="209"/>
    </row>
    <row r="454">
      <c r="A454" s="291"/>
      <c r="B454" s="303" t="s">
        <v>2320</v>
      </c>
      <c r="C454" s="304" t="s">
        <v>390</v>
      </c>
      <c r="D454" s="304" t="s">
        <v>2321</v>
      </c>
      <c r="E454" s="305">
        <v>8.10115971238E11</v>
      </c>
      <c r="F454" s="209"/>
      <c r="G454" s="209"/>
      <c r="H454" s="209"/>
      <c r="I454" s="209"/>
      <c r="J454" s="300" t="b">
        <v>1</v>
      </c>
      <c r="K454" s="301" t="b">
        <v>0</v>
      </c>
      <c r="L454" s="209"/>
      <c r="M454" s="209"/>
      <c r="N454" s="209"/>
      <c r="O454" s="209"/>
      <c r="P454" s="209"/>
      <c r="Q454" s="353"/>
      <c r="R454" s="209"/>
      <c r="S454" s="209"/>
      <c r="T454" s="209"/>
      <c r="U454" s="209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  <c r="AK454" s="209"/>
    </row>
    <row r="455">
      <c r="A455" s="291"/>
      <c r="B455" s="303" t="s">
        <v>2322</v>
      </c>
      <c r="C455" s="304" t="s">
        <v>400</v>
      </c>
      <c r="D455" s="304" t="s">
        <v>2323</v>
      </c>
      <c r="E455" s="305">
        <v>8.10115971252E11</v>
      </c>
      <c r="F455" s="209"/>
      <c r="G455" s="209"/>
      <c r="H455" s="209"/>
      <c r="I455" s="209"/>
      <c r="J455" s="300" t="b">
        <v>1</v>
      </c>
      <c r="K455" s="301" t="b">
        <v>0</v>
      </c>
      <c r="L455" s="209"/>
      <c r="M455" s="209"/>
      <c r="N455" s="209"/>
      <c r="O455" s="209"/>
      <c r="P455" s="209"/>
      <c r="Q455" s="353"/>
      <c r="R455" s="209"/>
      <c r="S455" s="209"/>
      <c r="T455" s="209"/>
      <c r="U455" s="209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  <c r="AI455" s="209"/>
      <c r="AJ455" s="209"/>
      <c r="AK455" s="209"/>
    </row>
    <row r="456">
      <c r="A456" s="291"/>
      <c r="B456" s="303" t="s">
        <v>2324</v>
      </c>
      <c r="C456" s="304" t="s">
        <v>412</v>
      </c>
      <c r="D456" s="304" t="s">
        <v>2325</v>
      </c>
      <c r="E456" s="305">
        <v>8.10115971269E11</v>
      </c>
      <c r="F456" s="209"/>
      <c r="G456" s="209"/>
      <c r="H456" s="209"/>
      <c r="I456" s="209"/>
      <c r="J456" s="300" t="b">
        <v>1</v>
      </c>
      <c r="K456" s="301" t="b">
        <v>0</v>
      </c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  <c r="AI456" s="209"/>
      <c r="AJ456" s="209"/>
      <c r="AK456" s="209"/>
    </row>
    <row r="457">
      <c r="A457" s="291"/>
      <c r="B457" s="303" t="s">
        <v>2326</v>
      </c>
      <c r="C457" s="304" t="s">
        <v>431</v>
      </c>
      <c r="D457" s="304" t="s">
        <v>2327</v>
      </c>
      <c r="E457" s="305">
        <v>8.10115971283E11</v>
      </c>
      <c r="F457" s="209"/>
      <c r="G457" s="209"/>
      <c r="H457" s="209"/>
      <c r="I457" s="209"/>
      <c r="J457" s="300" t="b">
        <v>1</v>
      </c>
      <c r="K457" s="301" t="b">
        <v>0</v>
      </c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  <c r="AI457" s="209"/>
      <c r="AJ457" s="209"/>
      <c r="AK457" s="209"/>
    </row>
    <row r="458">
      <c r="A458" s="309"/>
      <c r="B458" s="394" t="s">
        <v>2328</v>
      </c>
      <c r="C458" s="311" t="s">
        <v>421</v>
      </c>
      <c r="D458" s="311" t="s">
        <v>2329</v>
      </c>
      <c r="E458" s="312">
        <v>8.10115971306E11</v>
      </c>
      <c r="F458" s="313"/>
      <c r="G458" s="313"/>
      <c r="H458" s="313"/>
      <c r="I458" s="313"/>
      <c r="J458" s="300" t="b">
        <v>1</v>
      </c>
      <c r="K458" s="314" t="b">
        <v>0</v>
      </c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  <c r="AI458" s="209"/>
      <c r="AJ458" s="209"/>
      <c r="AK458" s="209"/>
    </row>
    <row r="459">
      <c r="A459" s="209"/>
      <c r="B459" s="209"/>
      <c r="C459" s="209"/>
      <c r="D459" s="209"/>
      <c r="E459" s="209"/>
      <c r="F459" s="209"/>
      <c r="G459" s="209"/>
      <c r="H459" s="209"/>
      <c r="I459" s="209"/>
      <c r="J459" s="313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  <c r="AK459" s="209"/>
    </row>
    <row r="460">
      <c r="A460" s="316" t="s">
        <v>2330</v>
      </c>
      <c r="B460" s="319" t="s">
        <v>2331</v>
      </c>
      <c r="C460" s="320"/>
      <c r="D460" s="283" t="s">
        <v>2332</v>
      </c>
      <c r="E460" s="322" t="s">
        <v>2273</v>
      </c>
      <c r="F460" s="320"/>
      <c r="G460" s="320"/>
      <c r="H460" s="276" t="s">
        <v>572</v>
      </c>
      <c r="I460" s="285" t="s">
        <v>2333</v>
      </c>
      <c r="J460" s="278" t="str">
        <f>IF(COUNTIF(J461:J467, TRUE) = COUNTA(J461:J467), "Complete!", IF(COUNTIF(J461:J467, TRUE) &gt; 0, "Partial", "Not Started"))</f>
        <v>Complete!</v>
      </c>
      <c r="K460" s="279"/>
      <c r="L460" s="280">
        <v>7.0</v>
      </c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  <c r="AI460" s="209"/>
      <c r="AJ460" s="209"/>
      <c r="AK460" s="209"/>
    </row>
    <row r="461">
      <c r="A461" s="291"/>
      <c r="B461" s="292" t="s">
        <v>2334</v>
      </c>
      <c r="C461" s="293" t="s">
        <v>449</v>
      </c>
      <c r="D461" s="304" t="s">
        <v>2335</v>
      </c>
      <c r="E461" s="294">
        <v>8.10115970361E11</v>
      </c>
      <c r="F461" s="209"/>
      <c r="G461" s="209"/>
      <c r="H461" s="209"/>
      <c r="I461" s="295"/>
      <c r="J461" s="300" t="b">
        <v>1</v>
      </c>
      <c r="K461" s="301" t="b">
        <v>0</v>
      </c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  <c r="AI461" s="209"/>
      <c r="AJ461" s="209"/>
      <c r="AK461" s="209"/>
    </row>
    <row r="462">
      <c r="A462" s="291"/>
      <c r="B462" s="303" t="s">
        <v>2336</v>
      </c>
      <c r="C462" s="304" t="s">
        <v>487</v>
      </c>
      <c r="D462" s="304" t="s">
        <v>2337</v>
      </c>
      <c r="E462" s="305">
        <v>8.10115977988E11</v>
      </c>
      <c r="F462" s="401"/>
      <c r="G462" s="401"/>
      <c r="H462" s="401"/>
      <c r="I462" s="401"/>
      <c r="J462" s="300" t="b">
        <v>1</v>
      </c>
      <c r="K462" s="301" t="b">
        <v>0</v>
      </c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  <c r="AI462" s="209"/>
      <c r="AJ462" s="209"/>
      <c r="AK462" s="209"/>
    </row>
    <row r="463">
      <c r="A463" s="291"/>
      <c r="B463" s="303" t="s">
        <v>2338</v>
      </c>
      <c r="C463" s="304" t="s">
        <v>440</v>
      </c>
      <c r="D463" s="304" t="s">
        <v>2339</v>
      </c>
      <c r="E463" s="305">
        <v>8.10115970378E11</v>
      </c>
      <c r="F463" s="401"/>
      <c r="G463" s="401"/>
      <c r="H463" s="401"/>
      <c r="I463" s="401"/>
      <c r="J463" s="300" t="b">
        <v>1</v>
      </c>
      <c r="K463" s="301" t="b">
        <v>0</v>
      </c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  <c r="AI463" s="209"/>
      <c r="AJ463" s="209"/>
      <c r="AK463" s="209"/>
    </row>
    <row r="464">
      <c r="A464" s="291"/>
      <c r="B464" s="303" t="s">
        <v>2340</v>
      </c>
      <c r="C464" s="304" t="s">
        <v>458</v>
      </c>
      <c r="D464" s="304" t="s">
        <v>2341</v>
      </c>
      <c r="E464" s="305">
        <v>8.10115971696E11</v>
      </c>
      <c r="F464" s="209"/>
      <c r="G464" s="209"/>
      <c r="H464" s="209"/>
      <c r="I464" s="209"/>
      <c r="J464" s="300" t="b">
        <v>1</v>
      </c>
      <c r="K464" s="301" t="b">
        <v>0</v>
      </c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  <c r="AK464" s="209"/>
    </row>
    <row r="465">
      <c r="A465" s="291"/>
      <c r="B465" s="303" t="s">
        <v>2342</v>
      </c>
      <c r="C465" s="304" t="s">
        <v>505</v>
      </c>
      <c r="D465" s="304" t="s">
        <v>2343</v>
      </c>
      <c r="E465" s="305">
        <v>8.10115971726E11</v>
      </c>
      <c r="F465" s="209"/>
      <c r="G465" s="209"/>
      <c r="H465" s="209"/>
      <c r="I465" s="209"/>
      <c r="J465" s="300" t="b">
        <v>1</v>
      </c>
      <c r="K465" s="301" t="b">
        <v>0</v>
      </c>
      <c r="L465" s="209"/>
      <c r="M465" s="209"/>
      <c r="N465" s="209"/>
      <c r="O465" s="209"/>
      <c r="P465" s="209"/>
      <c r="Q465" s="353"/>
      <c r="R465" s="209"/>
      <c r="S465" s="209"/>
      <c r="T465" s="209"/>
      <c r="U465" s="209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  <c r="AI465" s="209"/>
      <c r="AJ465" s="209"/>
      <c r="AK465" s="209"/>
    </row>
    <row r="466">
      <c r="A466" s="291"/>
      <c r="B466" s="303" t="s">
        <v>2344</v>
      </c>
      <c r="C466" s="304" t="s">
        <v>522</v>
      </c>
      <c r="D466" s="304" t="s">
        <v>2345</v>
      </c>
      <c r="E466" s="305">
        <v>8.10115977995E11</v>
      </c>
      <c r="F466" s="304" t="s">
        <v>732</v>
      </c>
      <c r="G466" s="209"/>
      <c r="H466" s="209"/>
      <c r="I466" s="304" t="s">
        <v>733</v>
      </c>
      <c r="J466" s="300" t="b">
        <v>1</v>
      </c>
      <c r="K466" s="301" t="b">
        <v>0</v>
      </c>
      <c r="L466" s="209"/>
      <c r="M466" s="209"/>
      <c r="N466" s="209"/>
      <c r="O466" s="209"/>
      <c r="P466" s="209"/>
      <c r="Q466" s="353"/>
      <c r="R466" s="209"/>
      <c r="S466" s="209"/>
      <c r="T466" s="209"/>
      <c r="U466" s="209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  <c r="AI466" s="209"/>
      <c r="AJ466" s="209"/>
      <c r="AK466" s="209"/>
    </row>
    <row r="467">
      <c r="A467" s="309"/>
      <c r="B467" s="310" t="s">
        <v>2346</v>
      </c>
      <c r="C467" s="311" t="s">
        <v>547</v>
      </c>
      <c r="D467" s="311" t="s">
        <v>2347</v>
      </c>
      <c r="E467" s="312">
        <v>8.10115978008E11</v>
      </c>
      <c r="F467" s="313"/>
      <c r="G467" s="313"/>
      <c r="H467" s="313"/>
      <c r="I467" s="313"/>
      <c r="J467" s="300" t="b">
        <v>1</v>
      </c>
      <c r="K467" s="314" t="b">
        <v>0</v>
      </c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  <c r="AI467" s="209"/>
      <c r="AJ467" s="209"/>
      <c r="AK467" s="209"/>
    </row>
    <row r="468">
      <c r="A468" s="209"/>
      <c r="B468" s="209"/>
      <c r="C468" s="209"/>
      <c r="D468" s="209"/>
      <c r="E468" s="209"/>
      <c r="F468" s="209"/>
      <c r="G468" s="209"/>
      <c r="H468" s="209"/>
      <c r="I468" s="209"/>
      <c r="J468" s="313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  <c r="AI468" s="209"/>
      <c r="AJ468" s="209"/>
      <c r="AK468" s="209"/>
    </row>
    <row r="469">
      <c r="A469" s="316" t="s">
        <v>2348</v>
      </c>
      <c r="B469" s="319" t="s">
        <v>2349</v>
      </c>
      <c r="C469" s="320"/>
      <c r="D469" s="283" t="s">
        <v>2350</v>
      </c>
      <c r="E469" s="322" t="s">
        <v>2351</v>
      </c>
      <c r="F469" s="320"/>
      <c r="G469" s="320"/>
      <c r="H469" s="276" t="s">
        <v>370</v>
      </c>
      <c r="I469" s="285" t="s">
        <v>2352</v>
      </c>
      <c r="J469" s="278" t="str">
        <f>IF(COUNTIF(J470:J478, TRUE) = COUNTA(J470:J478), "Complete!", IF(COUNTIF(J470:J478, TRUE) &gt; 0, "Partial", "Not Started"))</f>
        <v>Complete!</v>
      </c>
      <c r="K469" s="279"/>
      <c r="L469" s="280">
        <v>9.0</v>
      </c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  <c r="AI469" s="209"/>
      <c r="AJ469" s="209"/>
      <c r="AK469" s="209"/>
    </row>
    <row r="470">
      <c r="A470" s="291"/>
      <c r="B470" s="304" t="s">
        <v>2353</v>
      </c>
      <c r="C470" s="293" t="s">
        <v>431</v>
      </c>
      <c r="D470" s="304" t="s">
        <v>2354</v>
      </c>
      <c r="E470" s="294">
        <v>8.10115978015E11</v>
      </c>
      <c r="F470" s="401"/>
      <c r="G470" s="401"/>
      <c r="H470" s="401"/>
      <c r="I470" s="401"/>
      <c r="J470" s="300" t="b">
        <v>1</v>
      </c>
      <c r="K470" s="301" t="b">
        <v>0</v>
      </c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  <c r="AK470" s="209"/>
    </row>
    <row r="471">
      <c r="A471" s="291"/>
      <c r="B471" s="303" t="s">
        <v>2355</v>
      </c>
      <c r="C471" s="304" t="s">
        <v>421</v>
      </c>
      <c r="D471" s="304" t="s">
        <v>2356</v>
      </c>
      <c r="E471" s="305">
        <v>8.10115978022E11</v>
      </c>
      <c r="F471" s="401"/>
      <c r="G471" s="401"/>
      <c r="H471" s="401"/>
      <c r="I471" s="401"/>
      <c r="J471" s="300" t="b">
        <v>1</v>
      </c>
      <c r="K471" s="301" t="b">
        <v>0</v>
      </c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  <c r="AI471" s="209"/>
      <c r="AJ471" s="209"/>
      <c r="AK471" s="209"/>
    </row>
    <row r="472">
      <c r="A472" s="291"/>
      <c r="B472" s="303" t="s">
        <v>2357</v>
      </c>
      <c r="C472" s="304" t="s">
        <v>449</v>
      </c>
      <c r="D472" s="304" t="s">
        <v>2358</v>
      </c>
      <c r="E472" s="305">
        <v>8.10115978039E11</v>
      </c>
      <c r="F472" s="209"/>
      <c r="G472" s="209"/>
      <c r="H472" s="209"/>
      <c r="I472" s="209"/>
      <c r="J472" s="300" t="b">
        <v>1</v>
      </c>
      <c r="K472" s="301" t="b">
        <v>0</v>
      </c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  <c r="AI472" s="209"/>
      <c r="AJ472" s="209"/>
      <c r="AK472" s="209"/>
    </row>
    <row r="473">
      <c r="A473" s="291"/>
      <c r="B473" s="303" t="s">
        <v>2359</v>
      </c>
      <c r="C473" s="304" t="s">
        <v>440</v>
      </c>
      <c r="D473" s="304" t="s">
        <v>2360</v>
      </c>
      <c r="E473" s="305">
        <v>8.10115978046E11</v>
      </c>
      <c r="F473" s="209"/>
      <c r="G473" s="209"/>
      <c r="H473" s="209"/>
      <c r="I473" s="209"/>
      <c r="J473" s="300" t="b">
        <v>1</v>
      </c>
      <c r="K473" s="301" t="b">
        <v>0</v>
      </c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  <c r="AI473" s="209"/>
      <c r="AJ473" s="209"/>
      <c r="AK473" s="209"/>
    </row>
    <row r="474">
      <c r="A474" s="291"/>
      <c r="B474" s="303" t="s">
        <v>2361</v>
      </c>
      <c r="C474" s="304" t="s">
        <v>458</v>
      </c>
      <c r="D474" s="304" t="s">
        <v>2362</v>
      </c>
      <c r="E474" s="305">
        <v>8.10115978053E11</v>
      </c>
      <c r="F474" s="401"/>
      <c r="G474" s="401"/>
      <c r="H474" s="401"/>
      <c r="I474" s="209"/>
      <c r="J474" s="300" t="b">
        <v>1</v>
      </c>
      <c r="K474" s="301" t="b">
        <v>0</v>
      </c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  <c r="AI474" s="209"/>
      <c r="AJ474" s="209"/>
      <c r="AK474" s="209"/>
    </row>
    <row r="475">
      <c r="A475" s="291"/>
      <c r="B475" s="303" t="s">
        <v>2363</v>
      </c>
      <c r="C475" s="304" t="s">
        <v>505</v>
      </c>
      <c r="D475" s="304" t="s">
        <v>2364</v>
      </c>
      <c r="E475" s="305">
        <v>8.10115973249E11</v>
      </c>
      <c r="F475" s="209"/>
      <c r="G475" s="209"/>
      <c r="H475" s="209"/>
      <c r="I475" s="209"/>
      <c r="J475" s="300" t="b">
        <v>1</v>
      </c>
      <c r="K475" s="301" t="b">
        <v>0</v>
      </c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  <c r="AK475" s="209"/>
    </row>
    <row r="476">
      <c r="A476" s="291"/>
      <c r="B476" s="303" t="s">
        <v>2365</v>
      </c>
      <c r="C476" s="304" t="s">
        <v>522</v>
      </c>
      <c r="D476" s="304" t="s">
        <v>2366</v>
      </c>
      <c r="E476" s="305">
        <v>8.1011597806E11</v>
      </c>
      <c r="F476" s="209"/>
      <c r="G476" s="209"/>
      <c r="H476" s="209"/>
      <c r="I476" s="209"/>
      <c r="J476" s="300" t="b">
        <v>1</v>
      </c>
      <c r="K476" s="301" t="b">
        <v>0</v>
      </c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  <c r="AI476" s="209"/>
      <c r="AJ476" s="209"/>
      <c r="AK476" s="209"/>
    </row>
    <row r="477">
      <c r="A477" s="291"/>
      <c r="B477" s="303" t="s">
        <v>2367</v>
      </c>
      <c r="C477" s="304" t="s">
        <v>547</v>
      </c>
      <c r="D477" s="304" t="s">
        <v>2368</v>
      </c>
      <c r="E477" s="305">
        <v>8.10115978077E11</v>
      </c>
      <c r="F477" s="209"/>
      <c r="G477" s="209"/>
      <c r="H477" s="209"/>
      <c r="I477" s="209"/>
      <c r="J477" s="300" t="b">
        <v>1</v>
      </c>
      <c r="K477" s="301" t="b">
        <v>0</v>
      </c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  <c r="AI477" s="209"/>
      <c r="AJ477" s="209"/>
      <c r="AK477" s="209"/>
    </row>
    <row r="478">
      <c r="A478" s="291"/>
      <c r="B478" s="394" t="s">
        <v>2369</v>
      </c>
      <c r="C478" s="311" t="s">
        <v>1060</v>
      </c>
      <c r="D478" s="311" t="s">
        <v>2370</v>
      </c>
      <c r="E478" s="312">
        <v>8.10115978084E11</v>
      </c>
      <c r="F478" s="313"/>
      <c r="G478" s="313"/>
      <c r="H478" s="313"/>
      <c r="I478" s="313"/>
      <c r="J478" s="300" t="b">
        <v>1</v>
      </c>
      <c r="K478" s="314" t="b">
        <v>0</v>
      </c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  <c r="AI478" s="209"/>
      <c r="AJ478" s="209"/>
      <c r="AK478" s="209"/>
    </row>
    <row r="479">
      <c r="A479" s="209"/>
      <c r="B479" s="209"/>
      <c r="C479" s="209"/>
      <c r="D479" s="209"/>
      <c r="E479" s="209"/>
      <c r="F479" s="209"/>
      <c r="G479" s="209"/>
      <c r="H479" s="209"/>
      <c r="I479" s="209"/>
      <c r="J479" s="313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  <c r="AI479" s="209"/>
      <c r="AJ479" s="209"/>
      <c r="AK479" s="209"/>
    </row>
    <row r="480">
      <c r="A480" s="316" t="s">
        <v>2371</v>
      </c>
      <c r="B480" s="319" t="s">
        <v>2372</v>
      </c>
      <c r="C480" s="320"/>
      <c r="D480" s="283" t="s">
        <v>2373</v>
      </c>
      <c r="E480" s="322" t="s">
        <v>2351</v>
      </c>
      <c r="F480" s="320"/>
      <c r="G480" s="320"/>
      <c r="H480" s="276" t="s">
        <v>370</v>
      </c>
      <c r="I480" s="285" t="s">
        <v>2374</v>
      </c>
      <c r="J480" s="278" t="str">
        <f>IF(COUNTIF(J481:J487, TRUE) = COUNTA(J481:J487), "Complete!", IF(COUNTIF(J481:J487, TRUE) &gt; 0, "Partial", "Not Started"))</f>
        <v>Complete!</v>
      </c>
      <c r="K480" s="279"/>
      <c r="L480" s="280">
        <v>7.0</v>
      </c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  <c r="AK480" s="209"/>
    </row>
    <row r="481">
      <c r="A481" s="291"/>
      <c r="B481" s="292" t="s">
        <v>2375</v>
      </c>
      <c r="C481" s="293" t="s">
        <v>449</v>
      </c>
      <c r="D481" s="293" t="s">
        <v>2376</v>
      </c>
      <c r="E481" s="294">
        <v>8.10115978183E11</v>
      </c>
      <c r="F481" s="293" t="s">
        <v>406</v>
      </c>
      <c r="G481" s="295"/>
      <c r="H481" s="295"/>
      <c r="I481" s="295"/>
      <c r="J481" s="296" t="b">
        <v>1</v>
      </c>
      <c r="K481" s="297" t="b">
        <v>1</v>
      </c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  <c r="AI481" s="209"/>
      <c r="AJ481" s="209"/>
      <c r="AK481" s="209"/>
    </row>
    <row r="482">
      <c r="A482" s="291"/>
      <c r="B482" s="303" t="s">
        <v>2377</v>
      </c>
      <c r="C482" s="304" t="s">
        <v>440</v>
      </c>
      <c r="D482" s="304" t="s">
        <v>2378</v>
      </c>
      <c r="E482" s="305">
        <v>8.1011597819E11</v>
      </c>
      <c r="F482" s="401"/>
      <c r="G482" s="401"/>
      <c r="H482" s="401"/>
      <c r="I482" s="401"/>
      <c r="J482" s="296" t="b">
        <v>1</v>
      </c>
      <c r="K482" s="301" t="b">
        <v>0</v>
      </c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  <c r="AI482" s="209"/>
      <c r="AJ482" s="209"/>
      <c r="AK482" s="209"/>
    </row>
    <row r="483">
      <c r="A483" s="291"/>
      <c r="B483" s="303" t="s">
        <v>2379</v>
      </c>
      <c r="C483" s="304" t="s">
        <v>458</v>
      </c>
      <c r="D483" s="304" t="s">
        <v>2380</v>
      </c>
      <c r="E483" s="305">
        <v>8.10115978206E11</v>
      </c>
      <c r="F483" s="401"/>
      <c r="G483" s="401"/>
      <c r="H483" s="401"/>
      <c r="I483" s="401"/>
      <c r="J483" s="296" t="b">
        <v>1</v>
      </c>
      <c r="K483" s="301" t="b">
        <v>0</v>
      </c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  <c r="AI483" s="209"/>
      <c r="AJ483" s="209"/>
      <c r="AK483" s="209"/>
    </row>
    <row r="484">
      <c r="A484" s="291"/>
      <c r="B484" s="303" t="s">
        <v>2381</v>
      </c>
      <c r="C484" s="304" t="s">
        <v>505</v>
      </c>
      <c r="D484" s="304" t="s">
        <v>2382</v>
      </c>
      <c r="E484" s="305">
        <v>8.10115978213E11</v>
      </c>
      <c r="F484" s="209"/>
      <c r="G484" s="209"/>
      <c r="H484" s="209"/>
      <c r="I484" s="209"/>
      <c r="J484" s="296" t="b">
        <v>1</v>
      </c>
      <c r="K484" s="301" t="b">
        <v>0</v>
      </c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  <c r="AI484" s="209"/>
      <c r="AJ484" s="209"/>
      <c r="AK484" s="209"/>
    </row>
    <row r="485">
      <c r="A485" s="291"/>
      <c r="B485" s="303" t="s">
        <v>2383</v>
      </c>
      <c r="C485" s="304" t="s">
        <v>522</v>
      </c>
      <c r="D485" s="304" t="s">
        <v>2384</v>
      </c>
      <c r="E485" s="305">
        <v>8.1011597822E11</v>
      </c>
      <c r="F485" s="209"/>
      <c r="G485" s="209"/>
      <c r="H485" s="209"/>
      <c r="I485" s="209"/>
      <c r="J485" s="296" t="b">
        <v>1</v>
      </c>
      <c r="K485" s="301" t="b">
        <v>0</v>
      </c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  <c r="AK485" s="209"/>
    </row>
    <row r="486">
      <c r="A486" s="291"/>
      <c r="B486" s="303" t="s">
        <v>2385</v>
      </c>
      <c r="C486" s="304" t="s">
        <v>2386</v>
      </c>
      <c r="D486" s="304" t="s">
        <v>2387</v>
      </c>
      <c r="E486" s="305">
        <v>8.10115978237E11</v>
      </c>
      <c r="F486" s="209"/>
      <c r="G486" s="209"/>
      <c r="H486" s="209"/>
      <c r="I486" s="209"/>
      <c r="J486" s="296" t="b">
        <v>1</v>
      </c>
      <c r="K486" s="301" t="b">
        <v>0</v>
      </c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  <c r="AI486" s="209"/>
      <c r="AJ486" s="209"/>
      <c r="AK486" s="209"/>
    </row>
    <row r="487">
      <c r="A487" s="291"/>
      <c r="B487" s="394" t="s">
        <v>2388</v>
      </c>
      <c r="C487" s="311" t="s">
        <v>1060</v>
      </c>
      <c r="D487" s="311" t="s">
        <v>2389</v>
      </c>
      <c r="E487" s="312">
        <v>8.10115978244E11</v>
      </c>
      <c r="F487" s="311" t="s">
        <v>406</v>
      </c>
      <c r="G487" s="313"/>
      <c r="H487" s="313"/>
      <c r="I487" s="313"/>
      <c r="J487" s="296" t="b">
        <v>1</v>
      </c>
      <c r="K487" s="314" t="b">
        <v>1</v>
      </c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  <c r="AI487" s="209"/>
      <c r="AJ487" s="209"/>
      <c r="AK487" s="209"/>
    </row>
    <row r="488">
      <c r="A488" s="209"/>
      <c r="B488" s="209"/>
      <c r="C488" s="209"/>
      <c r="D488" s="209"/>
      <c r="E488" s="353"/>
      <c r="F488" s="209"/>
      <c r="G488" s="209"/>
      <c r="H488" s="209"/>
      <c r="I488" s="209"/>
      <c r="J488" s="313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  <c r="AI488" s="209"/>
      <c r="AJ488" s="209"/>
      <c r="AK488" s="209"/>
    </row>
    <row r="489">
      <c r="A489" s="316" t="s">
        <v>2390</v>
      </c>
      <c r="B489" s="319" t="s">
        <v>2391</v>
      </c>
      <c r="C489" s="320"/>
      <c r="D489" s="283" t="s">
        <v>2392</v>
      </c>
      <c r="E489" s="402" t="s">
        <v>2351</v>
      </c>
      <c r="F489" s="320"/>
      <c r="G489" s="320"/>
      <c r="H489" s="276" t="s">
        <v>370</v>
      </c>
      <c r="I489" s="285" t="s">
        <v>2393</v>
      </c>
      <c r="J489" s="278" t="str">
        <f>IF(COUNTIF(J490:J498, TRUE) = COUNTA(J490:J498), "Complete!", IF(COUNTIF(J490:J498, TRUE) &gt; 0, "Partial", "Not Started"))</f>
        <v>Complete!</v>
      </c>
      <c r="K489" s="279"/>
      <c r="L489" s="280">
        <v>9.0</v>
      </c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  <c r="AI489" s="209"/>
      <c r="AJ489" s="209"/>
      <c r="AK489" s="209"/>
    </row>
    <row r="490">
      <c r="A490" s="291"/>
      <c r="B490" s="292" t="s">
        <v>2394</v>
      </c>
      <c r="C490" s="293" t="s">
        <v>431</v>
      </c>
      <c r="D490" s="304" t="s">
        <v>2395</v>
      </c>
      <c r="E490" s="374">
        <v>8.10115978091E11</v>
      </c>
      <c r="F490" s="209"/>
      <c r="G490" s="209"/>
      <c r="H490" s="209"/>
      <c r="I490" s="209"/>
      <c r="J490" s="300" t="b">
        <v>1</v>
      </c>
      <c r="K490" s="301" t="b">
        <v>0</v>
      </c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  <c r="AK490" s="209"/>
    </row>
    <row r="491">
      <c r="A491" s="291"/>
      <c r="B491" s="303" t="s">
        <v>2396</v>
      </c>
      <c r="C491" s="304" t="s">
        <v>421</v>
      </c>
      <c r="D491" s="304" t="s">
        <v>2397</v>
      </c>
      <c r="E491" s="375">
        <v>8.10115978107E11</v>
      </c>
      <c r="F491" s="209"/>
      <c r="G491" s="209"/>
      <c r="H491" s="209"/>
      <c r="I491" s="209"/>
      <c r="J491" s="300" t="b">
        <v>1</v>
      </c>
      <c r="K491" s="301" t="b">
        <v>0</v>
      </c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  <c r="AI491" s="209"/>
      <c r="AJ491" s="209"/>
      <c r="AK491" s="209"/>
    </row>
    <row r="492">
      <c r="A492" s="291"/>
      <c r="B492" s="303" t="s">
        <v>2398</v>
      </c>
      <c r="C492" s="304" t="s">
        <v>449</v>
      </c>
      <c r="D492" s="304" t="s">
        <v>2399</v>
      </c>
      <c r="E492" s="375">
        <v>8.10115978114E11</v>
      </c>
      <c r="F492" s="209"/>
      <c r="G492" s="209"/>
      <c r="H492" s="209"/>
      <c r="I492" s="209"/>
      <c r="J492" s="300" t="b">
        <v>1</v>
      </c>
      <c r="K492" s="301" t="b">
        <v>0</v>
      </c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  <c r="AI492" s="209"/>
      <c r="AJ492" s="209"/>
      <c r="AK492" s="209"/>
    </row>
    <row r="493">
      <c r="A493" s="291"/>
      <c r="B493" s="303" t="s">
        <v>2400</v>
      </c>
      <c r="C493" s="304" t="s">
        <v>440</v>
      </c>
      <c r="D493" s="304" t="s">
        <v>2401</v>
      </c>
      <c r="E493" s="375">
        <v>8.10115978121E11</v>
      </c>
      <c r="F493" s="209"/>
      <c r="G493" s="209"/>
      <c r="H493" s="209"/>
      <c r="I493" s="209"/>
      <c r="J493" s="300" t="b">
        <v>1</v>
      </c>
      <c r="K493" s="301" t="b">
        <v>0</v>
      </c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  <c r="AI493" s="209"/>
      <c r="AJ493" s="209"/>
      <c r="AK493" s="209"/>
    </row>
    <row r="494">
      <c r="A494" s="291"/>
      <c r="B494" s="303" t="s">
        <v>2402</v>
      </c>
      <c r="C494" s="304" t="s">
        <v>458</v>
      </c>
      <c r="D494" s="304" t="s">
        <v>2403</v>
      </c>
      <c r="E494" s="375">
        <v>8.10115978138E11</v>
      </c>
      <c r="F494" s="209"/>
      <c r="G494" s="209"/>
      <c r="H494" s="209"/>
      <c r="I494" s="209"/>
      <c r="J494" s="300" t="b">
        <v>1</v>
      </c>
      <c r="K494" s="301" t="b">
        <v>0</v>
      </c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  <c r="AI494" s="209"/>
      <c r="AJ494" s="209"/>
      <c r="AK494" s="209"/>
    </row>
    <row r="495">
      <c r="A495" s="291"/>
      <c r="B495" s="303" t="s">
        <v>2404</v>
      </c>
      <c r="C495" s="304" t="s">
        <v>505</v>
      </c>
      <c r="D495" s="304" t="s">
        <v>2405</v>
      </c>
      <c r="E495" s="375">
        <v>8.10115978145E11</v>
      </c>
      <c r="F495" s="209"/>
      <c r="G495" s="209"/>
      <c r="H495" s="209"/>
      <c r="I495" s="209"/>
      <c r="J495" s="300" t="b">
        <v>1</v>
      </c>
      <c r="K495" s="301" t="b">
        <v>0</v>
      </c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  <c r="AI495" s="209"/>
      <c r="AJ495" s="209"/>
      <c r="AK495" s="209"/>
    </row>
    <row r="496">
      <c r="A496" s="291"/>
      <c r="B496" s="303" t="s">
        <v>2406</v>
      </c>
      <c r="C496" s="304" t="s">
        <v>522</v>
      </c>
      <c r="D496" s="304" t="s">
        <v>2407</v>
      </c>
      <c r="E496" s="375">
        <v>8.10115978152E11</v>
      </c>
      <c r="F496" s="209"/>
      <c r="G496" s="209"/>
      <c r="H496" s="209"/>
      <c r="I496" s="209"/>
      <c r="J496" s="300" t="b">
        <v>1</v>
      </c>
      <c r="K496" s="301" t="b">
        <v>0</v>
      </c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  <c r="AI496" s="209"/>
      <c r="AJ496" s="209"/>
      <c r="AK496" s="209"/>
    </row>
    <row r="497">
      <c r="A497" s="291"/>
      <c r="B497" s="303" t="s">
        <v>2408</v>
      </c>
      <c r="C497" s="304" t="s">
        <v>547</v>
      </c>
      <c r="D497" s="304" t="s">
        <v>2409</v>
      </c>
      <c r="E497" s="375">
        <v>8.10115978169E11</v>
      </c>
      <c r="F497" s="209"/>
      <c r="G497" s="209"/>
      <c r="H497" s="209"/>
      <c r="I497" s="209"/>
      <c r="J497" s="300" t="b">
        <v>1</v>
      </c>
      <c r="K497" s="301" t="b">
        <v>0</v>
      </c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  <c r="AI497" s="209"/>
      <c r="AJ497" s="209"/>
      <c r="AK497" s="209"/>
    </row>
    <row r="498">
      <c r="A498" s="309"/>
      <c r="B498" s="310" t="s">
        <v>2410</v>
      </c>
      <c r="C498" s="311" t="s">
        <v>1060</v>
      </c>
      <c r="D498" s="311" t="s">
        <v>2411</v>
      </c>
      <c r="E498" s="380">
        <v>8.10115978176E11</v>
      </c>
      <c r="F498" s="313"/>
      <c r="G498" s="313"/>
      <c r="H498" s="313"/>
      <c r="I498" s="313"/>
      <c r="J498" s="300" t="b">
        <v>1</v>
      </c>
      <c r="K498" s="314" t="b">
        <v>0</v>
      </c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  <c r="AI498" s="209"/>
      <c r="AJ498" s="209"/>
      <c r="AK498" s="209"/>
    </row>
    <row r="499">
      <c r="A499" s="209"/>
      <c r="B499" s="209"/>
      <c r="C499" s="209"/>
      <c r="D499" s="209"/>
      <c r="E499" s="353"/>
      <c r="F499" s="209"/>
      <c r="G499" s="209"/>
      <c r="H499" s="209"/>
      <c r="I499" s="209"/>
      <c r="J499" s="313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  <c r="AI499" s="209"/>
      <c r="AJ499" s="209"/>
      <c r="AK499" s="209"/>
    </row>
    <row r="500">
      <c r="A500" s="316" t="s">
        <v>2412</v>
      </c>
      <c r="B500" s="319" t="s">
        <v>2413</v>
      </c>
      <c r="C500" s="320"/>
      <c r="D500" s="403" t="s">
        <v>2414</v>
      </c>
      <c r="E500" s="402" t="s">
        <v>2415</v>
      </c>
      <c r="F500" s="320"/>
      <c r="G500" s="320"/>
      <c r="H500" s="276" t="s">
        <v>572</v>
      </c>
      <c r="I500" s="285" t="s">
        <v>2416</v>
      </c>
      <c r="J500" s="278" t="str">
        <f>IF(COUNTIF(J501:J508, TRUE) = COUNTA(J501:J508), "Complete!", IF(COUNTIF(J501:J508, TRUE) &gt; 0, "Partial", "Not Started"))</f>
        <v>Complete!</v>
      </c>
      <c r="K500" s="279"/>
      <c r="L500" s="280">
        <v>8.0</v>
      </c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  <c r="AI500" s="209"/>
      <c r="AJ500" s="209"/>
      <c r="AK500" s="209"/>
    </row>
    <row r="501">
      <c r="A501" s="291"/>
      <c r="B501" s="303" t="s">
        <v>2417</v>
      </c>
      <c r="C501" s="304" t="s">
        <v>487</v>
      </c>
      <c r="D501" s="304" t="s">
        <v>2418</v>
      </c>
      <c r="E501" s="375">
        <v>8.10115972433E11</v>
      </c>
      <c r="F501" s="209"/>
      <c r="G501" s="209"/>
      <c r="H501" s="209"/>
      <c r="I501" s="209"/>
      <c r="J501" s="300" t="b">
        <v>1</v>
      </c>
      <c r="K501" s="301" t="b">
        <v>0</v>
      </c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  <c r="AI501" s="209"/>
      <c r="AJ501" s="209"/>
      <c r="AK501" s="209"/>
    </row>
    <row r="502">
      <c r="A502" s="291"/>
      <c r="B502" s="303" t="s">
        <v>2419</v>
      </c>
      <c r="C502" s="304" t="s">
        <v>1916</v>
      </c>
      <c r="D502" s="304" t="s">
        <v>2420</v>
      </c>
      <c r="E502" s="375">
        <v>8.1011597244E11</v>
      </c>
      <c r="F502" s="209"/>
      <c r="G502" s="209"/>
      <c r="H502" s="209"/>
      <c r="I502" s="209"/>
      <c r="J502" s="300" t="b">
        <v>1</v>
      </c>
      <c r="K502" s="301" t="b">
        <v>0</v>
      </c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  <c r="AH502" s="209"/>
      <c r="AI502" s="209"/>
      <c r="AJ502" s="209"/>
      <c r="AK502" s="209"/>
    </row>
    <row r="503">
      <c r="A503" s="291"/>
      <c r="B503" s="303" t="s">
        <v>2421</v>
      </c>
      <c r="C503" s="304" t="s">
        <v>529</v>
      </c>
      <c r="D503" s="304" t="s">
        <v>2422</v>
      </c>
      <c r="E503" s="375">
        <v>8.10115972464E11</v>
      </c>
      <c r="F503" s="209"/>
      <c r="G503" s="209"/>
      <c r="H503" s="209"/>
      <c r="I503" s="209"/>
      <c r="J503" s="300" t="b">
        <v>1</v>
      </c>
      <c r="K503" s="301" t="b">
        <v>0</v>
      </c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  <c r="AH503" s="209"/>
      <c r="AI503" s="209"/>
      <c r="AJ503" s="209"/>
      <c r="AK503" s="209"/>
    </row>
    <row r="504">
      <c r="A504" s="291"/>
      <c r="B504" s="303" t="s">
        <v>2423</v>
      </c>
      <c r="C504" s="304" t="s">
        <v>547</v>
      </c>
      <c r="D504" s="304" t="s">
        <v>2424</v>
      </c>
      <c r="E504" s="375">
        <v>8.1011597161E11</v>
      </c>
      <c r="F504" s="209"/>
      <c r="G504" s="209"/>
      <c r="H504" s="209"/>
      <c r="I504" s="209"/>
      <c r="J504" s="300" t="b">
        <v>1</v>
      </c>
      <c r="K504" s="301" t="b">
        <v>0</v>
      </c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  <c r="AH504" s="209"/>
      <c r="AI504" s="209"/>
      <c r="AJ504" s="209"/>
      <c r="AK504" s="209"/>
    </row>
    <row r="505">
      <c r="A505" s="291"/>
      <c r="B505" s="303" t="s">
        <v>2425</v>
      </c>
      <c r="C505" s="304" t="s">
        <v>1049</v>
      </c>
      <c r="D505" s="304" t="s">
        <v>2426</v>
      </c>
      <c r="E505" s="375">
        <v>8.10115975885E11</v>
      </c>
      <c r="F505" s="209"/>
      <c r="G505" s="209"/>
      <c r="H505" s="209"/>
      <c r="I505" s="209"/>
      <c r="J505" s="300" t="b">
        <v>1</v>
      </c>
      <c r="K505" s="301" t="b">
        <v>0</v>
      </c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  <c r="AH505" s="209"/>
      <c r="AI505" s="209"/>
      <c r="AJ505" s="209"/>
      <c r="AK505" s="209"/>
    </row>
    <row r="506">
      <c r="A506" s="291"/>
      <c r="B506" s="304" t="s">
        <v>2427</v>
      </c>
      <c r="C506" s="304" t="s">
        <v>1060</v>
      </c>
      <c r="D506" s="304" t="s">
        <v>2428</v>
      </c>
      <c r="E506" s="375">
        <v>8.10115970606E11</v>
      </c>
      <c r="F506" s="209"/>
      <c r="G506" s="209"/>
      <c r="H506" s="209"/>
      <c r="I506" s="209"/>
      <c r="J506" s="300" t="b">
        <v>1</v>
      </c>
      <c r="K506" s="301" t="b">
        <v>0</v>
      </c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  <c r="AK506" s="209"/>
    </row>
    <row r="507">
      <c r="A507" s="291"/>
      <c r="B507" s="303" t="s">
        <v>2429</v>
      </c>
      <c r="C507" s="304" t="s">
        <v>2430</v>
      </c>
      <c r="D507" s="304" t="s">
        <v>2431</v>
      </c>
      <c r="E507" s="375">
        <v>8.10115975915E11</v>
      </c>
      <c r="F507" s="209"/>
      <c r="G507" s="209"/>
      <c r="H507" s="209"/>
      <c r="I507" s="209"/>
      <c r="J507" s="300" t="b">
        <v>1</v>
      </c>
      <c r="K507" s="301" t="b">
        <v>0</v>
      </c>
      <c r="L507" s="209"/>
      <c r="M507" s="209"/>
      <c r="N507" s="209"/>
      <c r="O507" s="209"/>
      <c r="P507" s="209"/>
      <c r="Q507" s="353"/>
      <c r="R507" s="209"/>
      <c r="S507" s="209"/>
      <c r="T507" s="209"/>
      <c r="U507" s="209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  <c r="AH507" s="209"/>
      <c r="AI507" s="209"/>
      <c r="AJ507" s="209"/>
      <c r="AK507" s="209"/>
    </row>
    <row r="508">
      <c r="A508" s="309"/>
      <c r="B508" s="310" t="s">
        <v>2432</v>
      </c>
      <c r="C508" s="311" t="s">
        <v>2433</v>
      </c>
      <c r="D508" s="311" t="s">
        <v>2434</v>
      </c>
      <c r="E508" s="312">
        <v>8.10115975939E11</v>
      </c>
      <c r="F508" s="313"/>
      <c r="G508" s="313"/>
      <c r="H508" s="313"/>
      <c r="I508" s="313"/>
      <c r="J508" s="300" t="b">
        <v>1</v>
      </c>
      <c r="K508" s="314" t="b">
        <v>0</v>
      </c>
      <c r="L508" s="209"/>
      <c r="M508" s="209"/>
      <c r="N508" s="209"/>
      <c r="O508" s="209"/>
      <c r="P508" s="209"/>
      <c r="Q508" s="353"/>
      <c r="R508" s="209"/>
      <c r="S508" s="209"/>
      <c r="T508" s="209"/>
      <c r="U508" s="209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  <c r="AH508" s="209"/>
      <c r="AI508" s="209"/>
      <c r="AJ508" s="209"/>
      <c r="AK508" s="209"/>
    </row>
    <row r="509">
      <c r="A509" s="209"/>
      <c r="B509" s="209"/>
      <c r="C509" s="209"/>
      <c r="D509" s="209"/>
      <c r="E509" s="209"/>
      <c r="F509" s="209"/>
      <c r="G509" s="209"/>
      <c r="H509" s="209"/>
      <c r="I509" s="209"/>
      <c r="J509" s="313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  <c r="AH509" s="209"/>
      <c r="AI509" s="209"/>
      <c r="AJ509" s="209"/>
      <c r="AK509" s="209"/>
    </row>
    <row r="510">
      <c r="A510" s="316" t="s">
        <v>2435</v>
      </c>
      <c r="B510" s="319" t="s">
        <v>2436</v>
      </c>
      <c r="C510" s="320"/>
      <c r="D510" s="403" t="s">
        <v>2437</v>
      </c>
      <c r="E510" s="402" t="s">
        <v>2415</v>
      </c>
      <c r="F510" s="320"/>
      <c r="G510" s="320"/>
      <c r="H510" s="276" t="s">
        <v>563</v>
      </c>
      <c r="I510" s="285" t="s">
        <v>2438</v>
      </c>
      <c r="J510" s="278" t="str">
        <f>IF(COUNTIF(J511:J519, TRUE) = COUNTA(J511:J519), "Complete!", IF(COUNTIF(J511:J519, TRUE) &gt; 0, "Partial", "Not Started"))</f>
        <v>Complete!</v>
      </c>
      <c r="K510" s="279"/>
      <c r="L510" s="280">
        <v>9.0</v>
      </c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  <c r="AH510" s="209"/>
      <c r="AI510" s="209"/>
      <c r="AJ510" s="209"/>
      <c r="AK510" s="209"/>
    </row>
    <row r="511">
      <c r="A511" s="291"/>
      <c r="B511" s="303" t="s">
        <v>2439</v>
      </c>
      <c r="C511" s="304" t="s">
        <v>440</v>
      </c>
      <c r="D511" s="304" t="s">
        <v>2440</v>
      </c>
      <c r="E511" s="375">
        <v>8.10115971559E11</v>
      </c>
      <c r="F511" s="209"/>
      <c r="G511" s="209"/>
      <c r="H511" s="209"/>
      <c r="I511" s="209"/>
      <c r="J511" s="300" t="b">
        <v>1</v>
      </c>
      <c r="K511" s="301" t="b">
        <v>0</v>
      </c>
      <c r="L511" s="209"/>
      <c r="M511" s="209"/>
      <c r="N511" s="209"/>
      <c r="O511" s="209"/>
      <c r="P511" s="209"/>
      <c r="Q511" s="353"/>
      <c r="R511" s="209"/>
      <c r="S511" s="209"/>
      <c r="T511" s="209"/>
      <c r="U511" s="209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  <c r="AK511" s="209"/>
    </row>
    <row r="512">
      <c r="A512" s="291"/>
      <c r="B512" s="303" t="s">
        <v>2441</v>
      </c>
      <c r="C512" s="304" t="s">
        <v>2442</v>
      </c>
      <c r="D512" s="304" t="s">
        <v>2443</v>
      </c>
      <c r="E512" s="375">
        <v>8.10115970613E11</v>
      </c>
      <c r="F512" s="209"/>
      <c r="G512" s="209"/>
      <c r="H512" s="209"/>
      <c r="I512" s="209"/>
      <c r="J512" s="300" t="b">
        <v>1</v>
      </c>
      <c r="K512" s="301" t="b">
        <v>0</v>
      </c>
      <c r="L512" s="209"/>
      <c r="M512" s="209"/>
      <c r="N512" s="209"/>
      <c r="O512" s="209"/>
      <c r="P512" s="209"/>
      <c r="Q512" s="353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  <c r="AH512" s="209"/>
      <c r="AI512" s="209"/>
      <c r="AJ512" s="209"/>
      <c r="AK512" s="209"/>
    </row>
    <row r="513">
      <c r="A513" s="291"/>
      <c r="B513" s="303" t="s">
        <v>2444</v>
      </c>
      <c r="C513" s="304" t="s">
        <v>529</v>
      </c>
      <c r="D513" s="304" t="s">
        <v>2445</v>
      </c>
      <c r="E513" s="375">
        <v>8.10115972457E11</v>
      </c>
      <c r="F513" s="209"/>
      <c r="G513" s="209"/>
      <c r="H513" s="209"/>
      <c r="I513" s="209"/>
      <c r="J513" s="300" t="b">
        <v>1</v>
      </c>
      <c r="K513" s="301" t="b">
        <v>0</v>
      </c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  <c r="AH513" s="209"/>
      <c r="AI513" s="209"/>
      <c r="AJ513" s="209"/>
      <c r="AK513" s="209"/>
    </row>
    <row r="514">
      <c r="A514" s="291"/>
      <c r="B514" s="303" t="s">
        <v>2446</v>
      </c>
      <c r="C514" s="304" t="s">
        <v>547</v>
      </c>
      <c r="D514" s="304" t="s">
        <v>2447</v>
      </c>
      <c r="E514" s="375">
        <v>8.10115971603E11</v>
      </c>
      <c r="F514" s="209"/>
      <c r="G514" s="209"/>
      <c r="H514" s="209"/>
      <c r="I514" s="209"/>
      <c r="J514" s="300" t="b">
        <v>1</v>
      </c>
      <c r="K514" s="301" t="b">
        <v>0</v>
      </c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  <c r="AH514" s="209"/>
      <c r="AI514" s="209"/>
      <c r="AJ514" s="209"/>
      <c r="AK514" s="209"/>
    </row>
    <row r="515">
      <c r="A515" s="291"/>
      <c r="B515" s="303" t="s">
        <v>2448</v>
      </c>
      <c r="C515" s="304" t="s">
        <v>1049</v>
      </c>
      <c r="D515" s="304" t="s">
        <v>2449</v>
      </c>
      <c r="E515" s="375">
        <v>8.10115975892E11</v>
      </c>
      <c r="F515" s="209"/>
      <c r="G515" s="209"/>
      <c r="H515" s="209"/>
      <c r="I515" s="209"/>
      <c r="J515" s="300" t="b">
        <v>1</v>
      </c>
      <c r="K515" s="301" t="b">
        <v>0</v>
      </c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  <c r="AH515" s="209"/>
      <c r="AI515" s="209"/>
      <c r="AJ515" s="209"/>
      <c r="AK515" s="209"/>
    </row>
    <row r="516">
      <c r="A516" s="291"/>
      <c r="B516" s="303" t="s">
        <v>2450</v>
      </c>
      <c r="C516" s="304" t="s">
        <v>2430</v>
      </c>
      <c r="D516" s="304" t="s">
        <v>2451</v>
      </c>
      <c r="E516" s="375">
        <v>8.10115975922E11</v>
      </c>
      <c r="F516" s="209"/>
      <c r="G516" s="209"/>
      <c r="H516" s="209"/>
      <c r="I516" s="209"/>
      <c r="J516" s="300" t="b">
        <v>1</v>
      </c>
      <c r="K516" s="301" t="b">
        <v>0</v>
      </c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  <c r="AK516" s="209"/>
    </row>
    <row r="517">
      <c r="A517" s="291"/>
      <c r="B517" s="303" t="s">
        <v>2452</v>
      </c>
      <c r="C517" s="304" t="s">
        <v>2433</v>
      </c>
      <c r="D517" s="304" t="s">
        <v>2453</v>
      </c>
      <c r="E517" s="375">
        <v>8.10115975946E11</v>
      </c>
      <c r="F517" s="209"/>
      <c r="G517" s="209"/>
      <c r="H517" s="209"/>
      <c r="I517" s="209"/>
      <c r="J517" s="300" t="b">
        <v>1</v>
      </c>
      <c r="K517" s="301" t="b">
        <v>0</v>
      </c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  <c r="AH517" s="209"/>
      <c r="AI517" s="209"/>
      <c r="AJ517" s="209"/>
      <c r="AK517" s="209"/>
    </row>
    <row r="518">
      <c r="A518" s="291"/>
      <c r="B518" s="303" t="s">
        <v>2454</v>
      </c>
      <c r="C518" s="304" t="s">
        <v>2155</v>
      </c>
      <c r="D518" s="304" t="s">
        <v>2455</v>
      </c>
      <c r="E518" s="375">
        <v>8.10115972471E11</v>
      </c>
      <c r="F518" s="209"/>
      <c r="G518" s="209"/>
      <c r="H518" s="209"/>
      <c r="I518" s="209"/>
      <c r="J518" s="300" t="b">
        <v>1</v>
      </c>
      <c r="K518" s="301" t="b">
        <v>0</v>
      </c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  <c r="AH518" s="209"/>
      <c r="AI518" s="209"/>
      <c r="AJ518" s="209"/>
      <c r="AK518" s="209"/>
    </row>
    <row r="519">
      <c r="A519" s="309"/>
      <c r="B519" s="310" t="s">
        <v>2456</v>
      </c>
      <c r="C519" s="311" t="s">
        <v>2457</v>
      </c>
      <c r="D519" s="311" t="s">
        <v>2458</v>
      </c>
      <c r="E519" s="380">
        <v>8.10115971634E11</v>
      </c>
      <c r="F519" s="311" t="s">
        <v>1432</v>
      </c>
      <c r="G519" s="313"/>
      <c r="H519" s="313"/>
      <c r="I519" s="311" t="s">
        <v>1866</v>
      </c>
      <c r="J519" s="300" t="b">
        <v>1</v>
      </c>
      <c r="K519" s="314" t="b">
        <v>1</v>
      </c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  <c r="AH519" s="209"/>
      <c r="AI519" s="209"/>
      <c r="AJ519" s="209"/>
      <c r="AK519" s="209"/>
    </row>
    <row r="520">
      <c r="A520" s="209"/>
      <c r="B520" s="209"/>
      <c r="C520" s="209"/>
      <c r="D520" s="209"/>
      <c r="E520" s="209"/>
      <c r="F520" s="209"/>
      <c r="G520" s="209"/>
      <c r="H520" s="209"/>
      <c r="I520" s="209"/>
      <c r="J520" s="313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  <c r="AH520" s="209"/>
      <c r="AI520" s="209"/>
      <c r="AJ520" s="209"/>
      <c r="AK520" s="209"/>
    </row>
    <row r="521">
      <c r="A521" s="316" t="s">
        <v>2459</v>
      </c>
      <c r="B521" s="319" t="s">
        <v>2460</v>
      </c>
      <c r="C521" s="320"/>
      <c r="D521" s="283" t="s">
        <v>2461</v>
      </c>
      <c r="E521" s="402" t="s">
        <v>2415</v>
      </c>
      <c r="F521" s="320"/>
      <c r="G521" s="320"/>
      <c r="H521" s="276" t="s">
        <v>572</v>
      </c>
      <c r="I521" s="285" t="s">
        <v>2462</v>
      </c>
      <c r="J521" s="278" t="str">
        <f>IF(COUNTIF(J522:J527, TRUE) = COUNTA(J522:J527), "Complete!", IF(COUNTIF(J522:J527, TRUE) &gt; 0, "Partial", "Not Started"))</f>
        <v>Complete!</v>
      </c>
      <c r="K521" s="279"/>
      <c r="L521" s="280">
        <v>6.0</v>
      </c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  <c r="AK521" s="209"/>
    </row>
    <row r="522">
      <c r="A522" s="291"/>
      <c r="B522" s="303" t="s">
        <v>2463</v>
      </c>
      <c r="C522" s="304" t="s">
        <v>449</v>
      </c>
      <c r="D522" s="304" t="s">
        <v>2464</v>
      </c>
      <c r="E522" s="305">
        <v>8.10115971542E11</v>
      </c>
      <c r="F522" s="209"/>
      <c r="G522" s="209"/>
      <c r="H522" s="209"/>
      <c r="I522" s="209"/>
      <c r="J522" s="300" t="b">
        <v>1</v>
      </c>
      <c r="K522" s="301" t="b">
        <v>0</v>
      </c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  <c r="AH522" s="209"/>
      <c r="AI522" s="209"/>
      <c r="AJ522" s="209"/>
      <c r="AK522" s="209"/>
    </row>
    <row r="523">
      <c r="A523" s="291"/>
      <c r="B523" s="303" t="s">
        <v>2465</v>
      </c>
      <c r="C523" s="304" t="s">
        <v>487</v>
      </c>
      <c r="D523" s="304" t="s">
        <v>2466</v>
      </c>
      <c r="E523" s="375">
        <v>8.10115972389E11</v>
      </c>
      <c r="F523" s="209"/>
      <c r="G523" s="209"/>
      <c r="H523" s="209"/>
      <c r="I523" s="209"/>
      <c r="J523" s="300" t="b">
        <v>1</v>
      </c>
      <c r="K523" s="301" t="b">
        <v>0</v>
      </c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  <c r="AH523" s="209"/>
      <c r="AI523" s="209"/>
      <c r="AJ523" s="209"/>
      <c r="AK523" s="209"/>
    </row>
    <row r="524">
      <c r="A524" s="291"/>
      <c r="B524" s="303" t="s">
        <v>2467</v>
      </c>
      <c r="C524" s="304" t="s">
        <v>1916</v>
      </c>
      <c r="D524" s="304" t="s">
        <v>2468</v>
      </c>
      <c r="E524" s="305">
        <v>8.10115972396E11</v>
      </c>
      <c r="F524" s="209"/>
      <c r="G524" s="209"/>
      <c r="H524" s="209"/>
      <c r="I524" s="209"/>
      <c r="J524" s="300" t="b">
        <v>1</v>
      </c>
      <c r="K524" s="301" t="b">
        <v>0</v>
      </c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  <c r="AH524" s="209"/>
      <c r="AI524" s="209"/>
      <c r="AJ524" s="209"/>
      <c r="AK524" s="209"/>
    </row>
    <row r="525">
      <c r="A525" s="291"/>
      <c r="B525" s="303" t="s">
        <v>2469</v>
      </c>
      <c r="C525" s="304" t="s">
        <v>458</v>
      </c>
      <c r="D525" s="304" t="s">
        <v>2470</v>
      </c>
      <c r="E525" s="375">
        <v>8.10115971573E11</v>
      </c>
      <c r="F525" s="209"/>
      <c r="G525" s="209"/>
      <c r="H525" s="209"/>
      <c r="I525" s="209"/>
      <c r="J525" s="300" t="b">
        <v>1</v>
      </c>
      <c r="K525" s="301" t="b">
        <v>0</v>
      </c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  <c r="AH525" s="209"/>
      <c r="AI525" s="209"/>
      <c r="AJ525" s="209"/>
      <c r="AK525" s="209"/>
    </row>
    <row r="526">
      <c r="A526" s="291"/>
      <c r="B526" s="303" t="s">
        <v>2471</v>
      </c>
      <c r="C526" s="304" t="s">
        <v>522</v>
      </c>
      <c r="D526" s="304" t="s">
        <v>2472</v>
      </c>
      <c r="E526" s="305">
        <v>8.1011597158E11</v>
      </c>
      <c r="F526" s="209"/>
      <c r="G526" s="209"/>
      <c r="H526" s="209"/>
      <c r="I526" s="209"/>
      <c r="J526" s="300" t="b">
        <v>1</v>
      </c>
      <c r="K526" s="301" t="b">
        <v>0</v>
      </c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  <c r="AK526" s="209"/>
    </row>
    <row r="527">
      <c r="A527" s="309"/>
      <c r="B527" s="310" t="s">
        <v>2473</v>
      </c>
      <c r="C527" s="311" t="s">
        <v>1060</v>
      </c>
      <c r="D527" s="311" t="s">
        <v>2474</v>
      </c>
      <c r="E527" s="380">
        <v>8.1011597062E11</v>
      </c>
      <c r="F527" s="313"/>
      <c r="G527" s="313"/>
      <c r="H527" s="313"/>
      <c r="I527" s="313"/>
      <c r="J527" s="300" t="b">
        <v>1</v>
      </c>
      <c r="K527" s="314" t="b">
        <v>0</v>
      </c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  <c r="AH527" s="209"/>
      <c r="AI527" s="209"/>
      <c r="AJ527" s="209"/>
      <c r="AK527" s="209"/>
    </row>
    <row r="528">
      <c r="A528" s="209"/>
      <c r="B528" s="209"/>
      <c r="C528" s="209"/>
      <c r="D528" s="209"/>
      <c r="E528" s="209"/>
      <c r="F528" s="209"/>
      <c r="G528" s="209"/>
      <c r="H528" s="209"/>
      <c r="I528" s="209"/>
      <c r="J528" s="313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  <c r="AH528" s="209"/>
      <c r="AI528" s="209"/>
      <c r="AJ528" s="209"/>
      <c r="AK528" s="209"/>
    </row>
    <row r="529">
      <c r="A529" s="316" t="s">
        <v>2475</v>
      </c>
      <c r="B529" s="319" t="s">
        <v>2476</v>
      </c>
      <c r="C529" s="320"/>
      <c r="D529" s="403" t="s">
        <v>2477</v>
      </c>
      <c r="E529" s="402" t="s">
        <v>2415</v>
      </c>
      <c r="F529" s="320"/>
      <c r="G529" s="320"/>
      <c r="H529" s="276" t="s">
        <v>572</v>
      </c>
      <c r="I529" s="285" t="s">
        <v>2478</v>
      </c>
      <c r="J529" s="278" t="str">
        <f>IF(COUNTIF(J530:J537, TRUE) = COUNTA(J530:J537), "Complete!", IF(COUNTIF(J530:J537, TRUE) &gt; 0, "Partial", "Not Started"))</f>
        <v>Complete!</v>
      </c>
      <c r="K529" s="279"/>
      <c r="L529" s="280">
        <v>8.0</v>
      </c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  <c r="AH529" s="209"/>
      <c r="AI529" s="209"/>
      <c r="AJ529" s="209"/>
      <c r="AK529" s="209"/>
    </row>
    <row r="530">
      <c r="A530" s="291"/>
      <c r="B530" s="303" t="s">
        <v>2479</v>
      </c>
      <c r="C530" s="304" t="s">
        <v>400</v>
      </c>
      <c r="D530" s="304" t="s">
        <v>2480</v>
      </c>
      <c r="E530" s="305">
        <v>8.10115972358E11</v>
      </c>
      <c r="F530" s="209"/>
      <c r="G530" s="209"/>
      <c r="H530" s="209"/>
      <c r="I530" s="209"/>
      <c r="J530" s="300" t="b">
        <v>1</v>
      </c>
      <c r="K530" s="301" t="b">
        <v>0</v>
      </c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  <c r="AH530" s="209"/>
      <c r="AI530" s="209"/>
      <c r="AJ530" s="209"/>
      <c r="AK530" s="209"/>
    </row>
    <row r="531">
      <c r="A531" s="291"/>
      <c r="B531" s="354" t="s">
        <v>2481</v>
      </c>
      <c r="C531" s="304" t="s">
        <v>412</v>
      </c>
      <c r="D531" s="304" t="s">
        <v>2482</v>
      </c>
      <c r="E531" s="305">
        <v>8.10115972365E11</v>
      </c>
      <c r="F531" s="209"/>
      <c r="G531" s="209"/>
      <c r="H531" s="209"/>
      <c r="I531" s="209"/>
      <c r="J531" s="300" t="b">
        <v>1</v>
      </c>
      <c r="K531" s="301" t="b">
        <v>0</v>
      </c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  <c r="AH531" s="209"/>
      <c r="AI531" s="209"/>
      <c r="AJ531" s="209"/>
      <c r="AK531" s="209"/>
    </row>
    <row r="532">
      <c r="A532" s="291"/>
      <c r="B532" s="303" t="s">
        <v>2483</v>
      </c>
      <c r="C532" s="304" t="s">
        <v>431</v>
      </c>
      <c r="D532" s="304" t="s">
        <v>2484</v>
      </c>
      <c r="E532" s="305">
        <v>8.10115970392E11</v>
      </c>
      <c r="F532" s="209"/>
      <c r="G532" s="209"/>
      <c r="H532" s="209"/>
      <c r="I532" s="209"/>
      <c r="J532" s="300" t="b">
        <v>1</v>
      </c>
      <c r="K532" s="301" t="b">
        <v>0</v>
      </c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  <c r="AH532" s="209"/>
      <c r="AI532" s="209"/>
      <c r="AJ532" s="209"/>
      <c r="AK532" s="209"/>
    </row>
    <row r="533">
      <c r="A533" s="291"/>
      <c r="B533" s="303" t="s">
        <v>2485</v>
      </c>
      <c r="C533" s="304" t="s">
        <v>421</v>
      </c>
      <c r="D533" s="304" t="s">
        <v>2486</v>
      </c>
      <c r="E533" s="375">
        <v>8.10115970408E11</v>
      </c>
      <c r="F533" s="401"/>
      <c r="G533" s="401"/>
      <c r="H533" s="401"/>
      <c r="I533" s="401"/>
      <c r="J533" s="300" t="b">
        <v>1</v>
      </c>
      <c r="K533" s="301" t="b">
        <v>0</v>
      </c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  <c r="AH533" s="209"/>
      <c r="AI533" s="209"/>
      <c r="AJ533" s="209"/>
      <c r="AK533" s="209"/>
    </row>
    <row r="534">
      <c r="A534" s="291"/>
      <c r="B534" s="303" t="s">
        <v>2487</v>
      </c>
      <c r="C534" s="304" t="s">
        <v>449</v>
      </c>
      <c r="D534" s="304" t="s">
        <v>2488</v>
      </c>
      <c r="E534" s="305">
        <v>8.10115970415E11</v>
      </c>
      <c r="F534" s="401"/>
      <c r="G534" s="401"/>
      <c r="H534" s="401"/>
      <c r="I534" s="401"/>
      <c r="J534" s="300" t="b">
        <v>1</v>
      </c>
      <c r="K534" s="301" t="b">
        <v>0</v>
      </c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  <c r="AH534" s="209"/>
      <c r="AI534" s="209"/>
      <c r="AJ534" s="209"/>
      <c r="AK534" s="209"/>
    </row>
    <row r="535">
      <c r="A535" s="291"/>
      <c r="B535" s="303" t="s">
        <v>2489</v>
      </c>
      <c r="C535" s="304" t="s">
        <v>440</v>
      </c>
      <c r="D535" s="304" t="s">
        <v>2490</v>
      </c>
      <c r="E535" s="375">
        <v>8.10115971627E11</v>
      </c>
      <c r="F535" s="209"/>
      <c r="G535" s="209"/>
      <c r="H535" s="209"/>
      <c r="I535" s="209"/>
      <c r="J535" s="300" t="b">
        <v>1</v>
      </c>
      <c r="K535" s="301" t="b">
        <v>0</v>
      </c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  <c r="AH535" s="209"/>
      <c r="AI535" s="209"/>
      <c r="AJ535" s="209"/>
      <c r="AK535" s="209"/>
    </row>
    <row r="536">
      <c r="A536" s="291"/>
      <c r="B536" s="303" t="s">
        <v>2491</v>
      </c>
      <c r="C536" s="304" t="s">
        <v>1916</v>
      </c>
      <c r="D536" s="304" t="s">
        <v>2492</v>
      </c>
      <c r="E536" s="305">
        <v>8.10115972419E11</v>
      </c>
      <c r="F536" s="209"/>
      <c r="G536" s="209"/>
      <c r="H536" s="209"/>
      <c r="I536" s="209"/>
      <c r="J536" s="300" t="b">
        <v>1</v>
      </c>
      <c r="K536" s="301" t="b">
        <v>0</v>
      </c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  <c r="AH536" s="209"/>
      <c r="AI536" s="209"/>
      <c r="AJ536" s="209"/>
      <c r="AK536" s="209"/>
    </row>
    <row r="537">
      <c r="A537" s="309"/>
      <c r="B537" s="310" t="s">
        <v>2493</v>
      </c>
      <c r="C537" s="311" t="s">
        <v>458</v>
      </c>
      <c r="D537" s="311" t="s">
        <v>2494</v>
      </c>
      <c r="E537" s="380">
        <v>8.10115970422E11</v>
      </c>
      <c r="F537" s="313"/>
      <c r="G537" s="313"/>
      <c r="H537" s="313"/>
      <c r="I537" s="313"/>
      <c r="J537" s="300" t="b">
        <v>1</v>
      </c>
      <c r="K537" s="314" t="b">
        <v>0</v>
      </c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  <c r="AH537" s="209"/>
      <c r="AI537" s="209"/>
      <c r="AJ537" s="209"/>
      <c r="AK537" s="209"/>
    </row>
    <row r="538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  <c r="AH538" s="209"/>
      <c r="AI538" s="209"/>
      <c r="AJ538" s="209"/>
      <c r="AK538" s="209"/>
    </row>
    <row r="539">
      <c r="A539" s="316" t="s">
        <v>2495</v>
      </c>
      <c r="B539" s="319" t="s">
        <v>2496</v>
      </c>
      <c r="C539" s="320"/>
      <c r="D539" s="403" t="s">
        <v>2497</v>
      </c>
      <c r="E539" s="402" t="s">
        <v>2415</v>
      </c>
      <c r="F539" s="320"/>
      <c r="G539" s="320"/>
      <c r="H539" s="276" t="s">
        <v>563</v>
      </c>
      <c r="I539" s="285" t="s">
        <v>2438</v>
      </c>
      <c r="J539" s="278" t="str">
        <f>IF(COUNTIF(J540:J547, TRUE) = COUNTA(J540:J547), "Complete!", IF(COUNTIF(J540:J547, TRUE) &gt; 0, "Partial", "Not Started"))</f>
        <v>Complete!</v>
      </c>
      <c r="K539" s="279"/>
      <c r="L539" s="280">
        <v>8.0</v>
      </c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  <c r="AH539" s="209"/>
      <c r="AI539" s="209"/>
      <c r="AJ539" s="209"/>
      <c r="AK539" s="209"/>
    </row>
    <row r="540">
      <c r="A540" s="291"/>
      <c r="B540" s="292" t="s">
        <v>2498</v>
      </c>
      <c r="C540" s="304" t="s">
        <v>487</v>
      </c>
      <c r="D540" s="304" t="s">
        <v>2499</v>
      </c>
      <c r="E540" s="375">
        <v>8.10115972402E11</v>
      </c>
      <c r="F540" s="209"/>
      <c r="G540" s="209"/>
      <c r="H540" s="209"/>
      <c r="I540" s="295"/>
      <c r="J540" s="300" t="b">
        <v>1</v>
      </c>
      <c r="K540" s="301" t="b">
        <v>0</v>
      </c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  <c r="AH540" s="209"/>
      <c r="AI540" s="209"/>
      <c r="AJ540" s="209"/>
      <c r="AK540" s="209"/>
    </row>
    <row r="541">
      <c r="A541" s="291"/>
      <c r="B541" s="303" t="s">
        <v>2500</v>
      </c>
      <c r="C541" s="304" t="s">
        <v>505</v>
      </c>
      <c r="D541" s="304" t="s">
        <v>2501</v>
      </c>
      <c r="E541" s="305">
        <v>8.10115970439E11</v>
      </c>
      <c r="F541" s="401"/>
      <c r="G541" s="401"/>
      <c r="H541" s="401"/>
      <c r="I541" s="401"/>
      <c r="J541" s="300" t="b">
        <v>1</v>
      </c>
      <c r="K541" s="301" t="b">
        <v>0</v>
      </c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  <c r="AH541" s="209"/>
      <c r="AI541" s="209"/>
      <c r="AJ541" s="209"/>
      <c r="AK541" s="209"/>
    </row>
    <row r="542">
      <c r="A542" s="291"/>
      <c r="B542" s="303" t="s">
        <v>2502</v>
      </c>
      <c r="C542" s="304" t="s">
        <v>522</v>
      </c>
      <c r="D542" s="304" t="s">
        <v>2503</v>
      </c>
      <c r="E542" s="375">
        <v>8.10115970446E11</v>
      </c>
      <c r="F542" s="401"/>
      <c r="G542" s="401"/>
      <c r="H542" s="401"/>
      <c r="I542" s="401"/>
      <c r="J542" s="300" t="b">
        <v>1</v>
      </c>
      <c r="K542" s="301" t="b">
        <v>0</v>
      </c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  <c r="AH542" s="209"/>
      <c r="AI542" s="209"/>
      <c r="AJ542" s="209"/>
      <c r="AK542" s="209"/>
    </row>
    <row r="543">
      <c r="A543" s="291"/>
      <c r="B543" s="303" t="s">
        <v>2504</v>
      </c>
      <c r="C543" s="304" t="s">
        <v>529</v>
      </c>
      <c r="D543" s="304" t="s">
        <v>2505</v>
      </c>
      <c r="E543" s="305">
        <v>8.10115978251E11</v>
      </c>
      <c r="F543" s="209"/>
      <c r="G543" s="209"/>
      <c r="H543" s="209"/>
      <c r="I543" s="209"/>
      <c r="J543" s="300" t="b">
        <v>1</v>
      </c>
      <c r="K543" s="301" t="b">
        <v>0</v>
      </c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  <c r="AH543" s="209"/>
      <c r="AI543" s="209"/>
      <c r="AJ543" s="209"/>
      <c r="AK543" s="209"/>
    </row>
    <row r="544">
      <c r="A544" s="291"/>
      <c r="B544" s="303" t="s">
        <v>2506</v>
      </c>
      <c r="C544" s="304" t="s">
        <v>547</v>
      </c>
      <c r="D544" s="304" t="s">
        <v>2507</v>
      </c>
      <c r="E544" s="305">
        <v>8.10115970477E11</v>
      </c>
      <c r="F544" s="209"/>
      <c r="G544" s="209"/>
      <c r="H544" s="209"/>
      <c r="I544" s="209"/>
      <c r="J544" s="300" t="b">
        <v>1</v>
      </c>
      <c r="K544" s="301" t="b">
        <v>0</v>
      </c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  <c r="AH544" s="209"/>
      <c r="AI544" s="209"/>
      <c r="AJ544" s="209"/>
      <c r="AK544" s="209"/>
    </row>
    <row r="545">
      <c r="A545" s="291"/>
      <c r="B545" s="354" t="s">
        <v>2508</v>
      </c>
      <c r="C545" s="304" t="s">
        <v>1060</v>
      </c>
      <c r="D545" s="304" t="s">
        <v>2509</v>
      </c>
      <c r="E545" s="305">
        <v>8.10115970521E11</v>
      </c>
      <c r="F545" s="401"/>
      <c r="G545" s="401"/>
      <c r="H545" s="401"/>
      <c r="I545" s="209"/>
      <c r="J545" s="300" t="b">
        <v>1</v>
      </c>
      <c r="K545" s="301" t="b">
        <v>0</v>
      </c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  <c r="AH545" s="209"/>
      <c r="AI545" s="209"/>
      <c r="AJ545" s="209"/>
      <c r="AK545" s="209"/>
    </row>
    <row r="546">
      <c r="A546" s="291"/>
      <c r="B546" s="303" t="s">
        <v>2510</v>
      </c>
      <c r="C546" s="304" t="s">
        <v>2430</v>
      </c>
      <c r="D546" s="304" t="s">
        <v>2511</v>
      </c>
      <c r="E546" s="305">
        <v>8.10115975908E11</v>
      </c>
      <c r="F546" s="209"/>
      <c r="G546" s="209"/>
      <c r="H546" s="209"/>
      <c r="I546" s="209"/>
      <c r="J546" s="300" t="b">
        <v>1</v>
      </c>
      <c r="K546" s="301" t="b">
        <v>0</v>
      </c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  <c r="AH546" s="209"/>
      <c r="AI546" s="209"/>
      <c r="AJ546" s="209"/>
      <c r="AK546" s="209"/>
    </row>
    <row r="547">
      <c r="A547" s="291"/>
      <c r="B547" s="310" t="s">
        <v>2512</v>
      </c>
      <c r="C547" s="311" t="s">
        <v>2155</v>
      </c>
      <c r="D547" s="311" t="s">
        <v>2513</v>
      </c>
      <c r="E547" s="404">
        <v>8.10115972426E11</v>
      </c>
      <c r="F547" s="313"/>
      <c r="G547" s="313"/>
      <c r="H547" s="313"/>
      <c r="I547" s="313"/>
      <c r="J547" s="300" t="b">
        <v>1</v>
      </c>
      <c r="K547" s="314" t="b">
        <v>0</v>
      </c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  <c r="AH547" s="209"/>
      <c r="AI547" s="209"/>
      <c r="AJ547" s="209"/>
      <c r="AK547" s="209"/>
    </row>
    <row r="548">
      <c r="A548" s="209"/>
      <c r="B548" s="209"/>
      <c r="C548" s="209"/>
      <c r="D548" s="209"/>
      <c r="E548" s="209"/>
      <c r="F548" s="209"/>
      <c r="G548" s="209"/>
      <c r="H548" s="209"/>
      <c r="I548" s="209"/>
      <c r="J548" s="313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  <c r="AH548" s="209"/>
      <c r="AI548" s="209"/>
      <c r="AJ548" s="209"/>
      <c r="AK548" s="209"/>
    </row>
    <row r="549">
      <c r="A549" s="316" t="s">
        <v>2514</v>
      </c>
      <c r="B549" s="319" t="s">
        <v>2515</v>
      </c>
      <c r="C549" s="320"/>
      <c r="D549" s="403" t="s">
        <v>2516</v>
      </c>
      <c r="E549" s="402" t="s">
        <v>2415</v>
      </c>
      <c r="F549" s="320"/>
      <c r="G549" s="320"/>
      <c r="H549" s="276" t="s">
        <v>572</v>
      </c>
      <c r="I549" s="285" t="s">
        <v>2517</v>
      </c>
      <c r="J549" s="278" t="str">
        <f>IF(COUNTIF(J550:J556, TRUE) = COUNTA(J550:J556), "Complete!", IF(COUNTIF(J550:J556, TRUE) &gt; 0, "Partial", "Not Started"))</f>
        <v>Complete!</v>
      </c>
      <c r="K549" s="279"/>
      <c r="L549" s="280">
        <v>7.0</v>
      </c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  <c r="AH549" s="209"/>
      <c r="AI549" s="209"/>
      <c r="AJ549" s="209"/>
      <c r="AK549" s="209"/>
    </row>
    <row r="550">
      <c r="A550" s="291"/>
      <c r="B550" s="303" t="s">
        <v>2518</v>
      </c>
      <c r="C550" s="304" t="s">
        <v>431</v>
      </c>
      <c r="D550" s="304" t="s">
        <v>2519</v>
      </c>
      <c r="E550" s="305">
        <v>8.10115971528E11</v>
      </c>
      <c r="F550" s="304" t="s">
        <v>406</v>
      </c>
      <c r="G550" s="209"/>
      <c r="H550" s="209"/>
      <c r="I550" s="304" t="s">
        <v>2520</v>
      </c>
      <c r="J550" s="300" t="b">
        <v>1</v>
      </c>
      <c r="K550" s="301" t="b">
        <v>1</v>
      </c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  <c r="AH550" s="209"/>
      <c r="AI550" s="209"/>
      <c r="AJ550" s="209"/>
      <c r="AK550" s="209"/>
    </row>
    <row r="551">
      <c r="A551" s="291"/>
      <c r="B551" s="303" t="s">
        <v>2521</v>
      </c>
      <c r="C551" s="304" t="s">
        <v>421</v>
      </c>
      <c r="D551" s="304" t="s">
        <v>2522</v>
      </c>
      <c r="E551" s="375">
        <v>8.10115971535E11</v>
      </c>
      <c r="F551" s="209"/>
      <c r="G551" s="209"/>
      <c r="H551" s="209"/>
      <c r="I551" s="209"/>
      <c r="J551" s="300" t="b">
        <v>1</v>
      </c>
      <c r="K551" s="301" t="b">
        <v>0</v>
      </c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  <c r="AH551" s="209"/>
      <c r="AI551" s="209"/>
      <c r="AJ551" s="209"/>
      <c r="AK551" s="209"/>
    </row>
    <row r="552">
      <c r="A552" s="291"/>
      <c r="B552" s="303" t="s">
        <v>2523</v>
      </c>
      <c r="C552" s="304" t="s">
        <v>449</v>
      </c>
      <c r="D552" s="304" t="s">
        <v>2524</v>
      </c>
      <c r="E552" s="305">
        <v>8.10115970552E11</v>
      </c>
      <c r="F552" s="209"/>
      <c r="G552" s="209"/>
      <c r="H552" s="209"/>
      <c r="I552" s="209"/>
      <c r="J552" s="300" t="b">
        <v>1</v>
      </c>
      <c r="K552" s="301" t="b">
        <v>0</v>
      </c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  <c r="AH552" s="209"/>
      <c r="AI552" s="209"/>
      <c r="AJ552" s="209"/>
      <c r="AK552" s="209"/>
    </row>
    <row r="553">
      <c r="A553" s="291"/>
      <c r="B553" s="354" t="s">
        <v>2525</v>
      </c>
      <c r="C553" s="304" t="s">
        <v>440</v>
      </c>
      <c r="D553" s="304" t="s">
        <v>2526</v>
      </c>
      <c r="E553" s="305">
        <v>8.10115971566E11</v>
      </c>
      <c r="F553" s="405" t="s">
        <v>406</v>
      </c>
      <c r="G553" s="401"/>
      <c r="H553" s="401"/>
      <c r="I553" s="304" t="s">
        <v>2520</v>
      </c>
      <c r="J553" s="300" t="b">
        <v>1</v>
      </c>
      <c r="K553" s="301" t="b">
        <v>1</v>
      </c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  <c r="AH553" s="209"/>
      <c r="AI553" s="209"/>
      <c r="AJ553" s="209"/>
      <c r="AK553" s="209"/>
    </row>
    <row r="554">
      <c r="A554" s="291"/>
      <c r="B554" s="303" t="s">
        <v>2527</v>
      </c>
      <c r="C554" s="304" t="s">
        <v>458</v>
      </c>
      <c r="D554" s="304" t="s">
        <v>2528</v>
      </c>
      <c r="E554" s="375">
        <v>8.10115970583E11</v>
      </c>
      <c r="F554" s="401"/>
      <c r="G554" s="401"/>
      <c r="H554" s="401"/>
      <c r="I554" s="401"/>
      <c r="J554" s="300" t="b">
        <v>1</v>
      </c>
      <c r="K554" s="301" t="b">
        <v>0</v>
      </c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  <c r="AH554" s="209"/>
      <c r="AI554" s="209"/>
      <c r="AJ554" s="209"/>
      <c r="AK554" s="209"/>
    </row>
    <row r="555">
      <c r="A555" s="291"/>
      <c r="B555" s="303" t="s">
        <v>2529</v>
      </c>
      <c r="C555" s="304" t="s">
        <v>505</v>
      </c>
      <c r="D555" s="304" t="s">
        <v>2530</v>
      </c>
      <c r="E555" s="375">
        <v>8.1011597059E11</v>
      </c>
      <c r="F555" s="209"/>
      <c r="G555" s="209"/>
      <c r="H555" s="209"/>
      <c r="I555" s="209"/>
      <c r="J555" s="300" t="b">
        <v>1</v>
      </c>
      <c r="K555" s="301" t="b">
        <v>0</v>
      </c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  <c r="AH555" s="209"/>
      <c r="AI555" s="209"/>
      <c r="AJ555" s="209"/>
      <c r="AK555" s="209"/>
    </row>
    <row r="556">
      <c r="A556" s="309"/>
      <c r="B556" s="310" t="s">
        <v>2531</v>
      </c>
      <c r="C556" s="311" t="s">
        <v>522</v>
      </c>
      <c r="D556" s="311" t="s">
        <v>2532</v>
      </c>
      <c r="E556" s="380">
        <v>8.10115971597E11</v>
      </c>
      <c r="F556" s="313"/>
      <c r="G556" s="313"/>
      <c r="H556" s="313"/>
      <c r="I556" s="313"/>
      <c r="J556" s="300" t="b">
        <v>1</v>
      </c>
      <c r="K556" s="314" t="b">
        <v>0</v>
      </c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  <c r="AH556" s="209"/>
      <c r="AI556" s="209"/>
      <c r="AJ556" s="209"/>
      <c r="AK556" s="209"/>
    </row>
    <row r="557">
      <c r="A557" s="209"/>
      <c r="B557" s="209"/>
      <c r="C557" s="209"/>
      <c r="D557" s="209"/>
      <c r="E557" s="353"/>
      <c r="F557" s="209"/>
      <c r="G557" s="209"/>
      <c r="H557" s="209"/>
      <c r="I557" s="209"/>
      <c r="J557" s="313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  <c r="AH557" s="209"/>
      <c r="AI557" s="209"/>
      <c r="AJ557" s="209"/>
      <c r="AK557" s="209"/>
    </row>
    <row r="558">
      <c r="A558" s="316" t="s">
        <v>2533</v>
      </c>
      <c r="B558" s="319" t="s">
        <v>2534</v>
      </c>
      <c r="C558" s="320"/>
      <c r="D558" s="283" t="s">
        <v>2535</v>
      </c>
      <c r="E558" s="402" t="s">
        <v>2536</v>
      </c>
      <c r="F558" s="320"/>
      <c r="G558" s="320"/>
      <c r="H558" s="276" t="s">
        <v>370</v>
      </c>
      <c r="I558" s="285" t="s">
        <v>822</v>
      </c>
      <c r="J558" s="278" t="str">
        <f>IF(COUNTIF(J559:J564, TRUE) = COUNTA(J559:J564), "Complete!", IF(COUNTIF(J559:J564, TRUE) &gt; 0, "Partial", "Not Started"))</f>
        <v>Complete!</v>
      </c>
      <c r="K558" s="279"/>
      <c r="L558" s="280">
        <v>6.0</v>
      </c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  <c r="AH558" s="209"/>
      <c r="AI558" s="209"/>
      <c r="AJ558" s="209"/>
      <c r="AK558" s="209"/>
    </row>
    <row r="559">
      <c r="A559" s="291"/>
      <c r="B559" s="376" t="s">
        <v>2537</v>
      </c>
      <c r="C559" s="377" t="s">
        <v>2538</v>
      </c>
      <c r="D559" s="304" t="s">
        <v>2539</v>
      </c>
      <c r="E559" s="406">
        <v>8.10115978411E11</v>
      </c>
      <c r="F559" s="209"/>
      <c r="G559" s="209"/>
      <c r="H559" s="209"/>
      <c r="I559" s="209"/>
      <c r="J559" s="300" t="b">
        <v>1</v>
      </c>
      <c r="K559" s="301" t="b">
        <v>0</v>
      </c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  <c r="AH559" s="209"/>
      <c r="AI559" s="209"/>
      <c r="AJ559" s="209"/>
      <c r="AK559" s="209"/>
    </row>
    <row r="560">
      <c r="A560" s="291"/>
      <c r="B560" s="376" t="s">
        <v>2540</v>
      </c>
      <c r="C560" s="377" t="s">
        <v>2541</v>
      </c>
      <c r="D560" s="304" t="s">
        <v>2542</v>
      </c>
      <c r="E560" s="406">
        <v>8.10115978428E11</v>
      </c>
      <c r="F560" s="209"/>
      <c r="G560" s="209"/>
      <c r="H560" s="209"/>
      <c r="I560" s="209"/>
      <c r="J560" s="300" t="b">
        <v>1</v>
      </c>
      <c r="K560" s="301" t="b">
        <v>0</v>
      </c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  <c r="AH560" s="209"/>
      <c r="AI560" s="209"/>
      <c r="AJ560" s="209"/>
      <c r="AK560" s="209"/>
    </row>
    <row r="561">
      <c r="A561" s="291"/>
      <c r="B561" s="376" t="s">
        <v>2543</v>
      </c>
      <c r="C561" s="377" t="s">
        <v>2544</v>
      </c>
      <c r="D561" s="304" t="s">
        <v>2545</v>
      </c>
      <c r="E561" s="406">
        <v>8.10115978435E11</v>
      </c>
      <c r="F561" s="209"/>
      <c r="G561" s="209"/>
      <c r="H561" s="209"/>
      <c r="I561" s="209"/>
      <c r="J561" s="300" t="b">
        <v>1</v>
      </c>
      <c r="K561" s="301" t="b">
        <v>0</v>
      </c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  <c r="AH561" s="209"/>
      <c r="AI561" s="209"/>
      <c r="AJ561" s="209"/>
      <c r="AK561" s="209"/>
    </row>
    <row r="562">
      <c r="A562" s="291"/>
      <c r="B562" s="376" t="s">
        <v>2546</v>
      </c>
      <c r="C562" s="377" t="s">
        <v>2547</v>
      </c>
      <c r="D562" s="304" t="s">
        <v>2548</v>
      </c>
      <c r="E562" s="406">
        <v>8.10115978442E11</v>
      </c>
      <c r="F562" s="209"/>
      <c r="G562" s="209"/>
      <c r="H562" s="209"/>
      <c r="I562" s="209"/>
      <c r="J562" s="300" t="b">
        <v>1</v>
      </c>
      <c r="K562" s="301" t="b">
        <v>0</v>
      </c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  <c r="AH562" s="209"/>
      <c r="AI562" s="209"/>
      <c r="AJ562" s="209"/>
      <c r="AK562" s="209"/>
    </row>
    <row r="563">
      <c r="A563" s="291"/>
      <c r="B563" s="376" t="s">
        <v>2549</v>
      </c>
      <c r="C563" s="377" t="s">
        <v>2550</v>
      </c>
      <c r="D563" s="304" t="s">
        <v>2551</v>
      </c>
      <c r="E563" s="375">
        <v>8.10115975861E11</v>
      </c>
      <c r="F563" s="209"/>
      <c r="G563" s="209"/>
      <c r="H563" s="209"/>
      <c r="I563" s="209"/>
      <c r="J563" s="300" t="b">
        <v>1</v>
      </c>
      <c r="K563" s="301" t="b">
        <v>0</v>
      </c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  <c r="AH563" s="209"/>
      <c r="AI563" s="209"/>
      <c r="AJ563" s="209"/>
      <c r="AK563" s="209"/>
    </row>
    <row r="564">
      <c r="A564" s="309"/>
      <c r="B564" s="378" t="s">
        <v>2552</v>
      </c>
      <c r="C564" s="379" t="s">
        <v>2553</v>
      </c>
      <c r="D564" s="304" t="s">
        <v>2554</v>
      </c>
      <c r="E564" s="407">
        <v>8.10115975878E11</v>
      </c>
      <c r="F564" s="313"/>
      <c r="G564" s="313"/>
      <c r="H564" s="313"/>
      <c r="I564" s="313"/>
      <c r="J564" s="350" t="b">
        <v>1</v>
      </c>
      <c r="K564" s="314" t="b">
        <v>0</v>
      </c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  <c r="AH564" s="209"/>
      <c r="AI564" s="209"/>
      <c r="AJ564" s="209"/>
      <c r="AK564" s="209"/>
    </row>
    <row r="565">
      <c r="A565" s="209"/>
      <c r="B565" s="209"/>
      <c r="C565" s="209"/>
      <c r="D565" s="295"/>
      <c r="E565" s="295"/>
      <c r="F565" s="295"/>
      <c r="G565" s="295"/>
      <c r="H565" s="295"/>
      <c r="I565" s="209"/>
      <c r="J565" s="295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  <c r="AH565" s="209"/>
      <c r="AI565" s="209"/>
      <c r="AJ565" s="209"/>
      <c r="AK565" s="209"/>
    </row>
    <row r="566">
      <c r="A566" s="316" t="s">
        <v>2555</v>
      </c>
      <c r="B566" s="282" t="s">
        <v>2556</v>
      </c>
      <c r="C566" s="273"/>
      <c r="D566" s="283" t="s">
        <v>2557</v>
      </c>
      <c r="E566" s="275" t="s">
        <v>1118</v>
      </c>
      <c r="F566" s="273"/>
      <c r="G566" s="273"/>
      <c r="H566" s="276" t="s">
        <v>572</v>
      </c>
      <c r="I566" s="276" t="s">
        <v>2558</v>
      </c>
      <c r="J566" s="278" t="str">
        <f>IF(COUNTIF(J567:J572, TRUE) = COUNTA(J567:J572), "Complete!", IF(COUNTIF(J567:J572, TRUE) &gt; 0, "Partial", "Not Started"))</f>
        <v>Complete!</v>
      </c>
      <c r="K566" s="279"/>
      <c r="L566" s="280">
        <v>6.0</v>
      </c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  <c r="AH566" s="209"/>
      <c r="AI566" s="209"/>
      <c r="AJ566" s="209"/>
      <c r="AK566" s="209"/>
    </row>
    <row r="567">
      <c r="A567" s="291"/>
      <c r="B567" s="292" t="s">
        <v>2559</v>
      </c>
      <c r="C567" s="293" t="s">
        <v>2560</v>
      </c>
      <c r="D567" s="304" t="s">
        <v>2561</v>
      </c>
      <c r="E567" s="374">
        <v>8.10115971016E11</v>
      </c>
      <c r="F567" s="295"/>
      <c r="G567" s="295"/>
      <c r="H567" s="295"/>
      <c r="I567" s="295"/>
      <c r="J567" s="296" t="b">
        <v>1</v>
      </c>
      <c r="K567" s="297" t="b">
        <v>0</v>
      </c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  <c r="AH567" s="209"/>
      <c r="AI567" s="209"/>
      <c r="AJ567" s="209"/>
      <c r="AK567" s="209"/>
    </row>
    <row r="568">
      <c r="A568" s="291"/>
      <c r="B568" s="303" t="s">
        <v>2562</v>
      </c>
      <c r="C568" s="304" t="s">
        <v>2563</v>
      </c>
      <c r="D568" s="304" t="s">
        <v>2564</v>
      </c>
      <c r="E568" s="375">
        <v>8.10115971023E11</v>
      </c>
      <c r="F568" s="209"/>
      <c r="G568" s="209"/>
      <c r="H568" s="209"/>
      <c r="I568" s="209"/>
      <c r="J568" s="300" t="b">
        <v>1</v>
      </c>
      <c r="K568" s="301" t="b">
        <v>0</v>
      </c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  <c r="AH568" s="209"/>
      <c r="AI568" s="209"/>
      <c r="AJ568" s="209"/>
      <c r="AK568" s="209"/>
    </row>
    <row r="569">
      <c r="A569" s="291"/>
      <c r="B569" s="303" t="s">
        <v>2565</v>
      </c>
      <c r="C569" s="304" t="s">
        <v>2566</v>
      </c>
      <c r="D569" s="304" t="s">
        <v>2567</v>
      </c>
      <c r="E569" s="375">
        <v>8.1011597103E11</v>
      </c>
      <c r="F569" s="209"/>
      <c r="G569" s="209"/>
      <c r="H569" s="209"/>
      <c r="I569" s="209"/>
      <c r="J569" s="300" t="b">
        <v>1</v>
      </c>
      <c r="K569" s="301" t="b">
        <v>0</v>
      </c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  <c r="AH569" s="209"/>
      <c r="AI569" s="209"/>
      <c r="AJ569" s="209"/>
      <c r="AK569" s="209"/>
    </row>
    <row r="570">
      <c r="A570" s="291"/>
      <c r="B570" s="303" t="s">
        <v>2568</v>
      </c>
      <c r="C570" s="304" t="s">
        <v>2569</v>
      </c>
      <c r="D570" s="304" t="s">
        <v>2570</v>
      </c>
      <c r="E570" s="375">
        <v>8.10115971047E11</v>
      </c>
      <c r="F570" s="209"/>
      <c r="G570" s="209"/>
      <c r="H570" s="209"/>
      <c r="I570" s="209"/>
      <c r="J570" s="300" t="b">
        <v>1</v>
      </c>
      <c r="K570" s="301" t="b">
        <v>0</v>
      </c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  <c r="AH570" s="209"/>
      <c r="AI570" s="209"/>
      <c r="AJ570" s="209"/>
      <c r="AK570" s="209"/>
    </row>
    <row r="571">
      <c r="A571" s="291"/>
      <c r="B571" s="303" t="s">
        <v>2571</v>
      </c>
      <c r="C571" s="304" t="s">
        <v>2572</v>
      </c>
      <c r="D571" s="304" t="s">
        <v>2573</v>
      </c>
      <c r="E571" s="375">
        <v>8.10115971054E11</v>
      </c>
      <c r="F571" s="209"/>
      <c r="G571" s="209"/>
      <c r="H571" s="209"/>
      <c r="I571" s="209"/>
      <c r="J571" s="300" t="b">
        <v>1</v>
      </c>
      <c r="K571" s="301" t="b">
        <v>0</v>
      </c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  <c r="AH571" s="209"/>
      <c r="AI571" s="209"/>
      <c r="AJ571" s="209"/>
      <c r="AK571" s="209"/>
    </row>
    <row r="572">
      <c r="A572" s="309"/>
      <c r="B572" s="310" t="s">
        <v>2574</v>
      </c>
      <c r="C572" s="311" t="s">
        <v>2575</v>
      </c>
      <c r="D572" s="311" t="s">
        <v>2576</v>
      </c>
      <c r="E572" s="312">
        <v>8.10115971061E11</v>
      </c>
      <c r="F572" s="313"/>
      <c r="G572" s="313"/>
      <c r="H572" s="313"/>
      <c r="I572" s="313"/>
      <c r="J572" s="350" t="b">
        <v>1</v>
      </c>
      <c r="K572" s="314" t="b">
        <v>0</v>
      </c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  <c r="AH572" s="209"/>
      <c r="AI572" s="209"/>
      <c r="AJ572" s="209"/>
      <c r="AK572" s="209"/>
    </row>
    <row r="573">
      <c r="A573" s="209"/>
      <c r="B573" s="209"/>
      <c r="C573" s="209"/>
      <c r="D573" s="209"/>
      <c r="E573" s="209"/>
      <c r="F573" s="209"/>
      <c r="G573" s="209"/>
      <c r="H573" s="209"/>
      <c r="I573" s="209"/>
      <c r="J573" s="313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  <c r="AH573" s="209"/>
      <c r="AI573" s="209"/>
      <c r="AJ573" s="209"/>
      <c r="AK573" s="209"/>
    </row>
    <row r="574">
      <c r="A574" s="316" t="s">
        <v>2577</v>
      </c>
      <c r="B574" s="319" t="s">
        <v>2578</v>
      </c>
      <c r="C574" s="320"/>
      <c r="D574" s="283" t="s">
        <v>2579</v>
      </c>
      <c r="E574" s="322" t="s">
        <v>2580</v>
      </c>
      <c r="F574" s="320"/>
      <c r="G574" s="320"/>
      <c r="H574" s="276" t="s">
        <v>376</v>
      </c>
      <c r="I574" s="285" t="s">
        <v>2581</v>
      </c>
      <c r="J574" s="278" t="str">
        <f>IF(COUNTIF(J575:J580, TRUE) = COUNTA(J575:J580), "Complete!", IF(COUNTIF(J575:J580, TRUE) &gt; 0, "Partial", "Not Started"))</f>
        <v>Complete!</v>
      </c>
      <c r="K574" s="279"/>
      <c r="L574" s="280">
        <v>6.0</v>
      </c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  <c r="AH574" s="209"/>
      <c r="AI574" s="209"/>
      <c r="AJ574" s="209"/>
      <c r="AK574" s="209"/>
    </row>
    <row r="575">
      <c r="A575" s="291"/>
      <c r="B575" s="408" t="s">
        <v>2582</v>
      </c>
      <c r="C575" s="409" t="s">
        <v>437</v>
      </c>
      <c r="D575" s="304" t="s">
        <v>2583</v>
      </c>
      <c r="E575" s="374" t="s">
        <v>2584</v>
      </c>
      <c r="F575" s="209"/>
      <c r="G575" s="209"/>
      <c r="H575" s="209"/>
      <c r="I575" s="209"/>
      <c r="J575" s="300" t="b">
        <v>1</v>
      </c>
      <c r="K575" s="301" t="b">
        <v>0</v>
      </c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  <c r="AH575" s="209"/>
      <c r="AI575" s="209"/>
      <c r="AJ575" s="209"/>
      <c r="AK575" s="209"/>
    </row>
    <row r="576">
      <c r="A576" s="291"/>
      <c r="B576" s="376" t="s">
        <v>2585</v>
      </c>
      <c r="C576" s="377" t="s">
        <v>437</v>
      </c>
      <c r="D576" s="304" t="s">
        <v>2586</v>
      </c>
      <c r="E576" s="375" t="s">
        <v>2587</v>
      </c>
      <c r="F576" s="209"/>
      <c r="G576" s="209"/>
      <c r="H576" s="209"/>
      <c r="I576" s="209"/>
      <c r="J576" s="300" t="b">
        <v>1</v>
      </c>
      <c r="K576" s="301" t="b">
        <v>0</v>
      </c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  <c r="AH576" s="209"/>
      <c r="AI576" s="209"/>
      <c r="AJ576" s="209"/>
      <c r="AK576" s="209"/>
    </row>
    <row r="577">
      <c r="A577" s="291"/>
      <c r="B577" s="376" t="s">
        <v>2588</v>
      </c>
      <c r="C577" s="377" t="s">
        <v>2589</v>
      </c>
      <c r="D577" s="304" t="s">
        <v>2590</v>
      </c>
      <c r="E577" s="375" t="s">
        <v>2591</v>
      </c>
      <c r="F577" s="209"/>
      <c r="G577" s="209"/>
      <c r="H577" s="209"/>
      <c r="I577" s="209"/>
      <c r="J577" s="300" t="b">
        <v>1</v>
      </c>
      <c r="K577" s="301" t="b">
        <v>0</v>
      </c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  <c r="AH577" s="209"/>
      <c r="AI577" s="209"/>
      <c r="AJ577" s="209"/>
      <c r="AK577" s="209"/>
    </row>
    <row r="578">
      <c r="A578" s="291"/>
      <c r="B578" s="376" t="s">
        <v>2592</v>
      </c>
      <c r="C578" s="410" t="s">
        <v>437</v>
      </c>
      <c r="D578" s="304" t="s">
        <v>2593</v>
      </c>
      <c r="E578" s="375" t="s">
        <v>2594</v>
      </c>
      <c r="F578" s="209"/>
      <c r="G578" s="209"/>
      <c r="H578" s="209"/>
      <c r="I578" s="209"/>
      <c r="J578" s="300" t="b">
        <v>1</v>
      </c>
      <c r="K578" s="301" t="b">
        <v>0</v>
      </c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09"/>
      <c r="AI578" s="209"/>
      <c r="AJ578" s="209"/>
      <c r="AK578" s="209"/>
    </row>
    <row r="579">
      <c r="A579" s="291"/>
      <c r="B579" s="376" t="s">
        <v>2595</v>
      </c>
      <c r="C579" s="377" t="s">
        <v>2596</v>
      </c>
      <c r="D579" s="304" t="s">
        <v>2597</v>
      </c>
      <c r="E579" s="375" t="s">
        <v>2598</v>
      </c>
      <c r="F579" s="209"/>
      <c r="G579" s="209"/>
      <c r="H579" s="209"/>
      <c r="I579" s="209"/>
      <c r="J579" s="300" t="b">
        <v>1</v>
      </c>
      <c r="K579" s="301" t="b">
        <v>0</v>
      </c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  <c r="AH579" s="209"/>
      <c r="AI579" s="209"/>
      <c r="AJ579" s="209"/>
      <c r="AK579" s="209"/>
    </row>
    <row r="580">
      <c r="A580" s="291"/>
      <c r="B580" s="378" t="s">
        <v>2599</v>
      </c>
      <c r="C580" s="379" t="s">
        <v>2589</v>
      </c>
      <c r="D580" s="311" t="s">
        <v>2600</v>
      </c>
      <c r="E580" s="380" t="s">
        <v>2601</v>
      </c>
      <c r="F580" s="313"/>
      <c r="G580" s="313"/>
      <c r="H580" s="313"/>
      <c r="I580" s="313"/>
      <c r="J580" s="300" t="b">
        <v>1</v>
      </c>
      <c r="K580" s="314" t="b">
        <v>0</v>
      </c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  <c r="AH580" s="209"/>
      <c r="AI580" s="209"/>
      <c r="AJ580" s="209"/>
      <c r="AK580" s="209"/>
    </row>
    <row r="58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  <c r="AH581" s="209"/>
      <c r="AI581" s="209"/>
      <c r="AJ581" s="209"/>
      <c r="AK581" s="209"/>
    </row>
    <row r="582">
      <c r="A582" s="316" t="s">
        <v>2602</v>
      </c>
      <c r="B582" s="319" t="s">
        <v>2603</v>
      </c>
      <c r="C582" s="320"/>
      <c r="D582" s="283" t="s">
        <v>2604</v>
      </c>
      <c r="E582" s="322" t="s">
        <v>2580</v>
      </c>
      <c r="F582" s="320"/>
      <c r="G582" s="320"/>
      <c r="H582" s="276" t="s">
        <v>572</v>
      </c>
      <c r="I582" s="285" t="s">
        <v>2605</v>
      </c>
      <c r="J582" s="278" t="str">
        <f>IF(COUNTIF(J583:J592, TRUE) = COUNTA(J583:J592), "Complete!", IF(COUNTIF(J583:J592, TRUE) &gt; 0, "Partial", "Not Started"))</f>
        <v>Complete!</v>
      </c>
      <c r="K582" s="279"/>
      <c r="L582" s="280">
        <v>10.0</v>
      </c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  <c r="AH582" s="209"/>
      <c r="AI582" s="209"/>
      <c r="AJ582" s="209"/>
      <c r="AK582" s="209"/>
    </row>
    <row r="583">
      <c r="A583" s="291"/>
      <c r="B583" s="376" t="s">
        <v>2606</v>
      </c>
      <c r="C583" s="377" t="s">
        <v>2607</v>
      </c>
      <c r="D583" s="304" t="s">
        <v>2608</v>
      </c>
      <c r="E583" s="395">
        <v>8.1011597851E11</v>
      </c>
      <c r="F583" s="209"/>
      <c r="G583" s="209"/>
      <c r="H583" s="209"/>
      <c r="I583" s="209"/>
      <c r="J583" s="300" t="b">
        <v>1</v>
      </c>
      <c r="K583" s="301" t="b">
        <v>0</v>
      </c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  <c r="AH583" s="209"/>
      <c r="AI583" s="209"/>
      <c r="AJ583" s="209"/>
      <c r="AK583" s="209"/>
    </row>
    <row r="584">
      <c r="A584" s="291"/>
      <c r="B584" s="376" t="s">
        <v>2609</v>
      </c>
      <c r="C584" s="377" t="s">
        <v>2607</v>
      </c>
      <c r="D584" s="304" t="s">
        <v>2610</v>
      </c>
      <c r="E584" s="395">
        <v>8.10115978527E11</v>
      </c>
      <c r="F584" s="209"/>
      <c r="G584" s="209"/>
      <c r="H584" s="209"/>
      <c r="I584" s="209"/>
      <c r="J584" s="300" t="b">
        <v>1</v>
      </c>
      <c r="K584" s="301" t="b">
        <v>0</v>
      </c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  <c r="AH584" s="209"/>
      <c r="AI584" s="209"/>
      <c r="AJ584" s="209"/>
      <c r="AK584" s="209"/>
    </row>
    <row r="585">
      <c r="A585" s="291"/>
      <c r="B585" s="376" t="s">
        <v>2611</v>
      </c>
      <c r="C585" s="377" t="s">
        <v>2607</v>
      </c>
      <c r="D585" s="304" t="s">
        <v>2612</v>
      </c>
      <c r="E585" s="395">
        <v>8.10115978534E11</v>
      </c>
      <c r="F585" s="209"/>
      <c r="G585" s="209"/>
      <c r="H585" s="209"/>
      <c r="I585" s="209"/>
      <c r="J585" s="300" t="b">
        <v>1</v>
      </c>
      <c r="K585" s="301" t="b">
        <v>0</v>
      </c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  <c r="AH585" s="209"/>
      <c r="AI585" s="209"/>
      <c r="AJ585" s="209"/>
      <c r="AK585" s="209"/>
    </row>
    <row r="586">
      <c r="A586" s="291"/>
      <c r="B586" s="376" t="s">
        <v>2613</v>
      </c>
      <c r="C586" s="377" t="s">
        <v>2607</v>
      </c>
      <c r="D586" s="304" t="s">
        <v>2614</v>
      </c>
      <c r="E586" s="395">
        <v>8.10115978541E11</v>
      </c>
      <c r="F586" s="209"/>
      <c r="G586" s="209"/>
      <c r="H586" s="209"/>
      <c r="I586" s="209"/>
      <c r="J586" s="300" t="b">
        <v>1</v>
      </c>
      <c r="K586" s="301" t="b">
        <v>0</v>
      </c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  <c r="AH586" s="209"/>
      <c r="AI586" s="209"/>
      <c r="AJ586" s="209"/>
      <c r="AK586" s="209"/>
    </row>
    <row r="587">
      <c r="A587" s="291"/>
      <c r="B587" s="376" t="s">
        <v>2615</v>
      </c>
      <c r="C587" s="377" t="s">
        <v>2607</v>
      </c>
      <c r="D587" s="304" t="s">
        <v>2616</v>
      </c>
      <c r="E587" s="395">
        <v>8.10115978558E11</v>
      </c>
      <c r="F587" s="209"/>
      <c r="G587" s="209"/>
      <c r="H587" s="209"/>
      <c r="I587" s="209"/>
      <c r="J587" s="300" t="b">
        <v>1</v>
      </c>
      <c r="K587" s="301" t="b">
        <v>0</v>
      </c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  <c r="AH587" s="209"/>
      <c r="AI587" s="209"/>
      <c r="AJ587" s="209"/>
      <c r="AK587" s="209"/>
    </row>
    <row r="588">
      <c r="A588" s="291"/>
      <c r="B588" s="377" t="s">
        <v>2617</v>
      </c>
      <c r="C588" s="377" t="s">
        <v>2607</v>
      </c>
      <c r="D588" s="304" t="s">
        <v>2618</v>
      </c>
      <c r="E588" s="395">
        <v>8.10115978565E11</v>
      </c>
      <c r="F588" s="209"/>
      <c r="G588" s="209"/>
      <c r="H588" s="209"/>
      <c r="I588" s="209"/>
      <c r="J588" s="300" t="b">
        <v>1</v>
      </c>
      <c r="K588" s="301" t="b">
        <v>0</v>
      </c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  <c r="AH588" s="209"/>
      <c r="AI588" s="209"/>
      <c r="AJ588" s="209"/>
      <c r="AK588" s="209"/>
    </row>
    <row r="589">
      <c r="A589" s="291"/>
      <c r="B589" s="354" t="s">
        <v>2619</v>
      </c>
      <c r="C589" s="377" t="s">
        <v>2607</v>
      </c>
      <c r="D589" s="304" t="s">
        <v>2620</v>
      </c>
      <c r="E589" s="305">
        <v>8.10115976073E11</v>
      </c>
      <c r="F589" s="325"/>
      <c r="G589" s="325"/>
      <c r="H589" s="325"/>
      <c r="I589" s="325"/>
      <c r="J589" s="300" t="b">
        <v>1</v>
      </c>
      <c r="K589" s="301" t="b">
        <v>0</v>
      </c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  <c r="AH589" s="209"/>
      <c r="AI589" s="209"/>
      <c r="AJ589" s="209"/>
      <c r="AK589" s="209"/>
    </row>
    <row r="590">
      <c r="A590" s="291"/>
      <c r="B590" s="303" t="s">
        <v>2621</v>
      </c>
      <c r="C590" s="377" t="s">
        <v>2607</v>
      </c>
      <c r="D590" s="304" t="s">
        <v>2622</v>
      </c>
      <c r="E590" s="375">
        <v>8.1011597608E11</v>
      </c>
      <c r="F590" s="325"/>
      <c r="G590" s="325"/>
      <c r="H590" s="325"/>
      <c r="I590" s="325"/>
      <c r="J590" s="300" t="b">
        <v>1</v>
      </c>
      <c r="K590" s="301" t="b">
        <v>0</v>
      </c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  <c r="AH590" s="209"/>
      <c r="AI590" s="209"/>
      <c r="AJ590" s="209"/>
      <c r="AK590" s="209"/>
    </row>
    <row r="591">
      <c r="A591" s="291"/>
      <c r="B591" s="303" t="s">
        <v>2623</v>
      </c>
      <c r="C591" s="377" t="s">
        <v>2607</v>
      </c>
      <c r="D591" s="304" t="s">
        <v>2624</v>
      </c>
      <c r="E591" s="375">
        <v>8.10115976097E11</v>
      </c>
      <c r="F591" s="325"/>
      <c r="G591" s="325"/>
      <c r="H591" s="325"/>
      <c r="I591" s="325"/>
      <c r="J591" s="300" t="b">
        <v>1</v>
      </c>
      <c r="K591" s="301" t="b">
        <v>0</v>
      </c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  <c r="AH591" s="209"/>
      <c r="AI591" s="209"/>
      <c r="AJ591" s="209"/>
      <c r="AK591" s="209"/>
    </row>
    <row r="592">
      <c r="A592" s="309"/>
      <c r="B592" s="310" t="s">
        <v>2625</v>
      </c>
      <c r="C592" s="379" t="s">
        <v>2607</v>
      </c>
      <c r="D592" s="311" t="s">
        <v>2626</v>
      </c>
      <c r="E592" s="380">
        <v>8.1011597611E11</v>
      </c>
      <c r="F592" s="331"/>
      <c r="G592" s="331"/>
      <c r="H592" s="331"/>
      <c r="I592" s="331"/>
      <c r="J592" s="350" t="b">
        <v>1</v>
      </c>
      <c r="K592" s="314" t="b">
        <v>0</v>
      </c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  <c r="AH592" s="209"/>
      <c r="AI592" s="209"/>
      <c r="AJ592" s="209"/>
      <c r="AK592" s="209"/>
    </row>
    <row r="593">
      <c r="A593" s="209"/>
      <c r="B593" s="209"/>
      <c r="C593" s="209"/>
      <c r="D593" s="209"/>
      <c r="E593" s="353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  <c r="AH593" s="209"/>
      <c r="AI593" s="209"/>
      <c r="AJ593" s="209"/>
      <c r="AK593" s="209"/>
    </row>
    <row r="594">
      <c r="A594" s="316" t="s">
        <v>2627</v>
      </c>
      <c r="B594" s="282" t="s">
        <v>2628</v>
      </c>
      <c r="C594" s="273"/>
      <c r="D594" s="274" t="s">
        <v>2629</v>
      </c>
      <c r="E594" s="411" t="s">
        <v>374</v>
      </c>
      <c r="F594" s="273"/>
      <c r="G594" s="273"/>
      <c r="H594" s="276" t="s">
        <v>900</v>
      </c>
      <c r="I594" s="276" t="s">
        <v>2630</v>
      </c>
      <c r="J594" s="278" t="str">
        <f>IF(COUNTIF(J595:J604, TRUE) = COUNTA(J595:J604), "Complete!", IF(COUNTIF(J595:J604, TRUE) &gt; 0, "Partial", "Not Started"))</f>
        <v>Complete!</v>
      </c>
      <c r="K594" s="279"/>
      <c r="L594" s="280">
        <v>10.0</v>
      </c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  <c r="AH594" s="209"/>
      <c r="AI594" s="209"/>
      <c r="AJ594" s="209"/>
      <c r="AK594" s="209"/>
    </row>
    <row r="595">
      <c r="A595" s="291"/>
      <c r="B595" s="292" t="s">
        <v>2631</v>
      </c>
      <c r="C595" s="293" t="s">
        <v>944</v>
      </c>
      <c r="D595" s="293" t="s">
        <v>2632</v>
      </c>
      <c r="E595" s="374">
        <v>8.40472501328E11</v>
      </c>
      <c r="F595" s="295"/>
      <c r="G595" s="295"/>
      <c r="H595" s="295"/>
      <c r="I595" s="295"/>
      <c r="J595" s="296" t="b">
        <v>1</v>
      </c>
      <c r="K595" s="297" t="b">
        <v>0</v>
      </c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  <c r="AH595" s="209"/>
      <c r="AI595" s="209"/>
      <c r="AJ595" s="209"/>
      <c r="AK595" s="209"/>
    </row>
    <row r="596">
      <c r="A596" s="291"/>
      <c r="B596" s="303" t="s">
        <v>2633</v>
      </c>
      <c r="C596" s="304" t="s">
        <v>826</v>
      </c>
      <c r="D596" s="304" t="s">
        <v>2634</v>
      </c>
      <c r="E596" s="305">
        <v>8.40472501342E11</v>
      </c>
      <c r="F596" s="209"/>
      <c r="G596" s="209"/>
      <c r="H596" s="209"/>
      <c r="I596" s="209"/>
      <c r="J596" s="300" t="b">
        <v>1</v>
      </c>
      <c r="K596" s="301" t="b">
        <v>0</v>
      </c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  <c r="AH596" s="209"/>
      <c r="AI596" s="209"/>
      <c r="AJ596" s="209"/>
      <c r="AK596" s="209"/>
    </row>
    <row r="597">
      <c r="A597" s="291"/>
      <c r="B597" s="354" t="s">
        <v>2635</v>
      </c>
      <c r="C597" s="304" t="s">
        <v>499</v>
      </c>
      <c r="D597" s="304" t="s">
        <v>2636</v>
      </c>
      <c r="E597" s="305">
        <v>8.40472501359E11</v>
      </c>
      <c r="F597" s="209"/>
      <c r="G597" s="209"/>
      <c r="H597" s="209"/>
      <c r="I597" s="209"/>
      <c r="J597" s="300" t="b">
        <v>1</v>
      </c>
      <c r="K597" s="301" t="b">
        <v>0</v>
      </c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  <c r="AH597" s="209"/>
      <c r="AI597" s="209"/>
      <c r="AJ597" s="209"/>
      <c r="AK597" s="209"/>
    </row>
    <row r="598">
      <c r="A598" s="291"/>
      <c r="B598" s="303" t="s">
        <v>2637</v>
      </c>
      <c r="C598" s="304" t="s">
        <v>499</v>
      </c>
      <c r="D598" s="304" t="s">
        <v>2638</v>
      </c>
      <c r="E598" s="305">
        <v>8.40472501366E11</v>
      </c>
      <c r="F598" s="209"/>
      <c r="G598" s="209"/>
      <c r="H598" s="209"/>
      <c r="I598" s="209"/>
      <c r="J598" s="300" t="b">
        <v>1</v>
      </c>
      <c r="K598" s="301" t="b">
        <v>0</v>
      </c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  <c r="AH598" s="209"/>
      <c r="AI598" s="209"/>
      <c r="AJ598" s="209"/>
      <c r="AK598" s="209"/>
    </row>
    <row r="599">
      <c r="A599" s="291"/>
      <c r="B599" s="303" t="s">
        <v>2639</v>
      </c>
      <c r="C599" s="304" t="s">
        <v>617</v>
      </c>
      <c r="D599" s="304" t="s">
        <v>2640</v>
      </c>
      <c r="E599" s="375" t="s">
        <v>2641</v>
      </c>
      <c r="F599" s="209"/>
      <c r="G599" s="209"/>
      <c r="H599" s="209"/>
      <c r="I599" s="209"/>
      <c r="J599" s="300" t="b">
        <v>1</v>
      </c>
      <c r="K599" s="301" t="b">
        <v>0</v>
      </c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  <c r="AH599" s="209"/>
      <c r="AI599" s="209"/>
      <c r="AJ599" s="209"/>
      <c r="AK599" s="209"/>
    </row>
    <row r="600">
      <c r="A600" s="291"/>
      <c r="B600" s="303" t="s">
        <v>2642</v>
      </c>
      <c r="C600" s="304" t="s">
        <v>826</v>
      </c>
      <c r="D600" s="304" t="s">
        <v>2643</v>
      </c>
      <c r="E600" s="375" t="s">
        <v>2644</v>
      </c>
      <c r="F600" s="209"/>
      <c r="G600" s="209"/>
      <c r="H600" s="209"/>
      <c r="I600" s="209"/>
      <c r="J600" s="300" t="b">
        <v>1</v>
      </c>
      <c r="K600" s="301" t="b">
        <v>0</v>
      </c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  <c r="AH600" s="209"/>
      <c r="AI600" s="209"/>
      <c r="AJ600" s="209"/>
      <c r="AK600" s="209"/>
    </row>
    <row r="601">
      <c r="A601" s="291"/>
      <c r="B601" s="303" t="s">
        <v>2645</v>
      </c>
      <c r="C601" s="304" t="s">
        <v>2646</v>
      </c>
      <c r="D601" s="304" t="s">
        <v>2647</v>
      </c>
      <c r="E601" s="305">
        <v>8.40472501304E11</v>
      </c>
      <c r="F601" s="209"/>
      <c r="G601" s="209"/>
      <c r="H601" s="209"/>
      <c r="I601" s="209"/>
      <c r="J601" s="300" t="b">
        <v>1</v>
      </c>
      <c r="K601" s="301" t="b">
        <v>0</v>
      </c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  <c r="AH601" s="209"/>
      <c r="AI601" s="209"/>
      <c r="AJ601" s="209"/>
      <c r="AK601" s="209"/>
    </row>
    <row r="602">
      <c r="A602" s="291"/>
      <c r="B602" s="303" t="s">
        <v>2648</v>
      </c>
      <c r="C602" s="304" t="s">
        <v>2649</v>
      </c>
      <c r="D602" s="304" t="s">
        <v>2650</v>
      </c>
      <c r="E602" s="375" t="s">
        <v>2651</v>
      </c>
      <c r="F602" s="325"/>
      <c r="G602" s="325"/>
      <c r="H602" s="325"/>
      <c r="I602" s="325"/>
      <c r="J602" s="300" t="b">
        <v>1</v>
      </c>
      <c r="K602" s="301" t="b">
        <v>0</v>
      </c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  <c r="AH602" s="209"/>
      <c r="AI602" s="209"/>
      <c r="AJ602" s="209"/>
      <c r="AK602" s="209"/>
    </row>
    <row r="603">
      <c r="A603" s="291"/>
      <c r="B603" s="303" t="s">
        <v>2652</v>
      </c>
      <c r="C603" s="304" t="s">
        <v>437</v>
      </c>
      <c r="D603" s="304" t="s">
        <v>2653</v>
      </c>
      <c r="E603" s="375" t="s">
        <v>2654</v>
      </c>
      <c r="F603" s="325"/>
      <c r="G603" s="325"/>
      <c r="H603" s="325"/>
      <c r="I603" s="325"/>
      <c r="J603" s="300" t="b">
        <v>1</v>
      </c>
      <c r="K603" s="301" t="b">
        <v>0</v>
      </c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  <c r="AH603" s="209"/>
      <c r="AI603" s="209"/>
      <c r="AJ603" s="209"/>
      <c r="AK603" s="209"/>
    </row>
    <row r="604">
      <c r="A604" s="309"/>
      <c r="B604" s="310" t="s">
        <v>2655</v>
      </c>
      <c r="C604" s="311" t="s">
        <v>836</v>
      </c>
      <c r="D604" s="311" t="s">
        <v>2656</v>
      </c>
      <c r="E604" s="380" t="s">
        <v>2657</v>
      </c>
      <c r="F604" s="331"/>
      <c r="G604" s="331"/>
      <c r="H604" s="331"/>
      <c r="I604" s="331"/>
      <c r="J604" s="300" t="b">
        <v>1</v>
      </c>
      <c r="K604" s="314" t="b">
        <v>0</v>
      </c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  <c r="AH604" s="209"/>
      <c r="AI604" s="209"/>
      <c r="AJ604" s="209"/>
      <c r="AK604" s="209"/>
    </row>
    <row r="605">
      <c r="A605" s="209"/>
      <c r="B605" s="209"/>
      <c r="C605" s="209"/>
      <c r="D605" s="209"/>
      <c r="E605" s="209"/>
      <c r="F605" s="325"/>
      <c r="G605" s="325"/>
      <c r="H605" s="325"/>
      <c r="I605" s="325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  <c r="AH605" s="209"/>
      <c r="AI605" s="209"/>
      <c r="AJ605" s="209"/>
      <c r="AK605" s="209"/>
    </row>
    <row r="606">
      <c r="A606" s="316" t="s">
        <v>2658</v>
      </c>
      <c r="B606" s="282" t="s">
        <v>2659</v>
      </c>
      <c r="C606" s="273"/>
      <c r="D606" s="274" t="s">
        <v>2660</v>
      </c>
      <c r="E606" s="275" t="s">
        <v>374</v>
      </c>
      <c r="F606" s="412"/>
      <c r="G606" s="412"/>
      <c r="H606" s="276" t="s">
        <v>370</v>
      </c>
      <c r="I606" s="363" t="s">
        <v>2630</v>
      </c>
      <c r="J606" s="278" t="str">
        <f>IF(COUNTIF(J607:J614, TRUE) = COUNTA(J607:J614), "Complete!", IF(COUNTIF(J607:J614, TRUE) &gt; 0, "Partial", "Not Started"))</f>
        <v>Complete!</v>
      </c>
      <c r="K606" s="279"/>
      <c r="L606" s="280">
        <v>8.0</v>
      </c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  <c r="AH606" s="209"/>
      <c r="AI606" s="209"/>
      <c r="AJ606" s="209"/>
      <c r="AK606" s="209"/>
    </row>
    <row r="607">
      <c r="A607" s="291"/>
      <c r="B607" s="292" t="s">
        <v>2661</v>
      </c>
      <c r="C607" s="293" t="s">
        <v>2662</v>
      </c>
      <c r="D607" s="293" t="s">
        <v>2663</v>
      </c>
      <c r="E607" s="294">
        <v>8.10115975076E11</v>
      </c>
      <c r="F607" s="328"/>
      <c r="G607" s="328"/>
      <c r="H607" s="328"/>
      <c r="I607" s="328"/>
      <c r="J607" s="296" t="b">
        <v>1</v>
      </c>
      <c r="K607" s="297" t="b">
        <v>0</v>
      </c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  <c r="AH607" s="209"/>
      <c r="AI607" s="209"/>
      <c r="AJ607" s="209"/>
      <c r="AK607" s="209"/>
    </row>
    <row r="608">
      <c r="A608" s="291"/>
      <c r="B608" s="303" t="s">
        <v>2664</v>
      </c>
      <c r="C608" s="304" t="s">
        <v>2665</v>
      </c>
      <c r="D608" s="304" t="s">
        <v>2666</v>
      </c>
      <c r="E608" s="305">
        <v>8.10115975083E11</v>
      </c>
      <c r="F608" s="209"/>
      <c r="G608" s="209"/>
      <c r="H608" s="209"/>
      <c r="I608" s="209"/>
      <c r="J608" s="296" t="b">
        <v>1</v>
      </c>
      <c r="K608" s="301" t="b">
        <v>0</v>
      </c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  <c r="AH608" s="209"/>
      <c r="AI608" s="209"/>
      <c r="AJ608" s="209"/>
      <c r="AK608" s="209"/>
    </row>
    <row r="609">
      <c r="A609" s="291"/>
      <c r="B609" s="303" t="s">
        <v>2667</v>
      </c>
      <c r="C609" s="304" t="s">
        <v>685</v>
      </c>
      <c r="D609" s="304" t="s">
        <v>2668</v>
      </c>
      <c r="E609" s="305">
        <v>8.40472501472E11</v>
      </c>
      <c r="F609" s="209"/>
      <c r="G609" s="209"/>
      <c r="H609" s="209"/>
      <c r="I609" s="209"/>
      <c r="J609" s="296" t="b">
        <v>1</v>
      </c>
      <c r="K609" s="301" t="b">
        <v>0</v>
      </c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  <c r="AH609" s="209"/>
      <c r="AI609" s="209"/>
      <c r="AJ609" s="209"/>
      <c r="AK609" s="209"/>
    </row>
    <row r="610">
      <c r="A610" s="291"/>
      <c r="B610" s="303" t="s">
        <v>2669</v>
      </c>
      <c r="C610" s="304" t="s">
        <v>588</v>
      </c>
      <c r="D610" s="304" t="s">
        <v>2670</v>
      </c>
      <c r="E610" s="305">
        <v>8.40472501502E11</v>
      </c>
      <c r="F610" s="209"/>
      <c r="G610" s="209"/>
      <c r="H610" s="209"/>
      <c r="I610" s="209"/>
      <c r="J610" s="296" t="b">
        <v>1</v>
      </c>
      <c r="K610" s="301" t="b">
        <v>0</v>
      </c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  <c r="AI610" s="209"/>
      <c r="AJ610" s="209"/>
      <c r="AK610" s="209"/>
    </row>
    <row r="611">
      <c r="A611" s="291"/>
      <c r="B611" s="303" t="s">
        <v>2671</v>
      </c>
      <c r="C611" s="304" t="s">
        <v>668</v>
      </c>
      <c r="D611" s="304" t="s">
        <v>2672</v>
      </c>
      <c r="E611" s="305">
        <v>8.40472501434E11</v>
      </c>
      <c r="F611" s="209"/>
      <c r="G611" s="209"/>
      <c r="H611" s="209"/>
      <c r="I611" s="209"/>
      <c r="J611" s="296" t="b">
        <v>1</v>
      </c>
      <c r="K611" s="301" t="b">
        <v>0</v>
      </c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  <c r="AI611" s="209"/>
      <c r="AJ611" s="209"/>
      <c r="AK611" s="209"/>
    </row>
    <row r="612">
      <c r="A612" s="291"/>
      <c r="B612" s="303" t="s">
        <v>2673</v>
      </c>
      <c r="C612" s="304" t="s">
        <v>659</v>
      </c>
      <c r="D612" s="304" t="s">
        <v>2674</v>
      </c>
      <c r="E612" s="305">
        <v>8.40472501441E11</v>
      </c>
      <c r="F612" s="209"/>
      <c r="G612" s="209"/>
      <c r="H612" s="209"/>
      <c r="I612" s="209"/>
      <c r="J612" s="296" t="b">
        <v>1</v>
      </c>
      <c r="K612" s="301" t="b">
        <v>0</v>
      </c>
      <c r="L612" s="209"/>
      <c r="M612" s="209"/>
      <c r="N612" s="209"/>
      <c r="O612" s="209"/>
      <c r="P612" s="209"/>
      <c r="Q612" s="353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  <c r="AI612" s="209"/>
      <c r="AJ612" s="209"/>
      <c r="AK612" s="209"/>
    </row>
    <row r="613">
      <c r="A613" s="291"/>
      <c r="B613" s="303" t="s">
        <v>2675</v>
      </c>
      <c r="C613" s="304" t="s">
        <v>745</v>
      </c>
      <c r="D613" s="304" t="s">
        <v>2676</v>
      </c>
      <c r="E613" s="305">
        <v>8.4047250394E11</v>
      </c>
      <c r="F613" s="209"/>
      <c r="G613" s="209"/>
      <c r="H613" s="209"/>
      <c r="I613" s="209"/>
      <c r="J613" s="296" t="b">
        <v>1</v>
      </c>
      <c r="K613" s="301" t="b">
        <v>0</v>
      </c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  <c r="AI613" s="209"/>
      <c r="AJ613" s="209"/>
      <c r="AK613" s="209"/>
    </row>
    <row r="614">
      <c r="A614" s="291"/>
      <c r="B614" s="310" t="s">
        <v>2677</v>
      </c>
      <c r="C614" s="311" t="s">
        <v>390</v>
      </c>
      <c r="D614" s="311" t="s">
        <v>2678</v>
      </c>
      <c r="E614" s="380">
        <v>8.40472503957E11</v>
      </c>
      <c r="F614" s="313"/>
      <c r="G614" s="313"/>
      <c r="H614" s="313"/>
      <c r="I614" s="313"/>
      <c r="J614" s="296" t="b">
        <v>1</v>
      </c>
      <c r="K614" s="314" t="b">
        <v>0</v>
      </c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  <c r="AI614" s="209"/>
      <c r="AJ614" s="209"/>
      <c r="AK614" s="209"/>
    </row>
    <row r="615">
      <c r="A615" s="209"/>
      <c r="B615" s="209"/>
      <c r="C615" s="209"/>
      <c r="D615" s="209"/>
      <c r="E615" s="353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  <c r="AI615" s="209"/>
      <c r="AJ615" s="209"/>
      <c r="AK615" s="209"/>
    </row>
    <row r="616">
      <c r="A616" s="316" t="s">
        <v>2679</v>
      </c>
      <c r="B616" s="319" t="s">
        <v>2680</v>
      </c>
      <c r="C616" s="320"/>
      <c r="D616" s="283" t="s">
        <v>2681</v>
      </c>
      <c r="E616" s="322" t="s">
        <v>374</v>
      </c>
      <c r="F616" s="320"/>
      <c r="G616" s="320"/>
      <c r="H616" s="276" t="s">
        <v>572</v>
      </c>
      <c r="I616" s="285" t="s">
        <v>2069</v>
      </c>
      <c r="J616" s="333" t="str">
        <f>IF(COUNTIF(J617:J622, TRUE) = COUNTA(J617:J622), "Complete!", IF(COUNTIF(J617:J622, TRUE) &gt; 0, "Partial", "Not Started"))</f>
        <v>Complete!</v>
      </c>
      <c r="K616" s="334"/>
      <c r="L616" s="280">
        <v>6.0</v>
      </c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  <c r="AI616" s="209"/>
      <c r="AJ616" s="209"/>
      <c r="AK616" s="209"/>
    </row>
    <row r="617">
      <c r="A617" s="291"/>
      <c r="B617" s="303" t="s">
        <v>2682</v>
      </c>
      <c r="C617" s="304" t="s">
        <v>2683</v>
      </c>
      <c r="D617" s="304" t="s">
        <v>2684</v>
      </c>
      <c r="E617" s="375">
        <v>8.4047250141E11</v>
      </c>
      <c r="F617" s="325"/>
      <c r="G617" s="325"/>
      <c r="H617" s="325"/>
      <c r="I617" s="325"/>
      <c r="J617" s="300" t="b">
        <v>1</v>
      </c>
      <c r="K617" s="301" t="b">
        <v>0</v>
      </c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  <c r="AI617" s="209"/>
      <c r="AJ617" s="209"/>
      <c r="AK617" s="209"/>
    </row>
    <row r="618">
      <c r="A618" s="291"/>
      <c r="B618" s="303" t="s">
        <v>2685</v>
      </c>
      <c r="C618" s="304" t="s">
        <v>736</v>
      </c>
      <c r="D618" s="304" t="s">
        <v>2686</v>
      </c>
      <c r="E618" s="375">
        <v>8.40472501403E11</v>
      </c>
      <c r="F618" s="325"/>
      <c r="G618" s="325"/>
      <c r="H618" s="325"/>
      <c r="I618" s="413" t="s">
        <v>2687</v>
      </c>
      <c r="J618" s="300" t="b">
        <v>1</v>
      </c>
      <c r="K618" s="301" t="b">
        <v>0</v>
      </c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  <c r="AI618" s="209"/>
      <c r="AJ618" s="209"/>
      <c r="AK618" s="209"/>
    </row>
    <row r="619">
      <c r="A619" s="291"/>
      <c r="B619" s="303" t="s">
        <v>2688</v>
      </c>
      <c r="C619" s="304" t="s">
        <v>2665</v>
      </c>
      <c r="D619" s="304" t="s">
        <v>2689</v>
      </c>
      <c r="E619" s="375">
        <v>8.40472501397E11</v>
      </c>
      <c r="F619" s="325"/>
      <c r="G619" s="325"/>
      <c r="H619" s="325"/>
      <c r="I619" s="325"/>
      <c r="J619" s="300" t="b">
        <v>1</v>
      </c>
      <c r="K619" s="301" t="b">
        <v>0</v>
      </c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  <c r="AI619" s="209"/>
      <c r="AJ619" s="209"/>
      <c r="AK619" s="209"/>
    </row>
    <row r="620">
      <c r="A620" s="291"/>
      <c r="B620" s="303" t="s">
        <v>2690</v>
      </c>
      <c r="C620" s="304" t="s">
        <v>2683</v>
      </c>
      <c r="D620" s="304" t="s">
        <v>2691</v>
      </c>
      <c r="E620" s="305">
        <v>8.40472503865E11</v>
      </c>
      <c r="F620" s="209"/>
      <c r="G620" s="209"/>
      <c r="H620" s="209"/>
      <c r="I620" s="209"/>
      <c r="J620" s="300" t="b">
        <v>1</v>
      </c>
      <c r="K620" s="301" t="b">
        <v>0</v>
      </c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  <c r="AI620" s="209"/>
      <c r="AJ620" s="209"/>
      <c r="AK620" s="209"/>
    </row>
    <row r="621">
      <c r="A621" s="291"/>
      <c r="B621" s="303" t="s">
        <v>2692</v>
      </c>
      <c r="C621" s="304" t="s">
        <v>2665</v>
      </c>
      <c r="D621" s="304" t="s">
        <v>2693</v>
      </c>
      <c r="E621" s="375" t="s">
        <v>2694</v>
      </c>
      <c r="F621" s="325"/>
      <c r="G621" s="325"/>
      <c r="H621" s="325"/>
      <c r="I621" s="325"/>
      <c r="J621" s="300" t="b">
        <v>1</v>
      </c>
      <c r="K621" s="301" t="b">
        <v>0</v>
      </c>
      <c r="L621" s="209"/>
      <c r="M621" s="209"/>
      <c r="N621" s="209"/>
      <c r="O621" s="209"/>
      <c r="P621" s="209"/>
      <c r="Q621" s="353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  <c r="AI621" s="209"/>
      <c r="AJ621" s="209"/>
      <c r="AK621" s="209"/>
    </row>
    <row r="622">
      <c r="A622" s="309"/>
      <c r="B622" s="310" t="s">
        <v>2695</v>
      </c>
      <c r="C622" s="311" t="s">
        <v>2696</v>
      </c>
      <c r="D622" s="311" t="s">
        <v>2697</v>
      </c>
      <c r="E622" s="380" t="s">
        <v>2698</v>
      </c>
      <c r="F622" s="331"/>
      <c r="G622" s="331"/>
      <c r="H622" s="331"/>
      <c r="I622" s="331"/>
      <c r="J622" s="350" t="b">
        <v>1</v>
      </c>
      <c r="K622" s="314" t="b">
        <v>0</v>
      </c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  <c r="AI622" s="209"/>
      <c r="AJ622" s="209"/>
      <c r="AK622" s="209"/>
    </row>
    <row r="623">
      <c r="A623" s="414"/>
      <c r="B623" s="365"/>
      <c r="C623" s="313"/>
      <c r="D623" s="313"/>
      <c r="E623" s="313"/>
      <c r="F623" s="398"/>
      <c r="G623" s="313"/>
      <c r="H623" s="313"/>
      <c r="I623" s="313"/>
      <c r="J623" s="313"/>
      <c r="K623" s="366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  <c r="AI623" s="209"/>
      <c r="AJ623" s="209"/>
      <c r="AK623" s="209"/>
    </row>
    <row r="624">
      <c r="A624" s="316" t="s">
        <v>2699</v>
      </c>
      <c r="B624" s="282" t="s">
        <v>2700</v>
      </c>
      <c r="C624" s="273"/>
      <c r="D624" s="274" t="s">
        <v>2701</v>
      </c>
      <c r="E624" s="275" t="s">
        <v>374</v>
      </c>
      <c r="F624" s="415"/>
      <c r="G624" s="273"/>
      <c r="H624" s="276" t="s">
        <v>563</v>
      </c>
      <c r="I624" s="276" t="s">
        <v>2702</v>
      </c>
      <c r="J624" s="278" t="str">
        <f>IF(COUNTIF(J625:J634, TRUE) = COUNTA(J625:J634), "Complete!", IF(COUNTIF(J625:J634, TRUE) &gt; 0, "Partial", "Not Started"))</f>
        <v>Complete!</v>
      </c>
      <c r="K624" s="279"/>
      <c r="L624" s="280">
        <v>10.0</v>
      </c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  <c r="AI624" s="209"/>
      <c r="AJ624" s="209"/>
      <c r="AK624" s="209"/>
    </row>
    <row r="625">
      <c r="A625" s="291"/>
      <c r="B625" s="292" t="s">
        <v>2703</v>
      </c>
      <c r="C625" s="293" t="s">
        <v>2662</v>
      </c>
      <c r="D625" s="293" t="s">
        <v>2704</v>
      </c>
      <c r="E625" s="374">
        <v>8.4047250138E11</v>
      </c>
      <c r="F625" s="295"/>
      <c r="G625" s="295"/>
      <c r="H625" s="295"/>
      <c r="I625" s="295"/>
      <c r="J625" s="296" t="b">
        <v>1</v>
      </c>
      <c r="K625" s="297" t="b">
        <v>0</v>
      </c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  <c r="AI625" s="209"/>
      <c r="AJ625" s="209"/>
      <c r="AK625" s="209"/>
    </row>
    <row r="626">
      <c r="A626" s="291"/>
      <c r="B626" s="303" t="s">
        <v>2705</v>
      </c>
      <c r="C626" s="304" t="s">
        <v>2662</v>
      </c>
      <c r="D626" s="304" t="s">
        <v>2706</v>
      </c>
      <c r="E626" s="305">
        <v>8.40472501373E11</v>
      </c>
      <c r="F626" s="304" t="s">
        <v>527</v>
      </c>
      <c r="G626" s="209"/>
      <c r="H626" s="209"/>
      <c r="I626" s="209"/>
      <c r="J626" s="296" t="b">
        <v>1</v>
      </c>
      <c r="K626" s="301" t="b">
        <v>1</v>
      </c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  <c r="AI626" s="209"/>
      <c r="AJ626" s="209"/>
      <c r="AK626" s="209"/>
    </row>
    <row r="627">
      <c r="A627" s="291"/>
      <c r="B627" s="303" t="s">
        <v>2707</v>
      </c>
      <c r="C627" s="304" t="s">
        <v>685</v>
      </c>
      <c r="D627" s="304" t="s">
        <v>2708</v>
      </c>
      <c r="E627" s="305">
        <v>8.40472501465E11</v>
      </c>
      <c r="F627" s="209"/>
      <c r="G627" s="209"/>
      <c r="H627" s="209"/>
      <c r="I627" s="209"/>
      <c r="J627" s="296" t="b">
        <v>1</v>
      </c>
      <c r="K627" s="301" t="b">
        <v>0</v>
      </c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  <c r="AI627" s="209"/>
      <c r="AJ627" s="209"/>
      <c r="AK627" s="209"/>
    </row>
    <row r="628">
      <c r="A628" s="291"/>
      <c r="B628" s="303" t="s">
        <v>2709</v>
      </c>
      <c r="C628" s="304" t="s">
        <v>588</v>
      </c>
      <c r="D628" s="304" t="s">
        <v>2710</v>
      </c>
      <c r="E628" s="305">
        <v>8.40472501496E11</v>
      </c>
      <c r="F628" s="209"/>
      <c r="G628" s="209"/>
      <c r="H628" s="209"/>
      <c r="I628" s="209"/>
      <c r="J628" s="296" t="b">
        <v>1</v>
      </c>
      <c r="K628" s="301" t="b">
        <v>0</v>
      </c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  <c r="AI628" s="209"/>
      <c r="AJ628" s="209"/>
      <c r="AK628" s="209"/>
    </row>
    <row r="629">
      <c r="A629" s="291"/>
      <c r="B629" s="303" t="s">
        <v>2711</v>
      </c>
      <c r="C629" s="304" t="s">
        <v>685</v>
      </c>
      <c r="D629" s="304" t="s">
        <v>2712</v>
      </c>
      <c r="E629" s="209"/>
      <c r="F629" s="304" t="s">
        <v>527</v>
      </c>
      <c r="G629" s="209"/>
      <c r="H629" s="209"/>
      <c r="I629" s="209"/>
      <c r="J629" s="296" t="b">
        <v>1</v>
      </c>
      <c r="K629" s="301" t="b">
        <v>1</v>
      </c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  <c r="AI629" s="209"/>
      <c r="AJ629" s="209"/>
      <c r="AK629" s="209"/>
    </row>
    <row r="630">
      <c r="A630" s="291"/>
      <c r="B630" s="303" t="s">
        <v>2713</v>
      </c>
      <c r="C630" s="304" t="s">
        <v>394</v>
      </c>
      <c r="D630" s="304" t="s">
        <v>2714</v>
      </c>
      <c r="E630" s="209"/>
      <c r="F630" s="209"/>
      <c r="G630" s="209"/>
      <c r="H630" s="209"/>
      <c r="I630" s="209"/>
      <c r="J630" s="296" t="b">
        <v>1</v>
      </c>
      <c r="K630" s="301" t="b">
        <v>0</v>
      </c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  <c r="AI630" s="209"/>
      <c r="AJ630" s="209"/>
      <c r="AK630" s="209"/>
    </row>
    <row r="631">
      <c r="A631" s="291"/>
      <c r="B631" s="303" t="s">
        <v>2715</v>
      </c>
      <c r="C631" s="304" t="s">
        <v>662</v>
      </c>
      <c r="D631" s="304" t="s">
        <v>2716</v>
      </c>
      <c r="E631" s="305">
        <v>8.40472501564E11</v>
      </c>
      <c r="F631" s="209"/>
      <c r="G631" s="209"/>
      <c r="H631" s="209"/>
      <c r="I631" s="209"/>
      <c r="J631" s="296" t="b">
        <v>1</v>
      </c>
      <c r="K631" s="301" t="b">
        <v>0</v>
      </c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  <c r="AI631" s="209"/>
      <c r="AJ631" s="209"/>
      <c r="AK631" s="209"/>
    </row>
    <row r="632">
      <c r="A632" s="291"/>
      <c r="B632" s="303" t="s">
        <v>2717</v>
      </c>
      <c r="C632" s="304" t="s">
        <v>394</v>
      </c>
      <c r="D632" s="304" t="s">
        <v>2718</v>
      </c>
      <c r="E632" s="305">
        <v>8.40472501533E11</v>
      </c>
      <c r="F632" s="209"/>
      <c r="G632" s="209"/>
      <c r="H632" s="209"/>
      <c r="I632" s="209"/>
      <c r="J632" s="296" t="b">
        <v>1</v>
      </c>
      <c r="K632" s="301" t="b">
        <v>0</v>
      </c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  <c r="AI632" s="209"/>
      <c r="AJ632" s="209"/>
      <c r="AK632" s="209"/>
    </row>
    <row r="633">
      <c r="A633" s="291"/>
      <c r="B633" s="303" t="s">
        <v>2719</v>
      </c>
      <c r="C633" s="304" t="s">
        <v>588</v>
      </c>
      <c r="D633" s="304" t="s">
        <v>2720</v>
      </c>
      <c r="E633" s="209"/>
      <c r="F633" s="304" t="s">
        <v>527</v>
      </c>
      <c r="G633" s="209"/>
      <c r="H633" s="209"/>
      <c r="I633" s="209"/>
      <c r="J633" s="296" t="b">
        <v>1</v>
      </c>
      <c r="K633" s="301" t="b">
        <v>1</v>
      </c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  <c r="AI633" s="209"/>
      <c r="AJ633" s="209"/>
      <c r="AK633" s="209"/>
    </row>
    <row r="634">
      <c r="A634" s="309"/>
      <c r="B634" s="310" t="s">
        <v>2721</v>
      </c>
      <c r="C634" s="311" t="s">
        <v>662</v>
      </c>
      <c r="D634" s="311" t="s">
        <v>2722</v>
      </c>
      <c r="E634" s="398"/>
      <c r="F634" s="331"/>
      <c r="G634" s="331"/>
      <c r="H634" s="331"/>
      <c r="I634" s="331"/>
      <c r="J634" s="296" t="b">
        <v>1</v>
      </c>
      <c r="K634" s="314" t="b">
        <v>0</v>
      </c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  <c r="AI634" s="209"/>
      <c r="AJ634" s="209"/>
      <c r="AK634" s="209"/>
    </row>
    <row r="635">
      <c r="A635" s="209"/>
      <c r="B635" s="209"/>
      <c r="C635" s="209"/>
      <c r="D635" s="209"/>
      <c r="E635" s="353"/>
      <c r="F635" s="325"/>
      <c r="G635" s="325"/>
      <c r="H635" s="325"/>
      <c r="I635" s="325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209"/>
      <c r="AJ635" s="209"/>
      <c r="AK635" s="209"/>
    </row>
    <row r="636">
      <c r="A636" s="316" t="s">
        <v>2723</v>
      </c>
      <c r="B636" s="282" t="s">
        <v>2724</v>
      </c>
      <c r="C636" s="273"/>
      <c r="D636" s="274" t="s">
        <v>2725</v>
      </c>
      <c r="E636" s="275" t="s">
        <v>374</v>
      </c>
      <c r="F636" s="415"/>
      <c r="G636" s="273"/>
      <c r="H636" s="276" t="s">
        <v>370</v>
      </c>
      <c r="I636" s="276" t="s">
        <v>2726</v>
      </c>
      <c r="J636" s="278" t="str">
        <f>IF(COUNTIF(J637:J644, TRUE) = COUNTA(J637:J644), "Complete!", IF(COUNTIF(J637:J644, TRUE) &gt; 0, "Partial", "Not Started"))</f>
        <v>Complete!</v>
      </c>
      <c r="K636" s="279"/>
      <c r="L636" s="280">
        <v>8.0</v>
      </c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  <c r="AI636" s="209"/>
      <c r="AJ636" s="209"/>
      <c r="AK636" s="209"/>
    </row>
    <row r="637">
      <c r="A637" s="291"/>
      <c r="B637" s="292" t="s">
        <v>2727</v>
      </c>
      <c r="C637" s="293" t="s">
        <v>2728</v>
      </c>
      <c r="D637" s="293" t="s">
        <v>2729</v>
      </c>
      <c r="E637" s="294">
        <v>8.40472501427E11</v>
      </c>
      <c r="F637" s="416"/>
      <c r="G637" s="295"/>
      <c r="H637" s="295"/>
      <c r="I637" s="295"/>
      <c r="J637" s="296" t="b">
        <v>1</v>
      </c>
      <c r="K637" s="297" t="b">
        <v>0</v>
      </c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  <c r="AI637" s="209"/>
      <c r="AJ637" s="209"/>
      <c r="AK637" s="209"/>
    </row>
    <row r="638">
      <c r="A638" s="291"/>
      <c r="B638" s="303" t="s">
        <v>2730</v>
      </c>
      <c r="C638" s="304" t="s">
        <v>542</v>
      </c>
      <c r="D638" s="304" t="s">
        <v>2731</v>
      </c>
      <c r="E638" s="305">
        <v>8.40472503964E11</v>
      </c>
      <c r="F638" s="304" t="s">
        <v>1062</v>
      </c>
      <c r="G638" s="209"/>
      <c r="H638" s="209"/>
      <c r="I638" s="209"/>
      <c r="J638" s="300" t="b">
        <v>1</v>
      </c>
      <c r="K638" s="301" t="b">
        <v>0</v>
      </c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  <c r="AI638" s="209"/>
      <c r="AJ638" s="209"/>
      <c r="AK638" s="209"/>
    </row>
    <row r="639">
      <c r="A639" s="291"/>
      <c r="B639" s="303" t="s">
        <v>2732</v>
      </c>
      <c r="C639" s="304" t="s">
        <v>595</v>
      </c>
      <c r="D639" s="304" t="s">
        <v>2733</v>
      </c>
      <c r="E639" s="305">
        <v>8.40472503971E11</v>
      </c>
      <c r="F639" s="304" t="s">
        <v>1062</v>
      </c>
      <c r="G639" s="209"/>
      <c r="H639" s="209"/>
      <c r="I639" s="209"/>
      <c r="J639" s="300" t="b">
        <v>1</v>
      </c>
      <c r="K639" s="301" t="b">
        <v>0</v>
      </c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  <c r="AI639" s="209"/>
      <c r="AJ639" s="209"/>
      <c r="AK639" s="209"/>
    </row>
    <row r="640">
      <c r="A640" s="291"/>
      <c r="B640" s="303" t="s">
        <v>2734</v>
      </c>
      <c r="C640" s="304" t="s">
        <v>2735</v>
      </c>
      <c r="D640" s="304" t="s">
        <v>2736</v>
      </c>
      <c r="E640" s="305">
        <v>8.40472503995E11</v>
      </c>
      <c r="F640" s="304" t="s">
        <v>1062</v>
      </c>
      <c r="G640" s="209"/>
      <c r="H640" s="209"/>
      <c r="I640" s="209"/>
      <c r="J640" s="300" t="b">
        <v>1</v>
      </c>
      <c r="K640" s="301" t="b">
        <v>0</v>
      </c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  <c r="AI640" s="209"/>
      <c r="AJ640" s="209"/>
      <c r="AK640" s="209"/>
    </row>
    <row r="641">
      <c r="A641" s="291"/>
      <c r="B641" s="417" t="s">
        <v>2737</v>
      </c>
      <c r="C641" s="304" t="s">
        <v>2738</v>
      </c>
      <c r="D641" s="304" t="s">
        <v>2739</v>
      </c>
      <c r="E641" s="209"/>
      <c r="F641" s="209"/>
      <c r="G641" s="209"/>
      <c r="H641" s="209"/>
      <c r="I641" s="209"/>
      <c r="J641" s="300" t="b">
        <v>1</v>
      </c>
      <c r="K641" s="301" t="b">
        <v>0</v>
      </c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  <c r="AI641" s="209"/>
      <c r="AJ641" s="209"/>
      <c r="AK641" s="209"/>
    </row>
    <row r="642">
      <c r="A642" s="291"/>
      <c r="B642" s="303" t="s">
        <v>2740</v>
      </c>
      <c r="C642" s="304" t="s">
        <v>736</v>
      </c>
      <c r="D642" s="304" t="s">
        <v>2741</v>
      </c>
      <c r="E642" s="305">
        <v>8.1011597509E11</v>
      </c>
      <c r="F642" s="209"/>
      <c r="G642" s="209"/>
      <c r="H642" s="209"/>
      <c r="I642" s="209"/>
      <c r="J642" s="300" t="b">
        <v>1</v>
      </c>
      <c r="K642" s="301" t="b">
        <v>0</v>
      </c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  <c r="AI642" s="209"/>
      <c r="AJ642" s="209"/>
      <c r="AK642" s="209"/>
    </row>
    <row r="643">
      <c r="A643" s="291"/>
      <c r="B643" s="303" t="s">
        <v>2742</v>
      </c>
      <c r="C643" s="304" t="s">
        <v>782</v>
      </c>
      <c r="D643" s="304" t="s">
        <v>2743</v>
      </c>
      <c r="E643" s="305">
        <v>8.40472503988E11</v>
      </c>
      <c r="F643" s="209"/>
      <c r="G643" s="209"/>
      <c r="H643" s="209"/>
      <c r="I643" s="209"/>
      <c r="J643" s="300" t="b">
        <v>1</v>
      </c>
      <c r="K643" s="301" t="b">
        <v>0</v>
      </c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  <c r="AI643" s="209"/>
      <c r="AJ643" s="209"/>
      <c r="AK643" s="209"/>
    </row>
    <row r="644">
      <c r="A644" s="291"/>
      <c r="B644" s="310" t="s">
        <v>2744</v>
      </c>
      <c r="C644" s="311" t="s">
        <v>972</v>
      </c>
      <c r="D644" s="311" t="s">
        <v>2745</v>
      </c>
      <c r="E644" s="313"/>
      <c r="F644" s="313"/>
      <c r="G644" s="313"/>
      <c r="H644" s="313"/>
      <c r="I644" s="313"/>
      <c r="J644" s="300" t="b">
        <v>1</v>
      </c>
      <c r="K644" s="314" t="b">
        <v>0</v>
      </c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  <c r="AI644" s="209"/>
      <c r="AJ644" s="209"/>
      <c r="AK644" s="209"/>
    </row>
    <row r="645">
      <c r="A645" s="418"/>
      <c r="B645" s="419"/>
      <c r="C645" s="209"/>
      <c r="D645" s="209"/>
      <c r="E645" s="209"/>
      <c r="F645" s="353"/>
      <c r="G645" s="209"/>
      <c r="H645" s="209"/>
      <c r="I645" s="209"/>
      <c r="J645" s="209"/>
      <c r="K645" s="390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  <c r="AI645" s="209"/>
      <c r="AJ645" s="209"/>
      <c r="AK645" s="209"/>
    </row>
    <row r="646">
      <c r="A646" s="316" t="s">
        <v>2746</v>
      </c>
      <c r="B646" s="282" t="s">
        <v>2747</v>
      </c>
      <c r="C646" s="273"/>
      <c r="D646" s="274" t="s">
        <v>2748</v>
      </c>
      <c r="E646" s="275" t="s">
        <v>374</v>
      </c>
      <c r="F646" s="415"/>
      <c r="G646" s="273"/>
      <c r="H646" s="276" t="s">
        <v>370</v>
      </c>
      <c r="I646" s="276" t="s">
        <v>2749</v>
      </c>
      <c r="J646" s="278" t="str">
        <f>IF(COUNTIF(J647:J654, TRUE) = COUNTA(J647:J654), "Complete!", IF(COUNTIF(J647:J654, TRUE) &gt; 0, "Partial", "Not Started"))</f>
        <v>Complete!</v>
      </c>
      <c r="K646" s="279"/>
      <c r="L646" s="280">
        <v>8.0</v>
      </c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  <c r="AI646" s="209"/>
      <c r="AJ646" s="209"/>
      <c r="AK646" s="209"/>
    </row>
    <row r="647">
      <c r="A647" s="291"/>
      <c r="B647" s="292" t="s">
        <v>2750</v>
      </c>
      <c r="C647" s="293" t="s">
        <v>662</v>
      </c>
      <c r="D647" s="293" t="s">
        <v>2751</v>
      </c>
      <c r="E647" s="294">
        <v>8.40472501571E11</v>
      </c>
      <c r="F647" s="295"/>
      <c r="G647" s="295"/>
      <c r="H647" s="295"/>
      <c r="I647" s="295"/>
      <c r="J647" s="296" t="b">
        <v>1</v>
      </c>
      <c r="K647" s="297" t="b">
        <v>0</v>
      </c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  <c r="AI647" s="209"/>
      <c r="AJ647" s="209"/>
      <c r="AK647" s="209"/>
    </row>
    <row r="648">
      <c r="A648" s="291"/>
      <c r="B648" s="303" t="s">
        <v>2752</v>
      </c>
      <c r="C648" s="304" t="s">
        <v>2683</v>
      </c>
      <c r="D648" s="304" t="s">
        <v>2753</v>
      </c>
      <c r="E648" s="305">
        <v>8.10115975106E11</v>
      </c>
      <c r="F648" s="209"/>
      <c r="G648" s="209"/>
      <c r="H648" s="209"/>
      <c r="I648" s="209"/>
      <c r="J648" s="300" t="b">
        <v>1</v>
      </c>
      <c r="K648" s="301" t="b">
        <v>0</v>
      </c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  <c r="AI648" s="209"/>
      <c r="AJ648" s="209"/>
      <c r="AK648" s="209"/>
    </row>
    <row r="649">
      <c r="A649" s="291"/>
      <c r="B649" s="303" t="s">
        <v>2754</v>
      </c>
      <c r="C649" s="304" t="s">
        <v>826</v>
      </c>
      <c r="D649" s="304" t="s">
        <v>2755</v>
      </c>
      <c r="E649" s="209"/>
      <c r="F649" s="209"/>
      <c r="G649" s="209"/>
      <c r="H649" s="209"/>
      <c r="I649" s="209"/>
      <c r="J649" s="300" t="b">
        <v>1</v>
      </c>
      <c r="K649" s="301" t="b">
        <v>0</v>
      </c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  <c r="AI649" s="209"/>
      <c r="AJ649" s="209"/>
      <c r="AK649" s="209"/>
    </row>
    <row r="650">
      <c r="A650" s="291"/>
      <c r="B650" s="303" t="s">
        <v>2756</v>
      </c>
      <c r="C650" s="304" t="s">
        <v>400</v>
      </c>
      <c r="D650" s="304" t="s">
        <v>2757</v>
      </c>
      <c r="E650" s="305">
        <v>8.40472508198E11</v>
      </c>
      <c r="F650" s="209"/>
      <c r="G650" s="209"/>
      <c r="H650" s="209"/>
      <c r="I650" s="209"/>
      <c r="J650" s="300" t="b">
        <v>1</v>
      </c>
      <c r="K650" s="301" t="b">
        <v>0</v>
      </c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  <c r="AI650" s="209"/>
      <c r="AJ650" s="209"/>
      <c r="AK650" s="209"/>
    </row>
    <row r="651">
      <c r="A651" s="291"/>
      <c r="B651" s="303" t="s">
        <v>2758</v>
      </c>
      <c r="C651" s="304" t="s">
        <v>394</v>
      </c>
      <c r="D651" s="304" t="s">
        <v>2759</v>
      </c>
      <c r="E651" s="305">
        <v>8.4047250154E11</v>
      </c>
      <c r="F651" s="353"/>
      <c r="G651" s="209"/>
      <c r="H651" s="209"/>
      <c r="I651" s="209"/>
      <c r="J651" s="300" t="b">
        <v>1</v>
      </c>
      <c r="K651" s="301" t="b">
        <v>0</v>
      </c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  <c r="AI651" s="209"/>
      <c r="AJ651" s="209"/>
      <c r="AK651" s="209"/>
    </row>
    <row r="652">
      <c r="A652" s="291"/>
      <c r="B652" s="303" t="s">
        <v>2760</v>
      </c>
      <c r="C652" s="304" t="s">
        <v>2761</v>
      </c>
      <c r="D652" s="304" t="s">
        <v>2762</v>
      </c>
      <c r="E652" s="209"/>
      <c r="F652" s="209"/>
      <c r="G652" s="209"/>
      <c r="H652" s="209"/>
      <c r="I652" s="209"/>
      <c r="J652" s="300" t="b">
        <v>1</v>
      </c>
      <c r="K652" s="301" t="b">
        <v>0</v>
      </c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  <c r="AI652" s="209"/>
      <c r="AJ652" s="209"/>
      <c r="AK652" s="209"/>
    </row>
    <row r="653">
      <c r="A653" s="291"/>
      <c r="B653" s="303" t="s">
        <v>2763</v>
      </c>
      <c r="C653" s="304" t="s">
        <v>617</v>
      </c>
      <c r="D653" s="304" t="s">
        <v>2764</v>
      </c>
      <c r="E653" s="209"/>
      <c r="F653" s="209"/>
      <c r="G653" s="209"/>
      <c r="H653" s="209"/>
      <c r="I653" s="209"/>
      <c r="J653" s="300" t="b">
        <v>1</v>
      </c>
      <c r="K653" s="301" t="b">
        <v>0</v>
      </c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  <c r="AI653" s="209"/>
      <c r="AJ653" s="209"/>
      <c r="AK653" s="209"/>
    </row>
    <row r="654">
      <c r="A654" s="291"/>
      <c r="B654" s="310" t="s">
        <v>2765</v>
      </c>
      <c r="C654" s="311" t="s">
        <v>944</v>
      </c>
      <c r="D654" s="311" t="s">
        <v>2766</v>
      </c>
      <c r="E654" s="313"/>
      <c r="F654" s="313"/>
      <c r="G654" s="313"/>
      <c r="H654" s="313"/>
      <c r="I654" s="313"/>
      <c r="J654" s="300" t="b">
        <v>1</v>
      </c>
      <c r="K654" s="314" t="b">
        <v>0</v>
      </c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  <c r="AI654" s="209"/>
      <c r="AJ654" s="209"/>
      <c r="AK654" s="209"/>
    </row>
    <row r="655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  <c r="AI655" s="209"/>
      <c r="AJ655" s="209"/>
      <c r="AK655" s="209"/>
    </row>
    <row r="656">
      <c r="A656" s="316" t="s">
        <v>2767</v>
      </c>
      <c r="B656" s="282" t="s">
        <v>2768</v>
      </c>
      <c r="C656" s="273"/>
      <c r="D656" s="274" t="s">
        <v>2769</v>
      </c>
      <c r="E656" s="275" t="s">
        <v>374</v>
      </c>
      <c r="F656" s="415"/>
      <c r="G656" s="273"/>
      <c r="H656" s="276" t="s">
        <v>2770</v>
      </c>
      <c r="I656" s="276" t="s">
        <v>1848</v>
      </c>
      <c r="J656" s="278" t="str">
        <f>IF(COUNTIF(J657:J664, TRUE) = COUNTA(J657:J664), "Complete!", IF(COUNTIF(J657:J664, TRUE) &gt; 0, "Partial", "Not Started"))</f>
        <v>Complete!</v>
      </c>
      <c r="K656" s="279"/>
      <c r="L656" s="280">
        <v>8.0</v>
      </c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  <c r="AI656" s="209"/>
      <c r="AJ656" s="209"/>
      <c r="AK656" s="209"/>
    </row>
    <row r="657">
      <c r="A657" s="291"/>
      <c r="B657" s="292" t="s">
        <v>2771</v>
      </c>
      <c r="C657" s="293" t="s">
        <v>2761</v>
      </c>
      <c r="D657" s="293" t="s">
        <v>2772</v>
      </c>
      <c r="E657" s="294">
        <v>8.40472503834E11</v>
      </c>
      <c r="F657" s="295"/>
      <c r="G657" s="295"/>
      <c r="H657" s="295"/>
      <c r="I657" s="295"/>
      <c r="J657" s="296" t="b">
        <v>1</v>
      </c>
      <c r="K657" s="297" t="b">
        <v>0</v>
      </c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  <c r="AI657" s="209"/>
      <c r="AJ657" s="209"/>
      <c r="AK657" s="209"/>
    </row>
    <row r="658">
      <c r="A658" s="291"/>
      <c r="B658" s="303" t="s">
        <v>2773</v>
      </c>
      <c r="C658" s="304" t="s">
        <v>617</v>
      </c>
      <c r="D658" s="304" t="s">
        <v>2774</v>
      </c>
      <c r="E658" s="305">
        <v>8.40472503841E11</v>
      </c>
      <c r="F658" s="209"/>
      <c r="G658" s="209"/>
      <c r="H658" s="209"/>
      <c r="I658" s="209"/>
      <c r="J658" s="296" t="b">
        <v>1</v>
      </c>
      <c r="K658" s="301" t="b">
        <v>0</v>
      </c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  <c r="AI658" s="209"/>
      <c r="AJ658" s="209"/>
      <c r="AK658" s="209"/>
    </row>
    <row r="659">
      <c r="A659" s="291"/>
      <c r="B659" s="303" t="s">
        <v>2775</v>
      </c>
      <c r="C659" s="304" t="s">
        <v>944</v>
      </c>
      <c r="D659" s="304" t="s">
        <v>2776</v>
      </c>
      <c r="E659" s="305">
        <v>8.40472503858E11</v>
      </c>
      <c r="F659" s="353"/>
      <c r="G659" s="209"/>
      <c r="H659" s="209"/>
      <c r="I659" s="209"/>
      <c r="J659" s="296" t="b">
        <v>1</v>
      </c>
      <c r="K659" s="301" t="b">
        <v>0</v>
      </c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  <c r="AI659" s="209"/>
      <c r="AJ659" s="209"/>
      <c r="AK659" s="209"/>
    </row>
    <row r="660">
      <c r="A660" s="291"/>
      <c r="B660" s="303" t="s">
        <v>2777</v>
      </c>
      <c r="C660" s="304" t="s">
        <v>400</v>
      </c>
      <c r="D660" s="304" t="s">
        <v>2778</v>
      </c>
      <c r="E660" s="305">
        <v>8.40472503872E11</v>
      </c>
      <c r="F660" s="209"/>
      <c r="G660" s="209"/>
      <c r="H660" s="209"/>
      <c r="I660" s="209"/>
      <c r="J660" s="296" t="b">
        <v>1</v>
      </c>
      <c r="K660" s="301" t="b">
        <v>0</v>
      </c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  <c r="AI660" s="209"/>
      <c r="AJ660" s="209"/>
      <c r="AK660" s="209"/>
    </row>
    <row r="661">
      <c r="A661" s="291"/>
      <c r="B661" s="303" t="s">
        <v>2779</v>
      </c>
      <c r="C661" s="304" t="s">
        <v>400</v>
      </c>
      <c r="D661" s="304" t="s">
        <v>2780</v>
      </c>
      <c r="E661" s="305">
        <v>8.40472508181E11</v>
      </c>
      <c r="F661" s="304" t="s">
        <v>1057</v>
      </c>
      <c r="G661" s="209"/>
      <c r="H661" s="209"/>
      <c r="I661" s="209"/>
      <c r="J661" s="296" t="b">
        <v>1</v>
      </c>
      <c r="K661" s="301" t="b">
        <v>1</v>
      </c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  <c r="AI661" s="209"/>
      <c r="AJ661" s="209"/>
      <c r="AK661" s="209"/>
    </row>
    <row r="662">
      <c r="A662" s="291"/>
      <c r="B662" s="303" t="s">
        <v>2781</v>
      </c>
      <c r="C662" s="304" t="s">
        <v>400</v>
      </c>
      <c r="D662" s="304" t="s">
        <v>2782</v>
      </c>
      <c r="E662" s="305">
        <v>8.40472508211E11</v>
      </c>
      <c r="F662" s="304" t="s">
        <v>1057</v>
      </c>
      <c r="G662" s="209"/>
      <c r="H662" s="209"/>
      <c r="I662" s="209"/>
      <c r="J662" s="296" t="b">
        <v>1</v>
      </c>
      <c r="K662" s="301" t="b">
        <v>1</v>
      </c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  <c r="AI662" s="209"/>
      <c r="AJ662" s="209"/>
      <c r="AK662" s="209"/>
    </row>
    <row r="663">
      <c r="A663" s="291"/>
      <c r="B663" s="303" t="s">
        <v>2783</v>
      </c>
      <c r="C663" s="304" t="s">
        <v>400</v>
      </c>
      <c r="D663" s="304" t="s">
        <v>2784</v>
      </c>
      <c r="E663" s="305">
        <v>8.40472503889E11</v>
      </c>
      <c r="F663" s="209"/>
      <c r="G663" s="209"/>
      <c r="H663" s="209"/>
      <c r="I663" s="209"/>
      <c r="J663" s="296" t="b">
        <v>1</v>
      </c>
      <c r="K663" s="301" t="b">
        <v>0</v>
      </c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  <c r="AI663" s="209"/>
      <c r="AJ663" s="209"/>
      <c r="AK663" s="209"/>
    </row>
    <row r="664">
      <c r="A664" s="309"/>
      <c r="B664" s="310" t="s">
        <v>2785</v>
      </c>
      <c r="C664" s="311" t="s">
        <v>400</v>
      </c>
      <c r="D664" s="311" t="s">
        <v>2786</v>
      </c>
      <c r="E664" s="312">
        <v>8.40472508204E11</v>
      </c>
      <c r="F664" s="311" t="s">
        <v>1057</v>
      </c>
      <c r="G664" s="313"/>
      <c r="H664" s="313"/>
      <c r="I664" s="313"/>
      <c r="J664" s="296" t="b">
        <v>1</v>
      </c>
      <c r="K664" s="314" t="b">
        <v>1</v>
      </c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  <c r="AI664" s="209"/>
      <c r="AJ664" s="209"/>
      <c r="AK664" s="209"/>
    </row>
    <row r="665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  <c r="AI665" s="209"/>
      <c r="AJ665" s="209"/>
      <c r="AK665" s="209"/>
    </row>
    <row r="666">
      <c r="A666" s="316" t="s">
        <v>2787</v>
      </c>
      <c r="B666" s="319" t="s">
        <v>2788</v>
      </c>
      <c r="C666" s="320"/>
      <c r="D666" s="283" t="s">
        <v>2789</v>
      </c>
      <c r="E666" s="322" t="s">
        <v>1067</v>
      </c>
      <c r="F666" s="320"/>
      <c r="G666" s="420">
        <v>3.5</v>
      </c>
      <c r="H666" s="285" t="s">
        <v>2790</v>
      </c>
      <c r="I666" s="285" t="s">
        <v>1872</v>
      </c>
      <c r="J666" s="278" t="str">
        <f>IF(COUNTIF(J667:J669, TRUE) = COUNTA(J667:J669), "Complete!", IF(COUNTIF(J667:J669, TRUE) &gt; 0, "Partial", "Not Started"))</f>
        <v>Complete!</v>
      </c>
      <c r="K666" s="279"/>
      <c r="L666" s="280">
        <v>3.0</v>
      </c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  <c r="AI666" s="209"/>
      <c r="AJ666" s="209"/>
      <c r="AK666" s="209"/>
    </row>
    <row r="667">
      <c r="A667" s="291"/>
      <c r="B667" s="292" t="s">
        <v>2791</v>
      </c>
      <c r="C667" s="293" t="s">
        <v>944</v>
      </c>
      <c r="D667" s="304" t="s">
        <v>2792</v>
      </c>
      <c r="E667" s="374" t="s">
        <v>2793</v>
      </c>
      <c r="F667" s="353"/>
      <c r="G667" s="209"/>
      <c r="H667" s="209"/>
      <c r="I667" s="209"/>
      <c r="J667" s="300" t="b">
        <v>1</v>
      </c>
      <c r="K667" s="301" t="b">
        <v>0</v>
      </c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  <c r="AI667" s="209"/>
      <c r="AJ667" s="209"/>
      <c r="AK667" s="209"/>
    </row>
    <row r="668">
      <c r="A668" s="291"/>
      <c r="B668" s="303" t="s">
        <v>2794</v>
      </c>
      <c r="C668" s="304" t="s">
        <v>726</v>
      </c>
      <c r="D668" s="304" t="s">
        <v>2795</v>
      </c>
      <c r="E668" s="375" t="s">
        <v>2796</v>
      </c>
      <c r="F668" s="209"/>
      <c r="G668" s="209"/>
      <c r="H668" s="209"/>
      <c r="I668" s="209"/>
      <c r="J668" s="300" t="b">
        <v>1</v>
      </c>
      <c r="K668" s="301" t="b">
        <v>0</v>
      </c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  <c r="AI668" s="209"/>
      <c r="AJ668" s="209"/>
      <c r="AK668" s="209"/>
    </row>
    <row r="669">
      <c r="A669" s="309"/>
      <c r="B669" s="310" t="s">
        <v>2797</v>
      </c>
      <c r="C669" s="311" t="s">
        <v>736</v>
      </c>
      <c r="D669" s="311" t="s">
        <v>2798</v>
      </c>
      <c r="E669" s="380" t="s">
        <v>2799</v>
      </c>
      <c r="F669" s="313"/>
      <c r="G669" s="313"/>
      <c r="H669" s="313"/>
      <c r="I669" s="313"/>
      <c r="J669" s="318" t="b">
        <v>1</v>
      </c>
      <c r="K669" s="381" t="b">
        <v>0</v>
      </c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  <c r="AI669" s="209"/>
      <c r="AJ669" s="209"/>
      <c r="AK669" s="209"/>
    </row>
    <row r="670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  <c r="AI670" s="209"/>
      <c r="AJ670" s="209"/>
      <c r="AK670" s="209"/>
    </row>
    <row r="671">
      <c r="A671" s="316" t="s">
        <v>2800</v>
      </c>
      <c r="B671" s="282" t="s">
        <v>2801</v>
      </c>
      <c r="C671" s="273"/>
      <c r="D671" s="274" t="s">
        <v>2802</v>
      </c>
      <c r="E671" s="275" t="s">
        <v>1067</v>
      </c>
      <c r="F671" s="273"/>
      <c r="G671" s="273"/>
      <c r="H671" s="276" t="s">
        <v>2803</v>
      </c>
      <c r="I671" s="276" t="s">
        <v>2804</v>
      </c>
      <c r="J671" s="278" t="str">
        <f>IF(COUNTIF(J672:J678, TRUE) = COUNTA(J672:J678), "Complete!", IF(COUNTIF(J672:J678, TRUE) &gt; 0, "Partial", "Not Started"))</f>
        <v>Complete!</v>
      </c>
      <c r="K671" s="279"/>
      <c r="L671" s="280">
        <v>7.0</v>
      </c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  <c r="AI671" s="209"/>
      <c r="AJ671" s="209"/>
      <c r="AK671" s="209"/>
    </row>
    <row r="672">
      <c r="A672" s="291"/>
      <c r="B672" s="408" t="s">
        <v>2805</v>
      </c>
      <c r="C672" s="409" t="s">
        <v>400</v>
      </c>
      <c r="D672" s="293" t="s">
        <v>2806</v>
      </c>
      <c r="E672" s="421">
        <v>8.10115978619E11</v>
      </c>
      <c r="F672" s="295"/>
      <c r="G672" s="295"/>
      <c r="H672" s="295"/>
      <c r="I672" s="295"/>
      <c r="J672" s="296" t="b">
        <v>1</v>
      </c>
      <c r="K672" s="297" t="b">
        <v>0</v>
      </c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  <c r="AH672" s="209"/>
      <c r="AI672" s="209"/>
      <c r="AJ672" s="209"/>
      <c r="AK672" s="209"/>
    </row>
    <row r="673">
      <c r="A673" s="291"/>
      <c r="B673" s="376" t="s">
        <v>2807</v>
      </c>
      <c r="C673" s="377" t="s">
        <v>400</v>
      </c>
      <c r="D673" s="304" t="s">
        <v>2808</v>
      </c>
      <c r="E673" s="395">
        <v>8.10115978589E11</v>
      </c>
      <c r="F673" s="209"/>
      <c r="G673" s="209"/>
      <c r="H673" s="209"/>
      <c r="I673" s="209"/>
      <c r="J673" s="296" t="b">
        <v>1</v>
      </c>
      <c r="K673" s="301" t="b">
        <v>0</v>
      </c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  <c r="AH673" s="209"/>
      <c r="AI673" s="209"/>
      <c r="AJ673" s="209"/>
      <c r="AK673" s="209"/>
    </row>
    <row r="674">
      <c r="A674" s="291"/>
      <c r="B674" s="376" t="s">
        <v>2809</v>
      </c>
      <c r="C674" s="377" t="s">
        <v>400</v>
      </c>
      <c r="D674" s="304" t="s">
        <v>2810</v>
      </c>
      <c r="E674" s="395">
        <v>8.10115978602E11</v>
      </c>
      <c r="F674" s="353"/>
      <c r="G674" s="209"/>
      <c r="H674" s="209"/>
      <c r="I674" s="209"/>
      <c r="J674" s="296" t="b">
        <v>1</v>
      </c>
      <c r="K674" s="301" t="b">
        <v>0</v>
      </c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  <c r="AH674" s="209"/>
      <c r="AI674" s="209"/>
      <c r="AJ674" s="209"/>
      <c r="AK674" s="209"/>
    </row>
    <row r="675">
      <c r="A675" s="291"/>
      <c r="B675" s="376" t="s">
        <v>2811</v>
      </c>
      <c r="C675" s="377" t="s">
        <v>400</v>
      </c>
      <c r="D675" s="304" t="s">
        <v>2812</v>
      </c>
      <c r="E675" s="395">
        <v>8.10115978596E11</v>
      </c>
      <c r="F675" s="209"/>
      <c r="G675" s="209"/>
      <c r="H675" s="209"/>
      <c r="I675" s="209"/>
      <c r="J675" s="296" t="b">
        <v>1</v>
      </c>
      <c r="K675" s="301" t="b">
        <v>0</v>
      </c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  <c r="AH675" s="209"/>
      <c r="AI675" s="209"/>
      <c r="AJ675" s="209"/>
      <c r="AK675" s="209"/>
    </row>
    <row r="676">
      <c r="A676" s="291"/>
      <c r="B676" s="303" t="s">
        <v>2813</v>
      </c>
      <c r="C676" s="377" t="s">
        <v>400</v>
      </c>
      <c r="D676" s="304" t="s">
        <v>2814</v>
      </c>
      <c r="E676" s="305">
        <v>8.40472501908E11</v>
      </c>
      <c r="F676" s="304" t="s">
        <v>527</v>
      </c>
      <c r="G676" s="209"/>
      <c r="H676" s="209"/>
      <c r="I676" s="209"/>
      <c r="J676" s="296" t="b">
        <v>1</v>
      </c>
      <c r="K676" s="301" t="b">
        <v>1</v>
      </c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  <c r="AI676" s="209"/>
      <c r="AJ676" s="209"/>
      <c r="AK676" s="209"/>
    </row>
    <row r="677">
      <c r="A677" s="291"/>
      <c r="B677" s="303" t="s">
        <v>2815</v>
      </c>
      <c r="C677" s="377" t="s">
        <v>400</v>
      </c>
      <c r="D677" s="304" t="s">
        <v>2816</v>
      </c>
      <c r="E677" s="305">
        <v>8.40472501915E11</v>
      </c>
      <c r="F677" s="209"/>
      <c r="G677" s="209"/>
      <c r="H677" s="209"/>
      <c r="I677" s="209"/>
      <c r="J677" s="296" t="b">
        <v>1</v>
      </c>
      <c r="K677" s="301" t="b">
        <v>0</v>
      </c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  <c r="AI677" s="209"/>
      <c r="AJ677" s="209"/>
      <c r="AK677" s="209"/>
    </row>
    <row r="678">
      <c r="A678" s="309"/>
      <c r="B678" s="310" t="s">
        <v>2817</v>
      </c>
      <c r="C678" s="379" t="s">
        <v>400</v>
      </c>
      <c r="D678" s="311" t="s">
        <v>2818</v>
      </c>
      <c r="E678" s="312">
        <v>8.40472502974E11</v>
      </c>
      <c r="F678" s="311" t="s">
        <v>656</v>
      </c>
      <c r="G678" s="313"/>
      <c r="H678" s="313"/>
      <c r="I678" s="313"/>
      <c r="J678" s="296" t="b">
        <v>1</v>
      </c>
      <c r="K678" s="314" t="b">
        <v>1</v>
      </c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  <c r="AI678" s="209"/>
      <c r="AJ678" s="209"/>
      <c r="AK678" s="209"/>
    </row>
    <row r="679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  <c r="AI679" s="209"/>
      <c r="AJ679" s="209"/>
      <c r="AK679" s="209"/>
    </row>
    <row r="680">
      <c r="A680" s="316" t="s">
        <v>2819</v>
      </c>
      <c r="B680" s="319" t="s">
        <v>2820</v>
      </c>
      <c r="C680" s="320"/>
      <c r="D680" s="283" t="s">
        <v>2821</v>
      </c>
      <c r="E680" s="322" t="s">
        <v>1067</v>
      </c>
      <c r="F680" s="320"/>
      <c r="G680" s="320"/>
      <c r="H680" s="276" t="s">
        <v>376</v>
      </c>
      <c r="I680" s="285" t="s">
        <v>377</v>
      </c>
      <c r="J680" s="278" t="str">
        <f>IF(COUNTIF(J681:J685, TRUE) = COUNTA(J681:J685), "Complete!", IF(COUNTIF(J681:J685, TRUE) &gt; 0, "Partial", "Not Started"))</f>
        <v>Complete!</v>
      </c>
      <c r="K680" s="279"/>
      <c r="L680" s="280">
        <v>5.0</v>
      </c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  <c r="AI680" s="209"/>
      <c r="AJ680" s="209"/>
      <c r="AK680" s="209"/>
    </row>
    <row r="681">
      <c r="A681" s="291"/>
      <c r="B681" s="292" t="s">
        <v>2822</v>
      </c>
      <c r="C681" s="293" t="s">
        <v>400</v>
      </c>
      <c r="D681" s="293" t="s">
        <v>2823</v>
      </c>
      <c r="E681" s="294">
        <v>8.40472504022E11</v>
      </c>
      <c r="F681" s="295"/>
      <c r="G681" s="295"/>
      <c r="H681" s="295"/>
      <c r="I681" s="295"/>
      <c r="J681" s="296" t="b">
        <v>1</v>
      </c>
      <c r="K681" s="297" t="b">
        <v>0</v>
      </c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  <c r="AI681" s="209"/>
      <c r="AJ681" s="209"/>
      <c r="AK681" s="209"/>
    </row>
    <row r="682">
      <c r="A682" s="291"/>
      <c r="B682" s="354" t="s">
        <v>2824</v>
      </c>
      <c r="C682" s="304" t="s">
        <v>400</v>
      </c>
      <c r="D682" s="304" t="s">
        <v>2825</v>
      </c>
      <c r="E682" s="209"/>
      <c r="F682" s="209"/>
      <c r="G682" s="209"/>
      <c r="H682" s="209"/>
      <c r="I682" s="209"/>
      <c r="J682" s="300" t="b">
        <v>1</v>
      </c>
      <c r="K682" s="301" t="b">
        <v>0</v>
      </c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  <c r="AI682" s="209"/>
      <c r="AJ682" s="209"/>
      <c r="AK682" s="209"/>
    </row>
    <row r="683">
      <c r="A683" s="291"/>
      <c r="B683" s="303" t="s">
        <v>2826</v>
      </c>
      <c r="C683" s="304" t="s">
        <v>400</v>
      </c>
      <c r="D683" s="304" t="s">
        <v>2827</v>
      </c>
      <c r="E683" s="375">
        <v>8.40472504008E11</v>
      </c>
      <c r="F683" s="209"/>
      <c r="G683" s="209"/>
      <c r="H683" s="209"/>
      <c r="I683" s="209"/>
      <c r="J683" s="300" t="b">
        <v>1</v>
      </c>
      <c r="K683" s="301" t="b">
        <v>0</v>
      </c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  <c r="AI683" s="209"/>
      <c r="AJ683" s="209"/>
      <c r="AK683" s="209"/>
    </row>
    <row r="684">
      <c r="A684" s="291"/>
      <c r="B684" s="303" t="s">
        <v>2828</v>
      </c>
      <c r="C684" s="304" t="s">
        <v>400</v>
      </c>
      <c r="D684" s="304" t="s">
        <v>2829</v>
      </c>
      <c r="E684" s="375">
        <v>8.40472504015E11</v>
      </c>
      <c r="F684" s="209"/>
      <c r="G684" s="209"/>
      <c r="H684" s="209"/>
      <c r="I684" s="209"/>
      <c r="J684" s="300" t="b">
        <v>1</v>
      </c>
      <c r="K684" s="301" t="b">
        <v>0</v>
      </c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  <c r="AI684" s="209"/>
      <c r="AJ684" s="209"/>
      <c r="AK684" s="209"/>
    </row>
    <row r="685">
      <c r="A685" s="309"/>
      <c r="B685" s="310" t="s">
        <v>2830</v>
      </c>
      <c r="C685" s="311" t="s">
        <v>400</v>
      </c>
      <c r="D685" s="311" t="s">
        <v>2831</v>
      </c>
      <c r="E685" s="380">
        <v>8.40472504039E11</v>
      </c>
      <c r="F685" s="313"/>
      <c r="G685" s="313"/>
      <c r="H685" s="313"/>
      <c r="I685" s="313"/>
      <c r="J685" s="300" t="b">
        <v>1</v>
      </c>
      <c r="K685" s="314" t="b">
        <v>0</v>
      </c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  <c r="AK685" s="209"/>
    </row>
    <row r="686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  <c r="AI686" s="209"/>
      <c r="AJ686" s="209"/>
      <c r="AK686" s="209"/>
    </row>
    <row r="687">
      <c r="A687" s="316" t="s">
        <v>2832</v>
      </c>
      <c r="B687" s="319" t="s">
        <v>2833</v>
      </c>
      <c r="C687" s="320"/>
      <c r="D687" s="283" t="s">
        <v>2834</v>
      </c>
      <c r="E687" s="322" t="s">
        <v>2835</v>
      </c>
      <c r="F687" s="320"/>
      <c r="G687" s="320"/>
      <c r="H687" s="285" t="s">
        <v>1847</v>
      </c>
      <c r="I687" s="285" t="s">
        <v>1797</v>
      </c>
      <c r="J687" s="278" t="str">
        <f>IF(COUNTIF(J688:J692, TRUE) = COUNTA(J688:J692), "Complete!", IF(COUNTIF(J688:J692, TRUE) &gt; 0, "Partial", "Not Started"))</f>
        <v>Complete!</v>
      </c>
      <c r="K687" s="279"/>
      <c r="L687" s="280">
        <v>5.0</v>
      </c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  <c r="AI687" s="209"/>
      <c r="AJ687" s="209"/>
      <c r="AK687" s="209"/>
    </row>
    <row r="688">
      <c r="A688" s="291"/>
      <c r="B688" s="292" t="s">
        <v>2836</v>
      </c>
      <c r="C688" s="293" t="s">
        <v>1297</v>
      </c>
      <c r="D688" s="293" t="s">
        <v>2837</v>
      </c>
      <c r="E688" s="294">
        <v>8.4047250378E11</v>
      </c>
      <c r="F688" s="295"/>
      <c r="G688" s="295"/>
      <c r="H688" s="295"/>
      <c r="I688" s="295"/>
      <c r="J688" s="296" t="b">
        <v>1</v>
      </c>
      <c r="K688" s="297" t="b">
        <v>0</v>
      </c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  <c r="AI688" s="209"/>
      <c r="AJ688" s="209"/>
      <c r="AK688" s="209"/>
    </row>
    <row r="689">
      <c r="A689" s="291"/>
      <c r="B689" s="303" t="s">
        <v>2838</v>
      </c>
      <c r="C689" s="304" t="s">
        <v>1303</v>
      </c>
      <c r="D689" s="304" t="s">
        <v>2839</v>
      </c>
      <c r="E689" s="305">
        <v>8.40472503797E11</v>
      </c>
      <c r="F689" s="209"/>
      <c r="G689" s="209"/>
      <c r="H689" s="209"/>
      <c r="I689" s="209"/>
      <c r="J689" s="300" t="b">
        <v>1</v>
      </c>
      <c r="K689" s="301" t="b">
        <v>0</v>
      </c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  <c r="AI689" s="209"/>
      <c r="AJ689" s="209"/>
      <c r="AK689" s="209"/>
    </row>
    <row r="690">
      <c r="A690" s="291"/>
      <c r="B690" s="303" t="s">
        <v>2840</v>
      </c>
      <c r="C690" s="304" t="s">
        <v>1309</v>
      </c>
      <c r="D690" s="304" t="s">
        <v>2841</v>
      </c>
      <c r="E690" s="305">
        <v>8.40472503803E11</v>
      </c>
      <c r="F690" s="209"/>
      <c r="G690" s="209"/>
      <c r="H690" s="209"/>
      <c r="I690" s="209"/>
      <c r="J690" s="300" t="b">
        <v>1</v>
      </c>
      <c r="K690" s="301" t="b">
        <v>0</v>
      </c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  <c r="AI690" s="209"/>
      <c r="AJ690" s="209"/>
      <c r="AK690" s="209"/>
    </row>
    <row r="691">
      <c r="A691" s="291"/>
      <c r="B691" s="303" t="s">
        <v>2842</v>
      </c>
      <c r="C691" s="304" t="s">
        <v>400</v>
      </c>
      <c r="D691" s="304" t="s">
        <v>2843</v>
      </c>
      <c r="E691" s="305">
        <v>8.4047250381E11</v>
      </c>
      <c r="F691" s="304" t="s">
        <v>406</v>
      </c>
      <c r="G691" s="209"/>
      <c r="H691" s="209"/>
      <c r="I691" s="304" t="s">
        <v>2844</v>
      </c>
      <c r="J691" s="300" t="b">
        <v>1</v>
      </c>
      <c r="K691" s="301" t="b">
        <v>1</v>
      </c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  <c r="AI691" s="209"/>
      <c r="AJ691" s="209"/>
      <c r="AK691" s="209"/>
    </row>
    <row r="692">
      <c r="A692" s="309"/>
      <c r="B692" s="310" t="s">
        <v>2845</v>
      </c>
      <c r="C692" s="311" t="s">
        <v>2846</v>
      </c>
      <c r="D692" s="311" t="s">
        <v>2847</v>
      </c>
      <c r="E692" s="312">
        <v>8.40472503827E11</v>
      </c>
      <c r="F692" s="313"/>
      <c r="G692" s="313"/>
      <c r="H692" s="313"/>
      <c r="I692" s="313"/>
      <c r="J692" s="350" t="b">
        <v>1</v>
      </c>
      <c r="K692" s="314" t="b">
        <v>0</v>
      </c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  <c r="AI692" s="209"/>
      <c r="AJ692" s="209"/>
      <c r="AK692" s="209"/>
    </row>
    <row r="693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  <c r="AI693" s="209"/>
      <c r="AJ693" s="209"/>
      <c r="AK693" s="209"/>
    </row>
    <row r="694">
      <c r="A694" s="316" t="s">
        <v>2848</v>
      </c>
      <c r="B694" s="319" t="s">
        <v>2849</v>
      </c>
      <c r="C694" s="320"/>
      <c r="D694" s="283" t="s">
        <v>2850</v>
      </c>
      <c r="E694" s="322" t="s">
        <v>116</v>
      </c>
      <c r="F694" s="320"/>
      <c r="G694" s="320"/>
      <c r="H694" s="276" t="s">
        <v>468</v>
      </c>
      <c r="I694" s="285" t="s">
        <v>2851</v>
      </c>
      <c r="J694" s="278" t="str">
        <f>IF(COUNTIF(J695:J726, TRUE) = COUNTA(J695:J726), "Complete!", IF(COUNTIF(J695:J726, TRUE) &gt; 0, "Partial", "Not Started"))</f>
        <v>Complete!</v>
      </c>
      <c r="K694" s="279"/>
      <c r="L694" s="280">
        <v>32.0</v>
      </c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  <c r="AI694" s="209"/>
      <c r="AJ694" s="209"/>
      <c r="AK694" s="209"/>
    </row>
    <row r="695">
      <c r="A695" s="291"/>
      <c r="B695" s="377" t="s">
        <v>2852</v>
      </c>
      <c r="C695" s="377" t="s">
        <v>659</v>
      </c>
      <c r="D695" s="304" t="s">
        <v>2853</v>
      </c>
      <c r="E695" s="305">
        <v>8.10115975267E11</v>
      </c>
      <c r="F695" s="209"/>
      <c r="G695" s="209"/>
      <c r="H695" s="209"/>
      <c r="I695" s="209"/>
      <c r="J695" s="300" t="b">
        <v>1</v>
      </c>
      <c r="K695" s="301" t="b">
        <v>0</v>
      </c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  <c r="AK695" s="209"/>
    </row>
    <row r="696">
      <c r="A696" s="291"/>
      <c r="B696" s="304" t="s">
        <v>2854</v>
      </c>
      <c r="C696" s="304" t="s">
        <v>659</v>
      </c>
      <c r="D696" s="304" t="s">
        <v>2855</v>
      </c>
      <c r="E696" s="305">
        <v>8.10115975274E11</v>
      </c>
      <c r="F696" s="209"/>
      <c r="G696" s="209"/>
      <c r="H696" s="209"/>
      <c r="I696" s="209"/>
      <c r="J696" s="300" t="b">
        <v>1</v>
      </c>
      <c r="K696" s="301" t="b">
        <v>0</v>
      </c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  <c r="AI696" s="209"/>
      <c r="AJ696" s="209"/>
      <c r="AK696" s="209"/>
    </row>
    <row r="697">
      <c r="A697" s="291"/>
      <c r="B697" s="304" t="s">
        <v>2856</v>
      </c>
      <c r="C697" s="410" t="s">
        <v>659</v>
      </c>
      <c r="D697" s="304" t="s">
        <v>2857</v>
      </c>
      <c r="E697" s="305">
        <v>8.10115975564E11</v>
      </c>
      <c r="F697" s="209"/>
      <c r="G697" s="209"/>
      <c r="H697" s="209"/>
      <c r="I697" s="209"/>
      <c r="J697" s="300" t="b">
        <v>1</v>
      </c>
      <c r="K697" s="301" t="b">
        <v>0</v>
      </c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  <c r="AI697" s="209"/>
      <c r="AJ697" s="209"/>
      <c r="AK697" s="209"/>
    </row>
    <row r="698">
      <c r="A698" s="291"/>
      <c r="B698" s="304" t="s">
        <v>2858</v>
      </c>
      <c r="C698" s="410" t="s">
        <v>659</v>
      </c>
      <c r="D698" s="304" t="s">
        <v>2859</v>
      </c>
      <c r="E698" s="305">
        <v>8.10115975281E11</v>
      </c>
      <c r="F698" s="209"/>
      <c r="G698" s="209"/>
      <c r="H698" s="209"/>
      <c r="I698" s="209"/>
      <c r="J698" s="300" t="b">
        <v>1</v>
      </c>
      <c r="K698" s="301" t="b">
        <v>0</v>
      </c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  <c r="AI698" s="209"/>
      <c r="AJ698" s="209"/>
      <c r="AK698" s="209"/>
    </row>
    <row r="699">
      <c r="A699" s="291"/>
      <c r="B699" s="304" t="s">
        <v>2860</v>
      </c>
      <c r="C699" s="304" t="s">
        <v>2861</v>
      </c>
      <c r="D699" s="304" t="s">
        <v>2862</v>
      </c>
      <c r="E699" s="305">
        <v>8.10115974567E11</v>
      </c>
      <c r="F699" s="209"/>
      <c r="G699" s="209"/>
      <c r="H699" s="209"/>
      <c r="I699" s="209"/>
      <c r="J699" s="300" t="b">
        <v>1</v>
      </c>
      <c r="K699" s="301" t="b">
        <v>0</v>
      </c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  <c r="AI699" s="209"/>
      <c r="AJ699" s="209"/>
      <c r="AK699" s="209"/>
    </row>
    <row r="700">
      <c r="A700" s="291"/>
      <c r="B700" s="304" t="s">
        <v>2863</v>
      </c>
      <c r="C700" s="304" t="s">
        <v>2861</v>
      </c>
      <c r="D700" s="304" t="s">
        <v>2864</v>
      </c>
      <c r="E700" s="375" t="s">
        <v>2865</v>
      </c>
      <c r="F700" s="209"/>
      <c r="G700" s="209"/>
      <c r="H700" s="209"/>
      <c r="I700" s="209"/>
      <c r="J700" s="300" t="b">
        <v>1</v>
      </c>
      <c r="K700" s="301" t="b">
        <v>0</v>
      </c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  <c r="AK700" s="209"/>
    </row>
    <row r="701">
      <c r="A701" s="291"/>
      <c r="B701" s="304" t="s">
        <v>2866</v>
      </c>
      <c r="C701" s="304" t="s">
        <v>2861</v>
      </c>
      <c r="D701" s="304" t="s">
        <v>2867</v>
      </c>
      <c r="E701" s="375" t="s">
        <v>2868</v>
      </c>
      <c r="F701" s="209"/>
      <c r="G701" s="209"/>
      <c r="H701" s="209"/>
      <c r="I701" s="209"/>
      <c r="J701" s="300" t="b">
        <v>1</v>
      </c>
      <c r="K701" s="301" t="b">
        <v>0</v>
      </c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  <c r="AI701" s="209"/>
      <c r="AJ701" s="209"/>
      <c r="AK701" s="209"/>
    </row>
    <row r="702">
      <c r="A702" s="291"/>
      <c r="B702" s="304" t="s">
        <v>2869</v>
      </c>
      <c r="C702" s="304" t="s">
        <v>2861</v>
      </c>
      <c r="D702" s="304" t="s">
        <v>2870</v>
      </c>
      <c r="E702" s="305">
        <v>8.10115974581E11</v>
      </c>
      <c r="F702" s="209"/>
      <c r="G702" s="209"/>
      <c r="H702" s="209"/>
      <c r="I702" s="209"/>
      <c r="J702" s="300" t="b">
        <v>1</v>
      </c>
      <c r="K702" s="301" t="b">
        <v>0</v>
      </c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  <c r="AI702" s="209"/>
      <c r="AJ702" s="209"/>
      <c r="AK702" s="209"/>
    </row>
    <row r="703">
      <c r="A703" s="291"/>
      <c r="B703" s="377" t="s">
        <v>2871</v>
      </c>
      <c r="C703" s="377" t="s">
        <v>813</v>
      </c>
      <c r="D703" s="304" t="s">
        <v>2872</v>
      </c>
      <c r="E703" s="305">
        <v>8.10115975113E11</v>
      </c>
      <c r="F703" s="209"/>
      <c r="G703" s="209"/>
      <c r="H703" s="209"/>
      <c r="I703" s="209"/>
      <c r="J703" s="300" t="b">
        <v>1</v>
      </c>
      <c r="K703" s="301" t="b">
        <v>0</v>
      </c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  <c r="AI703" s="209"/>
      <c r="AJ703" s="209"/>
      <c r="AK703" s="209"/>
    </row>
    <row r="704">
      <c r="A704" s="291"/>
      <c r="B704" s="304" t="s">
        <v>2873</v>
      </c>
      <c r="C704" s="377" t="s">
        <v>813</v>
      </c>
      <c r="D704" s="304" t="s">
        <v>2874</v>
      </c>
      <c r="E704" s="305">
        <v>8.1011597512E11</v>
      </c>
      <c r="F704" s="209"/>
      <c r="G704" s="209"/>
      <c r="H704" s="209"/>
      <c r="I704" s="209"/>
      <c r="J704" s="300" t="b">
        <v>1</v>
      </c>
      <c r="K704" s="301" t="b">
        <v>0</v>
      </c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  <c r="AI704" s="209"/>
      <c r="AJ704" s="209"/>
      <c r="AK704" s="209"/>
    </row>
    <row r="705">
      <c r="A705" s="291"/>
      <c r="B705" s="304" t="s">
        <v>2875</v>
      </c>
      <c r="C705" s="377" t="s">
        <v>813</v>
      </c>
      <c r="D705" s="304" t="s">
        <v>2876</v>
      </c>
      <c r="E705" s="305">
        <v>8.10115975519E11</v>
      </c>
      <c r="F705" s="209"/>
      <c r="G705" s="209"/>
      <c r="H705" s="209"/>
      <c r="I705" s="209"/>
      <c r="J705" s="300" t="b">
        <v>1</v>
      </c>
      <c r="K705" s="301" t="b">
        <v>0</v>
      </c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  <c r="AK705" s="209"/>
    </row>
    <row r="706">
      <c r="A706" s="291"/>
      <c r="B706" s="304" t="s">
        <v>2877</v>
      </c>
      <c r="C706" s="377" t="s">
        <v>813</v>
      </c>
      <c r="D706" s="304" t="s">
        <v>2878</v>
      </c>
      <c r="E706" s="305">
        <v>8.10115975137E11</v>
      </c>
      <c r="F706" s="209"/>
      <c r="G706" s="209"/>
      <c r="H706" s="209"/>
      <c r="I706" s="209"/>
      <c r="J706" s="300" t="b">
        <v>1</v>
      </c>
      <c r="K706" s="301" t="b">
        <v>0</v>
      </c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  <c r="AI706" s="209"/>
      <c r="AJ706" s="209"/>
      <c r="AK706" s="209"/>
    </row>
    <row r="707">
      <c r="A707" s="291"/>
      <c r="B707" s="377" t="s">
        <v>2879</v>
      </c>
      <c r="C707" s="377" t="s">
        <v>2880</v>
      </c>
      <c r="D707" s="304" t="s">
        <v>2881</v>
      </c>
      <c r="E707" s="305">
        <v>8.10115974659E11</v>
      </c>
      <c r="F707" s="209"/>
      <c r="G707" s="209"/>
      <c r="H707" s="209"/>
      <c r="I707" s="209"/>
      <c r="J707" s="300" t="b">
        <v>1</v>
      </c>
      <c r="K707" s="301" t="b">
        <v>0</v>
      </c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  <c r="AI707" s="209"/>
      <c r="AJ707" s="209"/>
      <c r="AK707" s="209"/>
    </row>
    <row r="708">
      <c r="A708" s="291"/>
      <c r="B708" s="304" t="s">
        <v>2882</v>
      </c>
      <c r="C708" s="410" t="s">
        <v>2880</v>
      </c>
      <c r="D708" s="304" t="s">
        <v>2883</v>
      </c>
      <c r="E708" s="305">
        <v>8.10115974666E11</v>
      </c>
      <c r="F708" s="209"/>
      <c r="G708" s="209"/>
      <c r="H708" s="209"/>
      <c r="I708" s="209"/>
      <c r="J708" s="300" t="b">
        <v>1</v>
      </c>
      <c r="K708" s="301" t="b">
        <v>0</v>
      </c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  <c r="AI708" s="209"/>
      <c r="AJ708" s="209"/>
      <c r="AK708" s="209"/>
    </row>
    <row r="709">
      <c r="A709" s="291"/>
      <c r="B709" s="304" t="s">
        <v>2884</v>
      </c>
      <c r="C709" s="410" t="s">
        <v>2880</v>
      </c>
      <c r="D709" s="304" t="s">
        <v>2885</v>
      </c>
      <c r="E709" s="305">
        <v>8.10115975373E11</v>
      </c>
      <c r="F709" s="209"/>
      <c r="G709" s="209"/>
      <c r="H709" s="209"/>
      <c r="I709" s="209"/>
      <c r="J709" s="300" t="b">
        <v>1</v>
      </c>
      <c r="K709" s="301" t="b">
        <v>0</v>
      </c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  <c r="AI709" s="209"/>
      <c r="AJ709" s="209"/>
      <c r="AK709" s="209"/>
    </row>
    <row r="710">
      <c r="A710" s="291"/>
      <c r="B710" s="422" t="s">
        <v>2886</v>
      </c>
      <c r="C710" s="410" t="s">
        <v>2880</v>
      </c>
      <c r="D710" s="304" t="s">
        <v>2887</v>
      </c>
      <c r="E710" s="305">
        <v>8.10115974673E11</v>
      </c>
      <c r="F710" s="209"/>
      <c r="G710" s="209"/>
      <c r="H710" s="209"/>
      <c r="I710" s="209"/>
      <c r="J710" s="300" t="b">
        <v>1</v>
      </c>
      <c r="K710" s="301" t="b">
        <v>0</v>
      </c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  <c r="AK710" s="209"/>
    </row>
    <row r="711">
      <c r="A711" s="291"/>
      <c r="B711" s="377" t="s">
        <v>2888</v>
      </c>
      <c r="C711" s="377" t="s">
        <v>2889</v>
      </c>
      <c r="D711" s="304" t="s">
        <v>2890</v>
      </c>
      <c r="E711" s="305">
        <v>8.1011597864E11</v>
      </c>
      <c r="F711" s="209"/>
      <c r="G711" s="209"/>
      <c r="H711" s="209"/>
      <c r="I711" s="209"/>
      <c r="J711" s="300" t="b">
        <v>1</v>
      </c>
      <c r="K711" s="301" t="b">
        <v>0</v>
      </c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  <c r="AI711" s="209"/>
      <c r="AJ711" s="209"/>
      <c r="AK711" s="209"/>
    </row>
    <row r="712">
      <c r="A712" s="291"/>
      <c r="B712" s="377" t="s">
        <v>2891</v>
      </c>
      <c r="C712" s="410" t="s">
        <v>2889</v>
      </c>
      <c r="D712" s="304" t="s">
        <v>2892</v>
      </c>
      <c r="E712" s="395">
        <v>8.10115978756E11</v>
      </c>
      <c r="F712" s="209"/>
      <c r="G712" s="209"/>
      <c r="H712" s="209"/>
      <c r="I712" s="209"/>
      <c r="J712" s="300" t="b">
        <v>1</v>
      </c>
      <c r="K712" s="301" t="b">
        <v>0</v>
      </c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  <c r="AI712" s="209"/>
      <c r="AJ712" s="209"/>
      <c r="AK712" s="209"/>
    </row>
    <row r="713">
      <c r="A713" s="291"/>
      <c r="B713" s="304" t="s">
        <v>2893</v>
      </c>
      <c r="C713" s="410" t="s">
        <v>2889</v>
      </c>
      <c r="D713" s="304" t="s">
        <v>2894</v>
      </c>
      <c r="E713" s="305">
        <v>8.1011597707E11</v>
      </c>
      <c r="F713" s="209"/>
      <c r="G713" s="209"/>
      <c r="H713" s="209"/>
      <c r="I713" s="209"/>
      <c r="J713" s="300" t="b">
        <v>1</v>
      </c>
      <c r="K713" s="301" t="b">
        <v>0</v>
      </c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  <c r="AI713" s="209"/>
      <c r="AJ713" s="209"/>
      <c r="AK713" s="209"/>
    </row>
    <row r="714">
      <c r="A714" s="291"/>
      <c r="B714" s="377" t="s">
        <v>2895</v>
      </c>
      <c r="C714" s="410" t="s">
        <v>2889</v>
      </c>
      <c r="D714" s="304" t="s">
        <v>2896</v>
      </c>
      <c r="E714" s="395">
        <v>8.10115978657E11</v>
      </c>
      <c r="F714" s="209"/>
      <c r="G714" s="209"/>
      <c r="H714" s="209"/>
      <c r="I714" s="209"/>
      <c r="J714" s="300" t="b">
        <v>1</v>
      </c>
      <c r="K714" s="301" t="b">
        <v>0</v>
      </c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  <c r="AI714" s="209"/>
      <c r="AJ714" s="209"/>
      <c r="AK714" s="209"/>
    </row>
    <row r="715">
      <c r="A715" s="291"/>
      <c r="B715" s="377" t="s">
        <v>2897</v>
      </c>
      <c r="C715" s="410" t="s">
        <v>775</v>
      </c>
      <c r="D715" s="304" t="s">
        <v>2898</v>
      </c>
      <c r="E715" s="305">
        <v>8.10115978664E11</v>
      </c>
      <c r="F715" s="209"/>
      <c r="G715" s="209"/>
      <c r="H715" s="209"/>
      <c r="I715" s="209"/>
      <c r="J715" s="300" t="b">
        <v>1</v>
      </c>
      <c r="K715" s="301" t="b">
        <v>0</v>
      </c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  <c r="AI715" s="209"/>
      <c r="AJ715" s="209"/>
      <c r="AK715" s="209"/>
    </row>
    <row r="716">
      <c r="A716" s="291"/>
      <c r="B716" s="304" t="s">
        <v>2899</v>
      </c>
      <c r="C716" s="410" t="s">
        <v>775</v>
      </c>
      <c r="D716" s="304" t="s">
        <v>2900</v>
      </c>
      <c r="E716" s="375">
        <v>8.10115978763E11</v>
      </c>
      <c r="F716" s="209"/>
      <c r="G716" s="209"/>
      <c r="H716" s="209"/>
      <c r="I716" s="209"/>
      <c r="J716" s="300" t="b">
        <v>1</v>
      </c>
      <c r="K716" s="301" t="b">
        <v>0</v>
      </c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  <c r="AI716" s="209"/>
      <c r="AJ716" s="209"/>
      <c r="AK716" s="209"/>
    </row>
    <row r="717">
      <c r="A717" s="291"/>
      <c r="B717" s="304" t="s">
        <v>2901</v>
      </c>
      <c r="C717" s="410" t="s">
        <v>775</v>
      </c>
      <c r="D717" s="304" t="s">
        <v>2902</v>
      </c>
      <c r="E717" s="375">
        <v>8.10115977087E11</v>
      </c>
      <c r="F717" s="209"/>
      <c r="G717" s="209"/>
      <c r="H717" s="209"/>
      <c r="I717" s="209"/>
      <c r="J717" s="300" t="b">
        <v>1</v>
      </c>
      <c r="K717" s="301" t="b">
        <v>0</v>
      </c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  <c r="AI717" s="209"/>
      <c r="AJ717" s="209"/>
      <c r="AK717" s="209"/>
    </row>
    <row r="718">
      <c r="A718" s="291"/>
      <c r="B718" s="304" t="s">
        <v>2903</v>
      </c>
      <c r="C718" s="410" t="s">
        <v>775</v>
      </c>
      <c r="D718" s="304" t="s">
        <v>2904</v>
      </c>
      <c r="E718" s="305">
        <v>8.10115978671E11</v>
      </c>
      <c r="F718" s="209"/>
      <c r="G718" s="209"/>
      <c r="H718" s="209"/>
      <c r="I718" s="209"/>
      <c r="J718" s="300" t="b">
        <v>1</v>
      </c>
      <c r="K718" s="301" t="b">
        <v>0</v>
      </c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  <c r="AI718" s="209"/>
      <c r="AJ718" s="209"/>
      <c r="AK718" s="209"/>
    </row>
    <row r="719">
      <c r="A719" s="291"/>
      <c r="B719" s="377" t="s">
        <v>2905</v>
      </c>
      <c r="C719" s="410" t="s">
        <v>2906</v>
      </c>
      <c r="D719" s="304" t="s">
        <v>2907</v>
      </c>
      <c r="E719" s="305">
        <v>8.10115975014E11</v>
      </c>
      <c r="F719" s="209"/>
      <c r="G719" s="209"/>
      <c r="H719" s="209"/>
      <c r="I719" s="209"/>
      <c r="J719" s="300" t="b">
        <v>1</v>
      </c>
      <c r="K719" s="301" t="b">
        <v>0</v>
      </c>
      <c r="L719" s="344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  <c r="AI719" s="209"/>
      <c r="AJ719" s="209"/>
      <c r="AK719" s="209"/>
    </row>
    <row r="720">
      <c r="A720" s="291"/>
      <c r="B720" s="304" t="s">
        <v>2908</v>
      </c>
      <c r="C720" s="410" t="s">
        <v>2906</v>
      </c>
      <c r="D720" s="304" t="s">
        <v>2909</v>
      </c>
      <c r="E720" s="305">
        <v>8.10115975021E11</v>
      </c>
      <c r="F720" s="209"/>
      <c r="G720" s="209"/>
      <c r="H720" s="209"/>
      <c r="I720" s="209"/>
      <c r="J720" s="300" t="b">
        <v>1</v>
      </c>
      <c r="K720" s="301" t="b">
        <v>0</v>
      </c>
      <c r="L720" s="344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  <c r="AI720" s="209"/>
      <c r="AJ720" s="209"/>
      <c r="AK720" s="209"/>
    </row>
    <row r="721">
      <c r="A721" s="291"/>
      <c r="B721" s="304" t="s">
        <v>2910</v>
      </c>
      <c r="C721" s="410" t="s">
        <v>2906</v>
      </c>
      <c r="D721" s="304" t="s">
        <v>2911</v>
      </c>
      <c r="E721" s="305">
        <v>8.10115975496E11</v>
      </c>
      <c r="F721" s="209"/>
      <c r="G721" s="209"/>
      <c r="H721" s="209"/>
      <c r="I721" s="209"/>
      <c r="J721" s="300" t="b">
        <v>1</v>
      </c>
      <c r="K721" s="301" t="b">
        <v>0</v>
      </c>
      <c r="L721" s="344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  <c r="AI721" s="209"/>
      <c r="AJ721" s="209"/>
      <c r="AK721" s="209"/>
    </row>
    <row r="722">
      <c r="A722" s="291"/>
      <c r="B722" s="304" t="s">
        <v>2912</v>
      </c>
      <c r="C722" s="410" t="s">
        <v>2906</v>
      </c>
      <c r="D722" s="304" t="s">
        <v>2913</v>
      </c>
      <c r="E722" s="305">
        <v>8.10115975038E11</v>
      </c>
      <c r="F722" s="209"/>
      <c r="G722" s="209"/>
      <c r="H722" s="209"/>
      <c r="I722" s="209"/>
      <c r="J722" s="300" t="b">
        <v>1</v>
      </c>
      <c r="K722" s="301" t="b">
        <v>0</v>
      </c>
      <c r="L722" s="344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  <c r="AI722" s="209"/>
      <c r="AJ722" s="209"/>
      <c r="AK722" s="209"/>
    </row>
    <row r="723">
      <c r="A723" s="291"/>
      <c r="B723" s="304" t="s">
        <v>2914</v>
      </c>
      <c r="C723" s="410" t="s">
        <v>2915</v>
      </c>
      <c r="D723" s="304" t="s">
        <v>2916</v>
      </c>
      <c r="E723" s="305">
        <v>8.10115978688E11</v>
      </c>
      <c r="F723" s="209"/>
      <c r="G723" s="209"/>
      <c r="H723" s="209"/>
      <c r="I723" s="209"/>
      <c r="J723" s="300" t="b">
        <v>1</v>
      </c>
      <c r="K723" s="301" t="b">
        <v>0</v>
      </c>
      <c r="L723" s="344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  <c r="AI723" s="209"/>
      <c r="AJ723" s="209"/>
      <c r="AK723" s="209"/>
    </row>
    <row r="724">
      <c r="A724" s="291"/>
      <c r="B724" s="304" t="s">
        <v>2917</v>
      </c>
      <c r="C724" s="410" t="s">
        <v>2915</v>
      </c>
      <c r="D724" s="304" t="s">
        <v>2918</v>
      </c>
      <c r="E724" s="305">
        <v>8.1011597877E11</v>
      </c>
      <c r="F724" s="209"/>
      <c r="G724" s="209"/>
      <c r="H724" s="209"/>
      <c r="I724" s="209"/>
      <c r="J724" s="300" t="b">
        <v>1</v>
      </c>
      <c r="K724" s="301" t="b">
        <v>0</v>
      </c>
      <c r="L724" s="344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  <c r="AI724" s="209"/>
      <c r="AJ724" s="209"/>
      <c r="AK724" s="209"/>
    </row>
    <row r="725">
      <c r="A725" s="291"/>
      <c r="B725" s="304" t="s">
        <v>2919</v>
      </c>
      <c r="C725" s="410" t="s">
        <v>2915</v>
      </c>
      <c r="D725" s="304" t="s">
        <v>2920</v>
      </c>
      <c r="E725" s="305">
        <v>8.101159771E11</v>
      </c>
      <c r="F725" s="209"/>
      <c r="G725" s="209"/>
      <c r="H725" s="209"/>
      <c r="I725" s="209"/>
      <c r="J725" s="300" t="b">
        <v>1</v>
      </c>
      <c r="K725" s="301" t="b">
        <v>0</v>
      </c>
      <c r="L725" s="344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  <c r="AI725" s="209"/>
      <c r="AJ725" s="209"/>
      <c r="AK725" s="209"/>
    </row>
    <row r="726">
      <c r="A726" s="309"/>
      <c r="B726" s="311" t="s">
        <v>2921</v>
      </c>
      <c r="C726" s="423" t="s">
        <v>2915</v>
      </c>
      <c r="D726" s="311" t="s">
        <v>2922</v>
      </c>
      <c r="E726" s="312">
        <v>8.10115978695E11</v>
      </c>
      <c r="F726" s="313"/>
      <c r="G726" s="313"/>
      <c r="H726" s="313"/>
      <c r="I726" s="313"/>
      <c r="J726" s="300" t="b">
        <v>1</v>
      </c>
      <c r="K726" s="314" t="b">
        <v>0</v>
      </c>
      <c r="L726" s="344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  <c r="AI726" s="209"/>
      <c r="AJ726" s="209"/>
      <c r="AK726" s="209"/>
    </row>
    <row r="727">
      <c r="A727" s="344"/>
      <c r="B727" s="344"/>
      <c r="C727" s="344"/>
      <c r="D727" s="344"/>
      <c r="E727" s="344"/>
      <c r="F727" s="344"/>
      <c r="G727" s="344"/>
      <c r="H727" s="344"/>
      <c r="I727" s="209"/>
      <c r="J727" s="344"/>
      <c r="K727" s="344"/>
      <c r="L727" s="344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  <c r="AI727" s="209"/>
      <c r="AJ727" s="209"/>
      <c r="AK727" s="209"/>
    </row>
    <row r="728">
      <c r="A728" s="316" t="s">
        <v>2923</v>
      </c>
      <c r="B728" s="319" t="s">
        <v>2924</v>
      </c>
      <c r="C728" s="320"/>
      <c r="D728" s="283" t="s">
        <v>2925</v>
      </c>
      <c r="E728" s="322" t="s">
        <v>116</v>
      </c>
      <c r="F728" s="320"/>
      <c r="G728" s="320"/>
      <c r="H728" s="276" t="s">
        <v>2803</v>
      </c>
      <c r="I728" s="285" t="s">
        <v>2926</v>
      </c>
      <c r="J728" s="278" t="str">
        <f>IF(COUNTIF(J729:J760, TRUE) = COUNTA(J729:J760), "Complete!", IF(COUNTIF(J729:J760, TRUE) &gt; 0, "Partial", "Not Started"))</f>
        <v>Complete!</v>
      </c>
      <c r="K728" s="279"/>
      <c r="L728" s="280">
        <v>32.0</v>
      </c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  <c r="AI728" s="209"/>
      <c r="AJ728" s="209"/>
      <c r="AK728" s="209"/>
    </row>
    <row r="729">
      <c r="A729" s="291"/>
      <c r="B729" s="377" t="s">
        <v>2927</v>
      </c>
      <c r="C729" s="377" t="s">
        <v>1134</v>
      </c>
      <c r="D729" s="304" t="s">
        <v>2928</v>
      </c>
      <c r="E729" s="305">
        <v>8.10115978701E11</v>
      </c>
      <c r="F729" s="209"/>
      <c r="G729" s="209"/>
      <c r="H729" s="209"/>
      <c r="I729" s="209"/>
      <c r="J729" s="300" t="b">
        <v>1</v>
      </c>
      <c r="K729" s="301" t="b">
        <v>0</v>
      </c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325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  <c r="AI729" s="209"/>
      <c r="AJ729" s="209"/>
      <c r="AK729" s="209"/>
    </row>
    <row r="730">
      <c r="A730" s="291"/>
      <c r="B730" s="304" t="s">
        <v>2929</v>
      </c>
      <c r="C730" s="304" t="s">
        <v>685</v>
      </c>
      <c r="D730" s="304" t="s">
        <v>2930</v>
      </c>
      <c r="E730" s="305">
        <v>8.10115978787E11</v>
      </c>
      <c r="F730" s="209"/>
      <c r="G730" s="209"/>
      <c r="H730" s="209"/>
      <c r="I730" s="209"/>
      <c r="J730" s="300" t="b">
        <v>1</v>
      </c>
      <c r="K730" s="301" t="b">
        <v>0</v>
      </c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325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  <c r="AI730" s="209"/>
      <c r="AJ730" s="209"/>
      <c r="AK730" s="209"/>
    </row>
    <row r="731">
      <c r="A731" s="291"/>
      <c r="B731" s="304" t="s">
        <v>2931</v>
      </c>
      <c r="C731" s="410" t="s">
        <v>685</v>
      </c>
      <c r="D731" s="304" t="s">
        <v>2932</v>
      </c>
      <c r="E731" s="305">
        <v>8.10115977049E11</v>
      </c>
      <c r="F731" s="209"/>
      <c r="G731" s="209"/>
      <c r="H731" s="209"/>
      <c r="I731" s="209"/>
      <c r="J731" s="300" t="b">
        <v>1</v>
      </c>
      <c r="K731" s="301" t="b">
        <v>0</v>
      </c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  <c r="AI731" s="209"/>
      <c r="AJ731" s="209"/>
      <c r="AK731" s="209"/>
    </row>
    <row r="732">
      <c r="A732" s="291"/>
      <c r="B732" s="304" t="s">
        <v>2933</v>
      </c>
      <c r="C732" s="410" t="s">
        <v>685</v>
      </c>
      <c r="D732" s="304" t="s">
        <v>2934</v>
      </c>
      <c r="E732" s="305">
        <v>8.10115978718E11</v>
      </c>
      <c r="F732" s="209"/>
      <c r="G732" s="209"/>
      <c r="H732" s="209"/>
      <c r="I732" s="209"/>
      <c r="J732" s="300" t="b">
        <v>1</v>
      </c>
      <c r="K732" s="301" t="b">
        <v>0</v>
      </c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  <c r="AI732" s="209"/>
      <c r="AJ732" s="209"/>
      <c r="AK732" s="209"/>
    </row>
    <row r="733">
      <c r="A733" s="291"/>
      <c r="B733" s="304" t="s">
        <v>2935</v>
      </c>
      <c r="C733" s="304" t="s">
        <v>2936</v>
      </c>
      <c r="D733" s="304" t="s">
        <v>2937</v>
      </c>
      <c r="E733" s="305">
        <v>8.10115974536E11</v>
      </c>
      <c r="F733" s="209"/>
      <c r="G733" s="209"/>
      <c r="H733" s="209"/>
      <c r="I733" s="209"/>
      <c r="J733" s="300" t="b">
        <v>1</v>
      </c>
      <c r="K733" s="301" t="b">
        <v>0</v>
      </c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  <c r="AI733" s="209"/>
      <c r="AJ733" s="209"/>
      <c r="AK733" s="209"/>
    </row>
    <row r="734">
      <c r="A734" s="291"/>
      <c r="B734" s="377" t="s">
        <v>2938</v>
      </c>
      <c r="C734" s="377" t="s">
        <v>2936</v>
      </c>
      <c r="D734" s="304" t="s">
        <v>2939</v>
      </c>
      <c r="E734" s="395">
        <v>8.10115974543E11</v>
      </c>
      <c r="F734" s="209"/>
      <c r="G734" s="209"/>
      <c r="H734" s="209"/>
      <c r="I734" s="209"/>
      <c r="J734" s="300" t="b">
        <v>1</v>
      </c>
      <c r="K734" s="301" t="b">
        <v>0</v>
      </c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  <c r="AI734" s="209"/>
      <c r="AJ734" s="209"/>
      <c r="AK734" s="209"/>
    </row>
    <row r="735">
      <c r="A735" s="291"/>
      <c r="B735" s="377" t="s">
        <v>2940</v>
      </c>
      <c r="C735" s="377" t="s">
        <v>2936</v>
      </c>
      <c r="D735" s="304" t="s">
        <v>2941</v>
      </c>
      <c r="E735" s="395">
        <v>8.10115975335E11</v>
      </c>
      <c r="F735" s="209"/>
      <c r="G735" s="209"/>
      <c r="H735" s="209"/>
      <c r="I735" s="209"/>
      <c r="J735" s="300" t="b">
        <v>1</v>
      </c>
      <c r="K735" s="301" t="b">
        <v>0</v>
      </c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  <c r="AI735" s="209"/>
      <c r="AJ735" s="209"/>
      <c r="AK735" s="209"/>
    </row>
    <row r="736">
      <c r="A736" s="291"/>
      <c r="B736" s="377" t="s">
        <v>2942</v>
      </c>
      <c r="C736" s="377" t="s">
        <v>2936</v>
      </c>
      <c r="D736" s="304" t="s">
        <v>2943</v>
      </c>
      <c r="E736" s="395">
        <v>8.1011597455E11</v>
      </c>
      <c r="F736" s="209"/>
      <c r="G736" s="209"/>
      <c r="H736" s="209"/>
      <c r="I736" s="209"/>
      <c r="J736" s="300" t="b">
        <v>1</v>
      </c>
      <c r="K736" s="301" t="b">
        <v>0</v>
      </c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  <c r="AI736" s="209"/>
      <c r="AJ736" s="209"/>
      <c r="AK736" s="209"/>
    </row>
    <row r="737">
      <c r="A737" s="291"/>
      <c r="B737" s="377" t="s">
        <v>2944</v>
      </c>
      <c r="C737" s="377" t="s">
        <v>588</v>
      </c>
      <c r="D737" s="304" t="s">
        <v>2945</v>
      </c>
      <c r="E737" s="305">
        <v>8.10115978732E11</v>
      </c>
      <c r="F737" s="209"/>
      <c r="G737" s="209"/>
      <c r="H737" s="209"/>
      <c r="I737" s="209"/>
      <c r="J737" s="300" t="b">
        <v>1</v>
      </c>
      <c r="K737" s="301" t="b">
        <v>0</v>
      </c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  <c r="AI737" s="209"/>
      <c r="AJ737" s="209"/>
      <c r="AK737" s="209"/>
    </row>
    <row r="738">
      <c r="A738" s="291"/>
      <c r="B738" s="304" t="s">
        <v>2946</v>
      </c>
      <c r="C738" s="304" t="s">
        <v>588</v>
      </c>
      <c r="D738" s="304" t="s">
        <v>2947</v>
      </c>
      <c r="E738" s="305">
        <v>8.10115978794E11</v>
      </c>
      <c r="F738" s="209"/>
      <c r="G738" s="209"/>
      <c r="H738" s="209"/>
      <c r="I738" s="209"/>
      <c r="J738" s="300" t="b">
        <v>1</v>
      </c>
      <c r="K738" s="301" t="b">
        <v>0</v>
      </c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  <c r="AI738" s="209"/>
      <c r="AJ738" s="209"/>
      <c r="AK738" s="209"/>
    </row>
    <row r="739">
      <c r="A739" s="291"/>
      <c r="B739" s="377" t="s">
        <v>2948</v>
      </c>
      <c r="C739" s="410" t="s">
        <v>588</v>
      </c>
      <c r="D739" s="304" t="s">
        <v>2949</v>
      </c>
      <c r="E739" s="395">
        <v>8.10115977056E11</v>
      </c>
      <c r="F739" s="209"/>
      <c r="G739" s="209"/>
      <c r="H739" s="209"/>
      <c r="I739" s="209"/>
      <c r="J739" s="300" t="b">
        <v>1</v>
      </c>
      <c r="K739" s="301" t="b">
        <v>0</v>
      </c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  <c r="AI739" s="209"/>
      <c r="AJ739" s="209"/>
      <c r="AK739" s="209"/>
    </row>
    <row r="740">
      <c r="A740" s="291"/>
      <c r="B740" s="377" t="s">
        <v>2950</v>
      </c>
      <c r="C740" s="410" t="s">
        <v>588</v>
      </c>
      <c r="D740" s="304" t="s">
        <v>2951</v>
      </c>
      <c r="E740" s="395">
        <v>8.10115978725E11</v>
      </c>
      <c r="F740" s="209"/>
      <c r="G740" s="209"/>
      <c r="H740" s="209"/>
      <c r="I740" s="209"/>
      <c r="J740" s="300" t="b">
        <v>1</v>
      </c>
      <c r="K740" s="301" t="b">
        <v>0</v>
      </c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  <c r="AI740" s="209"/>
      <c r="AJ740" s="209"/>
      <c r="AK740" s="209"/>
    </row>
    <row r="741">
      <c r="A741" s="291"/>
      <c r="B741" s="377" t="s">
        <v>2952</v>
      </c>
      <c r="C741" s="410" t="s">
        <v>944</v>
      </c>
      <c r="D741" s="304" t="s">
        <v>2953</v>
      </c>
      <c r="E741" s="305">
        <v>8.10115978626E11</v>
      </c>
      <c r="F741" s="304" t="s">
        <v>2954</v>
      </c>
      <c r="G741" s="209"/>
      <c r="H741" s="209"/>
      <c r="I741" s="209"/>
      <c r="J741" s="300" t="b">
        <v>1</v>
      </c>
      <c r="K741" s="301" t="b">
        <v>0</v>
      </c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325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  <c r="AI741" s="209"/>
      <c r="AJ741" s="209"/>
      <c r="AK741" s="209"/>
    </row>
    <row r="742">
      <c r="A742" s="291"/>
      <c r="B742" s="377" t="s">
        <v>2955</v>
      </c>
      <c r="C742" s="410" t="s">
        <v>944</v>
      </c>
      <c r="D742" s="304" t="s">
        <v>2956</v>
      </c>
      <c r="E742" s="395">
        <v>8.10115978749E11</v>
      </c>
      <c r="F742" s="209"/>
      <c r="G742" s="209"/>
      <c r="H742" s="209"/>
      <c r="I742" s="209"/>
      <c r="J742" s="300" t="b">
        <v>1</v>
      </c>
      <c r="K742" s="301" t="b">
        <v>0</v>
      </c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325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  <c r="AI742" s="209"/>
      <c r="AJ742" s="209"/>
      <c r="AK742" s="209"/>
    </row>
    <row r="743">
      <c r="A743" s="291"/>
      <c r="B743" s="377" t="s">
        <v>2957</v>
      </c>
      <c r="C743" s="410" t="s">
        <v>944</v>
      </c>
      <c r="D743" s="304" t="s">
        <v>2958</v>
      </c>
      <c r="E743" s="395">
        <v>8.10115977063E11</v>
      </c>
      <c r="F743" s="209"/>
      <c r="G743" s="209"/>
      <c r="H743" s="209"/>
      <c r="I743" s="209"/>
      <c r="J743" s="300" t="b">
        <v>1</v>
      </c>
      <c r="K743" s="301" t="b">
        <v>0</v>
      </c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  <c r="AH743" s="209"/>
      <c r="AI743" s="209"/>
      <c r="AJ743" s="209"/>
      <c r="AK743" s="209"/>
    </row>
    <row r="744">
      <c r="A744" s="291"/>
      <c r="B744" s="424" t="s">
        <v>2959</v>
      </c>
      <c r="C744" s="410" t="s">
        <v>944</v>
      </c>
      <c r="D744" s="304" t="s">
        <v>2960</v>
      </c>
      <c r="E744" s="395">
        <v>8.10115978633E11</v>
      </c>
      <c r="F744" s="209"/>
      <c r="G744" s="209"/>
      <c r="H744" s="209"/>
      <c r="I744" s="209"/>
      <c r="J744" s="300" t="b">
        <v>1</v>
      </c>
      <c r="K744" s="301" t="b">
        <v>0</v>
      </c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  <c r="AH744" s="209"/>
      <c r="AI744" s="209"/>
      <c r="AJ744" s="209"/>
      <c r="AK744" s="209"/>
    </row>
    <row r="745">
      <c r="A745" s="291"/>
      <c r="B745" s="377" t="s">
        <v>2961</v>
      </c>
      <c r="C745" s="410" t="s">
        <v>2005</v>
      </c>
      <c r="D745" s="304" t="s">
        <v>2962</v>
      </c>
      <c r="E745" s="305">
        <v>8.10115974505E11</v>
      </c>
      <c r="F745" s="209"/>
      <c r="G745" s="209"/>
      <c r="H745" s="209"/>
      <c r="I745" s="209"/>
      <c r="J745" s="300" t="b">
        <v>1</v>
      </c>
      <c r="K745" s="301" t="b">
        <v>0</v>
      </c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  <c r="AI745" s="209"/>
      <c r="AJ745" s="209"/>
      <c r="AK745" s="209"/>
    </row>
    <row r="746">
      <c r="A746" s="291"/>
      <c r="B746" s="304" t="s">
        <v>2963</v>
      </c>
      <c r="C746" s="410" t="s">
        <v>2005</v>
      </c>
      <c r="D746" s="304" t="s">
        <v>2964</v>
      </c>
      <c r="E746" s="375" t="s">
        <v>2965</v>
      </c>
      <c r="F746" s="209"/>
      <c r="G746" s="209"/>
      <c r="H746" s="209"/>
      <c r="I746" s="209"/>
      <c r="J746" s="300" t="b">
        <v>1</v>
      </c>
      <c r="K746" s="301" t="b">
        <v>0</v>
      </c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  <c r="AI746" s="209"/>
      <c r="AJ746" s="209"/>
      <c r="AK746" s="209"/>
    </row>
    <row r="747">
      <c r="A747" s="291"/>
      <c r="B747" s="304" t="s">
        <v>2966</v>
      </c>
      <c r="C747" s="410" t="s">
        <v>2005</v>
      </c>
      <c r="D747" s="304" t="s">
        <v>2967</v>
      </c>
      <c r="E747" s="375" t="s">
        <v>2968</v>
      </c>
      <c r="F747" s="209"/>
      <c r="G747" s="209"/>
      <c r="H747" s="209"/>
      <c r="I747" s="209"/>
      <c r="J747" s="300" t="b">
        <v>1</v>
      </c>
      <c r="K747" s="301" t="b">
        <v>0</v>
      </c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  <c r="AI747" s="209"/>
      <c r="AJ747" s="209"/>
      <c r="AK747" s="209"/>
    </row>
    <row r="748">
      <c r="A748" s="291"/>
      <c r="B748" s="304" t="s">
        <v>2969</v>
      </c>
      <c r="C748" s="410" t="s">
        <v>2005</v>
      </c>
      <c r="D748" s="304" t="s">
        <v>2970</v>
      </c>
      <c r="E748" s="305">
        <v>8.10115974529E11</v>
      </c>
      <c r="F748" s="209"/>
      <c r="G748" s="209"/>
      <c r="H748" s="209"/>
      <c r="I748" s="209"/>
      <c r="J748" s="300" t="b">
        <v>1</v>
      </c>
      <c r="K748" s="301" t="b">
        <v>0</v>
      </c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  <c r="AI748" s="209"/>
      <c r="AJ748" s="209"/>
      <c r="AK748" s="209"/>
    </row>
    <row r="749">
      <c r="A749" s="291"/>
      <c r="B749" s="304" t="s">
        <v>2971</v>
      </c>
      <c r="C749" s="410" t="s">
        <v>2972</v>
      </c>
      <c r="D749" s="304" t="s">
        <v>2973</v>
      </c>
      <c r="E749" s="305">
        <v>8.10115974741E11</v>
      </c>
      <c r="F749" s="209"/>
      <c r="G749" s="209"/>
      <c r="H749" s="209"/>
      <c r="I749" s="209"/>
      <c r="J749" s="300" t="b">
        <v>1</v>
      </c>
      <c r="K749" s="301" t="b">
        <v>0</v>
      </c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  <c r="AI749" s="209"/>
      <c r="AJ749" s="209"/>
      <c r="AK749" s="209"/>
    </row>
    <row r="750">
      <c r="A750" s="291"/>
      <c r="B750" s="377" t="s">
        <v>2974</v>
      </c>
      <c r="C750" s="410" t="s">
        <v>2972</v>
      </c>
      <c r="D750" s="304" t="s">
        <v>2975</v>
      </c>
      <c r="E750" s="406" t="s">
        <v>2976</v>
      </c>
      <c r="F750" s="209"/>
      <c r="G750" s="209"/>
      <c r="H750" s="209"/>
      <c r="I750" s="209"/>
      <c r="J750" s="300" t="b">
        <v>1</v>
      </c>
      <c r="K750" s="301" t="b">
        <v>0</v>
      </c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  <c r="AK750" s="209"/>
    </row>
    <row r="751">
      <c r="A751" s="291"/>
      <c r="B751" s="377" t="s">
        <v>2977</v>
      </c>
      <c r="C751" s="410" t="s">
        <v>2972</v>
      </c>
      <c r="D751" s="304" t="s">
        <v>2978</v>
      </c>
      <c r="E751" s="406" t="s">
        <v>2979</v>
      </c>
      <c r="F751" s="209"/>
      <c r="G751" s="209"/>
      <c r="H751" s="209"/>
      <c r="I751" s="209"/>
      <c r="J751" s="300" t="b">
        <v>1</v>
      </c>
      <c r="K751" s="301" t="b">
        <v>0</v>
      </c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  <c r="AI751" s="209"/>
      <c r="AJ751" s="209"/>
      <c r="AK751" s="209"/>
    </row>
    <row r="752">
      <c r="A752" s="291"/>
      <c r="B752" s="377" t="s">
        <v>2980</v>
      </c>
      <c r="C752" s="410" t="s">
        <v>2972</v>
      </c>
      <c r="D752" s="304" t="s">
        <v>2981</v>
      </c>
      <c r="E752" s="395">
        <v>8.10115974765E11</v>
      </c>
      <c r="F752" s="209"/>
      <c r="G752" s="209"/>
      <c r="H752" s="209"/>
      <c r="I752" s="209"/>
      <c r="J752" s="300" t="b">
        <v>1</v>
      </c>
      <c r="K752" s="301" t="b">
        <v>0</v>
      </c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  <c r="AI752" s="209"/>
      <c r="AJ752" s="209"/>
      <c r="AK752" s="209"/>
    </row>
    <row r="753">
      <c r="A753" s="291"/>
      <c r="B753" s="377" t="s">
        <v>2982</v>
      </c>
      <c r="C753" s="410" t="s">
        <v>2983</v>
      </c>
      <c r="D753" s="304" t="s">
        <v>2984</v>
      </c>
      <c r="E753" s="305">
        <v>8.10115974833E11</v>
      </c>
      <c r="F753" s="209"/>
      <c r="G753" s="209"/>
      <c r="H753" s="209"/>
      <c r="I753" s="209"/>
      <c r="J753" s="300" t="b">
        <v>1</v>
      </c>
      <c r="K753" s="301" t="b">
        <v>0</v>
      </c>
      <c r="L753" s="344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  <c r="AI753" s="209"/>
      <c r="AJ753" s="209"/>
      <c r="AK753" s="209"/>
    </row>
    <row r="754">
      <c r="A754" s="291"/>
      <c r="B754" s="304" t="s">
        <v>2985</v>
      </c>
      <c r="C754" s="410" t="s">
        <v>2983</v>
      </c>
      <c r="D754" s="304" t="s">
        <v>2986</v>
      </c>
      <c r="E754" s="375" t="s">
        <v>2987</v>
      </c>
      <c r="F754" s="209"/>
      <c r="G754" s="209"/>
      <c r="H754" s="209"/>
      <c r="I754" s="209"/>
      <c r="J754" s="300" t="b">
        <v>1</v>
      </c>
      <c r="K754" s="301" t="b">
        <v>0</v>
      </c>
      <c r="L754" s="344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  <c r="AI754" s="209"/>
      <c r="AJ754" s="209"/>
      <c r="AK754" s="209"/>
    </row>
    <row r="755">
      <c r="A755" s="291"/>
      <c r="B755" s="304" t="s">
        <v>2988</v>
      </c>
      <c r="C755" s="410" t="s">
        <v>2983</v>
      </c>
      <c r="D755" s="304" t="s">
        <v>2989</v>
      </c>
      <c r="E755" s="375" t="s">
        <v>2990</v>
      </c>
      <c r="F755" s="209"/>
      <c r="G755" s="209"/>
      <c r="H755" s="209"/>
      <c r="I755" s="209"/>
      <c r="J755" s="300" t="b">
        <v>1</v>
      </c>
      <c r="K755" s="301" t="b">
        <v>0</v>
      </c>
      <c r="L755" s="344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  <c r="AI755" s="209"/>
      <c r="AJ755" s="209"/>
      <c r="AK755" s="209"/>
    </row>
    <row r="756">
      <c r="A756" s="291"/>
      <c r="B756" s="304" t="s">
        <v>2991</v>
      </c>
      <c r="C756" s="410" t="s">
        <v>2983</v>
      </c>
      <c r="D756" s="304" t="s">
        <v>2992</v>
      </c>
      <c r="E756" s="305">
        <v>8.10115974857E11</v>
      </c>
      <c r="F756" s="209"/>
      <c r="G756" s="209"/>
      <c r="H756" s="209"/>
      <c r="I756" s="209"/>
      <c r="J756" s="300" t="b">
        <v>1</v>
      </c>
      <c r="K756" s="301" t="b">
        <v>0</v>
      </c>
      <c r="L756" s="344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  <c r="AI756" s="209"/>
      <c r="AJ756" s="209"/>
      <c r="AK756" s="209"/>
    </row>
    <row r="757">
      <c r="A757" s="291"/>
      <c r="B757" s="377" t="s">
        <v>2993</v>
      </c>
      <c r="C757" s="410" t="s">
        <v>2994</v>
      </c>
      <c r="D757" s="304" t="s">
        <v>2995</v>
      </c>
      <c r="E757" s="305">
        <v>8.10115974895E11</v>
      </c>
      <c r="F757" s="209"/>
      <c r="G757" s="209"/>
      <c r="H757" s="209"/>
      <c r="I757" s="209"/>
      <c r="J757" s="300" t="b">
        <v>1</v>
      </c>
      <c r="K757" s="301" t="b">
        <v>0</v>
      </c>
      <c r="L757" s="344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  <c r="AI757" s="209"/>
      <c r="AJ757" s="209"/>
      <c r="AK757" s="209"/>
    </row>
    <row r="758">
      <c r="A758" s="291"/>
      <c r="B758" s="304" t="s">
        <v>2996</v>
      </c>
      <c r="C758" s="410" t="s">
        <v>2994</v>
      </c>
      <c r="D758" s="304" t="s">
        <v>2997</v>
      </c>
      <c r="E758" s="375" t="s">
        <v>2998</v>
      </c>
      <c r="F758" s="209"/>
      <c r="G758" s="209"/>
      <c r="H758" s="209"/>
      <c r="I758" s="209"/>
      <c r="J758" s="300" t="b">
        <v>1</v>
      </c>
      <c r="K758" s="301" t="b">
        <v>0</v>
      </c>
      <c r="L758" s="344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  <c r="AI758" s="209"/>
      <c r="AJ758" s="209"/>
      <c r="AK758" s="209"/>
    </row>
    <row r="759">
      <c r="A759" s="291"/>
      <c r="B759" s="304" t="s">
        <v>2999</v>
      </c>
      <c r="C759" s="410" t="s">
        <v>2994</v>
      </c>
      <c r="D759" s="304" t="s">
        <v>3000</v>
      </c>
      <c r="E759" s="375" t="s">
        <v>3001</v>
      </c>
      <c r="F759" s="209"/>
      <c r="G759" s="209"/>
      <c r="H759" s="209"/>
      <c r="I759" s="209"/>
      <c r="J759" s="300" t="b">
        <v>1</v>
      </c>
      <c r="K759" s="301" t="b">
        <v>0</v>
      </c>
      <c r="L759" s="344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  <c r="AI759" s="209"/>
      <c r="AJ759" s="209"/>
      <c r="AK759" s="209"/>
    </row>
    <row r="760">
      <c r="A760" s="309"/>
      <c r="B760" s="311" t="s">
        <v>3002</v>
      </c>
      <c r="C760" s="423" t="s">
        <v>2994</v>
      </c>
      <c r="D760" s="311" t="s">
        <v>3003</v>
      </c>
      <c r="E760" s="312">
        <v>8.10115974918E11</v>
      </c>
      <c r="F760" s="313"/>
      <c r="G760" s="313"/>
      <c r="H760" s="313"/>
      <c r="I760" s="313"/>
      <c r="J760" s="300" t="b">
        <v>1</v>
      </c>
      <c r="K760" s="314" t="b">
        <v>0</v>
      </c>
      <c r="L760" s="344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  <c r="AI760" s="209"/>
      <c r="AJ760" s="209"/>
      <c r="AK760" s="209"/>
    </row>
    <row r="761">
      <c r="A761" s="344"/>
      <c r="B761" s="344"/>
      <c r="C761" s="344"/>
      <c r="D761" s="344"/>
      <c r="E761" s="344"/>
      <c r="F761" s="344"/>
      <c r="G761" s="344"/>
      <c r="H761" s="344"/>
      <c r="I761" s="209"/>
      <c r="J761" s="344"/>
      <c r="K761" s="344"/>
      <c r="L761" s="344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209"/>
      <c r="AJ761" s="209"/>
      <c r="AK761" s="209"/>
    </row>
    <row r="762">
      <c r="A762" s="316" t="s">
        <v>3004</v>
      </c>
      <c r="B762" s="319" t="s">
        <v>3005</v>
      </c>
      <c r="C762" s="320"/>
      <c r="D762" s="283" t="s">
        <v>3006</v>
      </c>
      <c r="E762" s="402" t="s">
        <v>116</v>
      </c>
      <c r="F762" s="320"/>
      <c r="G762" s="320"/>
      <c r="H762" s="276" t="s">
        <v>376</v>
      </c>
      <c r="I762" s="285" t="s">
        <v>3007</v>
      </c>
      <c r="J762" s="278" t="str">
        <f>IF(COUNTIF(J763:J774, TRUE) = COUNTA(J763:J774), "Complete!", IF(COUNTIF(J763:J774, TRUE) &gt; 0, "Partial", "Not Started"))</f>
        <v>Complete!</v>
      </c>
      <c r="K762" s="279"/>
      <c r="L762" s="280">
        <v>12.0</v>
      </c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  <c r="AI762" s="209"/>
      <c r="AJ762" s="209"/>
      <c r="AK762" s="209"/>
    </row>
    <row r="763">
      <c r="A763" s="291"/>
      <c r="B763" s="377" t="s">
        <v>3008</v>
      </c>
      <c r="C763" s="377" t="s">
        <v>3009</v>
      </c>
      <c r="D763" s="304" t="s">
        <v>3010</v>
      </c>
      <c r="E763" s="375">
        <v>8.10115975236E11</v>
      </c>
      <c r="F763" s="209"/>
      <c r="G763" s="209"/>
      <c r="H763" s="209"/>
      <c r="I763" s="209"/>
      <c r="J763" s="300" t="b">
        <v>1</v>
      </c>
      <c r="K763" s="301" t="b">
        <v>0</v>
      </c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  <c r="AI763" s="209"/>
      <c r="AJ763" s="209"/>
      <c r="AK763" s="209"/>
    </row>
    <row r="764">
      <c r="A764" s="291"/>
      <c r="B764" s="304" t="s">
        <v>3011</v>
      </c>
      <c r="C764" s="410" t="s">
        <v>3009</v>
      </c>
      <c r="D764" s="304" t="s">
        <v>3012</v>
      </c>
      <c r="E764" s="305">
        <v>8.10115975243E11</v>
      </c>
      <c r="F764" s="209"/>
      <c r="G764" s="209"/>
      <c r="H764" s="209"/>
      <c r="I764" s="209"/>
      <c r="J764" s="300" t="b">
        <v>1</v>
      </c>
      <c r="K764" s="301" t="b">
        <v>0</v>
      </c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  <c r="AI764" s="209"/>
      <c r="AJ764" s="209"/>
      <c r="AK764" s="209"/>
    </row>
    <row r="765">
      <c r="A765" s="291"/>
      <c r="B765" s="304" t="s">
        <v>3013</v>
      </c>
      <c r="C765" s="410" t="s">
        <v>3009</v>
      </c>
      <c r="D765" s="304" t="s">
        <v>3014</v>
      </c>
      <c r="E765" s="305">
        <v>8.10115975557E11</v>
      </c>
      <c r="F765" s="209"/>
      <c r="G765" s="209"/>
      <c r="H765" s="209"/>
      <c r="I765" s="209"/>
      <c r="J765" s="300" t="b">
        <v>1</v>
      </c>
      <c r="K765" s="301" t="b">
        <v>0</v>
      </c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  <c r="AI765" s="209"/>
      <c r="AJ765" s="209"/>
      <c r="AK765" s="209"/>
    </row>
    <row r="766">
      <c r="A766" s="291"/>
      <c r="B766" s="304" t="s">
        <v>3015</v>
      </c>
      <c r="C766" s="410" t="s">
        <v>3009</v>
      </c>
      <c r="D766" s="304" t="s">
        <v>3016</v>
      </c>
      <c r="E766" s="375">
        <v>8.1011597525E11</v>
      </c>
      <c r="F766" s="209"/>
      <c r="G766" s="209"/>
      <c r="H766" s="209"/>
      <c r="I766" s="209"/>
      <c r="J766" s="300" t="b">
        <v>1</v>
      </c>
      <c r="K766" s="301" t="b">
        <v>0</v>
      </c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  <c r="AI766" s="209"/>
      <c r="AJ766" s="209"/>
      <c r="AK766" s="209"/>
    </row>
    <row r="767">
      <c r="A767" s="291"/>
      <c r="B767" s="304" t="s">
        <v>3017</v>
      </c>
      <c r="C767" s="410" t="s">
        <v>3018</v>
      </c>
      <c r="D767" s="304" t="s">
        <v>3019</v>
      </c>
      <c r="E767" s="375">
        <v>8.1011597471E11</v>
      </c>
      <c r="F767" s="209"/>
      <c r="G767" s="209"/>
      <c r="H767" s="209"/>
      <c r="I767" s="209"/>
      <c r="J767" s="300" t="b">
        <v>1</v>
      </c>
      <c r="K767" s="301" t="b">
        <v>0</v>
      </c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  <c r="AI767" s="209"/>
      <c r="AJ767" s="209"/>
      <c r="AK767" s="209"/>
    </row>
    <row r="768">
      <c r="A768" s="291"/>
      <c r="B768" s="377" t="s">
        <v>3020</v>
      </c>
      <c r="C768" s="410" t="s">
        <v>3018</v>
      </c>
      <c r="D768" s="304" t="s">
        <v>3021</v>
      </c>
      <c r="E768" s="395">
        <v>8.10115974727E11</v>
      </c>
      <c r="F768" s="209"/>
      <c r="G768" s="209"/>
      <c r="H768" s="209"/>
      <c r="I768" s="209"/>
      <c r="J768" s="300" t="b">
        <v>1</v>
      </c>
      <c r="K768" s="301" t="b">
        <v>0</v>
      </c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  <c r="AI768" s="209"/>
      <c r="AJ768" s="209"/>
      <c r="AK768" s="209"/>
    </row>
    <row r="769">
      <c r="A769" s="291"/>
      <c r="B769" s="304" t="s">
        <v>3022</v>
      </c>
      <c r="C769" s="410" t="s">
        <v>3018</v>
      </c>
      <c r="D769" s="304" t="s">
        <v>3023</v>
      </c>
      <c r="E769" s="305">
        <v>8.10115975397E11</v>
      </c>
      <c r="F769" s="209"/>
      <c r="G769" s="209"/>
      <c r="H769" s="209"/>
      <c r="I769" s="209"/>
      <c r="J769" s="300" t="b">
        <v>1</v>
      </c>
      <c r="K769" s="301" t="b">
        <v>0</v>
      </c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  <c r="AI769" s="209"/>
      <c r="AJ769" s="209"/>
      <c r="AK769" s="209"/>
    </row>
    <row r="770">
      <c r="A770" s="291"/>
      <c r="B770" s="377" t="s">
        <v>3024</v>
      </c>
      <c r="C770" s="410" t="s">
        <v>3018</v>
      </c>
      <c r="D770" s="304" t="s">
        <v>3025</v>
      </c>
      <c r="E770" s="406">
        <v>8.10115974734E11</v>
      </c>
      <c r="F770" s="209"/>
      <c r="G770" s="209"/>
      <c r="H770" s="209"/>
      <c r="I770" s="209"/>
      <c r="J770" s="300" t="b">
        <v>1</v>
      </c>
      <c r="K770" s="301" t="b">
        <v>0</v>
      </c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  <c r="AI770" s="209"/>
      <c r="AJ770" s="209"/>
      <c r="AK770" s="209"/>
    </row>
    <row r="771">
      <c r="A771" s="291"/>
      <c r="B771" s="377" t="s">
        <v>3026</v>
      </c>
      <c r="C771" s="410" t="s">
        <v>3027</v>
      </c>
      <c r="D771" s="304" t="s">
        <v>3028</v>
      </c>
      <c r="E771" s="375">
        <v>8.10115975144E11</v>
      </c>
      <c r="F771" s="209"/>
      <c r="G771" s="209"/>
      <c r="H771" s="209"/>
      <c r="I771" s="209"/>
      <c r="J771" s="300" t="b">
        <v>1</v>
      </c>
      <c r="K771" s="301" t="b">
        <v>0</v>
      </c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  <c r="AI771" s="209"/>
      <c r="AJ771" s="209"/>
      <c r="AK771" s="209"/>
    </row>
    <row r="772">
      <c r="A772" s="291"/>
      <c r="B772" s="304" t="s">
        <v>3029</v>
      </c>
      <c r="C772" s="410" t="s">
        <v>3027</v>
      </c>
      <c r="D772" s="304" t="s">
        <v>3030</v>
      </c>
      <c r="E772" s="305">
        <v>8.10115975151E11</v>
      </c>
      <c r="F772" s="209"/>
      <c r="G772" s="209"/>
      <c r="H772" s="209"/>
      <c r="I772" s="209"/>
      <c r="J772" s="300" t="b">
        <v>1</v>
      </c>
      <c r="K772" s="301" t="b">
        <v>0</v>
      </c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  <c r="AI772" s="209"/>
      <c r="AJ772" s="209"/>
      <c r="AK772" s="209"/>
    </row>
    <row r="773">
      <c r="A773" s="291"/>
      <c r="B773" s="304" t="s">
        <v>3031</v>
      </c>
      <c r="C773" s="410" t="s">
        <v>3027</v>
      </c>
      <c r="D773" s="304" t="s">
        <v>3032</v>
      </c>
      <c r="E773" s="305">
        <v>8.10115975526E11</v>
      </c>
      <c r="F773" s="209"/>
      <c r="G773" s="209"/>
      <c r="H773" s="209"/>
      <c r="I773" s="209"/>
      <c r="J773" s="300" t="b">
        <v>1</v>
      </c>
      <c r="K773" s="301" t="b">
        <v>0</v>
      </c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  <c r="AI773" s="209"/>
      <c r="AJ773" s="209"/>
      <c r="AK773" s="209"/>
    </row>
    <row r="774">
      <c r="A774" s="309"/>
      <c r="B774" s="311" t="s">
        <v>3033</v>
      </c>
      <c r="C774" s="423" t="s">
        <v>3027</v>
      </c>
      <c r="D774" s="311" t="s">
        <v>3034</v>
      </c>
      <c r="E774" s="380">
        <v>8.10115975168E11</v>
      </c>
      <c r="F774" s="313"/>
      <c r="G774" s="313"/>
      <c r="H774" s="313"/>
      <c r="I774" s="313"/>
      <c r="J774" s="300" t="b">
        <v>1</v>
      </c>
      <c r="K774" s="314" t="b">
        <v>0</v>
      </c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  <c r="AI774" s="209"/>
      <c r="AJ774" s="209"/>
      <c r="AK774" s="209"/>
    </row>
    <row r="775">
      <c r="A775" s="209"/>
      <c r="B775" s="209"/>
      <c r="C775" s="209"/>
      <c r="D775" s="209"/>
      <c r="E775" s="353"/>
      <c r="F775" s="344"/>
      <c r="G775" s="344"/>
      <c r="H775" s="344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  <c r="AI775" s="209"/>
      <c r="AJ775" s="209"/>
      <c r="AK775" s="209"/>
    </row>
    <row r="776">
      <c r="A776" s="316" t="s">
        <v>3035</v>
      </c>
      <c r="B776" s="319" t="s">
        <v>3036</v>
      </c>
      <c r="C776" s="320"/>
      <c r="D776" s="283" t="s">
        <v>3037</v>
      </c>
      <c r="E776" s="322" t="s">
        <v>116</v>
      </c>
      <c r="F776" s="320"/>
      <c r="G776" s="320"/>
      <c r="H776" s="276" t="s">
        <v>376</v>
      </c>
      <c r="I776" s="285" t="s">
        <v>3038</v>
      </c>
      <c r="J776" s="278" t="str">
        <f>IF(COUNTIF(J777:J780, TRUE) = COUNTA(J777:J780), "Complete!", IF(COUNTIF(J777:J780, TRUE) &gt; 0, "Partial", "Not Started"))</f>
        <v>Complete!</v>
      </c>
      <c r="K776" s="279"/>
      <c r="L776" s="280">
        <v>4.0</v>
      </c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  <c r="AI776" s="209"/>
      <c r="AJ776" s="209"/>
      <c r="AK776" s="209"/>
    </row>
    <row r="777">
      <c r="A777" s="291"/>
      <c r="B777" s="377" t="s">
        <v>3039</v>
      </c>
      <c r="C777" s="377" t="s">
        <v>2738</v>
      </c>
      <c r="D777" s="304" t="s">
        <v>3040</v>
      </c>
      <c r="E777" s="305">
        <v>8.10115975205E11</v>
      </c>
      <c r="F777" s="209"/>
      <c r="G777" s="209"/>
      <c r="H777" s="209"/>
      <c r="I777" s="209"/>
      <c r="J777" s="300" t="b">
        <v>1</v>
      </c>
      <c r="K777" s="301" t="b">
        <v>0</v>
      </c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  <c r="AI777" s="209"/>
      <c r="AJ777" s="209"/>
      <c r="AK777" s="209"/>
    </row>
    <row r="778">
      <c r="A778" s="291"/>
      <c r="B778" s="422" t="s">
        <v>3041</v>
      </c>
      <c r="C778" s="377" t="s">
        <v>2738</v>
      </c>
      <c r="D778" s="304" t="s">
        <v>3042</v>
      </c>
      <c r="E778" s="375" t="s">
        <v>3043</v>
      </c>
      <c r="F778" s="209"/>
      <c r="G778" s="209"/>
      <c r="H778" s="209"/>
      <c r="I778" s="209"/>
      <c r="J778" s="300" t="b">
        <v>1</v>
      </c>
      <c r="K778" s="301" t="b">
        <v>0</v>
      </c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  <c r="AI778" s="209"/>
      <c r="AJ778" s="209"/>
      <c r="AK778" s="209"/>
    </row>
    <row r="779">
      <c r="A779" s="291"/>
      <c r="B779" s="304" t="s">
        <v>3044</v>
      </c>
      <c r="C779" s="377" t="s">
        <v>2738</v>
      </c>
      <c r="D779" s="304" t="s">
        <v>3045</v>
      </c>
      <c r="E779" s="375" t="s">
        <v>3046</v>
      </c>
      <c r="F779" s="209"/>
      <c r="G779" s="209"/>
      <c r="H779" s="209"/>
      <c r="I779" s="209"/>
      <c r="J779" s="300" t="b">
        <v>1</v>
      </c>
      <c r="K779" s="301" t="b">
        <v>0</v>
      </c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  <c r="AI779" s="209"/>
      <c r="AJ779" s="209"/>
      <c r="AK779" s="209"/>
    </row>
    <row r="780">
      <c r="A780" s="309"/>
      <c r="B780" s="379" t="s">
        <v>3047</v>
      </c>
      <c r="C780" s="379" t="s">
        <v>2738</v>
      </c>
      <c r="D780" s="311" t="s">
        <v>3048</v>
      </c>
      <c r="E780" s="425">
        <v>8.10115975229E11</v>
      </c>
      <c r="F780" s="313"/>
      <c r="G780" s="313"/>
      <c r="H780" s="313"/>
      <c r="I780" s="313"/>
      <c r="J780" s="350" t="b">
        <v>1</v>
      </c>
      <c r="K780" s="314" t="b">
        <v>0</v>
      </c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  <c r="AI780" s="209"/>
      <c r="AJ780" s="209"/>
      <c r="AK780" s="209"/>
    </row>
    <row r="781">
      <c r="A781" s="209"/>
      <c r="B781" s="209"/>
      <c r="C781" s="209"/>
      <c r="D781" s="209"/>
      <c r="E781" s="209"/>
      <c r="F781" s="344"/>
      <c r="G781" s="344"/>
      <c r="H781" s="344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  <c r="AI781" s="209"/>
      <c r="AJ781" s="209"/>
      <c r="AK781" s="209"/>
    </row>
    <row r="782">
      <c r="A782" s="316" t="s">
        <v>3049</v>
      </c>
      <c r="B782" s="319" t="s">
        <v>3050</v>
      </c>
      <c r="C782" s="320"/>
      <c r="D782" s="283" t="s">
        <v>3051</v>
      </c>
      <c r="E782" s="322" t="s">
        <v>116</v>
      </c>
      <c r="F782" s="320"/>
      <c r="G782" s="320"/>
      <c r="H782" s="276" t="s">
        <v>2803</v>
      </c>
      <c r="I782" s="285" t="s">
        <v>3052</v>
      </c>
      <c r="J782" s="278" t="str">
        <f>IF(COUNTIF(J783:J786, TRUE) = COUNTA(J783:J786), "Complete!", IF(COUNTIF(J783:J786, TRUE) &gt; 0, "Partial", "Not Started"))</f>
        <v>Complete!</v>
      </c>
      <c r="K782" s="279"/>
      <c r="L782" s="280">
        <v>4.0</v>
      </c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  <c r="AI782" s="209"/>
      <c r="AJ782" s="209"/>
      <c r="AK782" s="209"/>
    </row>
    <row r="783">
      <c r="A783" s="291"/>
      <c r="B783" s="304" t="s">
        <v>3053</v>
      </c>
      <c r="C783" s="304" t="s">
        <v>745</v>
      </c>
      <c r="D783" s="304" t="s">
        <v>3054</v>
      </c>
      <c r="E783" s="305">
        <v>8.10115974864E11</v>
      </c>
      <c r="F783" s="209"/>
      <c r="G783" s="209"/>
      <c r="H783" s="209"/>
      <c r="I783" s="209"/>
      <c r="J783" s="300" t="b">
        <v>1</v>
      </c>
      <c r="K783" s="301" t="b">
        <v>0</v>
      </c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  <c r="AI783" s="209"/>
      <c r="AJ783" s="209"/>
      <c r="AK783" s="209"/>
    </row>
    <row r="784">
      <c r="A784" s="291"/>
      <c r="B784" s="304" t="s">
        <v>3055</v>
      </c>
      <c r="C784" s="304" t="s">
        <v>745</v>
      </c>
      <c r="D784" s="304" t="s">
        <v>3056</v>
      </c>
      <c r="E784" s="375">
        <v>8.10115974871E11</v>
      </c>
      <c r="F784" s="209"/>
      <c r="G784" s="209"/>
      <c r="H784" s="209"/>
      <c r="I784" s="209"/>
      <c r="J784" s="300" t="b">
        <v>1</v>
      </c>
      <c r="K784" s="301" t="b">
        <v>0</v>
      </c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  <c r="AI784" s="209"/>
      <c r="AJ784" s="209"/>
      <c r="AK784" s="209"/>
    </row>
    <row r="785">
      <c r="A785" s="291"/>
      <c r="B785" s="304" t="s">
        <v>3057</v>
      </c>
      <c r="C785" s="304" t="s">
        <v>745</v>
      </c>
      <c r="D785" s="304" t="s">
        <v>3058</v>
      </c>
      <c r="E785" s="375">
        <v>8.10115975441E11</v>
      </c>
      <c r="F785" s="209"/>
      <c r="G785" s="209"/>
      <c r="H785" s="209"/>
      <c r="I785" s="209"/>
      <c r="J785" s="300" t="b">
        <v>1</v>
      </c>
      <c r="K785" s="301" t="b">
        <v>0</v>
      </c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  <c r="AI785" s="209"/>
      <c r="AJ785" s="209"/>
      <c r="AK785" s="209"/>
    </row>
    <row r="786">
      <c r="A786" s="309"/>
      <c r="B786" s="311" t="s">
        <v>3059</v>
      </c>
      <c r="C786" s="311" t="s">
        <v>745</v>
      </c>
      <c r="D786" s="311" t="s">
        <v>3060</v>
      </c>
      <c r="E786" s="312">
        <v>8.10115974888E11</v>
      </c>
      <c r="F786" s="313"/>
      <c r="G786" s="313"/>
      <c r="H786" s="313"/>
      <c r="I786" s="313"/>
      <c r="J786" s="350" t="b">
        <v>1</v>
      </c>
      <c r="K786" s="314" t="b">
        <v>0</v>
      </c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  <c r="AI786" s="209"/>
      <c r="AJ786" s="209"/>
      <c r="AK786" s="209"/>
    </row>
    <row r="787">
      <c r="A787" s="209"/>
      <c r="B787" s="209"/>
      <c r="C787" s="209"/>
      <c r="D787" s="209"/>
      <c r="E787" s="209"/>
      <c r="F787" s="344"/>
      <c r="G787" s="344"/>
      <c r="H787" s="344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  <c r="AK787" s="209"/>
    </row>
    <row r="788">
      <c r="A788" s="316" t="s">
        <v>3061</v>
      </c>
      <c r="B788" s="319" t="s">
        <v>3062</v>
      </c>
      <c r="C788" s="320"/>
      <c r="D788" s="283" t="s">
        <v>3063</v>
      </c>
      <c r="E788" s="322" t="s">
        <v>116</v>
      </c>
      <c r="F788" s="320"/>
      <c r="G788" s="320"/>
      <c r="H788" s="276" t="s">
        <v>468</v>
      </c>
      <c r="I788" s="285" t="s">
        <v>1425</v>
      </c>
      <c r="J788" s="278" t="str">
        <f>IF(COUNTIF(J789:J792, TRUE) = COUNTA(J789:J792), "Complete!", IF(COUNTIF(J789:J792, TRUE) &gt; 0, "Partial", "Not Started"))</f>
        <v>Complete!</v>
      </c>
      <c r="K788" s="279"/>
      <c r="L788" s="280">
        <v>4.0</v>
      </c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  <c r="AK788" s="209"/>
    </row>
    <row r="789">
      <c r="A789" s="291"/>
      <c r="B789" s="377" t="s">
        <v>3064</v>
      </c>
      <c r="C789" s="377" t="s">
        <v>2696</v>
      </c>
      <c r="D789" s="304" t="s">
        <v>3065</v>
      </c>
      <c r="E789" s="305">
        <v>8.10115974772E11</v>
      </c>
      <c r="F789" s="209"/>
      <c r="G789" s="209"/>
      <c r="H789" s="209"/>
      <c r="I789" s="209"/>
      <c r="J789" s="300" t="b">
        <v>1</v>
      </c>
      <c r="K789" s="301" t="b">
        <v>0</v>
      </c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  <c r="AI789" s="209"/>
      <c r="AJ789" s="209"/>
      <c r="AK789" s="209"/>
    </row>
    <row r="790">
      <c r="A790" s="291"/>
      <c r="B790" s="304" t="s">
        <v>3066</v>
      </c>
      <c r="C790" s="377" t="s">
        <v>2696</v>
      </c>
      <c r="D790" s="304" t="s">
        <v>3067</v>
      </c>
      <c r="E790" s="375">
        <v>8.10115974789E11</v>
      </c>
      <c r="F790" s="209"/>
      <c r="G790" s="209"/>
      <c r="H790" s="209"/>
      <c r="I790" s="209"/>
      <c r="J790" s="300" t="b">
        <v>1</v>
      </c>
      <c r="K790" s="301" t="b">
        <v>0</v>
      </c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  <c r="AI790" s="209"/>
      <c r="AJ790" s="209"/>
      <c r="AK790" s="209"/>
    </row>
    <row r="791">
      <c r="A791" s="291"/>
      <c r="B791" s="304" t="s">
        <v>3068</v>
      </c>
      <c r="C791" s="377" t="s">
        <v>2696</v>
      </c>
      <c r="D791" s="304" t="s">
        <v>3069</v>
      </c>
      <c r="E791" s="375">
        <v>8.1011597541E11</v>
      </c>
      <c r="F791" s="209"/>
      <c r="G791" s="209"/>
      <c r="H791" s="209"/>
      <c r="I791" s="209"/>
      <c r="J791" s="300" t="b">
        <v>1</v>
      </c>
      <c r="K791" s="301" t="b">
        <v>0</v>
      </c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  <c r="AK791" s="209"/>
    </row>
    <row r="792">
      <c r="A792" s="309"/>
      <c r="B792" s="426" t="s">
        <v>3070</v>
      </c>
      <c r="C792" s="379" t="s">
        <v>2696</v>
      </c>
      <c r="D792" s="311" t="s">
        <v>3071</v>
      </c>
      <c r="E792" s="312">
        <v>8.10115974796E11</v>
      </c>
      <c r="F792" s="313"/>
      <c r="G792" s="313"/>
      <c r="H792" s="313"/>
      <c r="I792" s="313"/>
      <c r="J792" s="350" t="b">
        <v>1</v>
      </c>
      <c r="K792" s="314" t="b">
        <v>0</v>
      </c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  <c r="AI792" s="209"/>
      <c r="AJ792" s="209"/>
      <c r="AK792" s="209"/>
    </row>
    <row r="793">
      <c r="A793" s="209"/>
      <c r="B793" s="209"/>
      <c r="C793" s="209"/>
      <c r="D793" s="209"/>
      <c r="E793" s="209"/>
      <c r="F793" s="344"/>
      <c r="G793" s="344"/>
      <c r="H793" s="344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  <c r="AI793" s="209"/>
      <c r="AJ793" s="209"/>
      <c r="AK793" s="209"/>
    </row>
    <row r="794">
      <c r="A794" s="316" t="s">
        <v>3072</v>
      </c>
      <c r="B794" s="319" t="s">
        <v>3073</v>
      </c>
      <c r="C794" s="320"/>
      <c r="D794" s="283" t="s">
        <v>3074</v>
      </c>
      <c r="E794" s="402" t="s">
        <v>116</v>
      </c>
      <c r="F794" s="320"/>
      <c r="G794" s="320"/>
      <c r="H794" s="276" t="s">
        <v>376</v>
      </c>
      <c r="I794" s="285" t="s">
        <v>3075</v>
      </c>
      <c r="J794" s="278" t="str">
        <f>IF(COUNTIF(J795:J798, TRUE) = COUNTA(J795:J798), "Complete!", IF(COUNTIF(J795:J798, TRUE) &gt; 0, "Partial", "Not Started"))</f>
        <v>Complete!</v>
      </c>
      <c r="K794" s="279"/>
      <c r="L794" s="280">
        <v>4.0</v>
      </c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  <c r="AI794" s="209"/>
      <c r="AJ794" s="209"/>
      <c r="AK794" s="209"/>
    </row>
    <row r="795">
      <c r="A795" s="291"/>
      <c r="B795" s="377" t="s">
        <v>3076</v>
      </c>
      <c r="C795" s="377" t="s">
        <v>3077</v>
      </c>
      <c r="D795" s="304" t="s">
        <v>3078</v>
      </c>
      <c r="E795" s="427">
        <v>8.10115975533E11</v>
      </c>
      <c r="F795" s="209"/>
      <c r="G795" s="209"/>
      <c r="H795" s="209"/>
      <c r="I795" s="209"/>
      <c r="J795" s="300" t="b">
        <v>1</v>
      </c>
      <c r="K795" s="301" t="b">
        <v>0</v>
      </c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  <c r="AI795" s="209"/>
      <c r="AJ795" s="209"/>
      <c r="AK795" s="209"/>
    </row>
    <row r="796">
      <c r="A796" s="291"/>
      <c r="B796" s="304" t="s">
        <v>3079</v>
      </c>
      <c r="C796" s="377" t="s">
        <v>3077</v>
      </c>
      <c r="D796" s="304" t="s">
        <v>3080</v>
      </c>
      <c r="E796" s="375" t="s">
        <v>3081</v>
      </c>
      <c r="F796" s="209"/>
      <c r="G796" s="209"/>
      <c r="H796" s="209"/>
      <c r="I796" s="209"/>
      <c r="J796" s="300" t="b">
        <v>1</v>
      </c>
      <c r="K796" s="301" t="b">
        <v>0</v>
      </c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  <c r="AI796" s="209"/>
      <c r="AJ796" s="209"/>
      <c r="AK796" s="209"/>
    </row>
    <row r="797">
      <c r="A797" s="291"/>
      <c r="B797" s="304" t="s">
        <v>3082</v>
      </c>
      <c r="C797" s="377" t="s">
        <v>3077</v>
      </c>
      <c r="D797" s="304" t="s">
        <v>3083</v>
      </c>
      <c r="E797" s="375" t="s">
        <v>3084</v>
      </c>
      <c r="F797" s="209"/>
      <c r="G797" s="209"/>
      <c r="H797" s="209"/>
      <c r="I797" s="209"/>
      <c r="J797" s="300" t="b">
        <v>1</v>
      </c>
      <c r="K797" s="301" t="b">
        <v>0</v>
      </c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  <c r="AI797" s="209"/>
      <c r="AJ797" s="209"/>
      <c r="AK797" s="209"/>
    </row>
    <row r="798">
      <c r="A798" s="309"/>
      <c r="B798" s="426" t="s">
        <v>3085</v>
      </c>
      <c r="C798" s="379" t="s">
        <v>3077</v>
      </c>
      <c r="D798" s="311" t="s">
        <v>3086</v>
      </c>
      <c r="E798" s="312">
        <v>8.10115975199E11</v>
      </c>
      <c r="F798" s="313"/>
      <c r="G798" s="313"/>
      <c r="H798" s="313"/>
      <c r="I798" s="313"/>
      <c r="J798" s="350" t="b">
        <v>1</v>
      </c>
      <c r="K798" s="314" t="b">
        <v>0</v>
      </c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  <c r="AI798" s="209"/>
      <c r="AJ798" s="209"/>
      <c r="AK798" s="209"/>
    </row>
    <row r="799">
      <c r="A799" s="209"/>
      <c r="B799" s="209"/>
      <c r="C799" s="209"/>
      <c r="D799" s="209"/>
      <c r="E799" s="209"/>
      <c r="F799" s="344"/>
      <c r="G799" s="344"/>
      <c r="H799" s="344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  <c r="AI799" s="209"/>
      <c r="AJ799" s="209"/>
      <c r="AK799" s="209"/>
    </row>
    <row r="800">
      <c r="A800" s="316" t="s">
        <v>3087</v>
      </c>
      <c r="B800" s="319" t="s">
        <v>3088</v>
      </c>
      <c r="C800" s="320"/>
      <c r="D800" s="283" t="s">
        <v>3089</v>
      </c>
      <c r="E800" s="402" t="s">
        <v>116</v>
      </c>
      <c r="F800" s="320"/>
      <c r="G800" s="320"/>
      <c r="H800" s="276" t="s">
        <v>376</v>
      </c>
      <c r="I800" s="285" t="s">
        <v>3090</v>
      </c>
      <c r="J800" s="278" t="str">
        <f>IF(COUNTIF(J801:J804, TRUE) = COUNTA(J801:J804), "Complete!", IF(COUNTIF(J801:J804, TRUE) &gt; 0, "Partial", "Not Started"))</f>
        <v>Complete!</v>
      </c>
      <c r="K800" s="279"/>
      <c r="L800" s="280">
        <v>4.0</v>
      </c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  <c r="AI800" s="209"/>
      <c r="AJ800" s="209"/>
      <c r="AK800" s="209"/>
    </row>
    <row r="801">
      <c r="A801" s="291"/>
      <c r="B801" s="377" t="s">
        <v>3091</v>
      </c>
      <c r="C801" s="377" t="s">
        <v>3092</v>
      </c>
      <c r="D801" s="304" t="s">
        <v>3093</v>
      </c>
      <c r="E801" s="375">
        <v>8.10115974987E11</v>
      </c>
      <c r="F801" s="209"/>
      <c r="G801" s="209"/>
      <c r="H801" s="209"/>
      <c r="I801" s="209"/>
      <c r="J801" s="300" t="b">
        <v>1</v>
      </c>
      <c r="K801" s="301" t="b">
        <v>0</v>
      </c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  <c r="AI801" s="209"/>
      <c r="AJ801" s="209"/>
      <c r="AK801" s="209"/>
    </row>
    <row r="802">
      <c r="A802" s="291"/>
      <c r="B802" s="304" t="s">
        <v>3094</v>
      </c>
      <c r="C802" s="377" t="s">
        <v>3092</v>
      </c>
      <c r="D802" s="304" t="s">
        <v>3095</v>
      </c>
      <c r="E802" s="375">
        <v>8.10115974994E11</v>
      </c>
      <c r="F802" s="209"/>
      <c r="G802" s="209"/>
      <c r="H802" s="209"/>
      <c r="I802" s="209"/>
      <c r="J802" s="300" t="b">
        <v>1</v>
      </c>
      <c r="K802" s="301" t="b">
        <v>0</v>
      </c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  <c r="AI802" s="209"/>
      <c r="AJ802" s="209"/>
      <c r="AK802" s="209"/>
    </row>
    <row r="803">
      <c r="A803" s="291"/>
      <c r="B803" s="377" t="s">
        <v>3096</v>
      </c>
      <c r="C803" s="377" t="s">
        <v>3092</v>
      </c>
      <c r="D803" s="304" t="s">
        <v>3097</v>
      </c>
      <c r="E803" s="375">
        <v>8.10115975489E11</v>
      </c>
      <c r="F803" s="209"/>
      <c r="G803" s="209"/>
      <c r="H803" s="209"/>
      <c r="I803" s="209"/>
      <c r="J803" s="300" t="b">
        <v>1</v>
      </c>
      <c r="K803" s="301" t="b">
        <v>0</v>
      </c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  <c r="AI803" s="209"/>
      <c r="AJ803" s="209"/>
      <c r="AK803" s="209"/>
    </row>
    <row r="804">
      <c r="A804" s="309"/>
      <c r="B804" s="426" t="s">
        <v>3098</v>
      </c>
      <c r="C804" s="379" t="s">
        <v>3092</v>
      </c>
      <c r="D804" s="311" t="s">
        <v>3099</v>
      </c>
      <c r="E804" s="380" t="s">
        <v>3100</v>
      </c>
      <c r="F804" s="313"/>
      <c r="G804" s="313"/>
      <c r="H804" s="313"/>
      <c r="I804" s="313"/>
      <c r="J804" s="350" t="b">
        <v>1</v>
      </c>
      <c r="K804" s="314" t="b">
        <v>0</v>
      </c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  <c r="AI804" s="209"/>
      <c r="AJ804" s="209"/>
      <c r="AK804" s="209"/>
    </row>
    <row r="805">
      <c r="A805" s="209"/>
      <c r="B805" s="209"/>
      <c r="C805" s="209"/>
      <c r="D805" s="209"/>
      <c r="E805" s="209"/>
      <c r="F805" s="344"/>
      <c r="G805" s="344"/>
      <c r="H805" s="344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  <c r="AI805" s="209"/>
      <c r="AJ805" s="209"/>
      <c r="AK805" s="209"/>
    </row>
    <row r="806">
      <c r="A806" s="271" t="s">
        <v>3101</v>
      </c>
      <c r="B806" s="339" t="s">
        <v>3102</v>
      </c>
      <c r="C806" s="320"/>
      <c r="D806" s="283" t="s">
        <v>3103</v>
      </c>
      <c r="E806" s="402" t="s">
        <v>116</v>
      </c>
      <c r="F806" s="320"/>
      <c r="G806" s="320"/>
      <c r="H806" s="276" t="s">
        <v>468</v>
      </c>
      <c r="I806" s="285" t="s">
        <v>3104</v>
      </c>
      <c r="J806" s="278" t="str">
        <f>IF(COUNTIF(J807:J810, TRUE) = COUNTA(J807:J810), "Complete!", IF(COUNTIF(J807:J810, TRUE) &gt; 0, "Partial", "Not Started"))</f>
        <v>Complete!</v>
      </c>
      <c r="K806" s="279"/>
      <c r="L806" s="280">
        <v>4.0</v>
      </c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  <c r="AI806" s="209"/>
      <c r="AJ806" s="209"/>
      <c r="AK806" s="209"/>
    </row>
    <row r="807">
      <c r="A807" s="291"/>
      <c r="B807" s="304" t="s">
        <v>3105</v>
      </c>
      <c r="C807" s="304" t="s">
        <v>617</v>
      </c>
      <c r="D807" s="304" t="s">
        <v>3106</v>
      </c>
      <c r="E807" s="375">
        <v>8.10115974628E11</v>
      </c>
      <c r="F807" s="209"/>
      <c r="G807" s="209"/>
      <c r="H807" s="209"/>
      <c r="I807" s="209"/>
      <c r="J807" s="300" t="b">
        <v>1</v>
      </c>
      <c r="K807" s="301" t="b">
        <v>0</v>
      </c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  <c r="AI807" s="209"/>
      <c r="AJ807" s="209"/>
      <c r="AK807" s="209"/>
    </row>
    <row r="808">
      <c r="A808" s="291"/>
      <c r="B808" s="304" t="s">
        <v>3107</v>
      </c>
      <c r="C808" s="304" t="s">
        <v>617</v>
      </c>
      <c r="D808" s="304" t="s">
        <v>3108</v>
      </c>
      <c r="E808" s="305">
        <v>8.10115974642E11</v>
      </c>
      <c r="F808" s="209"/>
      <c r="G808" s="209"/>
      <c r="H808" s="209"/>
      <c r="I808" s="209"/>
      <c r="J808" s="300" t="b">
        <v>1</v>
      </c>
      <c r="K808" s="301" t="b">
        <v>0</v>
      </c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  <c r="AI808" s="209"/>
      <c r="AJ808" s="209"/>
      <c r="AK808" s="209"/>
    </row>
    <row r="809">
      <c r="A809" s="291"/>
      <c r="B809" s="304" t="s">
        <v>3109</v>
      </c>
      <c r="C809" s="304" t="s">
        <v>617</v>
      </c>
      <c r="D809" s="304" t="s">
        <v>3110</v>
      </c>
      <c r="E809" s="305">
        <v>8.10115974635E11</v>
      </c>
      <c r="F809" s="209"/>
      <c r="G809" s="209"/>
      <c r="H809" s="209"/>
      <c r="I809" s="209"/>
      <c r="J809" s="300" t="b">
        <v>1</v>
      </c>
      <c r="K809" s="301" t="b">
        <v>0</v>
      </c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  <c r="AI809" s="209"/>
      <c r="AJ809" s="209"/>
      <c r="AK809" s="209"/>
    </row>
    <row r="810">
      <c r="A810" s="291"/>
      <c r="B810" s="426" t="s">
        <v>3111</v>
      </c>
      <c r="C810" s="311" t="s">
        <v>617</v>
      </c>
      <c r="D810" s="311" t="s">
        <v>3112</v>
      </c>
      <c r="E810" s="312">
        <v>8.10115975366E11</v>
      </c>
      <c r="F810" s="313"/>
      <c r="G810" s="313"/>
      <c r="H810" s="313"/>
      <c r="I810" s="313"/>
      <c r="J810" s="350" t="b">
        <v>1</v>
      </c>
      <c r="K810" s="314" t="b">
        <v>0</v>
      </c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  <c r="AI810" s="209"/>
      <c r="AJ810" s="209"/>
      <c r="AK810" s="209"/>
    </row>
    <row r="811">
      <c r="A811" s="313"/>
      <c r="B811" s="313"/>
      <c r="C811" s="313"/>
      <c r="D811" s="313"/>
      <c r="E811" s="313"/>
      <c r="F811" s="344"/>
      <c r="G811" s="344"/>
      <c r="H811" s="344"/>
      <c r="I811" s="313"/>
      <c r="J811" s="313"/>
      <c r="K811" s="313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  <c r="AI811" s="209"/>
      <c r="AJ811" s="209"/>
      <c r="AK811" s="209"/>
    </row>
    <row r="812">
      <c r="A812" s="271" t="s">
        <v>3113</v>
      </c>
      <c r="B812" s="428" t="s">
        <v>3114</v>
      </c>
      <c r="C812" s="429"/>
      <c r="D812" s="430" t="s">
        <v>3115</v>
      </c>
      <c r="E812" s="431" t="s">
        <v>116</v>
      </c>
      <c r="F812" s="320"/>
      <c r="G812" s="320"/>
      <c r="H812" s="276" t="s">
        <v>468</v>
      </c>
      <c r="I812" s="432" t="s">
        <v>3116</v>
      </c>
      <c r="J812" s="278" t="str">
        <f>IF(COUNTIF(J813:J816, TRUE) = COUNTA(J813:J816), "Complete!", IF(COUNTIF(J813:J816, TRUE) &gt; 0, "Partial", "Not Started"))</f>
        <v>Complete!</v>
      </c>
      <c r="K812" s="279"/>
      <c r="L812" s="280">
        <v>4.0</v>
      </c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  <c r="AI812" s="209"/>
      <c r="AJ812" s="209"/>
      <c r="AK812" s="209"/>
    </row>
    <row r="813">
      <c r="A813" s="291"/>
      <c r="B813" s="377" t="s">
        <v>3117</v>
      </c>
      <c r="C813" s="377" t="s">
        <v>394</v>
      </c>
      <c r="D813" s="304" t="s">
        <v>3118</v>
      </c>
      <c r="E813" s="406">
        <v>8.10115974802E11</v>
      </c>
      <c r="F813" s="209"/>
      <c r="G813" s="209"/>
      <c r="H813" s="209"/>
      <c r="I813" s="209"/>
      <c r="J813" s="300" t="b">
        <v>1</v>
      </c>
      <c r="K813" s="301" t="b">
        <v>0</v>
      </c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  <c r="AI813" s="209"/>
      <c r="AJ813" s="209"/>
      <c r="AK813" s="209"/>
    </row>
    <row r="814">
      <c r="A814" s="291"/>
      <c r="B814" s="377" t="s">
        <v>3119</v>
      </c>
      <c r="C814" s="377" t="s">
        <v>394</v>
      </c>
      <c r="D814" s="304" t="s">
        <v>3120</v>
      </c>
      <c r="E814" s="406" t="s">
        <v>3121</v>
      </c>
      <c r="F814" s="209"/>
      <c r="G814" s="209"/>
      <c r="H814" s="209"/>
      <c r="I814" s="209"/>
      <c r="J814" s="300" t="b">
        <v>1</v>
      </c>
      <c r="K814" s="301" t="b">
        <v>0</v>
      </c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  <c r="AI814" s="209"/>
      <c r="AJ814" s="209"/>
      <c r="AK814" s="209"/>
    </row>
    <row r="815">
      <c r="A815" s="291"/>
      <c r="B815" s="377" t="s">
        <v>3122</v>
      </c>
      <c r="C815" s="377" t="s">
        <v>394</v>
      </c>
      <c r="D815" s="304" t="s">
        <v>3123</v>
      </c>
      <c r="E815" s="406" t="s">
        <v>3124</v>
      </c>
      <c r="F815" s="209"/>
      <c r="G815" s="209"/>
      <c r="H815" s="209"/>
      <c r="I815" s="209"/>
      <c r="J815" s="300" t="b">
        <v>1</v>
      </c>
      <c r="K815" s="301" t="b">
        <v>0</v>
      </c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  <c r="AI815" s="209"/>
      <c r="AJ815" s="209"/>
      <c r="AK815" s="209"/>
    </row>
    <row r="816">
      <c r="A816" s="309"/>
      <c r="B816" s="433" t="s">
        <v>3125</v>
      </c>
      <c r="C816" s="379" t="s">
        <v>394</v>
      </c>
      <c r="D816" s="311" t="s">
        <v>3126</v>
      </c>
      <c r="E816" s="425">
        <v>8.10115974826E11</v>
      </c>
      <c r="F816" s="313"/>
      <c r="G816" s="313"/>
      <c r="H816" s="313"/>
      <c r="I816" s="313"/>
      <c r="J816" s="350" t="b">
        <v>1</v>
      </c>
      <c r="K816" s="314" t="b">
        <v>0</v>
      </c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  <c r="AI816" s="209"/>
      <c r="AJ816" s="209"/>
      <c r="AK816" s="209"/>
    </row>
    <row r="817">
      <c r="A817" s="313"/>
      <c r="B817" s="209"/>
      <c r="C817" s="209"/>
      <c r="D817" s="209"/>
      <c r="E817" s="353"/>
      <c r="F817" s="344"/>
      <c r="G817" s="344"/>
      <c r="H817" s="344"/>
      <c r="I817" s="209"/>
      <c r="J817" s="313"/>
      <c r="K817" s="313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  <c r="AI817" s="209"/>
      <c r="AJ817" s="209"/>
      <c r="AK817" s="209"/>
    </row>
    <row r="818">
      <c r="A818" s="316" t="s">
        <v>3127</v>
      </c>
      <c r="B818" s="339" t="s">
        <v>3128</v>
      </c>
      <c r="C818" s="320"/>
      <c r="D818" s="283" t="s">
        <v>3129</v>
      </c>
      <c r="E818" s="402" t="s">
        <v>116</v>
      </c>
      <c r="F818" s="320"/>
      <c r="G818" s="320"/>
      <c r="H818" s="276" t="s">
        <v>370</v>
      </c>
      <c r="I818" s="285" t="s">
        <v>469</v>
      </c>
      <c r="J818" s="278" t="str">
        <f>IF(COUNTIF(J819:J822, TRUE) = COUNTA(J819:J822), "Complete!", IF(COUNTIF(J819:J822, TRUE) &gt; 0, "Partial", "Not Started"))</f>
        <v>Complete!</v>
      </c>
      <c r="K818" s="279"/>
      <c r="L818" s="280">
        <v>4.0</v>
      </c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  <c r="AI818" s="209"/>
      <c r="AJ818" s="209"/>
      <c r="AK818" s="209"/>
    </row>
    <row r="819">
      <c r="A819" s="291"/>
      <c r="B819" s="304" t="s">
        <v>3130</v>
      </c>
      <c r="C819" s="304" t="s">
        <v>726</v>
      </c>
      <c r="D819" s="304" t="s">
        <v>3131</v>
      </c>
      <c r="E819" s="375">
        <v>8.10115974925E11</v>
      </c>
      <c r="F819" s="209"/>
      <c r="G819" s="209"/>
      <c r="H819" s="209"/>
      <c r="I819" s="209"/>
      <c r="J819" s="300" t="b">
        <v>1</v>
      </c>
      <c r="K819" s="301" t="b">
        <v>0</v>
      </c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  <c r="AI819" s="209"/>
      <c r="AJ819" s="209"/>
      <c r="AK819" s="209"/>
    </row>
    <row r="820">
      <c r="A820" s="291"/>
      <c r="B820" s="304" t="s">
        <v>3132</v>
      </c>
      <c r="C820" s="304" t="s">
        <v>726</v>
      </c>
      <c r="D820" s="304" t="s">
        <v>3133</v>
      </c>
      <c r="E820" s="375">
        <v>8.10115974932E11</v>
      </c>
      <c r="F820" s="209"/>
      <c r="G820" s="209"/>
      <c r="H820" s="209"/>
      <c r="I820" s="209"/>
      <c r="J820" s="300" t="b">
        <v>1</v>
      </c>
      <c r="K820" s="301" t="b">
        <v>0</v>
      </c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  <c r="AI820" s="209"/>
      <c r="AJ820" s="209"/>
      <c r="AK820" s="209"/>
    </row>
    <row r="821">
      <c r="A821" s="291"/>
      <c r="B821" s="304" t="s">
        <v>3134</v>
      </c>
      <c r="C821" s="304" t="s">
        <v>726</v>
      </c>
      <c r="D821" s="304" t="s">
        <v>3135</v>
      </c>
      <c r="E821" s="305">
        <v>8.10115975465E11</v>
      </c>
      <c r="F821" s="209"/>
      <c r="G821" s="209"/>
      <c r="H821" s="209"/>
      <c r="I821" s="209"/>
      <c r="J821" s="300" t="b">
        <v>1</v>
      </c>
      <c r="K821" s="301" t="b">
        <v>0</v>
      </c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  <c r="AI821" s="209"/>
      <c r="AJ821" s="209"/>
      <c r="AK821" s="209"/>
    </row>
    <row r="822">
      <c r="A822" s="309"/>
      <c r="B822" s="426" t="s">
        <v>3136</v>
      </c>
      <c r="C822" s="311" t="s">
        <v>726</v>
      </c>
      <c r="D822" s="311" t="s">
        <v>3137</v>
      </c>
      <c r="E822" s="312">
        <v>8.10115974949E11</v>
      </c>
      <c r="F822" s="313"/>
      <c r="G822" s="313"/>
      <c r="H822" s="313"/>
      <c r="I822" s="313"/>
      <c r="J822" s="350" t="b">
        <v>1</v>
      </c>
      <c r="K822" s="314" t="b">
        <v>0</v>
      </c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  <c r="AI822" s="209"/>
      <c r="AJ822" s="209"/>
      <c r="AK822" s="209"/>
    </row>
    <row r="823">
      <c r="A823" s="313"/>
      <c r="B823" s="209"/>
      <c r="C823" s="209"/>
      <c r="D823" s="209"/>
      <c r="E823" s="209"/>
      <c r="F823" s="344"/>
      <c r="G823" s="344"/>
      <c r="H823" s="344"/>
      <c r="I823" s="209"/>
      <c r="J823" s="313"/>
      <c r="K823" s="313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  <c r="AI823" s="209"/>
      <c r="AJ823" s="209"/>
      <c r="AK823" s="209"/>
    </row>
    <row r="824">
      <c r="A824" s="316" t="s">
        <v>3138</v>
      </c>
      <c r="B824" s="339" t="s">
        <v>3139</v>
      </c>
      <c r="C824" s="320"/>
      <c r="D824" s="283" t="s">
        <v>3140</v>
      </c>
      <c r="E824" s="322" t="s">
        <v>116</v>
      </c>
      <c r="F824" s="320"/>
      <c r="G824" s="320"/>
      <c r="H824" s="276" t="s">
        <v>468</v>
      </c>
      <c r="I824" s="285" t="s">
        <v>3141</v>
      </c>
      <c r="J824" s="278" t="str">
        <f>IF(COUNTIF(J825:J828, TRUE) = COUNTA(J825:J828), "Complete!", IF(COUNTIF(J825:J828, TRUE) &gt; 0, "Partial", "Not Started"))</f>
        <v>Complete!</v>
      </c>
      <c r="K824" s="279"/>
      <c r="L824" s="280">
        <v>4.0</v>
      </c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  <c r="AI824" s="209"/>
      <c r="AJ824" s="209"/>
      <c r="AK824" s="209"/>
    </row>
    <row r="825">
      <c r="A825" s="291"/>
      <c r="B825" s="377" t="s">
        <v>3142</v>
      </c>
      <c r="C825" s="377" t="s">
        <v>3143</v>
      </c>
      <c r="D825" s="304" t="s">
        <v>3144</v>
      </c>
      <c r="E825" s="395">
        <v>8.10115974956E11</v>
      </c>
      <c r="F825" s="209"/>
      <c r="G825" s="209"/>
      <c r="H825" s="209"/>
      <c r="I825" s="209"/>
      <c r="J825" s="300" t="b">
        <v>1</v>
      </c>
      <c r="K825" s="301" t="b">
        <v>0</v>
      </c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  <c r="AI825" s="209"/>
      <c r="AJ825" s="209"/>
      <c r="AK825" s="209"/>
    </row>
    <row r="826">
      <c r="A826" s="291"/>
      <c r="B826" s="377" t="s">
        <v>3145</v>
      </c>
      <c r="C826" s="377" t="s">
        <v>3143</v>
      </c>
      <c r="D826" s="304" t="s">
        <v>3146</v>
      </c>
      <c r="E826" s="406" t="s">
        <v>3147</v>
      </c>
      <c r="F826" s="209"/>
      <c r="G826" s="209"/>
      <c r="H826" s="209"/>
      <c r="I826" s="209"/>
      <c r="J826" s="300" t="b">
        <v>1</v>
      </c>
      <c r="K826" s="301" t="b">
        <v>0</v>
      </c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  <c r="AI826" s="209"/>
      <c r="AJ826" s="209"/>
      <c r="AK826" s="209"/>
    </row>
    <row r="827">
      <c r="A827" s="291"/>
      <c r="B827" s="377" t="s">
        <v>3148</v>
      </c>
      <c r="C827" s="377" t="s">
        <v>3143</v>
      </c>
      <c r="D827" s="304" t="s">
        <v>3149</v>
      </c>
      <c r="E827" s="406" t="s">
        <v>3150</v>
      </c>
      <c r="F827" s="209"/>
      <c r="G827" s="209"/>
      <c r="H827" s="209"/>
      <c r="I827" s="209"/>
      <c r="J827" s="300" t="b">
        <v>1</v>
      </c>
      <c r="K827" s="301" t="b">
        <v>0</v>
      </c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  <c r="AI827" s="209"/>
      <c r="AJ827" s="209"/>
      <c r="AK827" s="209"/>
    </row>
    <row r="828">
      <c r="A828" s="309"/>
      <c r="B828" s="433" t="s">
        <v>3151</v>
      </c>
      <c r="C828" s="379" t="s">
        <v>3143</v>
      </c>
      <c r="D828" s="311" t="s">
        <v>3152</v>
      </c>
      <c r="E828" s="425">
        <v>8.1011597497E11</v>
      </c>
      <c r="F828" s="313"/>
      <c r="G828" s="313"/>
      <c r="H828" s="313"/>
      <c r="I828" s="313"/>
      <c r="J828" s="350" t="b">
        <v>1</v>
      </c>
      <c r="K828" s="314" t="b">
        <v>0</v>
      </c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  <c r="AI828" s="209"/>
      <c r="AJ828" s="209"/>
      <c r="AK828" s="209"/>
    </row>
    <row r="829">
      <c r="A829" s="209"/>
      <c r="B829" s="209"/>
      <c r="C829" s="209"/>
      <c r="D829" s="209"/>
      <c r="E829" s="209"/>
      <c r="F829" s="344"/>
      <c r="G829" s="344"/>
      <c r="H829" s="344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  <c r="AI829" s="209"/>
      <c r="AJ829" s="209"/>
      <c r="AK829" s="209"/>
    </row>
    <row r="830">
      <c r="A830" s="316" t="s">
        <v>3153</v>
      </c>
      <c r="B830" s="319" t="s">
        <v>3154</v>
      </c>
      <c r="C830" s="320"/>
      <c r="D830" s="283" t="s">
        <v>3155</v>
      </c>
      <c r="E830" s="322" t="s">
        <v>116</v>
      </c>
      <c r="F830" s="320"/>
      <c r="G830" s="320"/>
      <c r="H830" s="276" t="s">
        <v>1796</v>
      </c>
      <c r="I830" s="285" t="s">
        <v>3156</v>
      </c>
      <c r="J830" s="278" t="str">
        <f>IF(COUNTIF(J831:J854, TRUE) = COUNTA(J831:J854), "Complete!", IF(COUNTIF(J831:J854, TRUE) &gt; 0, "Partial", "Not Started"))</f>
        <v>Complete!</v>
      </c>
      <c r="K830" s="279"/>
      <c r="L830" s="280">
        <v>24.0</v>
      </c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  <c r="AI830" s="209"/>
      <c r="AJ830" s="209"/>
      <c r="AK830" s="209"/>
    </row>
    <row r="831">
      <c r="A831" s="291"/>
      <c r="B831" s="303" t="s">
        <v>3157</v>
      </c>
      <c r="C831" s="304" t="s">
        <v>3158</v>
      </c>
      <c r="D831" s="304" t="s">
        <v>3159</v>
      </c>
      <c r="E831" s="305">
        <v>8.10115975045E11</v>
      </c>
      <c r="F831" s="209"/>
      <c r="G831" s="209"/>
      <c r="H831" s="209"/>
      <c r="I831" s="209"/>
      <c r="J831" s="300" t="b">
        <v>1</v>
      </c>
      <c r="K831" s="301" t="b">
        <v>0</v>
      </c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  <c r="AI831" s="209"/>
      <c r="AJ831" s="209"/>
      <c r="AK831" s="209"/>
    </row>
    <row r="832">
      <c r="A832" s="291"/>
      <c r="B832" s="376" t="s">
        <v>3160</v>
      </c>
      <c r="C832" s="304" t="s">
        <v>3158</v>
      </c>
      <c r="D832" s="304" t="s">
        <v>3161</v>
      </c>
      <c r="E832" s="305">
        <v>8.10115975052E11</v>
      </c>
      <c r="F832" s="209"/>
      <c r="G832" s="209"/>
      <c r="H832" s="209"/>
      <c r="I832" s="209"/>
      <c r="J832" s="300" t="b">
        <v>1</v>
      </c>
      <c r="K832" s="301" t="b">
        <v>0</v>
      </c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  <c r="AI832" s="209"/>
      <c r="AJ832" s="209"/>
      <c r="AK832" s="209"/>
    </row>
    <row r="833">
      <c r="A833" s="291"/>
      <c r="B833" s="376" t="s">
        <v>3162</v>
      </c>
      <c r="C833" s="304" t="s">
        <v>3158</v>
      </c>
      <c r="D833" s="304" t="s">
        <v>3163</v>
      </c>
      <c r="E833" s="305">
        <v>8.10115975502E11</v>
      </c>
      <c r="F833" s="209"/>
      <c r="G833" s="209"/>
      <c r="H833" s="209"/>
      <c r="I833" s="209"/>
      <c r="J833" s="300" t="b">
        <v>1</v>
      </c>
      <c r="K833" s="301" t="b">
        <v>0</v>
      </c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  <c r="AI833" s="209"/>
      <c r="AJ833" s="209"/>
      <c r="AK833" s="209"/>
    </row>
    <row r="834">
      <c r="A834" s="291"/>
      <c r="B834" s="354" t="s">
        <v>3164</v>
      </c>
      <c r="C834" s="304" t="s">
        <v>3158</v>
      </c>
      <c r="D834" s="304" t="s">
        <v>3165</v>
      </c>
      <c r="E834" s="305">
        <v>8.10115975069E11</v>
      </c>
      <c r="F834" s="209"/>
      <c r="G834" s="209"/>
      <c r="H834" s="209"/>
      <c r="I834" s="209"/>
      <c r="J834" s="300" t="b">
        <v>1</v>
      </c>
      <c r="K834" s="301" t="b">
        <v>0</v>
      </c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  <c r="AI834" s="209"/>
      <c r="AJ834" s="209"/>
      <c r="AK834" s="209"/>
    </row>
    <row r="835">
      <c r="A835" s="291"/>
      <c r="B835" s="303" t="s">
        <v>3166</v>
      </c>
      <c r="C835" s="304" t="s">
        <v>3167</v>
      </c>
      <c r="D835" s="304" t="s">
        <v>3168</v>
      </c>
      <c r="E835" s="375" t="s">
        <v>3169</v>
      </c>
      <c r="F835" s="209"/>
      <c r="G835" s="209"/>
      <c r="H835" s="209"/>
      <c r="I835" s="209"/>
      <c r="J835" s="300" t="b">
        <v>1</v>
      </c>
      <c r="K835" s="301" t="b">
        <v>0</v>
      </c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  <c r="AI835" s="209"/>
      <c r="AJ835" s="209"/>
      <c r="AK835" s="209"/>
    </row>
    <row r="836">
      <c r="A836" s="291"/>
      <c r="B836" s="376" t="s">
        <v>3170</v>
      </c>
      <c r="C836" s="304" t="s">
        <v>3167</v>
      </c>
      <c r="D836" s="304" t="s">
        <v>3171</v>
      </c>
      <c r="E836" s="375" t="s">
        <v>3172</v>
      </c>
      <c r="F836" s="209"/>
      <c r="G836" s="209"/>
      <c r="H836" s="209"/>
      <c r="I836" s="209"/>
      <c r="J836" s="300" t="b">
        <v>1</v>
      </c>
      <c r="K836" s="301" t="b">
        <v>0</v>
      </c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  <c r="AI836" s="209"/>
      <c r="AJ836" s="209"/>
      <c r="AK836" s="209"/>
    </row>
    <row r="837">
      <c r="A837" s="291"/>
      <c r="B837" s="376" t="s">
        <v>3173</v>
      </c>
      <c r="C837" s="304" t="s">
        <v>3167</v>
      </c>
      <c r="D837" s="304" t="s">
        <v>3174</v>
      </c>
      <c r="E837" s="375" t="s">
        <v>3175</v>
      </c>
      <c r="F837" s="209"/>
      <c r="G837" s="209"/>
      <c r="H837" s="209"/>
      <c r="I837" s="209"/>
      <c r="J837" s="300" t="b">
        <v>1</v>
      </c>
      <c r="K837" s="301" t="b">
        <v>0</v>
      </c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  <c r="AI837" s="209"/>
      <c r="AJ837" s="209"/>
      <c r="AK837" s="209"/>
    </row>
    <row r="838">
      <c r="A838" s="291"/>
      <c r="B838" s="303" t="s">
        <v>3176</v>
      </c>
      <c r="C838" s="304" t="s">
        <v>3167</v>
      </c>
      <c r="D838" s="304" t="s">
        <v>3177</v>
      </c>
      <c r="E838" s="375" t="s">
        <v>3178</v>
      </c>
      <c r="F838" s="209"/>
      <c r="G838" s="209"/>
      <c r="H838" s="209"/>
      <c r="I838" s="209"/>
      <c r="J838" s="300" t="b">
        <v>1</v>
      </c>
      <c r="K838" s="301" t="b">
        <v>0</v>
      </c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  <c r="AI838" s="209"/>
      <c r="AJ838" s="209"/>
      <c r="AK838" s="209"/>
    </row>
    <row r="839">
      <c r="A839" s="291"/>
      <c r="B839" s="303" t="s">
        <v>3179</v>
      </c>
      <c r="C839" s="410" t="s">
        <v>3180</v>
      </c>
      <c r="D839" s="304" t="s">
        <v>3181</v>
      </c>
      <c r="E839" s="375" t="s">
        <v>3182</v>
      </c>
      <c r="F839" s="209"/>
      <c r="G839" s="209"/>
      <c r="H839" s="209"/>
      <c r="I839" s="209"/>
      <c r="J839" s="300" t="b">
        <v>1</v>
      </c>
      <c r="K839" s="301" t="b">
        <v>0</v>
      </c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  <c r="AI839" s="209"/>
      <c r="AJ839" s="209"/>
      <c r="AK839" s="209"/>
    </row>
    <row r="840">
      <c r="A840" s="291"/>
      <c r="B840" s="396" t="s">
        <v>3183</v>
      </c>
      <c r="C840" s="410" t="s">
        <v>3180</v>
      </c>
      <c r="D840" s="304" t="s">
        <v>3184</v>
      </c>
      <c r="E840" s="375" t="s">
        <v>3185</v>
      </c>
      <c r="F840" s="209"/>
      <c r="G840" s="209"/>
      <c r="H840" s="209"/>
      <c r="I840" s="209"/>
      <c r="J840" s="300" t="b">
        <v>1</v>
      </c>
      <c r="K840" s="301" t="b">
        <v>0</v>
      </c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  <c r="AI840" s="209"/>
      <c r="AJ840" s="209"/>
      <c r="AK840" s="209"/>
    </row>
    <row r="841">
      <c r="A841" s="291"/>
      <c r="B841" s="376" t="s">
        <v>3186</v>
      </c>
      <c r="C841" s="410" t="s">
        <v>3180</v>
      </c>
      <c r="D841" s="304" t="s">
        <v>3187</v>
      </c>
      <c r="E841" s="375" t="s">
        <v>3188</v>
      </c>
      <c r="F841" s="209"/>
      <c r="G841" s="209"/>
      <c r="H841" s="209"/>
      <c r="I841" s="209"/>
      <c r="J841" s="300" t="b">
        <v>1</v>
      </c>
      <c r="K841" s="301" t="b">
        <v>0</v>
      </c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  <c r="AI841" s="209"/>
      <c r="AJ841" s="209"/>
      <c r="AK841" s="209"/>
    </row>
    <row r="842">
      <c r="A842" s="291"/>
      <c r="B842" s="303" t="s">
        <v>3189</v>
      </c>
      <c r="C842" s="410" t="s">
        <v>3180</v>
      </c>
      <c r="D842" s="304" t="s">
        <v>3190</v>
      </c>
      <c r="E842" s="375" t="s">
        <v>3191</v>
      </c>
      <c r="F842" s="209"/>
      <c r="G842" s="209"/>
      <c r="H842" s="209"/>
      <c r="I842" s="209"/>
      <c r="J842" s="300" t="b">
        <v>1</v>
      </c>
      <c r="K842" s="301" t="b">
        <v>0</v>
      </c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  <c r="AI842" s="209"/>
      <c r="AJ842" s="209"/>
      <c r="AK842" s="209"/>
    </row>
    <row r="843">
      <c r="A843" s="291"/>
      <c r="B843" s="376" t="s">
        <v>3192</v>
      </c>
      <c r="C843" s="377" t="s">
        <v>3193</v>
      </c>
      <c r="D843" s="304" t="s">
        <v>3194</v>
      </c>
      <c r="E843" s="406">
        <v>8.10115978916E11</v>
      </c>
      <c r="F843" s="209"/>
      <c r="G843" s="209"/>
      <c r="H843" s="209"/>
      <c r="I843" s="209"/>
      <c r="J843" s="300" t="b">
        <v>1</v>
      </c>
      <c r="K843" s="301" t="b">
        <v>0</v>
      </c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  <c r="AI843" s="209"/>
      <c r="AJ843" s="209"/>
      <c r="AK843" s="209"/>
    </row>
    <row r="844">
      <c r="A844" s="291"/>
      <c r="B844" s="376" t="s">
        <v>3195</v>
      </c>
      <c r="C844" s="377" t="s">
        <v>3193</v>
      </c>
      <c r="D844" s="304" t="s">
        <v>3196</v>
      </c>
      <c r="E844" s="305">
        <v>8.10115978909E11</v>
      </c>
      <c r="F844" s="209"/>
      <c r="G844" s="209"/>
      <c r="H844" s="209"/>
      <c r="I844" s="209"/>
      <c r="J844" s="300" t="b">
        <v>1</v>
      </c>
      <c r="K844" s="301" t="b">
        <v>0</v>
      </c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  <c r="AI844" s="209"/>
      <c r="AJ844" s="209"/>
      <c r="AK844" s="209"/>
    </row>
    <row r="845">
      <c r="A845" s="291"/>
      <c r="B845" s="376" t="s">
        <v>3197</v>
      </c>
      <c r="C845" s="377" t="s">
        <v>3193</v>
      </c>
      <c r="D845" s="304" t="s">
        <v>3198</v>
      </c>
      <c r="E845" s="305">
        <v>8.10115977131E11</v>
      </c>
      <c r="F845" s="209"/>
      <c r="G845" s="209"/>
      <c r="H845" s="209"/>
      <c r="I845" s="209"/>
      <c r="J845" s="300" t="b">
        <v>1</v>
      </c>
      <c r="K845" s="301" t="b">
        <v>0</v>
      </c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  <c r="AI845" s="209"/>
      <c r="AJ845" s="209"/>
      <c r="AK845" s="209"/>
    </row>
    <row r="846">
      <c r="A846" s="291"/>
      <c r="B846" s="354" t="s">
        <v>3199</v>
      </c>
      <c r="C846" s="377" t="s">
        <v>3193</v>
      </c>
      <c r="D846" s="304" t="s">
        <v>3200</v>
      </c>
      <c r="E846" s="375" t="s">
        <v>3201</v>
      </c>
      <c r="F846" s="209"/>
      <c r="G846" s="209"/>
      <c r="H846" s="209"/>
      <c r="I846" s="209"/>
      <c r="J846" s="300" t="b">
        <v>1</v>
      </c>
      <c r="K846" s="301" t="b">
        <v>0</v>
      </c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  <c r="AI846" s="209"/>
      <c r="AJ846" s="209"/>
      <c r="AK846" s="209"/>
    </row>
    <row r="847">
      <c r="A847" s="291"/>
      <c r="B847" s="303" t="s">
        <v>3202</v>
      </c>
      <c r="C847" s="304" t="s">
        <v>3203</v>
      </c>
      <c r="D847" s="304" t="s">
        <v>3204</v>
      </c>
      <c r="E847" s="375">
        <v>8.10115978817E11</v>
      </c>
      <c r="F847" s="209"/>
      <c r="G847" s="209"/>
      <c r="H847" s="209"/>
      <c r="I847" s="209"/>
      <c r="J847" s="300" t="b">
        <v>1</v>
      </c>
      <c r="K847" s="301" t="b">
        <v>0</v>
      </c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  <c r="AI847" s="209"/>
      <c r="AJ847" s="209"/>
      <c r="AK847" s="209"/>
    </row>
    <row r="848">
      <c r="A848" s="291"/>
      <c r="B848" s="376" t="s">
        <v>3205</v>
      </c>
      <c r="C848" s="304" t="s">
        <v>3203</v>
      </c>
      <c r="D848" s="304" t="s">
        <v>3206</v>
      </c>
      <c r="E848" s="305">
        <v>8.10115978824E11</v>
      </c>
      <c r="F848" s="209"/>
      <c r="G848" s="209"/>
      <c r="H848" s="209"/>
      <c r="I848" s="209"/>
      <c r="J848" s="300" t="b">
        <v>1</v>
      </c>
      <c r="K848" s="301" t="b">
        <v>0</v>
      </c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  <c r="AI848" s="209"/>
      <c r="AJ848" s="209"/>
      <c r="AK848" s="209"/>
    </row>
    <row r="849">
      <c r="A849" s="291"/>
      <c r="B849" s="376" t="s">
        <v>3207</v>
      </c>
      <c r="C849" s="304" t="s">
        <v>3203</v>
      </c>
      <c r="D849" s="304" t="s">
        <v>3208</v>
      </c>
      <c r="E849" s="305">
        <v>8.10115977148E11</v>
      </c>
      <c r="F849" s="209"/>
      <c r="G849" s="209"/>
      <c r="H849" s="209"/>
      <c r="I849" s="209"/>
      <c r="J849" s="300" t="b">
        <v>1</v>
      </c>
      <c r="K849" s="301" t="b">
        <v>0</v>
      </c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  <c r="AI849" s="209"/>
      <c r="AJ849" s="209"/>
      <c r="AK849" s="209"/>
    </row>
    <row r="850">
      <c r="A850" s="291"/>
      <c r="B850" s="303" t="s">
        <v>3209</v>
      </c>
      <c r="C850" s="304" t="s">
        <v>3203</v>
      </c>
      <c r="D850" s="304" t="s">
        <v>3210</v>
      </c>
      <c r="E850" s="305">
        <v>8.101159788E11</v>
      </c>
      <c r="F850" s="209"/>
      <c r="G850" s="209"/>
      <c r="H850" s="209"/>
      <c r="I850" s="209"/>
      <c r="J850" s="300" t="b">
        <v>1</v>
      </c>
      <c r="K850" s="301" t="b">
        <v>0</v>
      </c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  <c r="AK850" s="209"/>
    </row>
    <row r="851">
      <c r="A851" s="291"/>
      <c r="B851" s="376" t="s">
        <v>3211</v>
      </c>
      <c r="C851" s="377" t="s">
        <v>3212</v>
      </c>
      <c r="D851" s="304" t="s">
        <v>3213</v>
      </c>
      <c r="E851" s="395">
        <v>8.10115978855E11</v>
      </c>
      <c r="F851" s="209"/>
      <c r="G851" s="209"/>
      <c r="H851" s="209"/>
      <c r="I851" s="209"/>
      <c r="J851" s="300" t="b">
        <v>1</v>
      </c>
      <c r="K851" s="301" t="b">
        <v>0</v>
      </c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  <c r="AI851" s="209"/>
      <c r="AJ851" s="209"/>
      <c r="AK851" s="209"/>
    </row>
    <row r="852">
      <c r="A852" s="291"/>
      <c r="B852" s="396" t="s">
        <v>3214</v>
      </c>
      <c r="C852" s="377" t="s">
        <v>3212</v>
      </c>
      <c r="D852" s="304" t="s">
        <v>3215</v>
      </c>
      <c r="E852" s="305">
        <v>8.10115978848E11</v>
      </c>
      <c r="F852" s="209"/>
      <c r="G852" s="209"/>
      <c r="H852" s="209"/>
      <c r="I852" s="209"/>
      <c r="J852" s="300" t="b">
        <v>1</v>
      </c>
      <c r="K852" s="301" t="b">
        <v>0</v>
      </c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  <c r="AI852" s="209"/>
      <c r="AJ852" s="209"/>
      <c r="AK852" s="209"/>
    </row>
    <row r="853">
      <c r="A853" s="291"/>
      <c r="B853" s="376" t="s">
        <v>3216</v>
      </c>
      <c r="C853" s="377" t="s">
        <v>3212</v>
      </c>
      <c r="D853" s="304" t="s">
        <v>3217</v>
      </c>
      <c r="E853" s="305">
        <v>8.10115977155E11</v>
      </c>
      <c r="F853" s="209"/>
      <c r="G853" s="209"/>
      <c r="H853" s="209"/>
      <c r="I853" s="209"/>
      <c r="J853" s="300" t="b">
        <v>1</v>
      </c>
      <c r="K853" s="301" t="b">
        <v>0</v>
      </c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  <c r="AI853" s="209"/>
      <c r="AJ853" s="209"/>
      <c r="AK853" s="209"/>
    </row>
    <row r="854">
      <c r="A854" s="309"/>
      <c r="B854" s="378" t="s">
        <v>3218</v>
      </c>
      <c r="C854" s="379" t="s">
        <v>3212</v>
      </c>
      <c r="D854" s="311" t="s">
        <v>3219</v>
      </c>
      <c r="E854" s="407">
        <v>8.10115978831E11</v>
      </c>
      <c r="F854" s="313"/>
      <c r="G854" s="313"/>
      <c r="H854" s="313"/>
      <c r="I854" s="313"/>
      <c r="J854" s="350" t="b">
        <v>1</v>
      </c>
      <c r="K854" s="314" t="b">
        <v>0</v>
      </c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  <c r="AK854" s="209"/>
    </row>
    <row r="855">
      <c r="A855" s="209"/>
      <c r="B855" s="209"/>
      <c r="C855" s="209"/>
      <c r="D855" s="209"/>
      <c r="E855" s="353"/>
      <c r="F855" s="344"/>
      <c r="G855" s="344"/>
      <c r="H855" s="344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  <c r="AK855" s="209"/>
    </row>
    <row r="856">
      <c r="A856" s="316" t="s">
        <v>3220</v>
      </c>
      <c r="B856" s="339" t="s">
        <v>3221</v>
      </c>
      <c r="C856" s="320"/>
      <c r="D856" s="283" t="s">
        <v>3222</v>
      </c>
      <c r="E856" s="322" t="s">
        <v>116</v>
      </c>
      <c r="F856" s="320"/>
      <c r="G856" s="320"/>
      <c r="H856" s="276" t="s">
        <v>468</v>
      </c>
      <c r="I856" s="285" t="s">
        <v>3223</v>
      </c>
      <c r="J856" s="278" t="str">
        <f>IF(COUNTIF(J857:J860, TRUE) = COUNTA(J857:J860), "Complete!", IF(COUNTIF(J857:J860, TRUE) &gt; 0, "Partial", "Not Started"))</f>
        <v>Complete!</v>
      </c>
      <c r="K856" s="279"/>
      <c r="L856" s="280">
        <v>4.0</v>
      </c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  <c r="AI856" s="209"/>
      <c r="AJ856" s="209"/>
      <c r="AK856" s="209"/>
    </row>
    <row r="857">
      <c r="A857" s="291"/>
      <c r="B857" s="377" t="s">
        <v>3224</v>
      </c>
      <c r="C857" s="377" t="s">
        <v>651</v>
      </c>
      <c r="D857" s="304" t="s">
        <v>3225</v>
      </c>
      <c r="E857" s="395">
        <v>8.4047250026E11</v>
      </c>
      <c r="F857" s="209"/>
      <c r="G857" s="209"/>
      <c r="H857" s="209"/>
      <c r="I857" s="209"/>
      <c r="J857" s="300" t="b">
        <v>1</v>
      </c>
      <c r="K857" s="301" t="b">
        <v>0</v>
      </c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  <c r="AI857" s="209"/>
      <c r="AJ857" s="209"/>
      <c r="AK857" s="209"/>
    </row>
    <row r="858">
      <c r="A858" s="291"/>
      <c r="B858" s="424" t="s">
        <v>3226</v>
      </c>
      <c r="C858" s="377" t="s">
        <v>651</v>
      </c>
      <c r="D858" s="304" t="s">
        <v>3227</v>
      </c>
      <c r="E858" s="406" t="s">
        <v>3228</v>
      </c>
      <c r="F858" s="209"/>
      <c r="G858" s="209"/>
      <c r="H858" s="209"/>
      <c r="I858" s="209"/>
      <c r="J858" s="300" t="b">
        <v>1</v>
      </c>
      <c r="K858" s="301" t="b">
        <v>0</v>
      </c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  <c r="AI858" s="209"/>
      <c r="AJ858" s="209"/>
      <c r="AK858" s="209"/>
    </row>
    <row r="859">
      <c r="A859" s="291"/>
      <c r="B859" s="377" t="s">
        <v>3229</v>
      </c>
      <c r="C859" s="377" t="s">
        <v>651</v>
      </c>
      <c r="D859" s="304" t="s">
        <v>3230</v>
      </c>
      <c r="E859" s="406" t="s">
        <v>3231</v>
      </c>
      <c r="F859" s="209"/>
      <c r="G859" s="209"/>
      <c r="H859" s="209"/>
      <c r="I859" s="209"/>
      <c r="J859" s="300" t="b">
        <v>1</v>
      </c>
      <c r="K859" s="301" t="b">
        <v>0</v>
      </c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  <c r="AI859" s="209"/>
      <c r="AJ859" s="209"/>
      <c r="AK859" s="209"/>
    </row>
    <row r="860">
      <c r="A860" s="309"/>
      <c r="B860" s="379" t="s">
        <v>3232</v>
      </c>
      <c r="C860" s="379" t="s">
        <v>651</v>
      </c>
      <c r="D860" s="311" t="s">
        <v>3233</v>
      </c>
      <c r="E860" s="425">
        <v>8.40472500291E11</v>
      </c>
      <c r="F860" s="313"/>
      <c r="G860" s="313"/>
      <c r="H860" s="313"/>
      <c r="I860" s="313"/>
      <c r="J860" s="350" t="b">
        <v>1</v>
      </c>
      <c r="K860" s="314" t="b">
        <v>0</v>
      </c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  <c r="AI860" s="209"/>
      <c r="AJ860" s="209"/>
      <c r="AK860" s="209"/>
    </row>
    <row r="861">
      <c r="A861" s="209"/>
      <c r="B861" s="209"/>
      <c r="C861" s="209"/>
      <c r="D861" s="209"/>
      <c r="E861" s="209"/>
      <c r="F861" s="344"/>
      <c r="G861" s="344"/>
      <c r="H861" s="344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  <c r="AI861" s="209"/>
      <c r="AJ861" s="209"/>
      <c r="AK861" s="209"/>
    </row>
    <row r="862">
      <c r="A862" s="316" t="s">
        <v>3234</v>
      </c>
      <c r="B862" s="339" t="s">
        <v>3235</v>
      </c>
      <c r="C862" s="320"/>
      <c r="D862" s="283" t="s">
        <v>3236</v>
      </c>
      <c r="E862" s="322" t="s">
        <v>116</v>
      </c>
      <c r="F862" s="320"/>
      <c r="G862" s="320"/>
      <c r="H862" s="276" t="s">
        <v>1796</v>
      </c>
      <c r="I862" s="285" t="s">
        <v>3237</v>
      </c>
      <c r="J862" s="278" t="str">
        <f>IF(COUNTIF(J863:J866, TRUE) = COUNTA(J863:J866), "Complete!", IF(COUNTIF(J863:J866, TRUE) &gt; 0, "Partial", "Not Started"))</f>
        <v>Complete!</v>
      </c>
      <c r="K862" s="279"/>
      <c r="L862" s="280">
        <v>4.0</v>
      </c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  <c r="AI862" s="209"/>
      <c r="AJ862" s="209"/>
      <c r="AK862" s="209"/>
    </row>
    <row r="863">
      <c r="A863" s="291"/>
      <c r="B863" s="377" t="s">
        <v>3238</v>
      </c>
      <c r="C863" s="377" t="s">
        <v>3239</v>
      </c>
      <c r="D863" s="304" t="s">
        <v>3240</v>
      </c>
      <c r="E863" s="406">
        <v>8.40472500468E11</v>
      </c>
      <c r="F863" s="209"/>
      <c r="G863" s="209"/>
      <c r="H863" s="209"/>
      <c r="I863" s="209"/>
      <c r="J863" s="300" t="b">
        <v>1</v>
      </c>
      <c r="K863" s="301" t="b">
        <v>0</v>
      </c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  <c r="AI863" s="209"/>
      <c r="AJ863" s="209"/>
      <c r="AK863" s="209"/>
    </row>
    <row r="864">
      <c r="A864" s="291"/>
      <c r="B864" s="377" t="s">
        <v>3241</v>
      </c>
      <c r="C864" s="377" t="s">
        <v>3239</v>
      </c>
      <c r="D864" s="304" t="s">
        <v>3242</v>
      </c>
      <c r="E864" s="406" t="s">
        <v>3243</v>
      </c>
      <c r="F864" s="304" t="s">
        <v>656</v>
      </c>
      <c r="G864" s="209"/>
      <c r="H864" s="209"/>
      <c r="I864" s="209"/>
      <c r="J864" s="300" t="b">
        <v>1</v>
      </c>
      <c r="K864" s="301" t="b">
        <v>1</v>
      </c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  <c r="AI864" s="209"/>
      <c r="AJ864" s="209"/>
      <c r="AK864" s="209"/>
    </row>
    <row r="865">
      <c r="A865" s="291"/>
      <c r="B865" s="377" t="s">
        <v>3244</v>
      </c>
      <c r="C865" s="377" t="s">
        <v>3239</v>
      </c>
      <c r="D865" s="304" t="s">
        <v>3245</v>
      </c>
      <c r="E865" s="353"/>
      <c r="F865" s="304" t="s">
        <v>656</v>
      </c>
      <c r="G865" s="209"/>
      <c r="H865" s="209"/>
      <c r="I865" s="209"/>
      <c r="J865" s="300" t="b">
        <v>1</v>
      </c>
      <c r="K865" s="301" t="b">
        <v>1</v>
      </c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  <c r="AI865" s="209"/>
      <c r="AJ865" s="209"/>
      <c r="AK865" s="209"/>
    </row>
    <row r="866">
      <c r="A866" s="309"/>
      <c r="B866" s="379" t="s">
        <v>3246</v>
      </c>
      <c r="C866" s="379" t="s">
        <v>3239</v>
      </c>
      <c r="D866" s="311" t="s">
        <v>3247</v>
      </c>
      <c r="E866" s="407">
        <v>8.40472500482E11</v>
      </c>
      <c r="F866" s="304" t="s">
        <v>656</v>
      </c>
      <c r="G866" s="313"/>
      <c r="H866" s="313"/>
      <c r="I866" s="313"/>
      <c r="J866" s="350" t="b">
        <v>1</v>
      </c>
      <c r="K866" s="314" t="b">
        <v>1</v>
      </c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  <c r="AI866" s="209"/>
      <c r="AJ866" s="209"/>
      <c r="AK866" s="209"/>
    </row>
    <row r="867">
      <c r="A867" s="209"/>
      <c r="B867" s="209"/>
      <c r="C867" s="209"/>
      <c r="D867" s="209"/>
      <c r="E867" s="353"/>
      <c r="F867" s="344"/>
      <c r="G867" s="344"/>
      <c r="H867" s="344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  <c r="AI867" s="209"/>
      <c r="AJ867" s="209"/>
      <c r="AK867" s="209"/>
    </row>
    <row r="868">
      <c r="A868" s="316" t="s">
        <v>3248</v>
      </c>
      <c r="B868" s="339" t="s">
        <v>3249</v>
      </c>
      <c r="C868" s="320"/>
      <c r="D868" s="283" t="s">
        <v>3250</v>
      </c>
      <c r="E868" s="402" t="s">
        <v>116</v>
      </c>
      <c r="F868" s="320"/>
      <c r="G868" s="320"/>
      <c r="H868" s="276" t="s">
        <v>563</v>
      </c>
      <c r="I868" s="285" t="s">
        <v>3251</v>
      </c>
      <c r="J868" s="278" t="str">
        <f>IF(COUNTIF(J869:J872, TRUE) = COUNTA(J869:J872), "Complete!", IF(COUNTIF(J869:J872, TRUE) &gt; 0, "Partial", "Not Started"))</f>
        <v>Complete!</v>
      </c>
      <c r="K868" s="279"/>
      <c r="L868" s="280">
        <v>4.0</v>
      </c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  <c r="AI868" s="209"/>
      <c r="AJ868" s="209"/>
      <c r="AK868" s="209"/>
    </row>
    <row r="869">
      <c r="A869" s="291"/>
      <c r="B869" s="377" t="s">
        <v>3252</v>
      </c>
      <c r="C869" s="377" t="s">
        <v>3253</v>
      </c>
      <c r="D869" s="304" t="s">
        <v>3254</v>
      </c>
      <c r="E869" s="406">
        <v>8.40472500345E11</v>
      </c>
      <c r="F869" s="209"/>
      <c r="G869" s="209"/>
      <c r="H869" s="209"/>
      <c r="I869" s="209"/>
      <c r="J869" s="300" t="b">
        <v>1</v>
      </c>
      <c r="K869" s="301" t="b">
        <v>0</v>
      </c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  <c r="AK869" s="209"/>
    </row>
    <row r="870">
      <c r="A870" s="291"/>
      <c r="B870" s="377" t="s">
        <v>3255</v>
      </c>
      <c r="C870" s="377" t="s">
        <v>3253</v>
      </c>
      <c r="D870" s="304" t="s">
        <v>3256</v>
      </c>
      <c r="E870" s="406" t="s">
        <v>3257</v>
      </c>
      <c r="F870" s="304" t="s">
        <v>656</v>
      </c>
      <c r="G870" s="209"/>
      <c r="H870" s="209"/>
      <c r="I870" s="209"/>
      <c r="J870" s="300" t="b">
        <v>1</v>
      </c>
      <c r="K870" s="301" t="b">
        <v>1</v>
      </c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  <c r="AI870" s="209"/>
      <c r="AJ870" s="209"/>
      <c r="AK870" s="209"/>
    </row>
    <row r="871">
      <c r="A871" s="291"/>
      <c r="B871" s="377" t="s">
        <v>3258</v>
      </c>
      <c r="C871" s="377" t="s">
        <v>3253</v>
      </c>
      <c r="D871" s="304" t="s">
        <v>3259</v>
      </c>
      <c r="E871" s="353"/>
      <c r="F871" s="304" t="s">
        <v>656</v>
      </c>
      <c r="G871" s="209"/>
      <c r="H871" s="209"/>
      <c r="I871" s="209"/>
      <c r="J871" s="300" t="b">
        <v>1</v>
      </c>
      <c r="K871" s="301" t="b">
        <v>1</v>
      </c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  <c r="AI871" s="209"/>
      <c r="AJ871" s="209"/>
      <c r="AK871" s="209"/>
    </row>
    <row r="872">
      <c r="A872" s="309"/>
      <c r="B872" s="379" t="s">
        <v>3260</v>
      </c>
      <c r="C872" s="379" t="s">
        <v>3253</v>
      </c>
      <c r="D872" s="311" t="s">
        <v>3261</v>
      </c>
      <c r="E872" s="425">
        <v>8.40472500369E11</v>
      </c>
      <c r="F872" s="304" t="s">
        <v>656</v>
      </c>
      <c r="G872" s="313"/>
      <c r="H872" s="313"/>
      <c r="I872" s="313"/>
      <c r="J872" s="350" t="b">
        <v>1</v>
      </c>
      <c r="K872" s="314" t="b">
        <v>1</v>
      </c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  <c r="AI872" s="209"/>
      <c r="AJ872" s="209"/>
      <c r="AK872" s="209"/>
    </row>
    <row r="873">
      <c r="A873" s="209"/>
      <c r="B873" s="209"/>
      <c r="C873" s="209"/>
      <c r="D873" s="209"/>
      <c r="E873" s="209"/>
      <c r="F873" s="344"/>
      <c r="G873" s="344"/>
      <c r="H873" s="344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  <c r="AI873" s="209"/>
      <c r="AJ873" s="209"/>
      <c r="AK873" s="209"/>
    </row>
    <row r="874">
      <c r="A874" s="316" t="s">
        <v>3262</v>
      </c>
      <c r="B874" s="339" t="s">
        <v>3263</v>
      </c>
      <c r="C874" s="320"/>
      <c r="D874" s="283" t="s">
        <v>3264</v>
      </c>
      <c r="E874" s="402" t="s">
        <v>116</v>
      </c>
      <c r="F874" s="320"/>
      <c r="G874" s="320"/>
      <c r="H874" s="276" t="s">
        <v>2803</v>
      </c>
      <c r="I874" s="285" t="s">
        <v>1596</v>
      </c>
      <c r="J874" s="278" t="str">
        <f>IF(COUNTIF(J875:J878, TRUE) = COUNTA(J875:J878), "Complete!", IF(COUNTIF(J875:J878, TRUE) &gt; 0, "Partial", "Not Started"))</f>
        <v>Complete!</v>
      </c>
      <c r="K874" s="279"/>
      <c r="L874" s="280">
        <v>4.0</v>
      </c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  <c r="AI874" s="209"/>
      <c r="AJ874" s="209"/>
      <c r="AK874" s="209"/>
    </row>
    <row r="875">
      <c r="A875" s="291"/>
      <c r="B875" s="304" t="s">
        <v>3265</v>
      </c>
      <c r="C875" s="304" t="s">
        <v>662</v>
      </c>
      <c r="D875" s="304" t="s">
        <v>3266</v>
      </c>
      <c r="E875" s="375">
        <v>8.4047250042E11</v>
      </c>
      <c r="F875" s="209"/>
      <c r="G875" s="209"/>
      <c r="H875" s="209"/>
      <c r="I875" s="209"/>
      <c r="J875" s="300" t="b">
        <v>1</v>
      </c>
      <c r="K875" s="301" t="b">
        <v>0</v>
      </c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  <c r="AI875" s="209"/>
      <c r="AJ875" s="209"/>
      <c r="AK875" s="209"/>
    </row>
    <row r="876">
      <c r="A876" s="291"/>
      <c r="B876" s="304" t="s">
        <v>3267</v>
      </c>
      <c r="C876" s="304" t="s">
        <v>662</v>
      </c>
      <c r="D876" s="304" t="s">
        <v>3268</v>
      </c>
      <c r="E876" s="375" t="s">
        <v>3269</v>
      </c>
      <c r="F876" s="304" t="s">
        <v>656</v>
      </c>
      <c r="G876" s="209"/>
      <c r="H876" s="209"/>
      <c r="I876" s="209"/>
      <c r="J876" s="300" t="b">
        <v>1</v>
      </c>
      <c r="K876" s="301" t="b">
        <v>1</v>
      </c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  <c r="AI876" s="209"/>
      <c r="AJ876" s="209"/>
      <c r="AK876" s="209"/>
    </row>
    <row r="877">
      <c r="A877" s="291"/>
      <c r="B877" s="304" t="s">
        <v>3270</v>
      </c>
      <c r="C877" s="304" t="s">
        <v>662</v>
      </c>
      <c r="D877" s="304" t="s">
        <v>3271</v>
      </c>
      <c r="E877" s="375" t="s">
        <v>3272</v>
      </c>
      <c r="F877" s="209"/>
      <c r="G877" s="209"/>
      <c r="H877" s="209"/>
      <c r="I877" s="304" t="s">
        <v>3273</v>
      </c>
      <c r="J877" s="300" t="b">
        <v>1</v>
      </c>
      <c r="K877" s="301" t="b">
        <v>0</v>
      </c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  <c r="AI877" s="209"/>
      <c r="AJ877" s="209"/>
      <c r="AK877" s="209"/>
    </row>
    <row r="878">
      <c r="A878" s="309"/>
      <c r="B878" s="311" t="s">
        <v>3274</v>
      </c>
      <c r="C878" s="311" t="s">
        <v>662</v>
      </c>
      <c r="D878" s="311" t="s">
        <v>3275</v>
      </c>
      <c r="E878" s="312">
        <v>8.40472500444E11</v>
      </c>
      <c r="F878" s="311" t="s">
        <v>656</v>
      </c>
      <c r="G878" s="313"/>
      <c r="H878" s="313"/>
      <c r="I878" s="313"/>
      <c r="J878" s="350" t="b">
        <v>1</v>
      </c>
      <c r="K878" s="314" t="b">
        <v>1</v>
      </c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  <c r="AI878" s="209"/>
      <c r="AJ878" s="209"/>
      <c r="AK878" s="209"/>
    </row>
    <row r="879">
      <c r="A879" s="209"/>
      <c r="B879" s="209"/>
      <c r="C879" s="209"/>
      <c r="D879" s="209"/>
      <c r="E879" s="209"/>
      <c r="F879" s="344"/>
      <c r="G879" s="344"/>
      <c r="H879" s="344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  <c r="AI879" s="209"/>
      <c r="AJ879" s="209"/>
      <c r="AK879" s="209"/>
    </row>
    <row r="880">
      <c r="A880" s="316" t="s">
        <v>3276</v>
      </c>
      <c r="B880" s="339" t="s">
        <v>3277</v>
      </c>
      <c r="C880" s="320"/>
      <c r="D880" s="283" t="s">
        <v>3278</v>
      </c>
      <c r="E880" s="322" t="s">
        <v>116</v>
      </c>
      <c r="F880" s="320"/>
      <c r="G880" s="320"/>
      <c r="H880" s="276" t="s">
        <v>572</v>
      </c>
      <c r="I880" s="285" t="s">
        <v>1872</v>
      </c>
      <c r="J880" s="278" t="str">
        <f>IF(COUNTIF(J881:J884, TRUE) = COUNTA(J881:J884), "Complete!", IF(COUNTIF(J881:J884, TRUE) &gt; 0, "Partial", "Not Started"))</f>
        <v>Complete!</v>
      </c>
      <c r="K880" s="279"/>
      <c r="L880" s="280">
        <v>4.0</v>
      </c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  <c r="AI880" s="209"/>
      <c r="AJ880" s="209"/>
      <c r="AK880" s="209"/>
    </row>
    <row r="881">
      <c r="A881" s="291"/>
      <c r="B881" s="304" t="s">
        <v>3279</v>
      </c>
      <c r="C881" s="304" t="s">
        <v>588</v>
      </c>
      <c r="D881" s="304" t="s">
        <v>3280</v>
      </c>
      <c r="E881" s="305">
        <v>8.40472500543E11</v>
      </c>
      <c r="F881" s="209"/>
      <c r="G881" s="209"/>
      <c r="H881" s="209"/>
      <c r="I881" s="209"/>
      <c r="J881" s="300" t="b">
        <v>1</v>
      </c>
      <c r="K881" s="301" t="b">
        <v>0</v>
      </c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  <c r="AI881" s="209"/>
      <c r="AJ881" s="209"/>
      <c r="AK881" s="209"/>
    </row>
    <row r="882">
      <c r="A882" s="291"/>
      <c r="B882" s="304" t="s">
        <v>3281</v>
      </c>
      <c r="C882" s="304" t="s">
        <v>588</v>
      </c>
      <c r="D882" s="304" t="s">
        <v>3282</v>
      </c>
      <c r="E882" s="375" t="s">
        <v>3283</v>
      </c>
      <c r="F882" s="209"/>
      <c r="G882" s="209"/>
      <c r="H882" s="209"/>
      <c r="I882" s="209"/>
      <c r="J882" s="300" t="b">
        <v>1</v>
      </c>
      <c r="K882" s="301" t="b">
        <v>0</v>
      </c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  <c r="AI882" s="209"/>
      <c r="AJ882" s="209"/>
      <c r="AK882" s="209"/>
    </row>
    <row r="883">
      <c r="A883" s="291"/>
      <c r="B883" s="304" t="s">
        <v>3284</v>
      </c>
      <c r="C883" s="304" t="s">
        <v>588</v>
      </c>
      <c r="D883" s="304" t="s">
        <v>3285</v>
      </c>
      <c r="E883" s="375" t="s">
        <v>3286</v>
      </c>
      <c r="F883" s="304" t="s">
        <v>750</v>
      </c>
      <c r="G883" s="209"/>
      <c r="H883" s="209"/>
      <c r="I883" s="209"/>
      <c r="J883" s="300" t="b">
        <v>1</v>
      </c>
      <c r="K883" s="301" t="b">
        <v>0</v>
      </c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  <c r="AI883" s="209"/>
      <c r="AJ883" s="209"/>
      <c r="AK883" s="209"/>
    </row>
    <row r="884">
      <c r="A884" s="309"/>
      <c r="B884" s="311" t="s">
        <v>3287</v>
      </c>
      <c r="C884" s="311" t="s">
        <v>588</v>
      </c>
      <c r="D884" s="311" t="s">
        <v>3288</v>
      </c>
      <c r="E884" s="313"/>
      <c r="F884" s="313"/>
      <c r="G884" s="313"/>
      <c r="H884" s="313"/>
      <c r="I884" s="313"/>
      <c r="J884" s="350" t="b">
        <v>1</v>
      </c>
      <c r="K884" s="314" t="b">
        <v>0</v>
      </c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  <c r="AI884" s="209"/>
      <c r="AJ884" s="209"/>
      <c r="AK884" s="209"/>
    </row>
    <row r="885">
      <c r="A885" s="209"/>
      <c r="B885" s="209"/>
      <c r="C885" s="209"/>
      <c r="D885" s="209"/>
      <c r="E885" s="209"/>
      <c r="F885" s="344"/>
      <c r="G885" s="344"/>
      <c r="H885" s="344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  <c r="AI885" s="209"/>
      <c r="AJ885" s="209"/>
      <c r="AK885" s="209"/>
    </row>
    <row r="886">
      <c r="A886" s="316" t="s">
        <v>3289</v>
      </c>
      <c r="B886" s="339" t="s">
        <v>3290</v>
      </c>
      <c r="C886" s="320"/>
      <c r="D886" s="283" t="s">
        <v>3291</v>
      </c>
      <c r="E886" s="402" t="s">
        <v>116</v>
      </c>
      <c r="F886" s="320"/>
      <c r="G886" s="320"/>
      <c r="H886" s="276" t="s">
        <v>888</v>
      </c>
      <c r="I886" s="285" t="s">
        <v>889</v>
      </c>
      <c r="J886" s="278" t="str">
        <f>IF(COUNTIF(J887:J890, TRUE) = COUNTA(J887:J890), "Complete!", IF(COUNTIF(J887:J890, TRUE) &gt; 0, "Partial", "Not Started"))</f>
        <v>Complete!</v>
      </c>
      <c r="K886" s="279"/>
      <c r="L886" s="280">
        <v>4.0</v>
      </c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  <c r="AI886" s="209"/>
      <c r="AJ886" s="209"/>
      <c r="AK886" s="209"/>
    </row>
    <row r="887">
      <c r="A887" s="291"/>
      <c r="B887" s="304" t="s">
        <v>3292</v>
      </c>
      <c r="C887" s="304" t="s">
        <v>394</v>
      </c>
      <c r="D887" s="304" t="s">
        <v>3293</v>
      </c>
      <c r="E887" s="375">
        <v>8.40472500581E11</v>
      </c>
      <c r="F887" s="209"/>
      <c r="G887" s="209"/>
      <c r="H887" s="209"/>
      <c r="I887" s="209"/>
      <c r="J887" s="300" t="b">
        <v>1</v>
      </c>
      <c r="K887" s="301" t="b">
        <v>0</v>
      </c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  <c r="AI887" s="209"/>
      <c r="AJ887" s="209"/>
      <c r="AK887" s="209"/>
    </row>
    <row r="888">
      <c r="A888" s="291"/>
      <c r="B888" s="304" t="s">
        <v>3294</v>
      </c>
      <c r="C888" s="304" t="s">
        <v>394</v>
      </c>
      <c r="D888" s="304" t="s">
        <v>3295</v>
      </c>
      <c r="E888" s="375" t="s">
        <v>3296</v>
      </c>
      <c r="F888" s="209"/>
      <c r="G888" s="209"/>
      <c r="H888" s="209"/>
      <c r="I888" s="209"/>
      <c r="J888" s="300" t="b">
        <v>1</v>
      </c>
      <c r="K888" s="301" t="b">
        <v>0</v>
      </c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209"/>
      <c r="AJ888" s="209"/>
      <c r="AK888" s="209"/>
    </row>
    <row r="889">
      <c r="A889" s="291"/>
      <c r="B889" s="304" t="s">
        <v>3297</v>
      </c>
      <c r="C889" s="304" t="s">
        <v>394</v>
      </c>
      <c r="D889" s="304" t="s">
        <v>3298</v>
      </c>
      <c r="E889" s="375" t="s">
        <v>3299</v>
      </c>
      <c r="F889" s="209"/>
      <c r="G889" s="209"/>
      <c r="H889" s="209"/>
      <c r="I889" s="209"/>
      <c r="J889" s="300" t="b">
        <v>1</v>
      </c>
      <c r="K889" s="301" t="b">
        <v>0</v>
      </c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  <c r="AI889" s="209"/>
      <c r="AJ889" s="209"/>
      <c r="AK889" s="209"/>
    </row>
    <row r="890">
      <c r="A890" s="309"/>
      <c r="B890" s="311" t="s">
        <v>3300</v>
      </c>
      <c r="C890" s="311" t="s">
        <v>394</v>
      </c>
      <c r="D890" s="311" t="s">
        <v>3301</v>
      </c>
      <c r="E890" s="313"/>
      <c r="F890" s="313"/>
      <c r="G890" s="313"/>
      <c r="H890" s="313"/>
      <c r="I890" s="313"/>
      <c r="J890" s="350" t="b">
        <v>1</v>
      </c>
      <c r="K890" s="314" t="b">
        <v>0</v>
      </c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  <c r="AI890" s="209"/>
      <c r="AJ890" s="209"/>
      <c r="AK890" s="209"/>
    </row>
    <row r="891">
      <c r="A891" s="209"/>
      <c r="B891" s="209"/>
      <c r="C891" s="209"/>
      <c r="D891" s="209"/>
      <c r="E891" s="209"/>
      <c r="F891" s="344"/>
      <c r="G891" s="344"/>
      <c r="H891" s="344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  <c r="AI891" s="209"/>
      <c r="AJ891" s="209"/>
      <c r="AK891" s="209"/>
    </row>
    <row r="892">
      <c r="A892" s="316" t="s">
        <v>3302</v>
      </c>
      <c r="B892" s="339" t="s">
        <v>3303</v>
      </c>
      <c r="C892" s="320"/>
      <c r="D892" s="283" t="s">
        <v>3304</v>
      </c>
      <c r="E892" s="402" t="s">
        <v>116</v>
      </c>
      <c r="F892" s="320"/>
      <c r="G892" s="320"/>
      <c r="H892" s="276" t="s">
        <v>572</v>
      </c>
      <c r="I892" s="285" t="s">
        <v>3251</v>
      </c>
      <c r="J892" s="278" t="str">
        <f>IF(COUNTIF(J893:J896, TRUE) = COUNTA(J893:J896), "Complete!", IF(COUNTIF(J893:J896, TRUE) &gt; 0, "Partial", "Not Started"))</f>
        <v>Complete!</v>
      </c>
      <c r="K892" s="279"/>
      <c r="L892" s="280">
        <v>4.0</v>
      </c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  <c r="AI892" s="209"/>
      <c r="AJ892" s="209"/>
      <c r="AK892" s="209"/>
    </row>
    <row r="893">
      <c r="A893" s="291"/>
      <c r="B893" s="304" t="s">
        <v>3305</v>
      </c>
      <c r="C893" s="304" t="s">
        <v>3306</v>
      </c>
      <c r="D893" s="304" t="s">
        <v>3307</v>
      </c>
      <c r="E893" s="375">
        <v>8.40472500666E11</v>
      </c>
      <c r="F893" s="209"/>
      <c r="G893" s="209"/>
      <c r="H893" s="209"/>
      <c r="I893" s="209"/>
      <c r="J893" s="300" t="b">
        <v>1</v>
      </c>
      <c r="K893" s="301" t="b">
        <v>0</v>
      </c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  <c r="AI893" s="209"/>
      <c r="AJ893" s="209"/>
      <c r="AK893" s="209"/>
    </row>
    <row r="894">
      <c r="A894" s="291"/>
      <c r="B894" s="304" t="s">
        <v>3308</v>
      </c>
      <c r="C894" s="304" t="s">
        <v>3306</v>
      </c>
      <c r="D894" s="304" t="s">
        <v>3309</v>
      </c>
      <c r="E894" s="375" t="s">
        <v>3310</v>
      </c>
      <c r="F894" s="209"/>
      <c r="G894" s="209"/>
      <c r="H894" s="209"/>
      <c r="I894" s="209"/>
      <c r="J894" s="300" t="b">
        <v>1</v>
      </c>
      <c r="K894" s="301" t="b">
        <v>0</v>
      </c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  <c r="AI894" s="209"/>
      <c r="AJ894" s="209"/>
      <c r="AK894" s="209"/>
    </row>
    <row r="895">
      <c r="A895" s="291"/>
      <c r="B895" s="304" t="s">
        <v>3311</v>
      </c>
      <c r="C895" s="304" t="s">
        <v>3306</v>
      </c>
      <c r="D895" s="304" t="s">
        <v>3312</v>
      </c>
      <c r="E895" s="375" t="s">
        <v>3313</v>
      </c>
      <c r="F895" s="209"/>
      <c r="G895" s="209"/>
      <c r="H895" s="209"/>
      <c r="I895" s="209"/>
      <c r="J895" s="300" t="b">
        <v>1</v>
      </c>
      <c r="K895" s="301" t="b">
        <v>0</v>
      </c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  <c r="AI895" s="209"/>
      <c r="AJ895" s="209"/>
      <c r="AK895" s="209"/>
    </row>
    <row r="896">
      <c r="A896" s="309"/>
      <c r="B896" s="311" t="s">
        <v>3314</v>
      </c>
      <c r="C896" s="311" t="s">
        <v>3306</v>
      </c>
      <c r="D896" s="311" t="s">
        <v>3315</v>
      </c>
      <c r="E896" s="312">
        <v>8.40472500697E11</v>
      </c>
      <c r="F896" s="313"/>
      <c r="G896" s="313"/>
      <c r="H896" s="313"/>
      <c r="I896" s="313"/>
      <c r="J896" s="350" t="b">
        <v>1</v>
      </c>
      <c r="K896" s="314" t="b">
        <v>0</v>
      </c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  <c r="AI896" s="209"/>
      <c r="AJ896" s="209"/>
      <c r="AK896" s="209"/>
    </row>
    <row r="897">
      <c r="A897" s="209"/>
      <c r="B897" s="209"/>
      <c r="C897" s="209"/>
      <c r="D897" s="209"/>
      <c r="E897" s="209"/>
      <c r="F897" s="344"/>
      <c r="G897" s="344"/>
      <c r="H897" s="344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  <c r="AI897" s="209"/>
      <c r="AJ897" s="209"/>
      <c r="AK897" s="209"/>
    </row>
    <row r="898">
      <c r="A898" s="316" t="s">
        <v>3316</v>
      </c>
      <c r="B898" s="339" t="s">
        <v>3317</v>
      </c>
      <c r="C898" s="320"/>
      <c r="D898" s="283" t="s">
        <v>3318</v>
      </c>
      <c r="E898" s="402" t="s">
        <v>116</v>
      </c>
      <c r="F898" s="320"/>
      <c r="G898" s="320"/>
      <c r="H898" s="276" t="s">
        <v>370</v>
      </c>
      <c r="I898" s="285" t="s">
        <v>1872</v>
      </c>
      <c r="J898" s="278" t="str">
        <f>IF(COUNTIF(J899:J902, TRUE) = COUNTA(J899:J902), "Complete!", IF(COUNTIF(J899:J902, TRUE) &gt; 0, "Partial", "Not Started"))</f>
        <v>Complete!</v>
      </c>
      <c r="K898" s="279"/>
      <c r="L898" s="280">
        <v>4.0</v>
      </c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  <c r="AI898" s="209"/>
      <c r="AJ898" s="209"/>
      <c r="AK898" s="209"/>
    </row>
    <row r="899">
      <c r="A899" s="291"/>
      <c r="B899" s="304" t="s">
        <v>3319</v>
      </c>
      <c r="C899" s="304" t="s">
        <v>3320</v>
      </c>
      <c r="D899" s="304" t="s">
        <v>3321</v>
      </c>
      <c r="E899" s="375">
        <v>8.40472500741E11</v>
      </c>
      <c r="F899" s="209"/>
      <c r="G899" s="209"/>
      <c r="H899" s="209"/>
      <c r="I899" s="209"/>
      <c r="J899" s="300" t="b">
        <v>1</v>
      </c>
      <c r="K899" s="301" t="b">
        <v>0</v>
      </c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  <c r="AI899" s="209"/>
      <c r="AJ899" s="209"/>
      <c r="AK899" s="209"/>
    </row>
    <row r="900">
      <c r="A900" s="291"/>
      <c r="B900" s="304" t="s">
        <v>3322</v>
      </c>
      <c r="C900" s="304" t="s">
        <v>3320</v>
      </c>
      <c r="D900" s="304" t="s">
        <v>3323</v>
      </c>
      <c r="E900" s="375" t="s">
        <v>3324</v>
      </c>
      <c r="F900" s="209"/>
      <c r="G900" s="209"/>
      <c r="H900" s="209"/>
      <c r="I900" s="209"/>
      <c r="J900" s="300" t="b">
        <v>1</v>
      </c>
      <c r="K900" s="301" t="b">
        <v>0</v>
      </c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  <c r="AH900" s="209"/>
      <c r="AI900" s="209"/>
      <c r="AJ900" s="209"/>
      <c r="AK900" s="209"/>
    </row>
    <row r="901">
      <c r="A901" s="291"/>
      <c r="B901" s="304" t="s">
        <v>3325</v>
      </c>
      <c r="C901" s="304" t="s">
        <v>3320</v>
      </c>
      <c r="D901" s="304" t="s">
        <v>3326</v>
      </c>
      <c r="E901" s="375" t="s">
        <v>3327</v>
      </c>
      <c r="F901" s="209"/>
      <c r="G901" s="209"/>
      <c r="H901" s="209"/>
      <c r="I901" s="209"/>
      <c r="J901" s="300" t="b">
        <v>1</v>
      </c>
      <c r="K901" s="301" t="b">
        <v>0</v>
      </c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  <c r="AH901" s="209"/>
      <c r="AI901" s="209"/>
      <c r="AJ901" s="209"/>
      <c r="AK901" s="209"/>
    </row>
    <row r="902">
      <c r="A902" s="309"/>
      <c r="B902" s="311" t="s">
        <v>3328</v>
      </c>
      <c r="C902" s="311" t="s">
        <v>3320</v>
      </c>
      <c r="D902" s="311" t="s">
        <v>3326</v>
      </c>
      <c r="E902" s="313"/>
      <c r="F902" s="313"/>
      <c r="G902" s="313"/>
      <c r="H902" s="313"/>
      <c r="I902" s="313"/>
      <c r="J902" s="350" t="b">
        <v>1</v>
      </c>
      <c r="K902" s="314" t="b">
        <v>0</v>
      </c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  <c r="AH902" s="209"/>
      <c r="AI902" s="209"/>
      <c r="AJ902" s="209"/>
      <c r="AK902" s="209"/>
    </row>
    <row r="903">
      <c r="A903" s="209"/>
      <c r="B903" s="209"/>
      <c r="C903" s="209"/>
      <c r="D903" s="209"/>
      <c r="E903" s="209"/>
      <c r="F903" s="344"/>
      <c r="G903" s="344"/>
      <c r="H903" s="344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  <c r="AH903" s="209"/>
      <c r="AI903" s="209"/>
      <c r="AJ903" s="209"/>
      <c r="AK903" s="209"/>
    </row>
    <row r="904">
      <c r="A904" s="316" t="s">
        <v>3329</v>
      </c>
      <c r="B904" s="339" t="s">
        <v>3330</v>
      </c>
      <c r="C904" s="320"/>
      <c r="D904" s="283" t="s">
        <v>3331</v>
      </c>
      <c r="E904" s="402" t="s">
        <v>116</v>
      </c>
      <c r="F904" s="320"/>
      <c r="G904" s="320"/>
      <c r="H904" s="276" t="s">
        <v>572</v>
      </c>
      <c r="I904" s="285" t="s">
        <v>1706</v>
      </c>
      <c r="J904" s="278" t="str">
        <f>IF(COUNTIF(J905:J908, TRUE) = COUNTA(J905:J908), "Complete!", IF(COUNTIF(J905:J908, TRUE) &gt; 0, "Partial", "Not Started"))</f>
        <v>Complete!</v>
      </c>
      <c r="K904" s="279"/>
      <c r="L904" s="280">
        <v>4.0</v>
      </c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  <c r="AH904" s="209"/>
      <c r="AI904" s="209"/>
      <c r="AJ904" s="209"/>
      <c r="AK904" s="209"/>
    </row>
    <row r="905">
      <c r="A905" s="291"/>
      <c r="B905" s="304" t="s">
        <v>3332</v>
      </c>
      <c r="C905" s="304" t="s">
        <v>3333</v>
      </c>
      <c r="D905" s="304" t="s">
        <v>3334</v>
      </c>
      <c r="E905" s="375">
        <v>8.40472500826E11</v>
      </c>
      <c r="F905" s="209"/>
      <c r="G905" s="209"/>
      <c r="H905" s="209"/>
      <c r="I905" s="209"/>
      <c r="J905" s="300" t="b">
        <v>1</v>
      </c>
      <c r="K905" s="301" t="b">
        <v>0</v>
      </c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  <c r="AH905" s="209"/>
      <c r="AI905" s="209"/>
      <c r="AJ905" s="209"/>
      <c r="AK905" s="209"/>
    </row>
    <row r="906">
      <c r="A906" s="291"/>
      <c r="B906" s="304" t="s">
        <v>3335</v>
      </c>
      <c r="C906" s="304" t="s">
        <v>3333</v>
      </c>
      <c r="D906" s="304" t="s">
        <v>3336</v>
      </c>
      <c r="E906" s="375" t="s">
        <v>3337</v>
      </c>
      <c r="F906" s="209"/>
      <c r="G906" s="209"/>
      <c r="H906" s="209"/>
      <c r="I906" s="209"/>
      <c r="J906" s="300" t="b">
        <v>1</v>
      </c>
      <c r="K906" s="301" t="b">
        <v>0</v>
      </c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  <c r="AH906" s="209"/>
      <c r="AI906" s="209"/>
      <c r="AJ906" s="209"/>
      <c r="AK906" s="209"/>
    </row>
    <row r="907">
      <c r="A907" s="291"/>
      <c r="B907" s="304" t="s">
        <v>3338</v>
      </c>
      <c r="C907" s="304" t="s">
        <v>3333</v>
      </c>
      <c r="D907" s="304" t="s">
        <v>3339</v>
      </c>
      <c r="E907" s="375" t="s">
        <v>3340</v>
      </c>
      <c r="F907" s="209"/>
      <c r="G907" s="209"/>
      <c r="H907" s="209"/>
      <c r="I907" s="209"/>
      <c r="J907" s="300" t="b">
        <v>1</v>
      </c>
      <c r="K907" s="301" t="b">
        <v>0</v>
      </c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  <c r="AH907" s="209"/>
      <c r="AI907" s="209"/>
      <c r="AJ907" s="209"/>
      <c r="AK907" s="209"/>
    </row>
    <row r="908">
      <c r="A908" s="309"/>
      <c r="B908" s="311" t="s">
        <v>3341</v>
      </c>
      <c r="C908" s="311" t="s">
        <v>3333</v>
      </c>
      <c r="D908" s="311" t="s">
        <v>3342</v>
      </c>
      <c r="E908" s="313"/>
      <c r="F908" s="313"/>
      <c r="G908" s="313"/>
      <c r="H908" s="313"/>
      <c r="I908" s="313"/>
      <c r="J908" s="350" t="b">
        <v>1</v>
      </c>
      <c r="K908" s="314" t="b">
        <v>0</v>
      </c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  <c r="AH908" s="209"/>
      <c r="AI908" s="209"/>
      <c r="AJ908" s="209"/>
      <c r="AK908" s="209"/>
    </row>
    <row r="909">
      <c r="A909" s="209"/>
      <c r="B909" s="209"/>
      <c r="C909" s="209"/>
      <c r="D909" s="209"/>
      <c r="E909" s="209"/>
      <c r="F909" s="344"/>
      <c r="G909" s="344"/>
      <c r="H909" s="344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  <c r="AH909" s="209"/>
      <c r="AI909" s="209"/>
      <c r="AJ909" s="209"/>
      <c r="AK909" s="209"/>
    </row>
    <row r="910">
      <c r="A910" s="316" t="s">
        <v>3343</v>
      </c>
      <c r="B910" s="339" t="s">
        <v>3344</v>
      </c>
      <c r="C910" s="320"/>
      <c r="D910" s="283" t="s">
        <v>3345</v>
      </c>
      <c r="E910" s="402" t="s">
        <v>116</v>
      </c>
      <c r="F910" s="320"/>
      <c r="G910" s="320"/>
      <c r="H910" s="276" t="s">
        <v>900</v>
      </c>
      <c r="I910" s="285" t="s">
        <v>3346</v>
      </c>
      <c r="J910" s="278" t="str">
        <f>IF(COUNTIF(J911:J914, TRUE) = COUNTA(J911:J914), "Complete!", IF(COUNTIF(J911:J914, TRUE) &gt; 0, "Partial", "Not Started"))</f>
        <v>Complete!</v>
      </c>
      <c r="K910" s="279"/>
      <c r="L910" s="280">
        <v>4.0</v>
      </c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  <c r="AH910" s="209"/>
      <c r="AI910" s="209"/>
      <c r="AJ910" s="209"/>
      <c r="AK910" s="209"/>
    </row>
    <row r="911">
      <c r="A911" s="291"/>
      <c r="B911" s="304" t="s">
        <v>3347</v>
      </c>
      <c r="C911" s="304" t="s">
        <v>3348</v>
      </c>
      <c r="D911" s="304" t="s">
        <v>3349</v>
      </c>
      <c r="E911" s="375">
        <v>8.40472500864E11</v>
      </c>
      <c r="F911" s="209"/>
      <c r="G911" s="209"/>
      <c r="H911" s="209"/>
      <c r="I911" s="209"/>
      <c r="J911" s="300" t="b">
        <v>1</v>
      </c>
      <c r="K911" s="301" t="b">
        <v>0</v>
      </c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  <c r="AH911" s="209"/>
      <c r="AI911" s="209"/>
      <c r="AJ911" s="209"/>
      <c r="AK911" s="209"/>
    </row>
    <row r="912">
      <c r="A912" s="291"/>
      <c r="B912" s="304" t="s">
        <v>3350</v>
      </c>
      <c r="C912" s="304" t="s">
        <v>3348</v>
      </c>
      <c r="D912" s="304" t="s">
        <v>3351</v>
      </c>
      <c r="E912" s="375" t="s">
        <v>3352</v>
      </c>
      <c r="F912" s="209"/>
      <c r="G912" s="209"/>
      <c r="H912" s="209"/>
      <c r="I912" s="209"/>
      <c r="J912" s="300" t="b">
        <v>1</v>
      </c>
      <c r="K912" s="301" t="b">
        <v>0</v>
      </c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  <c r="AH912" s="209"/>
      <c r="AI912" s="209"/>
      <c r="AJ912" s="209"/>
      <c r="AK912" s="209"/>
    </row>
    <row r="913">
      <c r="A913" s="291"/>
      <c r="B913" s="304" t="s">
        <v>3353</v>
      </c>
      <c r="C913" s="304" t="s">
        <v>3348</v>
      </c>
      <c r="D913" s="304" t="s">
        <v>3354</v>
      </c>
      <c r="E913" s="375" t="s">
        <v>3355</v>
      </c>
      <c r="F913" s="209"/>
      <c r="G913" s="209"/>
      <c r="H913" s="209"/>
      <c r="I913" s="209"/>
      <c r="J913" s="300" t="b">
        <v>1</v>
      </c>
      <c r="K913" s="301" t="b">
        <v>0</v>
      </c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  <c r="AH913" s="209"/>
      <c r="AI913" s="209"/>
      <c r="AJ913" s="209"/>
      <c r="AK913" s="209"/>
    </row>
    <row r="914">
      <c r="A914" s="309"/>
      <c r="B914" s="311" t="s">
        <v>3356</v>
      </c>
      <c r="C914" s="311" t="s">
        <v>3348</v>
      </c>
      <c r="D914" s="311" t="s">
        <v>3357</v>
      </c>
      <c r="E914" s="313"/>
      <c r="F914" s="313"/>
      <c r="G914" s="313"/>
      <c r="H914" s="313"/>
      <c r="I914" s="313"/>
      <c r="J914" s="350" t="b">
        <v>1</v>
      </c>
      <c r="K914" s="314" t="b">
        <v>0</v>
      </c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  <c r="AH914" s="209"/>
      <c r="AI914" s="209"/>
      <c r="AJ914" s="209"/>
      <c r="AK914" s="209"/>
    </row>
    <row r="915">
      <c r="A915" s="209"/>
      <c r="B915" s="209"/>
      <c r="C915" s="209"/>
      <c r="D915" s="209"/>
      <c r="E915" s="209"/>
      <c r="F915" s="344"/>
      <c r="G915" s="344"/>
      <c r="H915" s="344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  <c r="AH915" s="209"/>
      <c r="AI915" s="209"/>
      <c r="AJ915" s="209"/>
      <c r="AK915" s="209"/>
    </row>
    <row r="916">
      <c r="A916" s="316" t="s">
        <v>3358</v>
      </c>
      <c r="B916" s="339" t="s">
        <v>3359</v>
      </c>
      <c r="C916" s="320"/>
      <c r="D916" s="283" t="s">
        <v>3360</v>
      </c>
      <c r="E916" s="402" t="s">
        <v>116</v>
      </c>
      <c r="F916" s="320"/>
      <c r="G916" s="320"/>
      <c r="H916" s="276" t="s">
        <v>468</v>
      </c>
      <c r="I916" s="285" t="s">
        <v>3223</v>
      </c>
      <c r="J916" s="278" t="str">
        <f>IF(COUNTIF(J917:J920, TRUE) = COUNTA(J917:J920), "Complete!", IF(COUNTIF(J917:J920, TRUE) &gt; 0, "Partial", "Not Started"))</f>
        <v>Complete!</v>
      </c>
      <c r="K916" s="279"/>
      <c r="L916" s="280">
        <v>4.0</v>
      </c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  <c r="AH916" s="209"/>
      <c r="AI916" s="209"/>
      <c r="AJ916" s="209"/>
      <c r="AK916" s="209"/>
    </row>
    <row r="917">
      <c r="A917" s="291"/>
      <c r="B917" s="304" t="s">
        <v>3361</v>
      </c>
      <c r="C917" s="304" t="s">
        <v>390</v>
      </c>
      <c r="D917" s="304" t="s">
        <v>3362</v>
      </c>
      <c r="E917" s="375">
        <v>8.40472500901E11</v>
      </c>
      <c r="F917" s="209"/>
      <c r="G917" s="209"/>
      <c r="H917" s="209"/>
      <c r="I917" s="209"/>
      <c r="J917" s="300" t="b">
        <v>1</v>
      </c>
      <c r="K917" s="301" t="b">
        <v>0</v>
      </c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  <c r="AH917" s="209"/>
      <c r="AI917" s="209"/>
      <c r="AJ917" s="209"/>
      <c r="AK917" s="209"/>
    </row>
    <row r="918">
      <c r="A918" s="291"/>
      <c r="B918" s="304" t="s">
        <v>3363</v>
      </c>
      <c r="C918" s="304" t="s">
        <v>390</v>
      </c>
      <c r="D918" s="304" t="s">
        <v>3364</v>
      </c>
      <c r="E918" s="375" t="s">
        <v>3365</v>
      </c>
      <c r="F918" s="209"/>
      <c r="G918" s="209"/>
      <c r="H918" s="209"/>
      <c r="I918" s="209"/>
      <c r="J918" s="300" t="b">
        <v>1</v>
      </c>
      <c r="K918" s="301" t="b">
        <v>0</v>
      </c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  <c r="AH918" s="209"/>
      <c r="AI918" s="209"/>
      <c r="AJ918" s="209"/>
      <c r="AK918" s="209"/>
    </row>
    <row r="919">
      <c r="A919" s="291"/>
      <c r="B919" s="304" t="s">
        <v>3366</v>
      </c>
      <c r="C919" s="304" t="s">
        <v>390</v>
      </c>
      <c r="D919" s="304" t="s">
        <v>3367</v>
      </c>
      <c r="E919" s="375" t="s">
        <v>3368</v>
      </c>
      <c r="F919" s="304" t="s">
        <v>750</v>
      </c>
      <c r="G919" s="209"/>
      <c r="H919" s="209"/>
      <c r="I919" s="209"/>
      <c r="J919" s="300" t="b">
        <v>1</v>
      </c>
      <c r="K919" s="301" t="b">
        <v>0</v>
      </c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  <c r="AH919" s="209"/>
      <c r="AI919" s="209"/>
      <c r="AJ919" s="209"/>
      <c r="AK919" s="209"/>
    </row>
    <row r="920">
      <c r="A920" s="309"/>
      <c r="B920" s="311" t="s">
        <v>3369</v>
      </c>
      <c r="C920" s="311" t="s">
        <v>390</v>
      </c>
      <c r="D920" s="311" t="s">
        <v>3370</v>
      </c>
      <c r="E920" s="312">
        <v>8.40472500932E11</v>
      </c>
      <c r="F920" s="313"/>
      <c r="G920" s="313"/>
      <c r="H920" s="313"/>
      <c r="I920" s="313"/>
      <c r="J920" s="350" t="b">
        <v>1</v>
      </c>
      <c r="K920" s="314" t="b">
        <v>0</v>
      </c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  <c r="AH920" s="209"/>
      <c r="AI920" s="209"/>
      <c r="AJ920" s="209"/>
      <c r="AK920" s="209"/>
    </row>
    <row r="921">
      <c r="A921" s="209"/>
      <c r="B921" s="209"/>
      <c r="C921" s="209"/>
      <c r="D921" s="209"/>
      <c r="E921" s="209"/>
      <c r="F921" s="344"/>
      <c r="G921" s="344"/>
      <c r="H921" s="344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  <c r="AH921" s="209"/>
      <c r="AI921" s="209"/>
      <c r="AJ921" s="209"/>
      <c r="AK921" s="209"/>
    </row>
    <row r="922">
      <c r="A922" s="316" t="s">
        <v>3371</v>
      </c>
      <c r="B922" s="339" t="s">
        <v>3372</v>
      </c>
      <c r="C922" s="320"/>
      <c r="D922" s="283" t="s">
        <v>3373</v>
      </c>
      <c r="E922" s="402" t="s">
        <v>116</v>
      </c>
      <c r="F922" s="320"/>
      <c r="G922" s="320"/>
      <c r="H922" s="276" t="s">
        <v>370</v>
      </c>
      <c r="I922" s="285" t="s">
        <v>901</v>
      </c>
      <c r="J922" s="278" t="str">
        <f>IF(COUNTIF(J923:J926, TRUE) = COUNTA(J923:J926), "Complete!", IF(COUNTIF(J923:J926, TRUE) &gt; 0, "Partial", "Not Started"))</f>
        <v>Complete!</v>
      </c>
      <c r="K922" s="279"/>
      <c r="L922" s="280">
        <v>4.0</v>
      </c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  <c r="AH922" s="209"/>
      <c r="AI922" s="209"/>
      <c r="AJ922" s="209"/>
      <c r="AK922" s="209"/>
    </row>
    <row r="923">
      <c r="A923" s="291"/>
      <c r="B923" s="304" t="s">
        <v>3374</v>
      </c>
      <c r="C923" s="304" t="s">
        <v>2880</v>
      </c>
      <c r="D923" s="304" t="s">
        <v>3375</v>
      </c>
      <c r="E923" s="375">
        <v>8.40472500307E11</v>
      </c>
      <c r="F923" s="209"/>
      <c r="G923" s="209"/>
      <c r="H923" s="209"/>
      <c r="I923" s="209"/>
      <c r="J923" s="300" t="b">
        <v>1</v>
      </c>
      <c r="K923" s="301" t="b">
        <v>0</v>
      </c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  <c r="AH923" s="209"/>
      <c r="AI923" s="209"/>
      <c r="AJ923" s="209"/>
      <c r="AK923" s="209"/>
    </row>
    <row r="924">
      <c r="A924" s="291"/>
      <c r="B924" s="304" t="s">
        <v>3376</v>
      </c>
      <c r="C924" s="304" t="s">
        <v>2880</v>
      </c>
      <c r="D924" s="304" t="s">
        <v>3377</v>
      </c>
      <c r="E924" s="375" t="s">
        <v>3378</v>
      </c>
      <c r="F924" s="209"/>
      <c r="G924" s="209"/>
      <c r="H924" s="209"/>
      <c r="I924" s="209"/>
      <c r="J924" s="300" t="b">
        <v>1</v>
      </c>
      <c r="K924" s="301" t="b">
        <v>0</v>
      </c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  <c r="AH924" s="209"/>
      <c r="AI924" s="209"/>
      <c r="AJ924" s="209"/>
      <c r="AK924" s="209"/>
    </row>
    <row r="925">
      <c r="A925" s="291"/>
      <c r="B925" s="304" t="s">
        <v>3379</v>
      </c>
      <c r="C925" s="304" t="s">
        <v>2880</v>
      </c>
      <c r="D925" s="304" t="s">
        <v>3380</v>
      </c>
      <c r="E925" s="375" t="s">
        <v>3381</v>
      </c>
      <c r="F925" s="209"/>
      <c r="G925" s="209"/>
      <c r="H925" s="209"/>
      <c r="I925" s="209"/>
      <c r="J925" s="300" t="b">
        <v>1</v>
      </c>
      <c r="K925" s="301" t="b">
        <v>0</v>
      </c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  <c r="AH925" s="209"/>
      <c r="AI925" s="209"/>
      <c r="AJ925" s="209"/>
      <c r="AK925" s="209"/>
    </row>
    <row r="926">
      <c r="A926" s="309"/>
      <c r="B926" s="311" t="s">
        <v>3382</v>
      </c>
      <c r="C926" s="311" t="s">
        <v>2880</v>
      </c>
      <c r="D926" s="311" t="s">
        <v>3383</v>
      </c>
      <c r="E926" s="312">
        <v>8.40472500321E11</v>
      </c>
      <c r="F926" s="313"/>
      <c r="G926" s="313"/>
      <c r="H926" s="313"/>
      <c r="I926" s="313"/>
      <c r="J926" s="350" t="b">
        <v>1</v>
      </c>
      <c r="K926" s="314" t="b">
        <v>0</v>
      </c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  <c r="AH926" s="209"/>
      <c r="AI926" s="209"/>
      <c r="AJ926" s="209"/>
      <c r="AK926" s="209"/>
    </row>
    <row r="927">
      <c r="A927" s="209"/>
      <c r="B927" s="209"/>
      <c r="C927" s="209"/>
      <c r="D927" s="209"/>
      <c r="E927" s="209"/>
      <c r="F927" s="344"/>
      <c r="G927" s="344"/>
      <c r="H927" s="344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  <c r="AH927" s="209"/>
      <c r="AI927" s="209"/>
      <c r="AJ927" s="209"/>
      <c r="AK927" s="209"/>
    </row>
    <row r="928">
      <c r="A928" s="316" t="s">
        <v>3384</v>
      </c>
      <c r="B928" s="339" t="s">
        <v>3385</v>
      </c>
      <c r="C928" s="320"/>
      <c r="D928" s="283" t="s">
        <v>3386</v>
      </c>
      <c r="E928" s="402" t="s">
        <v>116</v>
      </c>
      <c r="F928" s="320"/>
      <c r="G928" s="320"/>
      <c r="H928" s="276" t="s">
        <v>2790</v>
      </c>
      <c r="I928" s="285" t="s">
        <v>3387</v>
      </c>
      <c r="J928" s="278" t="str">
        <f>IF(COUNTIF(J929:J932, TRUE) = COUNTA(J929:J932), "Complete!", IF(COUNTIF(J929:J932, TRUE) &gt; 0, "Partial", "Not Started"))</f>
        <v>Complete!</v>
      </c>
      <c r="K928" s="279"/>
      <c r="L928" s="280">
        <v>4.0</v>
      </c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  <c r="AH928" s="209"/>
      <c r="AI928" s="209"/>
      <c r="AJ928" s="209"/>
      <c r="AK928" s="209"/>
    </row>
    <row r="929">
      <c r="A929" s="291"/>
      <c r="B929" s="304" t="s">
        <v>3388</v>
      </c>
      <c r="C929" s="304" t="s">
        <v>692</v>
      </c>
      <c r="D929" s="304" t="s">
        <v>3389</v>
      </c>
      <c r="E929" s="375">
        <v>8.40472500383E11</v>
      </c>
      <c r="F929" s="209"/>
      <c r="G929" s="209"/>
      <c r="H929" s="209"/>
      <c r="I929" s="209"/>
      <c r="J929" s="300" t="b">
        <v>1</v>
      </c>
      <c r="K929" s="301" t="b">
        <v>0</v>
      </c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  <c r="AH929" s="209"/>
      <c r="AI929" s="209"/>
      <c r="AJ929" s="209"/>
      <c r="AK929" s="209"/>
    </row>
    <row r="930">
      <c r="A930" s="291"/>
      <c r="B930" s="304" t="s">
        <v>3390</v>
      </c>
      <c r="C930" s="304" t="s">
        <v>692</v>
      </c>
      <c r="D930" s="304" t="s">
        <v>3391</v>
      </c>
      <c r="E930" s="375" t="s">
        <v>3392</v>
      </c>
      <c r="F930" s="209"/>
      <c r="G930" s="209"/>
      <c r="H930" s="209"/>
      <c r="I930" s="209"/>
      <c r="J930" s="300" t="b">
        <v>1</v>
      </c>
      <c r="K930" s="301" t="b">
        <v>0</v>
      </c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  <c r="AH930" s="209"/>
      <c r="AI930" s="209"/>
      <c r="AJ930" s="209"/>
      <c r="AK930" s="209"/>
    </row>
    <row r="931">
      <c r="A931" s="291"/>
      <c r="B931" s="304" t="s">
        <v>3393</v>
      </c>
      <c r="C931" s="304" t="s">
        <v>692</v>
      </c>
      <c r="D931" s="304" t="s">
        <v>3394</v>
      </c>
      <c r="E931" s="375" t="s">
        <v>3395</v>
      </c>
      <c r="F931" s="209"/>
      <c r="G931" s="209"/>
      <c r="H931" s="209"/>
      <c r="I931" s="209"/>
      <c r="J931" s="300" t="b">
        <v>1</v>
      </c>
      <c r="K931" s="301" t="b">
        <v>0</v>
      </c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  <c r="AH931" s="209"/>
      <c r="AI931" s="209"/>
      <c r="AJ931" s="209"/>
      <c r="AK931" s="209"/>
    </row>
    <row r="932">
      <c r="A932" s="309"/>
      <c r="B932" s="311" t="s">
        <v>3396</v>
      </c>
      <c r="C932" s="311" t="s">
        <v>692</v>
      </c>
      <c r="D932" s="311" t="s">
        <v>3397</v>
      </c>
      <c r="E932" s="312">
        <v>8.40472500406E11</v>
      </c>
      <c r="F932" s="313"/>
      <c r="G932" s="313"/>
      <c r="H932" s="313"/>
      <c r="I932" s="313"/>
      <c r="J932" s="350" t="b">
        <v>1</v>
      </c>
      <c r="K932" s="314" t="b">
        <v>0</v>
      </c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  <c r="AH932" s="209"/>
      <c r="AI932" s="209"/>
      <c r="AJ932" s="209"/>
      <c r="AK932" s="209"/>
    </row>
    <row r="933">
      <c r="A933" s="209"/>
      <c r="B933" s="209"/>
      <c r="C933" s="209"/>
      <c r="D933" s="209"/>
      <c r="E933" s="209"/>
      <c r="F933" s="344"/>
      <c r="G933" s="344"/>
      <c r="H933" s="344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  <c r="AH933" s="209"/>
      <c r="AI933" s="209"/>
      <c r="AJ933" s="209"/>
      <c r="AK933" s="209"/>
    </row>
    <row r="934">
      <c r="A934" s="316" t="s">
        <v>3398</v>
      </c>
      <c r="B934" s="339" t="s">
        <v>3399</v>
      </c>
      <c r="C934" s="320"/>
      <c r="D934" s="283" t="s">
        <v>3400</v>
      </c>
      <c r="E934" s="402" t="s">
        <v>116</v>
      </c>
      <c r="F934" s="320"/>
      <c r="G934" s="320"/>
      <c r="H934" s="276" t="s">
        <v>3401</v>
      </c>
      <c r="I934" s="285" t="s">
        <v>1821</v>
      </c>
      <c r="J934" s="278" t="str">
        <f>IF(COUNTIF(J935:J938, TRUE) = COUNTA(J935:J938), "Complete!", IF(COUNTIF(J935:J938, TRUE) &gt; 0, "Partial", "Not Started"))</f>
        <v>Complete!</v>
      </c>
      <c r="K934" s="279"/>
      <c r="L934" s="280">
        <v>4.0</v>
      </c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  <c r="AH934" s="209"/>
      <c r="AI934" s="209"/>
      <c r="AJ934" s="209"/>
      <c r="AK934" s="209"/>
    </row>
    <row r="935">
      <c r="A935" s="291"/>
      <c r="B935" s="304" t="s">
        <v>3402</v>
      </c>
      <c r="C935" s="304" t="s">
        <v>3403</v>
      </c>
      <c r="D935" s="304" t="s">
        <v>3404</v>
      </c>
      <c r="E935" s="375">
        <v>8.10115974598E11</v>
      </c>
      <c r="F935" s="209"/>
      <c r="G935" s="209"/>
      <c r="H935" s="209"/>
      <c r="I935" s="209"/>
      <c r="J935" s="300" t="b">
        <v>1</v>
      </c>
      <c r="K935" s="301" t="b">
        <v>0</v>
      </c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  <c r="AH935" s="209"/>
      <c r="AI935" s="209"/>
      <c r="AJ935" s="209"/>
      <c r="AK935" s="209"/>
    </row>
    <row r="936">
      <c r="A936" s="291"/>
      <c r="B936" s="304" t="s">
        <v>3405</v>
      </c>
      <c r="C936" s="304" t="s">
        <v>3403</v>
      </c>
      <c r="D936" s="304" t="s">
        <v>3406</v>
      </c>
      <c r="E936" s="305">
        <v>8.10115974611E11</v>
      </c>
      <c r="F936" s="209"/>
      <c r="G936" s="209"/>
      <c r="H936" s="209"/>
      <c r="I936" s="209"/>
      <c r="J936" s="300" t="b">
        <v>1</v>
      </c>
      <c r="K936" s="301" t="b">
        <v>0</v>
      </c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  <c r="AH936" s="209"/>
      <c r="AI936" s="209"/>
      <c r="AJ936" s="209"/>
      <c r="AK936" s="209"/>
    </row>
    <row r="937">
      <c r="A937" s="291"/>
      <c r="B937" s="377" t="s">
        <v>3407</v>
      </c>
      <c r="C937" s="304" t="s">
        <v>3403</v>
      </c>
      <c r="D937" s="304" t="s">
        <v>3408</v>
      </c>
      <c r="E937" s="395">
        <v>8.10115974604E11</v>
      </c>
      <c r="F937" s="209"/>
      <c r="G937" s="209"/>
      <c r="H937" s="209"/>
      <c r="I937" s="209"/>
      <c r="J937" s="300" t="b">
        <v>1</v>
      </c>
      <c r="K937" s="301" t="b">
        <v>0</v>
      </c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  <c r="AH937" s="209"/>
      <c r="AI937" s="209"/>
      <c r="AJ937" s="209"/>
      <c r="AK937" s="209"/>
    </row>
    <row r="938">
      <c r="A938" s="309"/>
      <c r="B938" s="311" t="s">
        <v>3409</v>
      </c>
      <c r="C938" s="311" t="s">
        <v>3403</v>
      </c>
      <c r="D938" s="311" t="s">
        <v>3410</v>
      </c>
      <c r="E938" s="312">
        <v>8.10115975359E11</v>
      </c>
      <c r="F938" s="313"/>
      <c r="G938" s="313"/>
      <c r="H938" s="313"/>
      <c r="I938" s="313"/>
      <c r="J938" s="350" t="b">
        <v>1</v>
      </c>
      <c r="K938" s="314" t="b">
        <v>0</v>
      </c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  <c r="AH938" s="209"/>
      <c r="AI938" s="209"/>
      <c r="AJ938" s="209"/>
      <c r="AK938" s="209"/>
    </row>
    <row r="939">
      <c r="A939" s="313"/>
      <c r="B939" s="209"/>
      <c r="C939" s="209"/>
      <c r="D939" s="209"/>
      <c r="E939" s="209"/>
      <c r="F939" s="344"/>
      <c r="G939" s="344"/>
      <c r="H939" s="344"/>
      <c r="I939" s="209"/>
      <c r="J939" s="313"/>
      <c r="K939" s="313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  <c r="AH939" s="209"/>
      <c r="AI939" s="209"/>
      <c r="AJ939" s="209"/>
      <c r="AK939" s="209"/>
    </row>
    <row r="940">
      <c r="A940" s="271" t="s">
        <v>3411</v>
      </c>
      <c r="B940" s="339" t="s">
        <v>3412</v>
      </c>
      <c r="C940" s="320"/>
      <c r="D940" s="283" t="s">
        <v>3413</v>
      </c>
      <c r="E940" s="402" t="s">
        <v>116</v>
      </c>
      <c r="F940" s="320"/>
      <c r="G940" s="320"/>
      <c r="H940" s="276" t="s">
        <v>1844</v>
      </c>
      <c r="I940" s="285" t="s">
        <v>3414</v>
      </c>
      <c r="J940" s="278" t="str">
        <f>IF(COUNTIF(J941:J944, TRUE) = COUNTA(J941:J944), "Complete!", IF(COUNTIF(J941:J944, TRUE) &gt; 0, "Partial", "Not Started"))</f>
        <v>Complete!</v>
      </c>
      <c r="K940" s="279"/>
      <c r="L940" s="280">
        <v>4.0</v>
      </c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  <c r="AH940" s="209"/>
      <c r="AI940" s="209"/>
      <c r="AJ940" s="209"/>
      <c r="AK940" s="209"/>
    </row>
    <row r="941">
      <c r="A941" s="291"/>
      <c r="B941" s="304" t="s">
        <v>3415</v>
      </c>
      <c r="C941" s="304" t="s">
        <v>3416</v>
      </c>
      <c r="D941" s="304" t="s">
        <v>3417</v>
      </c>
      <c r="E941" s="375">
        <v>8.1011597468E11</v>
      </c>
      <c r="F941" s="209"/>
      <c r="G941" s="209"/>
      <c r="H941" s="209"/>
      <c r="I941" s="209"/>
      <c r="J941" s="300" t="b">
        <v>1</v>
      </c>
      <c r="K941" s="301" t="b">
        <v>0</v>
      </c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  <c r="AH941" s="209"/>
      <c r="AI941" s="209"/>
      <c r="AJ941" s="209"/>
      <c r="AK941" s="209"/>
    </row>
    <row r="942">
      <c r="A942" s="291"/>
      <c r="B942" s="304" t="s">
        <v>3418</v>
      </c>
      <c r="C942" s="304" t="s">
        <v>3416</v>
      </c>
      <c r="D942" s="304" t="s">
        <v>3419</v>
      </c>
      <c r="E942" s="305">
        <v>8.10115974703E11</v>
      </c>
      <c r="F942" s="209"/>
      <c r="G942" s="209"/>
      <c r="H942" s="209"/>
      <c r="I942" s="209"/>
      <c r="J942" s="300" t="b">
        <v>1</v>
      </c>
      <c r="K942" s="301" t="b">
        <v>0</v>
      </c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  <c r="AH942" s="209"/>
      <c r="AI942" s="209"/>
      <c r="AJ942" s="209"/>
      <c r="AK942" s="209"/>
    </row>
    <row r="943">
      <c r="A943" s="291"/>
      <c r="B943" s="304" t="s">
        <v>3420</v>
      </c>
      <c r="C943" s="304" t="s">
        <v>3416</v>
      </c>
      <c r="D943" s="304" t="s">
        <v>3421</v>
      </c>
      <c r="E943" s="305">
        <v>8.10115974697E11</v>
      </c>
      <c r="F943" s="209"/>
      <c r="G943" s="209"/>
      <c r="H943" s="209"/>
      <c r="I943" s="209"/>
      <c r="J943" s="300" t="b">
        <v>1</v>
      </c>
      <c r="K943" s="301" t="b">
        <v>0</v>
      </c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  <c r="AH943" s="209"/>
      <c r="AI943" s="209"/>
      <c r="AJ943" s="209"/>
      <c r="AK943" s="209"/>
    </row>
    <row r="944">
      <c r="A944" s="309"/>
      <c r="B944" s="311" t="s">
        <v>3422</v>
      </c>
      <c r="C944" s="311" t="s">
        <v>3416</v>
      </c>
      <c r="D944" s="311" t="s">
        <v>3423</v>
      </c>
      <c r="E944" s="312">
        <v>8.1011597538E11</v>
      </c>
      <c r="F944" s="313"/>
      <c r="G944" s="313"/>
      <c r="H944" s="313"/>
      <c r="I944" s="313"/>
      <c r="J944" s="350" t="b">
        <v>1</v>
      </c>
      <c r="K944" s="314" t="b">
        <v>0</v>
      </c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  <c r="AH944" s="209"/>
      <c r="AI944" s="209"/>
      <c r="AJ944" s="209"/>
      <c r="AK944" s="209"/>
    </row>
    <row r="945">
      <c r="A945" s="418"/>
      <c r="B945" s="209"/>
      <c r="C945" s="209"/>
      <c r="D945" s="209"/>
      <c r="E945" s="209"/>
      <c r="F945" s="344"/>
      <c r="G945" s="344"/>
      <c r="H945" s="344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  <c r="AH945" s="209"/>
      <c r="AI945" s="209"/>
      <c r="AJ945" s="209"/>
      <c r="AK945" s="209"/>
    </row>
    <row r="946">
      <c r="A946" s="434"/>
      <c r="B946" s="320"/>
      <c r="C946" s="320"/>
      <c r="D946" s="320"/>
      <c r="E946" s="320"/>
      <c r="F946" s="320"/>
      <c r="G946" s="320"/>
      <c r="H946" s="276" t="s">
        <v>888</v>
      </c>
      <c r="I946" s="285" t="s">
        <v>889</v>
      </c>
      <c r="J946" s="278" t="str">
        <f>IF(COUNTIF(J947, TRUE) = COUNTA(J947), "Complete!", IF(COUNTIF(J947, TRUE) &gt; 0, "Partial", "Not Started"))</f>
        <v>Complete!</v>
      </c>
      <c r="K946" s="27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  <c r="AH946" s="209"/>
      <c r="AI946" s="209"/>
      <c r="AJ946" s="209"/>
      <c r="AK946" s="209"/>
    </row>
    <row r="947">
      <c r="B947" s="292" t="s">
        <v>3424</v>
      </c>
      <c r="C947" s="295"/>
      <c r="D947" s="295"/>
      <c r="E947" s="295"/>
      <c r="F947" s="293" t="s">
        <v>1062</v>
      </c>
      <c r="G947" s="295"/>
      <c r="H947" s="295"/>
      <c r="I947" s="295"/>
      <c r="J947" s="296" t="b">
        <v>1</v>
      </c>
      <c r="K947" s="297" t="b">
        <v>0</v>
      </c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  <c r="AH947" s="209"/>
      <c r="AI947" s="209"/>
      <c r="AJ947" s="209"/>
      <c r="AK947" s="209"/>
    </row>
    <row r="948">
      <c r="B948" s="303" t="s">
        <v>3425</v>
      </c>
      <c r="C948" s="209"/>
      <c r="D948" s="209"/>
      <c r="E948" s="209"/>
      <c r="F948" s="304" t="s">
        <v>1062</v>
      </c>
      <c r="G948" s="209"/>
      <c r="H948" s="209"/>
      <c r="I948" s="209"/>
      <c r="J948" s="296" t="b">
        <v>1</v>
      </c>
      <c r="K948" s="301" t="b">
        <v>0</v>
      </c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  <c r="AH948" s="209"/>
      <c r="AI948" s="209"/>
      <c r="AJ948" s="209"/>
      <c r="AK948" s="209"/>
    </row>
    <row r="949">
      <c r="B949" s="310" t="s">
        <v>3426</v>
      </c>
      <c r="C949" s="313"/>
      <c r="D949" s="313"/>
      <c r="E949" s="313"/>
      <c r="F949" s="311" t="s">
        <v>1062</v>
      </c>
      <c r="G949" s="313"/>
      <c r="H949" s="313"/>
      <c r="I949" s="313"/>
      <c r="J949" s="296" t="b">
        <v>1</v>
      </c>
      <c r="K949" s="314" t="b">
        <v>0</v>
      </c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  <c r="AH949" s="209"/>
      <c r="AI949" s="209"/>
      <c r="AJ949" s="209"/>
      <c r="AK949" s="209"/>
    </row>
    <row r="950">
      <c r="A950" s="209"/>
      <c r="B950" s="209"/>
      <c r="C950" s="209"/>
      <c r="D950" s="209"/>
      <c r="E950" s="209"/>
      <c r="F950" s="344"/>
      <c r="G950" s="344"/>
      <c r="H950" s="344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  <c r="AA950" s="209"/>
      <c r="AB950" s="209"/>
      <c r="AC950" s="209"/>
      <c r="AD950" s="209"/>
      <c r="AE950" s="209"/>
      <c r="AF950" s="209"/>
      <c r="AG950" s="209"/>
      <c r="AH950" s="209"/>
      <c r="AI950" s="209"/>
      <c r="AJ950" s="209"/>
      <c r="AK950" s="209"/>
    </row>
    <row r="951">
      <c r="A951" s="434"/>
      <c r="B951" s="320"/>
      <c r="C951" s="320"/>
      <c r="D951" s="320"/>
      <c r="E951" s="320"/>
      <c r="F951" s="320"/>
      <c r="G951" s="320"/>
      <c r="H951" s="276" t="s">
        <v>888</v>
      </c>
      <c r="I951" s="285" t="s">
        <v>889</v>
      </c>
      <c r="J951" s="278" t="str">
        <f>IF(COUNTIF(J952, TRUE) = COUNTA(J952), "Complete!", IF(COUNTIF(J952, TRUE) &gt; 0, "Partial", "Not Started"))</f>
        <v>Complete!</v>
      </c>
      <c r="K951" s="27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  <c r="AA951" s="209"/>
      <c r="AB951" s="209"/>
      <c r="AC951" s="209"/>
      <c r="AD951" s="209"/>
      <c r="AE951" s="209"/>
      <c r="AF951" s="209"/>
      <c r="AG951" s="209"/>
      <c r="AH951" s="209"/>
      <c r="AI951" s="209"/>
      <c r="AJ951" s="209"/>
      <c r="AK951" s="209"/>
    </row>
    <row r="952">
      <c r="B952" s="304" t="s">
        <v>3427</v>
      </c>
      <c r="C952" s="295"/>
      <c r="D952" s="295"/>
      <c r="E952" s="295"/>
      <c r="F952" s="293" t="s">
        <v>1062</v>
      </c>
      <c r="G952" s="295"/>
      <c r="H952" s="295"/>
      <c r="I952" s="295"/>
      <c r="J952" s="296" t="b">
        <v>1</v>
      </c>
      <c r="K952" s="297" t="b">
        <v>0</v>
      </c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  <c r="AA952" s="209"/>
      <c r="AB952" s="209"/>
      <c r="AC952" s="209"/>
      <c r="AD952" s="209"/>
      <c r="AE952" s="209"/>
      <c r="AF952" s="209"/>
      <c r="AG952" s="209"/>
      <c r="AH952" s="209"/>
      <c r="AI952" s="209"/>
      <c r="AJ952" s="209"/>
      <c r="AK952" s="209"/>
    </row>
    <row r="953">
      <c r="B953" s="304" t="s">
        <v>3428</v>
      </c>
      <c r="C953" s="209"/>
      <c r="D953" s="209"/>
      <c r="E953" s="209"/>
      <c r="F953" s="304" t="s">
        <v>1062</v>
      </c>
      <c r="G953" s="209"/>
      <c r="H953" s="209"/>
      <c r="I953" s="209"/>
      <c r="J953" s="300" t="b">
        <v>1</v>
      </c>
      <c r="K953" s="301" t="b">
        <v>0</v>
      </c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  <c r="AA953" s="209"/>
      <c r="AB953" s="209"/>
      <c r="AC953" s="209"/>
      <c r="AD953" s="209"/>
      <c r="AE953" s="209"/>
      <c r="AF953" s="209"/>
      <c r="AG953" s="209"/>
      <c r="AH953" s="209"/>
      <c r="AI953" s="209"/>
      <c r="AJ953" s="209"/>
      <c r="AK953" s="209"/>
    </row>
    <row r="954">
      <c r="B954" s="311" t="s">
        <v>3429</v>
      </c>
      <c r="C954" s="313"/>
      <c r="D954" s="313"/>
      <c r="E954" s="313"/>
      <c r="F954" s="311" t="s">
        <v>1062</v>
      </c>
      <c r="G954" s="313"/>
      <c r="H954" s="313"/>
      <c r="I954" s="313"/>
      <c r="J954" s="350" t="b">
        <v>1</v>
      </c>
      <c r="K954" s="314" t="b">
        <v>0</v>
      </c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  <c r="AA954" s="209"/>
      <c r="AB954" s="209"/>
      <c r="AC954" s="209"/>
      <c r="AD954" s="209"/>
      <c r="AE954" s="209"/>
      <c r="AF954" s="209"/>
      <c r="AG954" s="209"/>
      <c r="AH954" s="209"/>
      <c r="AI954" s="209"/>
      <c r="AJ954" s="209"/>
      <c r="AK954" s="209"/>
    </row>
    <row r="955">
      <c r="A955" s="209"/>
      <c r="B955" s="209"/>
      <c r="C955" s="209"/>
      <c r="D955" s="209"/>
      <c r="E955" s="209"/>
      <c r="F955" s="344"/>
      <c r="G955" s="344"/>
      <c r="H955" s="344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  <c r="AA955" s="209"/>
      <c r="AB955" s="209"/>
      <c r="AC955" s="209"/>
      <c r="AD955" s="209"/>
      <c r="AE955" s="209"/>
      <c r="AF955" s="209"/>
      <c r="AG955" s="209"/>
      <c r="AH955" s="209"/>
      <c r="AI955" s="209"/>
      <c r="AJ955" s="209"/>
      <c r="AK955" s="209"/>
    </row>
    <row r="956">
      <c r="A956" s="434"/>
      <c r="B956" s="320"/>
      <c r="C956" s="320"/>
      <c r="D956" s="320"/>
      <c r="E956" s="320"/>
      <c r="F956" s="320"/>
      <c r="G956" s="320"/>
      <c r="H956" s="276" t="s">
        <v>888</v>
      </c>
      <c r="I956" s="285" t="s">
        <v>889</v>
      </c>
      <c r="J956" s="278" t="str">
        <f>IF(COUNTIF(J957, TRUE) = COUNTA(J957), "Complete!", IF(COUNTIF(J957, TRUE) &gt; 0, "Partial", "Not Started"))</f>
        <v>Complete!</v>
      </c>
      <c r="K956" s="27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  <c r="AA956" s="209"/>
      <c r="AB956" s="209"/>
      <c r="AC956" s="209"/>
      <c r="AD956" s="209"/>
      <c r="AE956" s="209"/>
      <c r="AF956" s="209"/>
      <c r="AG956" s="209"/>
      <c r="AH956" s="209"/>
      <c r="AI956" s="209"/>
      <c r="AJ956" s="209"/>
      <c r="AK956" s="209"/>
    </row>
    <row r="957">
      <c r="B957" s="304" t="s">
        <v>3430</v>
      </c>
      <c r="C957" s="295"/>
      <c r="D957" s="295"/>
      <c r="E957" s="295"/>
      <c r="F957" s="293" t="s">
        <v>1062</v>
      </c>
      <c r="G957" s="295"/>
      <c r="H957" s="295"/>
      <c r="I957" s="295"/>
      <c r="J957" s="296" t="b">
        <v>1</v>
      </c>
      <c r="K957" s="297" t="b">
        <v>0</v>
      </c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  <c r="AA957" s="209"/>
      <c r="AB957" s="209"/>
      <c r="AC957" s="209"/>
      <c r="AD957" s="209"/>
      <c r="AE957" s="209"/>
      <c r="AF957" s="209"/>
      <c r="AG957" s="209"/>
      <c r="AH957" s="209"/>
      <c r="AI957" s="209"/>
      <c r="AJ957" s="209"/>
      <c r="AK957" s="209"/>
    </row>
    <row r="958">
      <c r="B958" s="304" t="s">
        <v>3431</v>
      </c>
      <c r="C958" s="209"/>
      <c r="D958" s="209"/>
      <c r="E958" s="209"/>
      <c r="F958" s="304" t="s">
        <v>1062</v>
      </c>
      <c r="G958" s="209"/>
      <c r="H958" s="209"/>
      <c r="I958" s="209"/>
      <c r="J958" s="300" t="b">
        <v>1</v>
      </c>
      <c r="K958" s="301" t="b">
        <v>0</v>
      </c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  <c r="AA958" s="209"/>
      <c r="AB958" s="209"/>
      <c r="AC958" s="209"/>
      <c r="AD958" s="209"/>
      <c r="AE958" s="209"/>
      <c r="AF958" s="209"/>
      <c r="AG958" s="209"/>
      <c r="AH958" s="209"/>
      <c r="AI958" s="209"/>
      <c r="AJ958" s="209"/>
      <c r="AK958" s="209"/>
    </row>
    <row r="959">
      <c r="B959" s="311" t="s">
        <v>3432</v>
      </c>
      <c r="C959" s="313"/>
      <c r="D959" s="313"/>
      <c r="E959" s="313"/>
      <c r="F959" s="311" t="s">
        <v>1062</v>
      </c>
      <c r="G959" s="313"/>
      <c r="H959" s="313"/>
      <c r="I959" s="313"/>
      <c r="J959" s="350" t="b">
        <v>1</v>
      </c>
      <c r="K959" s="314" t="b">
        <v>0</v>
      </c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  <c r="AA959" s="209"/>
      <c r="AB959" s="209"/>
      <c r="AC959" s="209"/>
      <c r="AD959" s="209"/>
      <c r="AE959" s="209"/>
      <c r="AF959" s="209"/>
      <c r="AG959" s="209"/>
      <c r="AH959" s="209"/>
      <c r="AI959" s="209"/>
      <c r="AJ959" s="209"/>
      <c r="AK959" s="209"/>
    </row>
    <row r="960">
      <c r="A960" s="209"/>
      <c r="B960" s="209"/>
      <c r="C960" s="209"/>
      <c r="D960" s="209"/>
      <c r="E960" s="209"/>
      <c r="F960" s="344"/>
      <c r="G960" s="344"/>
      <c r="H960" s="344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  <c r="AA960" s="209"/>
      <c r="AB960" s="209"/>
      <c r="AC960" s="209"/>
      <c r="AD960" s="209"/>
      <c r="AE960" s="209"/>
      <c r="AF960" s="209"/>
      <c r="AG960" s="209"/>
      <c r="AH960" s="209"/>
      <c r="AI960" s="209"/>
      <c r="AJ960" s="209"/>
      <c r="AK960" s="209"/>
    </row>
    <row r="961">
      <c r="A961" s="434"/>
      <c r="B961" s="320"/>
      <c r="C961" s="320"/>
      <c r="D961" s="320"/>
      <c r="E961" s="320"/>
      <c r="F961" s="320"/>
      <c r="G961" s="320"/>
      <c r="H961" s="276" t="s">
        <v>888</v>
      </c>
      <c r="I961" s="285" t="s">
        <v>889</v>
      </c>
      <c r="J961" s="278" t="str">
        <f>IF(COUNTIF(J962, TRUE) = COUNTA(J962), "Complete!", IF(COUNTIF(J962, TRUE) &gt; 0, "Partial", "Not Started"))</f>
        <v>Complete!</v>
      </c>
      <c r="K961" s="27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  <c r="AA961" s="209"/>
      <c r="AB961" s="209"/>
      <c r="AC961" s="209"/>
      <c r="AD961" s="209"/>
      <c r="AE961" s="209"/>
      <c r="AF961" s="209"/>
      <c r="AG961" s="209"/>
      <c r="AH961" s="209"/>
      <c r="AI961" s="209"/>
      <c r="AJ961" s="209"/>
      <c r="AK961" s="209"/>
    </row>
    <row r="962">
      <c r="B962" s="304" t="s">
        <v>3433</v>
      </c>
      <c r="C962" s="295"/>
      <c r="D962" s="295"/>
      <c r="E962" s="295"/>
      <c r="F962" s="293" t="s">
        <v>1062</v>
      </c>
      <c r="G962" s="295"/>
      <c r="H962" s="295"/>
      <c r="I962" s="295"/>
      <c r="J962" s="296" t="b">
        <v>1</v>
      </c>
      <c r="K962" s="297" t="b">
        <v>0</v>
      </c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  <c r="AA962" s="209"/>
      <c r="AB962" s="209"/>
      <c r="AC962" s="209"/>
      <c r="AD962" s="209"/>
      <c r="AE962" s="209"/>
      <c r="AF962" s="209"/>
      <c r="AG962" s="209"/>
      <c r="AH962" s="209"/>
      <c r="AI962" s="209"/>
      <c r="AJ962" s="209"/>
      <c r="AK962" s="209"/>
    </row>
    <row r="963">
      <c r="B963" s="304" t="s">
        <v>3434</v>
      </c>
      <c r="C963" s="209"/>
      <c r="D963" s="209"/>
      <c r="E963" s="209"/>
      <c r="F963" s="304" t="s">
        <v>1062</v>
      </c>
      <c r="G963" s="209"/>
      <c r="H963" s="209"/>
      <c r="I963" s="209"/>
      <c r="J963" s="300" t="b">
        <v>1</v>
      </c>
      <c r="K963" s="301" t="b">
        <v>0</v>
      </c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  <c r="AA963" s="209"/>
      <c r="AB963" s="209"/>
      <c r="AC963" s="209"/>
      <c r="AD963" s="209"/>
      <c r="AE963" s="209"/>
      <c r="AF963" s="209"/>
      <c r="AG963" s="209"/>
      <c r="AH963" s="209"/>
      <c r="AI963" s="209"/>
      <c r="AJ963" s="209"/>
      <c r="AK963" s="209"/>
    </row>
    <row r="964">
      <c r="B964" s="311" t="s">
        <v>3435</v>
      </c>
      <c r="C964" s="313"/>
      <c r="D964" s="313"/>
      <c r="E964" s="313"/>
      <c r="F964" s="311" t="s">
        <v>1062</v>
      </c>
      <c r="G964" s="313"/>
      <c r="H964" s="313"/>
      <c r="I964" s="313"/>
      <c r="J964" s="350" t="b">
        <v>1</v>
      </c>
      <c r="K964" s="314" t="b">
        <v>0</v>
      </c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  <c r="AA964" s="209"/>
      <c r="AB964" s="209"/>
      <c r="AC964" s="209"/>
      <c r="AD964" s="209"/>
      <c r="AE964" s="209"/>
      <c r="AF964" s="209"/>
      <c r="AG964" s="209"/>
      <c r="AH964" s="209"/>
      <c r="AI964" s="209"/>
      <c r="AJ964" s="209"/>
      <c r="AK964" s="209"/>
    </row>
    <row r="965">
      <c r="A965" s="209"/>
      <c r="B965" s="209"/>
      <c r="C965" s="209"/>
      <c r="D965" s="209"/>
      <c r="E965" s="209"/>
      <c r="F965" s="344"/>
      <c r="G965" s="344"/>
      <c r="H965" s="344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  <c r="AA965" s="209"/>
      <c r="AB965" s="209"/>
      <c r="AC965" s="209"/>
      <c r="AD965" s="209"/>
      <c r="AE965" s="209"/>
      <c r="AF965" s="209"/>
      <c r="AG965" s="209"/>
      <c r="AH965" s="209"/>
      <c r="AI965" s="209"/>
      <c r="AJ965" s="209"/>
      <c r="AK965" s="209"/>
    </row>
    <row r="966">
      <c r="A966" s="434"/>
      <c r="B966" s="320"/>
      <c r="C966" s="320"/>
      <c r="D966" s="320"/>
      <c r="E966" s="320"/>
      <c r="F966" s="320"/>
      <c r="G966" s="320"/>
      <c r="H966" s="276" t="s">
        <v>888</v>
      </c>
      <c r="I966" s="285" t="s">
        <v>889</v>
      </c>
      <c r="J966" s="278" t="str">
        <f>IF(COUNTIF(J967, TRUE) = COUNTA(J967), "Complete!", IF(COUNTIF(J967, TRUE) &gt; 0, "Partial", "Not Started"))</f>
        <v>Complete!</v>
      </c>
      <c r="K966" s="27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  <c r="AA966" s="209"/>
      <c r="AB966" s="209"/>
      <c r="AC966" s="209"/>
      <c r="AD966" s="209"/>
      <c r="AE966" s="209"/>
      <c r="AF966" s="209"/>
      <c r="AG966" s="209"/>
      <c r="AH966" s="209"/>
      <c r="AI966" s="209"/>
      <c r="AJ966" s="209"/>
      <c r="AK966" s="209"/>
    </row>
    <row r="967">
      <c r="B967" s="304" t="s">
        <v>3436</v>
      </c>
      <c r="C967" s="295"/>
      <c r="D967" s="295"/>
      <c r="E967" s="295"/>
      <c r="F967" s="293" t="s">
        <v>1062</v>
      </c>
      <c r="G967" s="295"/>
      <c r="H967" s="295"/>
      <c r="I967" s="295"/>
      <c r="J967" s="296" t="b">
        <v>1</v>
      </c>
      <c r="K967" s="297" t="b">
        <v>0</v>
      </c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  <c r="AA967" s="209"/>
      <c r="AB967" s="209"/>
      <c r="AC967" s="209"/>
      <c r="AD967" s="209"/>
      <c r="AE967" s="209"/>
      <c r="AF967" s="209"/>
      <c r="AG967" s="209"/>
      <c r="AH967" s="209"/>
      <c r="AI967" s="209"/>
      <c r="AJ967" s="209"/>
      <c r="AK967" s="209"/>
    </row>
    <row r="968">
      <c r="B968" s="304" t="s">
        <v>3437</v>
      </c>
      <c r="C968" s="209"/>
      <c r="D968" s="209"/>
      <c r="E968" s="209"/>
      <c r="F968" s="304" t="s">
        <v>1062</v>
      </c>
      <c r="G968" s="209"/>
      <c r="H968" s="209"/>
      <c r="I968" s="209"/>
      <c r="J968" s="300" t="b">
        <v>1</v>
      </c>
      <c r="K968" s="301" t="b">
        <v>0</v>
      </c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  <c r="AA968" s="209"/>
      <c r="AB968" s="209"/>
      <c r="AC968" s="209"/>
      <c r="AD968" s="209"/>
      <c r="AE968" s="209"/>
      <c r="AF968" s="209"/>
      <c r="AG968" s="209"/>
      <c r="AH968" s="209"/>
      <c r="AI968" s="209"/>
      <c r="AJ968" s="209"/>
      <c r="AK968" s="209"/>
    </row>
    <row r="969">
      <c r="B969" s="311" t="s">
        <v>3438</v>
      </c>
      <c r="C969" s="313"/>
      <c r="D969" s="313"/>
      <c r="E969" s="313"/>
      <c r="F969" s="311" t="s">
        <v>1062</v>
      </c>
      <c r="G969" s="313"/>
      <c r="H969" s="313"/>
      <c r="I969" s="313"/>
      <c r="J969" s="350" t="b">
        <v>1</v>
      </c>
      <c r="K969" s="314" t="b">
        <v>0</v>
      </c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  <c r="AA969" s="209"/>
      <c r="AB969" s="209"/>
      <c r="AC969" s="209"/>
      <c r="AD969" s="209"/>
      <c r="AE969" s="209"/>
      <c r="AF969" s="209"/>
      <c r="AG969" s="209"/>
      <c r="AH969" s="209"/>
      <c r="AI969" s="209"/>
      <c r="AJ969" s="209"/>
      <c r="AK969" s="209"/>
    </row>
    <row r="970">
      <c r="A970" s="209"/>
      <c r="B970" s="209"/>
      <c r="C970" s="209"/>
      <c r="D970" s="209"/>
      <c r="E970" s="209"/>
      <c r="F970" s="344"/>
      <c r="G970" s="344"/>
      <c r="H970" s="344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  <c r="AA970" s="209"/>
      <c r="AB970" s="209"/>
      <c r="AC970" s="209"/>
      <c r="AD970" s="209"/>
      <c r="AE970" s="209"/>
      <c r="AF970" s="209"/>
      <c r="AG970" s="209"/>
      <c r="AH970" s="209"/>
      <c r="AI970" s="209"/>
      <c r="AJ970" s="209"/>
      <c r="AK970" s="209"/>
    </row>
    <row r="971">
      <c r="A971" s="434"/>
      <c r="B971" s="320"/>
      <c r="C971" s="320"/>
      <c r="D971" s="320"/>
      <c r="E971" s="320"/>
      <c r="F971" s="320"/>
      <c r="G971" s="320"/>
      <c r="H971" s="276" t="s">
        <v>888</v>
      </c>
      <c r="I971" s="285" t="s">
        <v>889</v>
      </c>
      <c r="J971" s="278" t="str">
        <f>IF(COUNTIF(J972, TRUE) = COUNTA(J972), "Complete!", IF(COUNTIF(J972, TRUE) &gt; 0, "Partial", "Not Started"))</f>
        <v>Complete!</v>
      </c>
      <c r="K971" s="27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  <c r="AA971" s="209"/>
      <c r="AB971" s="209"/>
      <c r="AC971" s="209"/>
      <c r="AD971" s="209"/>
      <c r="AE971" s="209"/>
      <c r="AF971" s="209"/>
      <c r="AG971" s="209"/>
      <c r="AH971" s="209"/>
      <c r="AI971" s="209"/>
      <c r="AJ971" s="209"/>
      <c r="AK971" s="209"/>
    </row>
    <row r="972">
      <c r="B972" s="304" t="s">
        <v>3439</v>
      </c>
      <c r="C972" s="295"/>
      <c r="D972" s="295"/>
      <c r="E972" s="295"/>
      <c r="F972" s="293" t="s">
        <v>1062</v>
      </c>
      <c r="G972" s="295"/>
      <c r="H972" s="295"/>
      <c r="I972" s="295"/>
      <c r="J972" s="296" t="b">
        <v>1</v>
      </c>
      <c r="K972" s="297" t="b">
        <v>0</v>
      </c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  <c r="AA972" s="209"/>
      <c r="AB972" s="209"/>
      <c r="AC972" s="209"/>
      <c r="AD972" s="209"/>
      <c r="AE972" s="209"/>
      <c r="AF972" s="209"/>
      <c r="AG972" s="209"/>
      <c r="AH972" s="209"/>
      <c r="AI972" s="209"/>
      <c r="AJ972" s="209"/>
      <c r="AK972" s="209"/>
    </row>
    <row r="973">
      <c r="B973" s="304" t="s">
        <v>3440</v>
      </c>
      <c r="C973" s="209"/>
      <c r="D973" s="209"/>
      <c r="E973" s="209"/>
      <c r="F973" s="304" t="s">
        <v>1062</v>
      </c>
      <c r="G973" s="209"/>
      <c r="H973" s="209"/>
      <c r="I973" s="209"/>
      <c r="J973" s="300" t="b">
        <v>1</v>
      </c>
      <c r="K973" s="301" t="b">
        <v>0</v>
      </c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  <c r="AA973" s="209"/>
      <c r="AB973" s="209"/>
      <c r="AC973" s="209"/>
      <c r="AD973" s="209"/>
      <c r="AE973" s="209"/>
      <c r="AF973" s="209"/>
      <c r="AG973" s="209"/>
      <c r="AH973" s="209"/>
      <c r="AI973" s="209"/>
      <c r="AJ973" s="209"/>
      <c r="AK973" s="209"/>
    </row>
    <row r="974">
      <c r="B974" s="311" t="s">
        <v>3441</v>
      </c>
      <c r="C974" s="313"/>
      <c r="D974" s="313"/>
      <c r="E974" s="313"/>
      <c r="F974" s="311" t="s">
        <v>1062</v>
      </c>
      <c r="G974" s="313"/>
      <c r="H974" s="313"/>
      <c r="I974" s="313"/>
      <c r="J974" s="350" t="b">
        <v>1</v>
      </c>
      <c r="K974" s="314" t="b">
        <v>0</v>
      </c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  <c r="AA974" s="209"/>
      <c r="AB974" s="209"/>
      <c r="AC974" s="209"/>
      <c r="AD974" s="209"/>
      <c r="AE974" s="209"/>
      <c r="AF974" s="209"/>
      <c r="AG974" s="209"/>
      <c r="AH974" s="209"/>
      <c r="AI974" s="209"/>
      <c r="AJ974" s="209"/>
      <c r="AK974" s="209"/>
    </row>
    <row r="975">
      <c r="A975" s="209"/>
      <c r="B975" s="209"/>
      <c r="C975" s="209"/>
      <c r="D975" s="209"/>
      <c r="E975" s="209"/>
      <c r="F975" s="344"/>
      <c r="G975" s="344"/>
      <c r="H975" s="344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  <c r="AA975" s="209"/>
      <c r="AB975" s="209"/>
      <c r="AC975" s="209"/>
      <c r="AD975" s="209"/>
      <c r="AE975" s="209"/>
      <c r="AF975" s="209"/>
      <c r="AG975" s="209"/>
      <c r="AH975" s="209"/>
      <c r="AI975" s="209"/>
      <c r="AJ975" s="209"/>
      <c r="AK975" s="209"/>
    </row>
    <row r="976">
      <c r="A976" s="434"/>
      <c r="B976" s="320"/>
      <c r="C976" s="320"/>
      <c r="D976" s="320"/>
      <c r="E976" s="320"/>
      <c r="F976" s="320"/>
      <c r="G976" s="320"/>
      <c r="H976" s="276" t="s">
        <v>888</v>
      </c>
      <c r="I976" s="285" t="s">
        <v>889</v>
      </c>
      <c r="J976" s="278" t="str">
        <f>IF(COUNTIF(J977, TRUE) = COUNTA(J977), "Complete!", IF(COUNTIF(J977, TRUE) &gt; 0, "Partial", "Not Started"))</f>
        <v>Complete!</v>
      </c>
      <c r="K976" s="27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  <c r="AA976" s="209"/>
      <c r="AB976" s="209"/>
      <c r="AC976" s="209"/>
      <c r="AD976" s="209"/>
      <c r="AE976" s="209"/>
      <c r="AF976" s="209"/>
      <c r="AG976" s="209"/>
      <c r="AH976" s="209"/>
      <c r="AI976" s="209"/>
      <c r="AJ976" s="209"/>
      <c r="AK976" s="209"/>
    </row>
    <row r="977">
      <c r="B977" s="304" t="s">
        <v>3442</v>
      </c>
      <c r="C977" s="295"/>
      <c r="D977" s="295"/>
      <c r="E977" s="295"/>
      <c r="F977" s="293" t="s">
        <v>1062</v>
      </c>
      <c r="G977" s="295"/>
      <c r="H977" s="295"/>
      <c r="I977" s="295"/>
      <c r="J977" s="296" t="b">
        <v>1</v>
      </c>
      <c r="K977" s="297" t="b">
        <v>0</v>
      </c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  <c r="AA977" s="209"/>
      <c r="AB977" s="209"/>
      <c r="AC977" s="209"/>
      <c r="AD977" s="209"/>
      <c r="AE977" s="209"/>
      <c r="AF977" s="209"/>
      <c r="AG977" s="209"/>
      <c r="AH977" s="209"/>
      <c r="AI977" s="209"/>
      <c r="AJ977" s="209"/>
      <c r="AK977" s="209"/>
    </row>
    <row r="978">
      <c r="B978" s="304" t="s">
        <v>3443</v>
      </c>
      <c r="C978" s="209"/>
      <c r="D978" s="209"/>
      <c r="E978" s="209"/>
      <c r="F978" s="304" t="s">
        <v>1062</v>
      </c>
      <c r="G978" s="209"/>
      <c r="H978" s="209"/>
      <c r="I978" s="209"/>
      <c r="J978" s="300" t="b">
        <v>1</v>
      </c>
      <c r="K978" s="301" t="b">
        <v>0</v>
      </c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  <c r="AI978" s="209"/>
      <c r="AJ978" s="209"/>
      <c r="AK978" s="209"/>
    </row>
    <row r="979">
      <c r="B979" s="311" t="s">
        <v>3444</v>
      </c>
      <c r="C979" s="313"/>
      <c r="D979" s="313"/>
      <c r="E979" s="313"/>
      <c r="F979" s="311" t="s">
        <v>1062</v>
      </c>
      <c r="G979" s="313"/>
      <c r="H979" s="313"/>
      <c r="I979" s="313"/>
      <c r="J979" s="350" t="b">
        <v>1</v>
      </c>
      <c r="K979" s="314" t="b">
        <v>0</v>
      </c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  <c r="AA979" s="209"/>
      <c r="AB979" s="209"/>
      <c r="AC979" s="209"/>
      <c r="AD979" s="209"/>
      <c r="AE979" s="209"/>
      <c r="AF979" s="209"/>
      <c r="AG979" s="209"/>
      <c r="AH979" s="209"/>
      <c r="AI979" s="209"/>
      <c r="AJ979" s="209"/>
      <c r="AK979" s="209"/>
    </row>
    <row r="980">
      <c r="A980" s="209"/>
      <c r="B980" s="209"/>
      <c r="C980" s="209"/>
      <c r="D980" s="209"/>
      <c r="E980" s="209"/>
      <c r="F980" s="344"/>
      <c r="G980" s="344"/>
      <c r="H980" s="344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  <c r="AA980" s="209"/>
      <c r="AB980" s="209"/>
      <c r="AC980" s="209"/>
      <c r="AD980" s="209"/>
      <c r="AE980" s="209"/>
      <c r="AF980" s="209"/>
      <c r="AG980" s="209"/>
      <c r="AH980" s="209"/>
      <c r="AI980" s="209"/>
      <c r="AJ980" s="209"/>
      <c r="AK980" s="209"/>
    </row>
    <row r="981">
      <c r="A981" s="434"/>
      <c r="B981" s="320"/>
      <c r="C981" s="320"/>
      <c r="D981" s="320"/>
      <c r="E981" s="320"/>
      <c r="F981" s="320"/>
      <c r="G981" s="320"/>
      <c r="H981" s="276" t="s">
        <v>888</v>
      </c>
      <c r="I981" s="285" t="s">
        <v>889</v>
      </c>
      <c r="J981" s="278" t="str">
        <f>IF(COUNTIF(J982, TRUE) = COUNTA(J982), "Complete!", IF(COUNTIF(J982, TRUE) &gt; 0, "Partial", "Not Started"))</f>
        <v>Complete!</v>
      </c>
      <c r="K981" s="27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  <c r="AA981" s="209"/>
      <c r="AB981" s="209"/>
      <c r="AC981" s="209"/>
      <c r="AD981" s="209"/>
      <c r="AE981" s="209"/>
      <c r="AF981" s="209"/>
      <c r="AG981" s="209"/>
      <c r="AH981" s="209"/>
      <c r="AI981" s="209"/>
      <c r="AJ981" s="209"/>
      <c r="AK981" s="209"/>
    </row>
    <row r="982">
      <c r="B982" s="304" t="s">
        <v>3445</v>
      </c>
      <c r="C982" s="295"/>
      <c r="D982" s="295"/>
      <c r="E982" s="295"/>
      <c r="F982" s="293" t="s">
        <v>1062</v>
      </c>
      <c r="G982" s="295"/>
      <c r="H982" s="295"/>
      <c r="I982" s="295"/>
      <c r="J982" s="296" t="b">
        <v>1</v>
      </c>
      <c r="K982" s="297" t="b">
        <v>0</v>
      </c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  <c r="AA982" s="209"/>
      <c r="AB982" s="209"/>
      <c r="AC982" s="209"/>
      <c r="AD982" s="209"/>
      <c r="AE982" s="209"/>
      <c r="AF982" s="209"/>
      <c r="AG982" s="209"/>
      <c r="AH982" s="209"/>
      <c r="AI982" s="209"/>
      <c r="AJ982" s="209"/>
      <c r="AK982" s="209"/>
    </row>
    <row r="983">
      <c r="B983" s="304" t="s">
        <v>3446</v>
      </c>
      <c r="C983" s="209"/>
      <c r="D983" s="209"/>
      <c r="E983" s="209"/>
      <c r="F983" s="304" t="s">
        <v>1062</v>
      </c>
      <c r="G983" s="209"/>
      <c r="H983" s="209"/>
      <c r="I983" s="209"/>
      <c r="J983" s="300" t="b">
        <v>1</v>
      </c>
      <c r="K983" s="301" t="b">
        <v>0</v>
      </c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  <c r="AA983" s="209"/>
      <c r="AB983" s="209"/>
      <c r="AC983" s="209"/>
      <c r="AD983" s="209"/>
      <c r="AE983" s="209"/>
      <c r="AF983" s="209"/>
      <c r="AG983" s="209"/>
      <c r="AH983" s="209"/>
      <c r="AI983" s="209"/>
      <c r="AJ983" s="209"/>
      <c r="AK983" s="209"/>
    </row>
    <row r="984">
      <c r="B984" s="311" t="s">
        <v>3447</v>
      </c>
      <c r="C984" s="313"/>
      <c r="D984" s="313"/>
      <c r="E984" s="313"/>
      <c r="F984" s="311" t="s">
        <v>1062</v>
      </c>
      <c r="G984" s="313"/>
      <c r="H984" s="313"/>
      <c r="I984" s="313"/>
      <c r="J984" s="350" t="b">
        <v>1</v>
      </c>
      <c r="K984" s="314" t="b">
        <v>0</v>
      </c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  <c r="AA984" s="209"/>
      <c r="AB984" s="209"/>
      <c r="AC984" s="209"/>
      <c r="AD984" s="209"/>
      <c r="AE984" s="209"/>
      <c r="AF984" s="209"/>
      <c r="AG984" s="209"/>
      <c r="AH984" s="209"/>
      <c r="AI984" s="209"/>
      <c r="AJ984" s="209"/>
      <c r="AK984" s="209"/>
    </row>
    <row r="985">
      <c r="A985" s="209"/>
      <c r="B985" s="209"/>
      <c r="C985" s="209"/>
      <c r="D985" s="209"/>
      <c r="E985" s="209"/>
      <c r="F985" s="344"/>
      <c r="G985" s="344"/>
      <c r="H985" s="344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  <c r="AA985" s="209"/>
      <c r="AB985" s="209"/>
      <c r="AC985" s="209"/>
      <c r="AD985" s="209"/>
      <c r="AE985" s="209"/>
      <c r="AF985" s="209"/>
      <c r="AG985" s="209"/>
      <c r="AH985" s="209"/>
      <c r="AI985" s="209"/>
      <c r="AJ985" s="209"/>
      <c r="AK985" s="209"/>
    </row>
    <row r="986">
      <c r="A986" s="434"/>
      <c r="B986" s="320"/>
      <c r="C986" s="320"/>
      <c r="D986" s="320"/>
      <c r="E986" s="320"/>
      <c r="F986" s="320"/>
      <c r="G986" s="320"/>
      <c r="H986" s="276" t="s">
        <v>888</v>
      </c>
      <c r="I986" s="285" t="s">
        <v>889</v>
      </c>
      <c r="J986" s="278" t="str">
        <f>IF(COUNTIF(J987, TRUE) = COUNTA(J987), "Complete!", IF(COUNTIF(J987, TRUE) &gt; 0, "Partial", "Not Started"))</f>
        <v>Complete!</v>
      </c>
      <c r="K986" s="27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09"/>
      <c r="AI986" s="209"/>
      <c r="AJ986" s="209"/>
      <c r="AK986" s="209"/>
    </row>
    <row r="987">
      <c r="B987" s="304" t="s">
        <v>3448</v>
      </c>
      <c r="C987" s="295"/>
      <c r="D987" s="295"/>
      <c r="E987" s="295"/>
      <c r="F987" s="293" t="s">
        <v>1062</v>
      </c>
      <c r="G987" s="295"/>
      <c r="H987" s="295"/>
      <c r="I987" s="295"/>
      <c r="J987" s="296" t="b">
        <v>1</v>
      </c>
      <c r="K987" s="297" t="b">
        <v>0</v>
      </c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  <c r="AA987" s="209"/>
      <c r="AB987" s="209"/>
      <c r="AC987" s="209"/>
      <c r="AD987" s="209"/>
      <c r="AE987" s="209"/>
      <c r="AF987" s="209"/>
      <c r="AG987" s="209"/>
      <c r="AH987" s="209"/>
      <c r="AI987" s="209"/>
      <c r="AJ987" s="209"/>
      <c r="AK987" s="209"/>
    </row>
    <row r="988">
      <c r="B988" s="304" t="s">
        <v>3449</v>
      </c>
      <c r="C988" s="209"/>
      <c r="D988" s="209"/>
      <c r="E988" s="209"/>
      <c r="F988" s="304" t="s">
        <v>1062</v>
      </c>
      <c r="G988" s="209"/>
      <c r="H988" s="209"/>
      <c r="I988" s="209"/>
      <c r="J988" s="300" t="b">
        <v>1</v>
      </c>
      <c r="K988" s="301" t="b">
        <v>0</v>
      </c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  <c r="AA988" s="209"/>
      <c r="AB988" s="209"/>
      <c r="AC988" s="209"/>
      <c r="AD988" s="209"/>
      <c r="AE988" s="209"/>
      <c r="AF988" s="209"/>
      <c r="AG988" s="209"/>
      <c r="AH988" s="209"/>
      <c r="AI988" s="209"/>
      <c r="AJ988" s="209"/>
      <c r="AK988" s="209"/>
    </row>
    <row r="989">
      <c r="B989" s="311" t="s">
        <v>3450</v>
      </c>
      <c r="C989" s="313"/>
      <c r="D989" s="313"/>
      <c r="E989" s="313"/>
      <c r="F989" s="311" t="s">
        <v>1062</v>
      </c>
      <c r="G989" s="313"/>
      <c r="H989" s="313"/>
      <c r="I989" s="313"/>
      <c r="J989" s="350" t="b">
        <v>1</v>
      </c>
      <c r="K989" s="314" t="b">
        <v>0</v>
      </c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  <c r="AA989" s="209"/>
      <c r="AB989" s="209"/>
      <c r="AC989" s="209"/>
      <c r="AD989" s="209"/>
      <c r="AE989" s="209"/>
      <c r="AF989" s="209"/>
      <c r="AG989" s="209"/>
      <c r="AH989" s="209"/>
      <c r="AI989" s="209"/>
      <c r="AJ989" s="209"/>
      <c r="AK989" s="209"/>
    </row>
    <row r="990">
      <c r="A990" s="209"/>
      <c r="B990" s="209"/>
      <c r="C990" s="209"/>
      <c r="D990" s="209"/>
      <c r="E990" s="209"/>
      <c r="F990" s="344"/>
      <c r="G990" s="344"/>
      <c r="H990" s="344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  <c r="AA990" s="209"/>
      <c r="AB990" s="209"/>
      <c r="AC990" s="209"/>
      <c r="AD990" s="209"/>
      <c r="AE990" s="209"/>
      <c r="AF990" s="209"/>
      <c r="AG990" s="209"/>
      <c r="AH990" s="209"/>
      <c r="AI990" s="209"/>
      <c r="AJ990" s="209"/>
      <c r="AK990" s="209"/>
    </row>
    <row r="991">
      <c r="A991" s="435"/>
      <c r="B991" s="320"/>
      <c r="C991" s="320"/>
      <c r="D991" s="320"/>
      <c r="E991" s="436"/>
      <c r="F991" s="320"/>
      <c r="G991" s="320"/>
      <c r="H991" s="285" t="s">
        <v>888</v>
      </c>
      <c r="I991" s="285" t="s">
        <v>889</v>
      </c>
      <c r="J991" s="278" t="str">
        <f>IF(COUNTIF(J992:J995, TRUE) = COUNTA(J992:J995), "Complete!", IF(COUNTIF(J992:J995, TRUE) &gt; 0, "Partial", "Not Started"))</f>
        <v>Complete!</v>
      </c>
      <c r="K991" s="27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  <c r="AA991" s="209"/>
      <c r="AB991" s="209"/>
      <c r="AC991" s="209"/>
      <c r="AD991" s="209"/>
      <c r="AE991" s="209"/>
      <c r="AF991" s="209"/>
      <c r="AG991" s="209"/>
      <c r="AH991" s="209"/>
      <c r="AI991" s="209"/>
      <c r="AJ991" s="209"/>
      <c r="AK991" s="209"/>
    </row>
    <row r="992">
      <c r="A992" s="291"/>
      <c r="B992" s="304" t="s">
        <v>3451</v>
      </c>
      <c r="C992" s="209"/>
      <c r="D992" s="209"/>
      <c r="E992" s="353"/>
      <c r="F992" s="304" t="s">
        <v>1062</v>
      </c>
      <c r="G992" s="209"/>
      <c r="H992" s="209"/>
      <c r="I992" s="209"/>
      <c r="J992" s="300" t="b">
        <v>1</v>
      </c>
      <c r="K992" s="301" t="b">
        <v>0</v>
      </c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  <c r="AA992" s="209"/>
      <c r="AB992" s="209"/>
      <c r="AC992" s="209"/>
      <c r="AD992" s="209"/>
      <c r="AE992" s="209"/>
      <c r="AF992" s="209"/>
      <c r="AG992" s="209"/>
      <c r="AH992" s="209"/>
      <c r="AI992" s="209"/>
      <c r="AJ992" s="209"/>
      <c r="AK992" s="209"/>
    </row>
    <row r="993">
      <c r="A993" s="291"/>
      <c r="B993" s="304" t="s">
        <v>3452</v>
      </c>
      <c r="C993" s="209"/>
      <c r="D993" s="209"/>
      <c r="E993" s="209"/>
      <c r="F993" s="304" t="s">
        <v>1062</v>
      </c>
      <c r="G993" s="209"/>
      <c r="H993" s="209"/>
      <c r="I993" s="209"/>
      <c r="J993" s="300" t="b">
        <v>1</v>
      </c>
      <c r="K993" s="301" t="b">
        <v>0</v>
      </c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  <c r="AA993" s="209"/>
      <c r="AB993" s="209"/>
      <c r="AC993" s="209"/>
      <c r="AD993" s="209"/>
      <c r="AE993" s="209"/>
      <c r="AF993" s="209"/>
      <c r="AG993" s="209"/>
      <c r="AH993" s="209"/>
      <c r="AI993" s="209"/>
      <c r="AJ993" s="209"/>
      <c r="AK993" s="209"/>
    </row>
    <row r="994">
      <c r="A994" s="291"/>
      <c r="B994" s="304" t="s">
        <v>3453</v>
      </c>
      <c r="C994" s="209"/>
      <c r="D994" s="209"/>
      <c r="E994" s="209"/>
      <c r="F994" s="304" t="s">
        <v>1062</v>
      </c>
      <c r="G994" s="209"/>
      <c r="H994" s="209"/>
      <c r="I994" s="209"/>
      <c r="J994" s="300" t="b">
        <v>1</v>
      </c>
      <c r="K994" s="301" t="b">
        <v>0</v>
      </c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  <c r="AA994" s="209"/>
      <c r="AB994" s="209"/>
      <c r="AC994" s="209"/>
      <c r="AD994" s="209"/>
      <c r="AE994" s="209"/>
      <c r="AF994" s="209"/>
      <c r="AG994" s="209"/>
      <c r="AH994" s="209"/>
      <c r="AI994" s="209"/>
      <c r="AJ994" s="209"/>
      <c r="AK994" s="209"/>
    </row>
    <row r="995">
      <c r="A995" s="309"/>
      <c r="B995" s="311" t="s">
        <v>3454</v>
      </c>
      <c r="C995" s="313"/>
      <c r="D995" s="313"/>
      <c r="E995" s="313"/>
      <c r="F995" s="311" t="s">
        <v>1062</v>
      </c>
      <c r="G995" s="313"/>
      <c r="H995" s="313"/>
      <c r="I995" s="313"/>
      <c r="J995" s="350" t="b">
        <v>1</v>
      </c>
      <c r="K995" s="314" t="b">
        <v>0</v>
      </c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  <c r="AA995" s="209"/>
      <c r="AB995" s="209"/>
      <c r="AC995" s="209"/>
      <c r="AD995" s="209"/>
      <c r="AE995" s="209"/>
      <c r="AF995" s="209"/>
      <c r="AG995" s="209"/>
      <c r="AH995" s="209"/>
      <c r="AI995" s="209"/>
      <c r="AJ995" s="209"/>
      <c r="AK995" s="209"/>
    </row>
    <row r="996">
      <c r="A996" s="209"/>
      <c r="B996" s="209"/>
      <c r="C996" s="209"/>
      <c r="D996" s="209"/>
      <c r="E996" s="209"/>
      <c r="F996" s="344"/>
      <c r="G996" s="344"/>
      <c r="H996" s="344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  <c r="AA996" s="209"/>
      <c r="AB996" s="209"/>
      <c r="AC996" s="209"/>
      <c r="AD996" s="209"/>
      <c r="AE996" s="209"/>
      <c r="AF996" s="209"/>
      <c r="AG996" s="209"/>
      <c r="AH996" s="209"/>
      <c r="AI996" s="209"/>
      <c r="AJ996" s="209"/>
      <c r="AK996" s="209"/>
    </row>
    <row r="997">
      <c r="A997" s="434"/>
      <c r="B997" s="320"/>
      <c r="C997" s="320"/>
      <c r="D997" s="320"/>
      <c r="E997" s="320"/>
      <c r="F997" s="320"/>
      <c r="G997" s="320"/>
      <c r="H997" s="276" t="s">
        <v>888</v>
      </c>
      <c r="I997" s="285" t="s">
        <v>889</v>
      </c>
      <c r="J997" s="278" t="str">
        <f>IF(COUNTIF(J998, TRUE) = COUNTA(J998), "Complete!", IF(COUNTIF(J998, TRUE) &gt; 0, "Partial", "Not Started"))</f>
        <v>Complete!</v>
      </c>
      <c r="K997" s="27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  <c r="AA997" s="209"/>
      <c r="AB997" s="209"/>
      <c r="AC997" s="209"/>
      <c r="AD997" s="209"/>
      <c r="AE997" s="209"/>
      <c r="AF997" s="209"/>
      <c r="AG997" s="209"/>
      <c r="AH997" s="209"/>
      <c r="AI997" s="209"/>
      <c r="AJ997" s="209"/>
      <c r="AK997" s="209"/>
    </row>
    <row r="998">
      <c r="B998" s="304" t="s">
        <v>3455</v>
      </c>
      <c r="C998" s="295"/>
      <c r="D998" s="295"/>
      <c r="E998" s="295"/>
      <c r="F998" s="293" t="s">
        <v>1062</v>
      </c>
      <c r="G998" s="295"/>
      <c r="H998" s="295"/>
      <c r="I998" s="295"/>
      <c r="J998" s="296" t="b">
        <v>1</v>
      </c>
      <c r="K998" s="297" t="b">
        <v>0</v>
      </c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  <c r="AA998" s="209"/>
      <c r="AB998" s="209"/>
      <c r="AC998" s="209"/>
      <c r="AD998" s="209"/>
      <c r="AE998" s="209"/>
      <c r="AF998" s="209"/>
      <c r="AG998" s="209"/>
      <c r="AH998" s="209"/>
      <c r="AI998" s="209"/>
      <c r="AJ998" s="209"/>
      <c r="AK998" s="209"/>
    </row>
    <row r="999">
      <c r="B999" s="304" t="s">
        <v>3456</v>
      </c>
      <c r="C999" s="209"/>
      <c r="D999" s="209"/>
      <c r="E999" s="209"/>
      <c r="F999" s="304" t="s">
        <v>1062</v>
      </c>
      <c r="G999" s="209"/>
      <c r="H999" s="209"/>
      <c r="I999" s="209"/>
      <c r="J999" s="300" t="b">
        <v>1</v>
      </c>
      <c r="K999" s="301" t="b">
        <v>0</v>
      </c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  <c r="AA999" s="209"/>
      <c r="AB999" s="209"/>
      <c r="AC999" s="209"/>
      <c r="AD999" s="209"/>
      <c r="AE999" s="209"/>
      <c r="AF999" s="209"/>
      <c r="AG999" s="209"/>
      <c r="AH999" s="209"/>
      <c r="AI999" s="209"/>
      <c r="AJ999" s="209"/>
      <c r="AK999" s="209"/>
    </row>
    <row r="1000">
      <c r="B1000" s="311" t="s">
        <v>3457</v>
      </c>
      <c r="C1000" s="313"/>
      <c r="D1000" s="313"/>
      <c r="E1000" s="313"/>
      <c r="F1000" s="311" t="s">
        <v>1062</v>
      </c>
      <c r="G1000" s="313"/>
      <c r="H1000" s="313"/>
      <c r="I1000" s="313"/>
      <c r="J1000" s="350" t="b">
        <v>1</v>
      </c>
      <c r="K1000" s="314" t="b">
        <v>0</v>
      </c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  <c r="AA1000" s="209"/>
      <c r="AB1000" s="209"/>
      <c r="AC1000" s="209"/>
      <c r="AD1000" s="209"/>
      <c r="AE1000" s="209"/>
      <c r="AF1000" s="209"/>
      <c r="AG1000" s="209"/>
      <c r="AH1000" s="209"/>
      <c r="AI1000" s="209"/>
      <c r="AJ1000" s="209"/>
      <c r="AK1000" s="209"/>
    </row>
    <row r="1001">
      <c r="A1001" s="209"/>
      <c r="B1001" s="209"/>
      <c r="C1001" s="209"/>
      <c r="D1001" s="209"/>
      <c r="E1001" s="209"/>
      <c r="F1001" s="344"/>
      <c r="G1001" s="344"/>
      <c r="H1001" s="344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09"/>
      <c r="Z1001" s="209"/>
      <c r="AA1001" s="209"/>
      <c r="AB1001" s="209"/>
      <c r="AC1001" s="209"/>
      <c r="AD1001" s="209"/>
      <c r="AE1001" s="209"/>
      <c r="AF1001" s="209"/>
      <c r="AG1001" s="209"/>
      <c r="AH1001" s="209"/>
      <c r="AI1001" s="209"/>
      <c r="AJ1001" s="209"/>
      <c r="AK1001" s="209"/>
    </row>
    <row r="1002">
      <c r="A1002" s="434"/>
      <c r="B1002" s="320"/>
      <c r="C1002" s="320"/>
      <c r="D1002" s="320"/>
      <c r="E1002" s="320"/>
      <c r="F1002" s="320"/>
      <c r="G1002" s="320"/>
      <c r="H1002" s="276" t="s">
        <v>888</v>
      </c>
      <c r="I1002" s="285" t="s">
        <v>889</v>
      </c>
      <c r="J1002" s="278" t="str">
        <f>IF(COUNTIF(J1003, TRUE) = COUNTA(J1003), "Complete!", IF(COUNTIF(J1003, TRUE) &gt; 0, "Partial", "Not Started"))</f>
        <v>Complete!</v>
      </c>
      <c r="K1002" s="27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09"/>
      <c r="Z1002" s="209"/>
      <c r="AA1002" s="209"/>
      <c r="AB1002" s="209"/>
      <c r="AC1002" s="209"/>
      <c r="AD1002" s="209"/>
      <c r="AE1002" s="209"/>
      <c r="AF1002" s="209"/>
      <c r="AG1002" s="209"/>
      <c r="AH1002" s="209"/>
      <c r="AI1002" s="209"/>
      <c r="AJ1002" s="209"/>
      <c r="AK1002" s="209"/>
    </row>
    <row r="1003">
      <c r="B1003" s="304" t="s">
        <v>3458</v>
      </c>
      <c r="C1003" s="295"/>
      <c r="D1003" s="295"/>
      <c r="E1003" s="295"/>
      <c r="F1003" s="293" t="s">
        <v>1062</v>
      </c>
      <c r="G1003" s="295"/>
      <c r="H1003" s="295"/>
      <c r="I1003" s="295"/>
      <c r="J1003" s="296" t="b">
        <v>1</v>
      </c>
      <c r="K1003" s="297" t="b">
        <v>0</v>
      </c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09"/>
      <c r="Z1003" s="209"/>
      <c r="AA1003" s="209"/>
      <c r="AB1003" s="209"/>
      <c r="AC1003" s="209"/>
      <c r="AD1003" s="209"/>
      <c r="AE1003" s="209"/>
      <c r="AF1003" s="209"/>
      <c r="AG1003" s="209"/>
      <c r="AH1003" s="209"/>
      <c r="AI1003" s="209"/>
      <c r="AJ1003" s="209"/>
      <c r="AK1003" s="209"/>
    </row>
    <row r="1004">
      <c r="B1004" s="304" t="s">
        <v>3459</v>
      </c>
      <c r="C1004" s="209"/>
      <c r="D1004" s="209"/>
      <c r="E1004" s="209"/>
      <c r="F1004" s="304" t="s">
        <v>1062</v>
      </c>
      <c r="G1004" s="209"/>
      <c r="H1004" s="209"/>
      <c r="I1004" s="209"/>
      <c r="J1004" s="300" t="b">
        <v>1</v>
      </c>
      <c r="K1004" s="301" t="b">
        <v>0</v>
      </c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09"/>
      <c r="Z1004" s="209"/>
      <c r="AA1004" s="209"/>
      <c r="AB1004" s="209"/>
      <c r="AC1004" s="209"/>
      <c r="AD1004" s="209"/>
      <c r="AE1004" s="209"/>
      <c r="AF1004" s="209"/>
      <c r="AG1004" s="209"/>
      <c r="AH1004" s="209"/>
      <c r="AI1004" s="209"/>
      <c r="AJ1004" s="209"/>
      <c r="AK1004" s="209"/>
    </row>
    <row r="1005">
      <c r="B1005" s="311" t="s">
        <v>3460</v>
      </c>
      <c r="C1005" s="313"/>
      <c r="D1005" s="313"/>
      <c r="E1005" s="313"/>
      <c r="F1005" s="311" t="s">
        <v>1062</v>
      </c>
      <c r="G1005" s="313"/>
      <c r="H1005" s="313"/>
      <c r="I1005" s="313"/>
      <c r="J1005" s="350" t="b">
        <v>1</v>
      </c>
      <c r="K1005" s="314" t="b">
        <v>0</v>
      </c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09"/>
      <c r="Z1005" s="209"/>
      <c r="AA1005" s="209"/>
      <c r="AB1005" s="209"/>
      <c r="AC1005" s="209"/>
      <c r="AD1005" s="209"/>
      <c r="AE1005" s="209"/>
      <c r="AF1005" s="209"/>
      <c r="AG1005" s="209"/>
      <c r="AH1005" s="209"/>
      <c r="AI1005" s="209"/>
      <c r="AJ1005" s="209"/>
      <c r="AK1005" s="209"/>
    </row>
    <row r="1006">
      <c r="A1006" s="209"/>
      <c r="B1006" s="209"/>
      <c r="C1006" s="209"/>
      <c r="D1006" s="209"/>
      <c r="E1006" s="209"/>
      <c r="F1006" s="344"/>
      <c r="G1006" s="344"/>
      <c r="H1006" s="344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09"/>
      <c r="Z1006" s="209"/>
      <c r="AA1006" s="209"/>
      <c r="AB1006" s="209"/>
      <c r="AC1006" s="209"/>
      <c r="AD1006" s="209"/>
      <c r="AE1006" s="209"/>
      <c r="AF1006" s="209"/>
      <c r="AG1006" s="209"/>
      <c r="AH1006" s="209"/>
      <c r="AI1006" s="209"/>
      <c r="AJ1006" s="209"/>
      <c r="AK1006" s="209"/>
    </row>
    <row r="1007">
      <c r="A1007" s="434"/>
      <c r="B1007" s="320"/>
      <c r="C1007" s="320"/>
      <c r="D1007" s="320"/>
      <c r="E1007" s="320"/>
      <c r="F1007" s="320"/>
      <c r="G1007" s="320"/>
      <c r="H1007" s="276" t="s">
        <v>888</v>
      </c>
      <c r="I1007" s="285" t="s">
        <v>889</v>
      </c>
      <c r="J1007" s="278" t="str">
        <f>IF(COUNTIF(J1008, TRUE) = COUNTA(J1008), "Complete!", IF(COUNTIF(J1008, TRUE) &gt; 0, "Partial", "Not Started"))</f>
        <v>Complete!</v>
      </c>
      <c r="K1007" s="27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09"/>
      <c r="Z1007" s="209"/>
      <c r="AA1007" s="209"/>
      <c r="AB1007" s="209"/>
      <c r="AC1007" s="209"/>
      <c r="AD1007" s="209"/>
      <c r="AE1007" s="209"/>
      <c r="AF1007" s="209"/>
      <c r="AG1007" s="209"/>
      <c r="AH1007" s="209"/>
      <c r="AI1007" s="209"/>
      <c r="AJ1007" s="209"/>
      <c r="AK1007" s="209"/>
    </row>
    <row r="1008">
      <c r="B1008" s="304" t="s">
        <v>3461</v>
      </c>
      <c r="C1008" s="295"/>
      <c r="D1008" s="295"/>
      <c r="E1008" s="295"/>
      <c r="F1008" s="293" t="s">
        <v>1062</v>
      </c>
      <c r="G1008" s="295"/>
      <c r="H1008" s="295"/>
      <c r="I1008" s="295"/>
      <c r="J1008" s="296" t="b">
        <v>1</v>
      </c>
      <c r="K1008" s="297" t="b">
        <v>0</v>
      </c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09"/>
      <c r="Z1008" s="209"/>
      <c r="AA1008" s="209"/>
      <c r="AB1008" s="209"/>
      <c r="AC1008" s="209"/>
      <c r="AD1008" s="209"/>
      <c r="AE1008" s="209"/>
      <c r="AF1008" s="209"/>
      <c r="AG1008" s="209"/>
      <c r="AH1008" s="209"/>
      <c r="AI1008" s="209"/>
      <c r="AJ1008" s="209"/>
      <c r="AK1008" s="209"/>
    </row>
    <row r="1009">
      <c r="B1009" s="304" t="s">
        <v>3462</v>
      </c>
      <c r="C1009" s="209"/>
      <c r="D1009" s="209"/>
      <c r="E1009" s="209"/>
      <c r="F1009" s="304" t="s">
        <v>1062</v>
      </c>
      <c r="G1009" s="209"/>
      <c r="H1009" s="209"/>
      <c r="I1009" s="209"/>
      <c r="J1009" s="300" t="b">
        <v>1</v>
      </c>
      <c r="K1009" s="301" t="b">
        <v>0</v>
      </c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09"/>
      <c r="Z1009" s="209"/>
      <c r="AA1009" s="209"/>
      <c r="AB1009" s="209"/>
      <c r="AC1009" s="209"/>
      <c r="AD1009" s="209"/>
      <c r="AE1009" s="209"/>
      <c r="AF1009" s="209"/>
      <c r="AG1009" s="209"/>
      <c r="AH1009" s="209"/>
      <c r="AI1009" s="209"/>
      <c r="AJ1009" s="209"/>
      <c r="AK1009" s="209"/>
    </row>
    <row r="1010">
      <c r="B1010" s="311" t="s">
        <v>3463</v>
      </c>
      <c r="C1010" s="313"/>
      <c r="D1010" s="313"/>
      <c r="E1010" s="313"/>
      <c r="F1010" s="311" t="s">
        <v>1062</v>
      </c>
      <c r="G1010" s="313"/>
      <c r="H1010" s="313"/>
      <c r="I1010" s="313"/>
      <c r="J1010" s="350" t="b">
        <v>1</v>
      </c>
      <c r="K1010" s="314" t="b">
        <v>0</v>
      </c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09"/>
      <c r="Z1010" s="209"/>
      <c r="AA1010" s="209"/>
      <c r="AB1010" s="209"/>
      <c r="AC1010" s="209"/>
      <c r="AD1010" s="209"/>
      <c r="AE1010" s="209"/>
      <c r="AF1010" s="209"/>
      <c r="AG1010" s="209"/>
      <c r="AH1010" s="209"/>
      <c r="AI1010" s="209"/>
      <c r="AJ1010" s="209"/>
      <c r="AK1010" s="209"/>
    </row>
    <row r="1011">
      <c r="A1011" s="209"/>
      <c r="B1011" s="209"/>
      <c r="C1011" s="209"/>
      <c r="D1011" s="209"/>
      <c r="E1011" s="209"/>
      <c r="F1011" s="344"/>
      <c r="G1011" s="344"/>
      <c r="H1011" s="344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09"/>
      <c r="Z1011" s="209"/>
      <c r="AA1011" s="209"/>
      <c r="AB1011" s="209"/>
      <c r="AC1011" s="209"/>
      <c r="AD1011" s="209"/>
      <c r="AE1011" s="209"/>
      <c r="AF1011" s="209"/>
      <c r="AG1011" s="209"/>
      <c r="AH1011" s="209"/>
      <c r="AI1011" s="209"/>
      <c r="AJ1011" s="209"/>
      <c r="AK1011" s="209"/>
    </row>
    <row r="1012">
      <c r="A1012" s="434"/>
      <c r="B1012" s="320"/>
      <c r="C1012" s="320"/>
      <c r="D1012" s="320"/>
      <c r="E1012" s="320"/>
      <c r="F1012" s="320"/>
      <c r="G1012" s="320"/>
      <c r="H1012" s="276" t="s">
        <v>888</v>
      </c>
      <c r="I1012" s="285" t="s">
        <v>889</v>
      </c>
      <c r="J1012" s="278" t="str">
        <f>IF(COUNTIF(J1013, TRUE) = COUNTA(J1013), "Complete!", IF(COUNTIF(J1013, TRUE) &gt; 0, "Partial", "Not Started"))</f>
        <v>Complete!</v>
      </c>
      <c r="K1012" s="27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09"/>
      <c r="Z1012" s="209"/>
      <c r="AA1012" s="209"/>
      <c r="AB1012" s="209"/>
      <c r="AC1012" s="209"/>
      <c r="AD1012" s="209"/>
      <c r="AE1012" s="209"/>
      <c r="AF1012" s="209"/>
      <c r="AG1012" s="209"/>
      <c r="AH1012" s="209"/>
      <c r="AI1012" s="209"/>
      <c r="AJ1012" s="209"/>
      <c r="AK1012" s="209"/>
    </row>
    <row r="1013">
      <c r="B1013" s="304" t="s">
        <v>3464</v>
      </c>
      <c r="C1013" s="295"/>
      <c r="D1013" s="295"/>
      <c r="E1013" s="295"/>
      <c r="F1013" s="293" t="s">
        <v>1062</v>
      </c>
      <c r="G1013" s="295"/>
      <c r="H1013" s="295"/>
      <c r="I1013" s="295"/>
      <c r="J1013" s="296" t="b">
        <v>1</v>
      </c>
      <c r="K1013" s="297" t="b">
        <v>0</v>
      </c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09"/>
      <c r="Z1013" s="209"/>
      <c r="AA1013" s="209"/>
      <c r="AB1013" s="209"/>
      <c r="AC1013" s="209"/>
      <c r="AD1013" s="209"/>
      <c r="AE1013" s="209"/>
      <c r="AF1013" s="209"/>
      <c r="AG1013" s="209"/>
      <c r="AH1013" s="209"/>
      <c r="AI1013" s="209"/>
      <c r="AJ1013" s="209"/>
      <c r="AK1013" s="209"/>
    </row>
    <row r="1014">
      <c r="B1014" s="304" t="s">
        <v>3465</v>
      </c>
      <c r="C1014" s="209"/>
      <c r="D1014" s="209"/>
      <c r="E1014" s="209"/>
      <c r="F1014" s="304" t="s">
        <v>1062</v>
      </c>
      <c r="G1014" s="209"/>
      <c r="H1014" s="209"/>
      <c r="I1014" s="209"/>
      <c r="J1014" s="300" t="b">
        <v>1</v>
      </c>
      <c r="K1014" s="301" t="b">
        <v>0</v>
      </c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09"/>
      <c r="Z1014" s="209"/>
      <c r="AA1014" s="209"/>
      <c r="AB1014" s="209"/>
      <c r="AC1014" s="209"/>
      <c r="AD1014" s="209"/>
      <c r="AE1014" s="209"/>
      <c r="AF1014" s="209"/>
      <c r="AG1014" s="209"/>
      <c r="AH1014" s="209"/>
      <c r="AI1014" s="209"/>
      <c r="AJ1014" s="209"/>
      <c r="AK1014" s="209"/>
    </row>
    <row r="1015">
      <c r="B1015" s="311" t="s">
        <v>3466</v>
      </c>
      <c r="C1015" s="313"/>
      <c r="D1015" s="313"/>
      <c r="E1015" s="313"/>
      <c r="F1015" s="311" t="s">
        <v>1062</v>
      </c>
      <c r="G1015" s="313"/>
      <c r="H1015" s="313"/>
      <c r="I1015" s="313"/>
      <c r="J1015" s="350" t="b">
        <v>1</v>
      </c>
      <c r="K1015" s="314" t="b">
        <v>0</v>
      </c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09"/>
      <c r="Z1015" s="209"/>
      <c r="AA1015" s="209"/>
      <c r="AB1015" s="209"/>
      <c r="AC1015" s="209"/>
      <c r="AD1015" s="209"/>
      <c r="AE1015" s="209"/>
      <c r="AF1015" s="209"/>
      <c r="AG1015" s="209"/>
      <c r="AH1015" s="209"/>
      <c r="AI1015" s="209"/>
      <c r="AJ1015" s="209"/>
      <c r="AK1015" s="209"/>
    </row>
    <row r="1016">
      <c r="A1016" s="209"/>
      <c r="B1016" s="209"/>
      <c r="C1016" s="209"/>
      <c r="D1016" s="209"/>
      <c r="E1016" s="209"/>
      <c r="F1016" s="344"/>
      <c r="G1016" s="344"/>
      <c r="H1016" s="344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09"/>
      <c r="Z1016" s="209"/>
      <c r="AA1016" s="209"/>
      <c r="AB1016" s="209"/>
      <c r="AC1016" s="209"/>
      <c r="AD1016" s="209"/>
      <c r="AE1016" s="209"/>
      <c r="AF1016" s="209"/>
      <c r="AG1016" s="209"/>
      <c r="AH1016" s="209"/>
      <c r="AI1016" s="209"/>
      <c r="AJ1016" s="209"/>
      <c r="AK1016" s="209"/>
    </row>
    <row r="1017">
      <c r="A1017" s="434"/>
      <c r="B1017" s="320"/>
      <c r="C1017" s="320"/>
      <c r="D1017" s="320"/>
      <c r="E1017" s="320"/>
      <c r="F1017" s="320"/>
      <c r="G1017" s="320"/>
      <c r="H1017" s="276" t="s">
        <v>888</v>
      </c>
      <c r="I1017" s="285" t="s">
        <v>889</v>
      </c>
      <c r="J1017" s="278" t="str">
        <f>IF(COUNTIF(J1018, TRUE) = COUNTA(J1018), "Complete!", IF(COUNTIF(J1018, TRUE) &gt; 0, "Partial", "Not Started"))</f>
        <v>Complete!</v>
      </c>
      <c r="K1017" s="27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09"/>
      <c r="Z1017" s="209"/>
      <c r="AA1017" s="209"/>
      <c r="AB1017" s="209"/>
      <c r="AC1017" s="209"/>
      <c r="AD1017" s="209"/>
      <c r="AE1017" s="209"/>
      <c r="AF1017" s="209"/>
      <c r="AG1017" s="209"/>
      <c r="AH1017" s="209"/>
      <c r="AI1017" s="209"/>
      <c r="AJ1017" s="209"/>
      <c r="AK1017" s="209"/>
    </row>
    <row r="1018">
      <c r="B1018" s="304" t="s">
        <v>3467</v>
      </c>
      <c r="C1018" s="295"/>
      <c r="D1018" s="295"/>
      <c r="E1018" s="295"/>
      <c r="F1018" s="293" t="s">
        <v>1062</v>
      </c>
      <c r="G1018" s="295"/>
      <c r="H1018" s="295"/>
      <c r="I1018" s="295"/>
      <c r="J1018" s="296" t="b">
        <v>1</v>
      </c>
      <c r="K1018" s="297" t="b">
        <v>0</v>
      </c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09"/>
      <c r="Z1018" s="209"/>
      <c r="AA1018" s="209"/>
      <c r="AB1018" s="209"/>
      <c r="AC1018" s="209"/>
      <c r="AD1018" s="209"/>
      <c r="AE1018" s="209"/>
      <c r="AF1018" s="209"/>
      <c r="AG1018" s="209"/>
      <c r="AH1018" s="209"/>
      <c r="AI1018" s="209"/>
      <c r="AJ1018" s="209"/>
      <c r="AK1018" s="209"/>
    </row>
    <row r="1019">
      <c r="B1019" s="304" t="s">
        <v>3468</v>
      </c>
      <c r="C1019" s="209"/>
      <c r="D1019" s="209"/>
      <c r="E1019" s="209"/>
      <c r="F1019" s="304" t="s">
        <v>1062</v>
      </c>
      <c r="G1019" s="209"/>
      <c r="H1019" s="209"/>
      <c r="I1019" s="209"/>
      <c r="J1019" s="300" t="b">
        <v>1</v>
      </c>
      <c r="K1019" s="301" t="b">
        <v>0</v>
      </c>
      <c r="L1019" s="209"/>
      <c r="M1019" s="209"/>
      <c r="N1019" s="209"/>
      <c r="O1019" s="209"/>
      <c r="P1019" s="209"/>
      <c r="Q1019" s="209"/>
      <c r="R1019" s="209"/>
      <c r="S1019" s="209"/>
      <c r="T1019" s="209"/>
      <c r="U1019" s="209"/>
      <c r="V1019" s="209"/>
      <c r="W1019" s="209"/>
      <c r="X1019" s="209"/>
      <c r="Y1019" s="209"/>
      <c r="Z1019" s="209"/>
      <c r="AA1019" s="209"/>
      <c r="AB1019" s="209"/>
      <c r="AC1019" s="209"/>
      <c r="AD1019" s="209"/>
      <c r="AE1019" s="209"/>
      <c r="AF1019" s="209"/>
      <c r="AG1019" s="209"/>
      <c r="AH1019" s="209"/>
      <c r="AI1019" s="209"/>
      <c r="AJ1019" s="209"/>
      <c r="AK1019" s="209"/>
    </row>
    <row r="1020">
      <c r="B1020" s="311" t="s">
        <v>3469</v>
      </c>
      <c r="C1020" s="313"/>
      <c r="D1020" s="313"/>
      <c r="E1020" s="313"/>
      <c r="F1020" s="311" t="s">
        <v>1062</v>
      </c>
      <c r="G1020" s="313"/>
      <c r="H1020" s="313"/>
      <c r="I1020" s="313"/>
      <c r="J1020" s="350" t="b">
        <v>1</v>
      </c>
      <c r="K1020" s="314" t="b">
        <v>0</v>
      </c>
      <c r="L1020" s="209"/>
      <c r="M1020" s="209"/>
      <c r="N1020" s="209"/>
      <c r="O1020" s="209"/>
      <c r="P1020" s="209"/>
      <c r="Q1020" s="209"/>
      <c r="R1020" s="209"/>
      <c r="S1020" s="209"/>
      <c r="T1020" s="209"/>
      <c r="U1020" s="209"/>
      <c r="V1020" s="209"/>
      <c r="W1020" s="209"/>
      <c r="X1020" s="209"/>
      <c r="Y1020" s="209"/>
      <c r="Z1020" s="209"/>
      <c r="AA1020" s="209"/>
      <c r="AB1020" s="209"/>
      <c r="AC1020" s="209"/>
      <c r="AD1020" s="209"/>
      <c r="AE1020" s="209"/>
      <c r="AF1020" s="209"/>
      <c r="AG1020" s="209"/>
      <c r="AH1020" s="209"/>
      <c r="AI1020" s="209"/>
      <c r="AJ1020" s="209"/>
      <c r="AK1020" s="209"/>
    </row>
    <row r="1021">
      <c r="A1021" s="437"/>
      <c r="B1021" s="313"/>
      <c r="C1021" s="313"/>
      <c r="D1021" s="313"/>
      <c r="E1021" s="313"/>
      <c r="F1021" s="344"/>
      <c r="G1021" s="344"/>
      <c r="H1021" s="344"/>
      <c r="I1021" s="313"/>
      <c r="J1021" s="313"/>
      <c r="K1021" s="313"/>
      <c r="L1021" s="209"/>
      <c r="M1021" s="209"/>
      <c r="N1021" s="209"/>
      <c r="O1021" s="209"/>
      <c r="P1021" s="209"/>
      <c r="Q1021" s="209"/>
      <c r="R1021" s="209"/>
      <c r="S1021" s="209"/>
      <c r="T1021" s="209"/>
      <c r="U1021" s="209"/>
      <c r="V1021" s="209"/>
      <c r="W1021" s="209"/>
      <c r="X1021" s="209"/>
      <c r="Y1021" s="209"/>
      <c r="Z1021" s="209"/>
      <c r="AA1021" s="209"/>
      <c r="AB1021" s="209"/>
      <c r="AC1021" s="209"/>
      <c r="AD1021" s="209"/>
      <c r="AE1021" s="209"/>
      <c r="AF1021" s="209"/>
      <c r="AG1021" s="209"/>
      <c r="AH1021" s="209"/>
      <c r="AI1021" s="209"/>
      <c r="AJ1021" s="209"/>
      <c r="AK1021" s="209"/>
    </row>
    <row r="1022">
      <c r="A1022" s="316" t="s">
        <v>3470</v>
      </c>
      <c r="B1022" s="319" t="s">
        <v>3471</v>
      </c>
      <c r="C1022" s="320"/>
      <c r="D1022" s="283" t="s">
        <v>3472</v>
      </c>
      <c r="E1022" s="402" t="s">
        <v>3473</v>
      </c>
      <c r="F1022" s="320"/>
      <c r="G1022" s="320"/>
      <c r="H1022" s="276" t="s">
        <v>888</v>
      </c>
      <c r="I1022" s="285" t="s">
        <v>3474</v>
      </c>
      <c r="J1022" s="278" t="str">
        <f>IF(COUNTIF(J1023:J1029, TRUE) = COUNTA(J1023:J1029), "Complete!", IF(COUNTIF(J1023:J1029, TRUE) &gt; 0, "Partial", "Not Started"))</f>
        <v>Not Started</v>
      </c>
      <c r="K1022" s="279"/>
      <c r="L1022" s="280">
        <v>7.0</v>
      </c>
      <c r="M1022" s="209"/>
      <c r="N1022" s="209"/>
      <c r="O1022" s="209"/>
      <c r="P1022" s="209"/>
      <c r="Q1022" s="209"/>
      <c r="R1022" s="209"/>
      <c r="S1022" s="209"/>
      <c r="T1022" s="209"/>
      <c r="U1022" s="209"/>
      <c r="V1022" s="209"/>
      <c r="W1022" s="209"/>
      <c r="X1022" s="209"/>
      <c r="Y1022" s="209"/>
      <c r="Z1022" s="209"/>
      <c r="AA1022" s="209"/>
      <c r="AB1022" s="209"/>
      <c r="AC1022" s="209"/>
      <c r="AD1022" s="209"/>
      <c r="AE1022" s="209"/>
      <c r="AF1022" s="209"/>
      <c r="AG1022" s="209"/>
      <c r="AH1022" s="209"/>
      <c r="AI1022" s="209"/>
      <c r="AJ1022" s="209"/>
      <c r="AK1022" s="209"/>
    </row>
    <row r="1023">
      <c r="A1023" s="291"/>
      <c r="B1023" s="408" t="s">
        <v>3475</v>
      </c>
      <c r="C1023" s="304" t="s">
        <v>3476</v>
      </c>
      <c r="D1023" s="304" t="s">
        <v>3477</v>
      </c>
      <c r="E1023" s="374" t="s">
        <v>3478</v>
      </c>
      <c r="F1023" s="304" t="s">
        <v>732</v>
      </c>
      <c r="G1023" s="209"/>
      <c r="H1023" s="209"/>
      <c r="I1023" s="304" t="s">
        <v>733</v>
      </c>
      <c r="J1023" s="300" t="b">
        <v>0</v>
      </c>
      <c r="K1023" s="301" t="b">
        <v>0</v>
      </c>
      <c r="L1023" s="209"/>
      <c r="M1023" s="209"/>
      <c r="N1023" s="209"/>
      <c r="O1023" s="209"/>
      <c r="P1023" s="209"/>
      <c r="Q1023" s="209"/>
      <c r="R1023" s="209"/>
      <c r="S1023" s="209"/>
      <c r="T1023" s="209"/>
      <c r="U1023" s="209"/>
      <c r="V1023" s="209"/>
      <c r="W1023" s="209"/>
      <c r="X1023" s="209"/>
      <c r="Y1023" s="209"/>
      <c r="Z1023" s="209"/>
      <c r="AA1023" s="209"/>
      <c r="AB1023" s="209"/>
      <c r="AC1023" s="209"/>
      <c r="AD1023" s="209"/>
      <c r="AE1023" s="209"/>
      <c r="AF1023" s="209"/>
      <c r="AG1023" s="209"/>
      <c r="AH1023" s="209"/>
      <c r="AI1023" s="209"/>
      <c r="AJ1023" s="209"/>
      <c r="AK1023" s="209"/>
    </row>
    <row r="1024">
      <c r="A1024" s="291"/>
      <c r="B1024" s="376" t="s">
        <v>3479</v>
      </c>
      <c r="C1024" s="304" t="s">
        <v>3476</v>
      </c>
      <c r="D1024" s="304" t="s">
        <v>3480</v>
      </c>
      <c r="E1024" s="375" t="s">
        <v>3481</v>
      </c>
      <c r="F1024" s="304" t="s">
        <v>732</v>
      </c>
      <c r="G1024" s="209"/>
      <c r="H1024" s="209"/>
      <c r="I1024" s="304" t="s">
        <v>733</v>
      </c>
      <c r="J1024" s="300" t="b">
        <v>0</v>
      </c>
      <c r="K1024" s="301" t="b">
        <v>0</v>
      </c>
      <c r="L1024" s="209"/>
      <c r="M1024" s="209"/>
      <c r="N1024" s="209"/>
      <c r="O1024" s="209"/>
      <c r="P1024" s="209"/>
      <c r="Q1024" s="209"/>
      <c r="R1024" s="209"/>
      <c r="S1024" s="209"/>
      <c r="T1024" s="209"/>
      <c r="U1024" s="209"/>
      <c r="V1024" s="209"/>
      <c r="W1024" s="209"/>
      <c r="X1024" s="209"/>
      <c r="Y1024" s="209"/>
      <c r="Z1024" s="209"/>
      <c r="AA1024" s="209"/>
      <c r="AB1024" s="209"/>
      <c r="AC1024" s="209"/>
      <c r="AD1024" s="209"/>
      <c r="AE1024" s="209"/>
      <c r="AF1024" s="209"/>
      <c r="AG1024" s="209"/>
      <c r="AH1024" s="209"/>
      <c r="AI1024" s="209"/>
      <c r="AJ1024" s="209"/>
      <c r="AK1024" s="209"/>
    </row>
    <row r="1025">
      <c r="A1025" s="291"/>
      <c r="B1025" s="376" t="s">
        <v>3482</v>
      </c>
      <c r="C1025" s="304" t="s">
        <v>3476</v>
      </c>
      <c r="D1025" s="304" t="s">
        <v>3483</v>
      </c>
      <c r="E1025" s="375" t="s">
        <v>3484</v>
      </c>
      <c r="F1025" s="304" t="s">
        <v>732</v>
      </c>
      <c r="G1025" s="209"/>
      <c r="H1025" s="209"/>
      <c r="I1025" s="304" t="s">
        <v>733</v>
      </c>
      <c r="J1025" s="300" t="b">
        <v>0</v>
      </c>
      <c r="K1025" s="301" t="b">
        <v>0</v>
      </c>
      <c r="L1025" s="209"/>
      <c r="M1025" s="209"/>
      <c r="N1025" s="209"/>
      <c r="O1025" s="209"/>
      <c r="P1025" s="209"/>
      <c r="Q1025" s="209"/>
      <c r="R1025" s="209"/>
      <c r="S1025" s="209"/>
      <c r="T1025" s="209"/>
      <c r="U1025" s="209"/>
      <c r="V1025" s="209"/>
      <c r="W1025" s="209"/>
      <c r="X1025" s="209"/>
      <c r="Y1025" s="209"/>
      <c r="Z1025" s="209"/>
      <c r="AA1025" s="209"/>
      <c r="AB1025" s="209"/>
      <c r="AC1025" s="209"/>
      <c r="AD1025" s="209"/>
      <c r="AE1025" s="209"/>
      <c r="AF1025" s="209"/>
      <c r="AG1025" s="209"/>
      <c r="AH1025" s="209"/>
      <c r="AI1025" s="209"/>
      <c r="AJ1025" s="209"/>
      <c r="AK1025" s="209"/>
    </row>
    <row r="1026">
      <c r="A1026" s="291"/>
      <c r="B1026" s="376" t="s">
        <v>3485</v>
      </c>
      <c r="C1026" s="304" t="s">
        <v>3476</v>
      </c>
      <c r="D1026" s="304" t="s">
        <v>3486</v>
      </c>
      <c r="E1026" s="375" t="s">
        <v>3487</v>
      </c>
      <c r="F1026" s="304" t="s">
        <v>732</v>
      </c>
      <c r="G1026" s="209"/>
      <c r="H1026" s="209"/>
      <c r="I1026" s="304" t="s">
        <v>733</v>
      </c>
      <c r="J1026" s="300" t="b">
        <v>0</v>
      </c>
      <c r="K1026" s="301" t="b">
        <v>0</v>
      </c>
      <c r="L1026" s="209"/>
      <c r="M1026" s="209"/>
      <c r="N1026" s="209"/>
      <c r="O1026" s="209"/>
      <c r="P1026" s="209"/>
      <c r="Q1026" s="209"/>
      <c r="R1026" s="209"/>
      <c r="S1026" s="209"/>
      <c r="T1026" s="209"/>
      <c r="U1026" s="209"/>
      <c r="V1026" s="209"/>
      <c r="W1026" s="209"/>
      <c r="X1026" s="209"/>
      <c r="Y1026" s="209"/>
      <c r="Z1026" s="209"/>
      <c r="AA1026" s="209"/>
      <c r="AB1026" s="209"/>
      <c r="AC1026" s="209"/>
      <c r="AD1026" s="209"/>
      <c r="AE1026" s="209"/>
      <c r="AF1026" s="209"/>
      <c r="AG1026" s="209"/>
      <c r="AH1026" s="209"/>
      <c r="AI1026" s="209"/>
      <c r="AJ1026" s="209"/>
      <c r="AK1026" s="209"/>
    </row>
    <row r="1027">
      <c r="A1027" s="291"/>
      <c r="B1027" s="376" t="s">
        <v>3488</v>
      </c>
      <c r="C1027" s="304" t="s">
        <v>3476</v>
      </c>
      <c r="D1027" s="304" t="s">
        <v>3489</v>
      </c>
      <c r="E1027" s="375" t="s">
        <v>3490</v>
      </c>
      <c r="F1027" s="304" t="s">
        <v>732</v>
      </c>
      <c r="G1027" s="209"/>
      <c r="H1027" s="209"/>
      <c r="I1027" s="304" t="s">
        <v>733</v>
      </c>
      <c r="J1027" s="300" t="b">
        <v>0</v>
      </c>
      <c r="K1027" s="301" t="b">
        <v>0</v>
      </c>
      <c r="L1027" s="209"/>
      <c r="M1027" s="209"/>
      <c r="N1027" s="209"/>
      <c r="O1027" s="209"/>
      <c r="P1027" s="209"/>
      <c r="Q1027" s="209"/>
      <c r="R1027" s="209"/>
      <c r="S1027" s="209"/>
      <c r="T1027" s="209"/>
      <c r="U1027" s="209"/>
      <c r="V1027" s="209"/>
      <c r="W1027" s="209"/>
      <c r="X1027" s="209"/>
      <c r="Y1027" s="209"/>
      <c r="Z1027" s="209"/>
      <c r="AA1027" s="209"/>
      <c r="AB1027" s="209"/>
      <c r="AC1027" s="209"/>
      <c r="AD1027" s="209"/>
      <c r="AE1027" s="209"/>
      <c r="AF1027" s="209"/>
      <c r="AG1027" s="209"/>
      <c r="AH1027" s="209"/>
      <c r="AI1027" s="209"/>
      <c r="AJ1027" s="209"/>
      <c r="AK1027" s="209"/>
    </row>
    <row r="1028">
      <c r="A1028" s="291"/>
      <c r="B1028" s="376" t="s">
        <v>3491</v>
      </c>
      <c r="C1028" s="304" t="s">
        <v>3492</v>
      </c>
      <c r="D1028" s="304" t="s">
        <v>3493</v>
      </c>
      <c r="E1028" s="375" t="s">
        <v>3494</v>
      </c>
      <c r="F1028" s="304" t="s">
        <v>732</v>
      </c>
      <c r="G1028" s="209"/>
      <c r="H1028" s="209"/>
      <c r="I1028" s="304" t="s">
        <v>733</v>
      </c>
      <c r="J1028" s="300" t="b">
        <v>0</v>
      </c>
      <c r="K1028" s="301" t="b">
        <v>0</v>
      </c>
      <c r="L1028" s="209"/>
      <c r="M1028" s="209"/>
      <c r="N1028" s="209"/>
      <c r="O1028" s="209"/>
      <c r="P1028" s="209"/>
      <c r="Q1028" s="209"/>
      <c r="R1028" s="209"/>
      <c r="S1028" s="209"/>
      <c r="T1028" s="209"/>
      <c r="U1028" s="209"/>
      <c r="V1028" s="209"/>
      <c r="W1028" s="209"/>
      <c r="X1028" s="209"/>
      <c r="Y1028" s="209"/>
      <c r="Z1028" s="209"/>
      <c r="AA1028" s="209"/>
      <c r="AB1028" s="209"/>
      <c r="AC1028" s="209"/>
      <c r="AD1028" s="209"/>
      <c r="AE1028" s="209"/>
      <c r="AF1028" s="209"/>
      <c r="AG1028" s="209"/>
      <c r="AH1028" s="209"/>
      <c r="AI1028" s="209"/>
      <c r="AJ1028" s="209"/>
      <c r="AK1028" s="209"/>
    </row>
    <row r="1029">
      <c r="A1029" s="309"/>
      <c r="B1029" s="378" t="s">
        <v>3495</v>
      </c>
      <c r="C1029" s="379" t="s">
        <v>3492</v>
      </c>
      <c r="D1029" s="311" t="s">
        <v>3496</v>
      </c>
      <c r="E1029" s="380" t="s">
        <v>3497</v>
      </c>
      <c r="F1029" s="304" t="s">
        <v>732</v>
      </c>
      <c r="G1029" s="313"/>
      <c r="H1029" s="313"/>
      <c r="I1029" s="304" t="s">
        <v>733</v>
      </c>
      <c r="J1029" s="318" t="b">
        <v>0</v>
      </c>
      <c r="K1029" s="381" t="b">
        <v>0</v>
      </c>
      <c r="L1029" s="209"/>
      <c r="M1029" s="209"/>
      <c r="N1029" s="209"/>
      <c r="O1029" s="209"/>
      <c r="P1029" s="209"/>
      <c r="Q1029" s="209"/>
      <c r="R1029" s="209"/>
      <c r="S1029" s="209"/>
      <c r="T1029" s="209"/>
      <c r="U1029" s="209"/>
      <c r="V1029" s="209"/>
      <c r="W1029" s="209"/>
      <c r="X1029" s="209"/>
      <c r="Y1029" s="209"/>
      <c r="Z1029" s="209"/>
      <c r="AA1029" s="209"/>
      <c r="AB1029" s="209"/>
      <c r="AC1029" s="209"/>
      <c r="AD1029" s="209"/>
      <c r="AE1029" s="209"/>
      <c r="AF1029" s="209"/>
      <c r="AG1029" s="209"/>
      <c r="AH1029" s="209"/>
      <c r="AI1029" s="209"/>
      <c r="AJ1029" s="209"/>
      <c r="AK1029" s="209"/>
    </row>
    <row r="1030">
      <c r="A1030" s="209"/>
      <c r="B1030" s="209"/>
      <c r="C1030" s="209"/>
      <c r="D1030" s="209"/>
      <c r="E1030" s="209"/>
      <c r="F1030" s="344"/>
      <c r="G1030" s="344"/>
      <c r="H1030" s="344"/>
      <c r="I1030" s="209"/>
      <c r="J1030" s="209"/>
      <c r="K1030" s="209"/>
      <c r="L1030" s="209"/>
      <c r="M1030" s="209"/>
      <c r="N1030" s="209"/>
      <c r="O1030" s="209"/>
      <c r="P1030" s="209"/>
      <c r="Q1030" s="209"/>
      <c r="R1030" s="209"/>
      <c r="S1030" s="209"/>
      <c r="T1030" s="209"/>
      <c r="U1030" s="209"/>
      <c r="V1030" s="209"/>
      <c r="W1030" s="209"/>
      <c r="X1030" s="209"/>
      <c r="Y1030" s="209"/>
      <c r="Z1030" s="209"/>
      <c r="AA1030" s="209"/>
      <c r="AB1030" s="209"/>
      <c r="AC1030" s="209"/>
      <c r="AD1030" s="209"/>
      <c r="AE1030" s="209"/>
      <c r="AF1030" s="209"/>
      <c r="AG1030" s="209"/>
      <c r="AH1030" s="209"/>
      <c r="AI1030" s="209"/>
      <c r="AJ1030" s="209"/>
      <c r="AK1030" s="209"/>
    </row>
    <row r="1031">
      <c r="A1031" s="316" t="s">
        <v>3498</v>
      </c>
      <c r="B1031" s="319" t="s">
        <v>3499</v>
      </c>
      <c r="C1031" s="320"/>
      <c r="D1031" s="283" t="s">
        <v>3500</v>
      </c>
      <c r="E1031" s="322" t="s">
        <v>343</v>
      </c>
      <c r="F1031" s="320"/>
      <c r="G1031" s="320"/>
      <c r="H1031" s="276" t="s">
        <v>888</v>
      </c>
      <c r="I1031" s="285" t="s">
        <v>2105</v>
      </c>
      <c r="J1031" s="278" t="str">
        <f>IF(COUNTIF(J1032:J1036, TRUE) = COUNTA(J1032:J1036), "Complete!", IF(COUNTIF(J1032:J1036, TRUE) &gt; 0, "Partial", "Not Started"))</f>
        <v>Not Started</v>
      </c>
      <c r="K1031" s="279"/>
      <c r="L1031" s="280">
        <v>5.0</v>
      </c>
      <c r="M1031" s="209"/>
      <c r="N1031" s="209"/>
      <c r="O1031" s="209"/>
      <c r="P1031" s="209"/>
      <c r="Q1031" s="209"/>
      <c r="R1031" s="209"/>
      <c r="S1031" s="209"/>
      <c r="T1031" s="209"/>
      <c r="U1031" s="209"/>
      <c r="V1031" s="209"/>
      <c r="W1031" s="209"/>
      <c r="X1031" s="209"/>
      <c r="Y1031" s="209"/>
      <c r="Z1031" s="209"/>
      <c r="AA1031" s="209"/>
      <c r="AB1031" s="209"/>
      <c r="AC1031" s="209"/>
      <c r="AD1031" s="209"/>
      <c r="AE1031" s="209"/>
      <c r="AF1031" s="209"/>
      <c r="AG1031" s="209"/>
      <c r="AH1031" s="209"/>
      <c r="AI1031" s="209"/>
      <c r="AJ1031" s="209"/>
      <c r="AK1031" s="209"/>
    </row>
    <row r="1032">
      <c r="A1032" s="291"/>
      <c r="B1032" s="376" t="s">
        <v>3501</v>
      </c>
      <c r="C1032" s="377" t="s">
        <v>3502</v>
      </c>
      <c r="D1032" s="304" t="s">
        <v>3503</v>
      </c>
      <c r="E1032" s="375" t="s">
        <v>3504</v>
      </c>
      <c r="F1032" s="304" t="s">
        <v>732</v>
      </c>
      <c r="G1032" s="209"/>
      <c r="H1032" s="209"/>
      <c r="I1032" s="304" t="s">
        <v>733</v>
      </c>
      <c r="J1032" s="300" t="b">
        <v>0</v>
      </c>
      <c r="K1032" s="301" t="b">
        <v>0</v>
      </c>
      <c r="L1032" s="209"/>
      <c r="M1032" s="209"/>
      <c r="N1032" s="209"/>
      <c r="O1032" s="209"/>
      <c r="P1032" s="209"/>
      <c r="Q1032" s="209"/>
      <c r="R1032" s="209"/>
      <c r="S1032" s="209"/>
      <c r="T1032" s="209"/>
      <c r="U1032" s="209"/>
      <c r="V1032" s="209"/>
      <c r="W1032" s="209"/>
      <c r="X1032" s="209"/>
      <c r="Y1032" s="209"/>
      <c r="Z1032" s="209"/>
      <c r="AA1032" s="209"/>
      <c r="AB1032" s="209"/>
      <c r="AC1032" s="209"/>
      <c r="AD1032" s="209"/>
      <c r="AE1032" s="209"/>
      <c r="AF1032" s="209"/>
      <c r="AG1032" s="209"/>
      <c r="AH1032" s="209"/>
      <c r="AI1032" s="209"/>
      <c r="AJ1032" s="209"/>
      <c r="AK1032" s="209"/>
    </row>
    <row r="1033">
      <c r="A1033" s="291"/>
      <c r="B1033" s="376" t="s">
        <v>3505</v>
      </c>
      <c r="C1033" s="377" t="s">
        <v>3506</v>
      </c>
      <c r="D1033" s="304" t="s">
        <v>3507</v>
      </c>
      <c r="E1033" s="375" t="s">
        <v>3508</v>
      </c>
      <c r="F1033" s="304" t="s">
        <v>732</v>
      </c>
      <c r="G1033" s="209"/>
      <c r="H1033" s="209"/>
      <c r="I1033" s="304" t="s">
        <v>733</v>
      </c>
      <c r="J1033" s="300" t="b">
        <v>0</v>
      </c>
      <c r="K1033" s="301" t="b">
        <v>0</v>
      </c>
      <c r="L1033" s="209"/>
      <c r="M1033" s="209"/>
      <c r="N1033" s="209"/>
      <c r="O1033" s="209"/>
      <c r="P1033" s="209"/>
      <c r="Q1033" s="209"/>
      <c r="R1033" s="209"/>
      <c r="S1033" s="209"/>
      <c r="T1033" s="209"/>
      <c r="U1033" s="209"/>
      <c r="V1033" s="209"/>
      <c r="W1033" s="209"/>
      <c r="X1033" s="209"/>
      <c r="Y1033" s="209"/>
      <c r="Z1033" s="209"/>
      <c r="AA1033" s="209"/>
      <c r="AB1033" s="209"/>
      <c r="AC1033" s="209"/>
      <c r="AD1033" s="209"/>
      <c r="AE1033" s="209"/>
      <c r="AF1033" s="209"/>
      <c r="AG1033" s="209"/>
      <c r="AH1033" s="209"/>
      <c r="AI1033" s="209"/>
      <c r="AJ1033" s="209"/>
      <c r="AK1033" s="209"/>
    </row>
    <row r="1034">
      <c r="A1034" s="291"/>
      <c r="B1034" s="376" t="s">
        <v>3509</v>
      </c>
      <c r="C1034" s="377" t="s">
        <v>3510</v>
      </c>
      <c r="D1034" s="304" t="s">
        <v>3511</v>
      </c>
      <c r="E1034" s="375" t="s">
        <v>3512</v>
      </c>
      <c r="F1034" s="304" t="s">
        <v>732</v>
      </c>
      <c r="G1034" s="209"/>
      <c r="H1034" s="209"/>
      <c r="I1034" s="304" t="s">
        <v>733</v>
      </c>
      <c r="J1034" s="300" t="b">
        <v>0</v>
      </c>
      <c r="K1034" s="301" t="b">
        <v>0</v>
      </c>
      <c r="L1034" s="209"/>
      <c r="M1034" s="209"/>
      <c r="N1034" s="209"/>
      <c r="O1034" s="209"/>
      <c r="P1034" s="209"/>
      <c r="Q1034" s="209"/>
      <c r="R1034" s="209"/>
      <c r="S1034" s="209"/>
      <c r="T1034" s="209"/>
      <c r="U1034" s="209"/>
      <c r="V1034" s="209"/>
      <c r="W1034" s="209"/>
      <c r="X1034" s="209"/>
      <c r="Y1034" s="209"/>
      <c r="Z1034" s="209"/>
      <c r="AA1034" s="209"/>
      <c r="AB1034" s="209"/>
      <c r="AC1034" s="209"/>
      <c r="AD1034" s="209"/>
      <c r="AE1034" s="209"/>
      <c r="AF1034" s="209"/>
      <c r="AG1034" s="209"/>
      <c r="AH1034" s="209"/>
      <c r="AI1034" s="209"/>
      <c r="AJ1034" s="209"/>
      <c r="AK1034" s="209"/>
    </row>
    <row r="1035">
      <c r="A1035" s="291"/>
      <c r="B1035" s="376" t="s">
        <v>3513</v>
      </c>
      <c r="C1035" s="377" t="s">
        <v>3502</v>
      </c>
      <c r="D1035" s="304" t="s">
        <v>3514</v>
      </c>
      <c r="E1035" s="375" t="s">
        <v>3515</v>
      </c>
      <c r="F1035" s="304" t="s">
        <v>732</v>
      </c>
      <c r="G1035" s="209"/>
      <c r="H1035" s="209"/>
      <c r="I1035" s="304" t="s">
        <v>733</v>
      </c>
      <c r="J1035" s="300" t="b">
        <v>0</v>
      </c>
      <c r="K1035" s="301" t="b">
        <v>0</v>
      </c>
      <c r="L1035" s="209"/>
      <c r="M1035" s="209"/>
      <c r="N1035" s="209"/>
      <c r="O1035" s="209"/>
      <c r="P1035" s="209"/>
      <c r="Q1035" s="209"/>
      <c r="R1035" s="209"/>
      <c r="S1035" s="209"/>
      <c r="T1035" s="209"/>
      <c r="U1035" s="209"/>
      <c r="V1035" s="209"/>
      <c r="W1035" s="209"/>
      <c r="X1035" s="209"/>
      <c r="Y1035" s="209"/>
      <c r="Z1035" s="209"/>
      <c r="AA1035" s="209"/>
      <c r="AB1035" s="209"/>
      <c r="AC1035" s="209"/>
      <c r="AD1035" s="209"/>
      <c r="AE1035" s="209"/>
      <c r="AF1035" s="209"/>
      <c r="AG1035" s="209"/>
      <c r="AH1035" s="209"/>
      <c r="AI1035" s="209"/>
      <c r="AJ1035" s="209"/>
      <c r="AK1035" s="209"/>
    </row>
    <row r="1036">
      <c r="A1036" s="291"/>
      <c r="B1036" s="378" t="s">
        <v>3516</v>
      </c>
      <c r="C1036" s="379" t="s">
        <v>3517</v>
      </c>
      <c r="D1036" s="311" t="s">
        <v>3518</v>
      </c>
      <c r="E1036" s="380" t="s">
        <v>3519</v>
      </c>
      <c r="F1036" s="311" t="s">
        <v>732</v>
      </c>
      <c r="G1036" s="313"/>
      <c r="H1036" s="313"/>
      <c r="I1036" s="311" t="s">
        <v>733</v>
      </c>
      <c r="J1036" s="318" t="b">
        <v>0</v>
      </c>
      <c r="K1036" s="381" t="b">
        <v>0</v>
      </c>
      <c r="L1036" s="209"/>
      <c r="M1036" s="209"/>
      <c r="N1036" s="209"/>
      <c r="O1036" s="209"/>
      <c r="P1036" s="209"/>
      <c r="Q1036" s="209"/>
      <c r="R1036" s="209"/>
      <c r="S1036" s="209"/>
      <c r="T1036" s="209"/>
      <c r="U1036" s="209"/>
      <c r="V1036" s="209"/>
      <c r="W1036" s="209"/>
      <c r="X1036" s="209"/>
      <c r="Y1036" s="209"/>
      <c r="Z1036" s="209"/>
      <c r="AA1036" s="209"/>
      <c r="AB1036" s="209"/>
      <c r="AC1036" s="209"/>
      <c r="AD1036" s="209"/>
      <c r="AE1036" s="209"/>
      <c r="AF1036" s="209"/>
      <c r="AG1036" s="209"/>
      <c r="AH1036" s="209"/>
      <c r="AI1036" s="209"/>
      <c r="AJ1036" s="209"/>
      <c r="AK1036" s="209"/>
    </row>
    <row r="1037">
      <c r="A1037" s="209"/>
      <c r="B1037" s="209"/>
      <c r="C1037" s="209"/>
      <c r="D1037" s="209"/>
      <c r="E1037" s="209"/>
      <c r="F1037" s="209"/>
      <c r="G1037" s="209"/>
      <c r="H1037" s="209"/>
      <c r="I1037" s="209"/>
      <c r="J1037" s="209"/>
      <c r="K1037" s="209"/>
      <c r="L1037" s="209"/>
      <c r="M1037" s="209"/>
      <c r="N1037" s="209"/>
      <c r="O1037" s="209"/>
      <c r="P1037" s="209"/>
      <c r="Q1037" s="209"/>
      <c r="R1037" s="209"/>
      <c r="S1037" s="209"/>
      <c r="T1037" s="209"/>
      <c r="U1037" s="209"/>
      <c r="V1037" s="209"/>
      <c r="W1037" s="209"/>
      <c r="X1037" s="209"/>
      <c r="Y1037" s="209"/>
      <c r="Z1037" s="209"/>
      <c r="AA1037" s="209"/>
      <c r="AB1037" s="209"/>
      <c r="AC1037" s="209"/>
      <c r="AD1037" s="209"/>
      <c r="AE1037" s="209"/>
      <c r="AF1037" s="209"/>
      <c r="AG1037" s="209"/>
      <c r="AH1037" s="209"/>
      <c r="AI1037" s="209"/>
      <c r="AJ1037" s="209"/>
      <c r="AK1037" s="209"/>
    </row>
    <row r="1038">
      <c r="A1038" s="316" t="s">
        <v>3520</v>
      </c>
      <c r="B1038" s="319" t="s">
        <v>3521</v>
      </c>
      <c r="C1038" s="320"/>
      <c r="D1038" s="283" t="s">
        <v>3522</v>
      </c>
      <c r="E1038" s="322" t="s">
        <v>3523</v>
      </c>
      <c r="F1038" s="320"/>
      <c r="G1038" s="320"/>
      <c r="H1038" s="285" t="s">
        <v>2803</v>
      </c>
      <c r="I1038" s="285" t="s">
        <v>3524</v>
      </c>
      <c r="J1038" s="278" t="str">
        <f>IF(COUNTIF(J1039:J1044, TRUE) = COUNTA(J1039:J1044), "Complete!", IF(COUNTIF(J1039:J1044, TRUE) &gt; 0, "Partial", "Not Started"))</f>
        <v>Complete!</v>
      </c>
      <c r="K1038" s="279"/>
      <c r="L1038" s="280">
        <v>6.0</v>
      </c>
      <c r="M1038" s="209"/>
      <c r="N1038" s="209"/>
      <c r="O1038" s="209"/>
      <c r="P1038" s="209"/>
      <c r="Q1038" s="209"/>
      <c r="R1038" s="209"/>
      <c r="S1038" s="209"/>
      <c r="T1038" s="209"/>
      <c r="U1038" s="209"/>
      <c r="V1038" s="209"/>
      <c r="W1038" s="209"/>
      <c r="X1038" s="209"/>
      <c r="Y1038" s="209"/>
      <c r="Z1038" s="209"/>
      <c r="AA1038" s="209"/>
      <c r="AB1038" s="209"/>
      <c r="AC1038" s="209"/>
      <c r="AD1038" s="209"/>
      <c r="AE1038" s="209"/>
      <c r="AF1038" s="209"/>
      <c r="AG1038" s="209"/>
      <c r="AH1038" s="209"/>
      <c r="AI1038" s="209"/>
      <c r="AJ1038" s="209"/>
      <c r="AK1038" s="209"/>
    </row>
    <row r="1039">
      <c r="A1039" s="291"/>
      <c r="B1039" s="408" t="s">
        <v>3525</v>
      </c>
      <c r="C1039" s="409" t="s">
        <v>3526</v>
      </c>
      <c r="D1039" s="304" t="s">
        <v>3527</v>
      </c>
      <c r="E1039" s="374" t="s">
        <v>3528</v>
      </c>
      <c r="F1039" s="209"/>
      <c r="G1039" s="209"/>
      <c r="H1039" s="209"/>
      <c r="I1039" s="209"/>
      <c r="J1039" s="300" t="b">
        <v>1</v>
      </c>
      <c r="K1039" s="301" t="b">
        <v>0</v>
      </c>
      <c r="L1039" s="209"/>
      <c r="M1039" s="209"/>
      <c r="N1039" s="209"/>
      <c r="O1039" s="209"/>
      <c r="P1039" s="209"/>
      <c r="Q1039" s="209"/>
      <c r="R1039" s="209"/>
      <c r="S1039" s="209"/>
      <c r="T1039" s="209"/>
      <c r="U1039" s="209"/>
      <c r="V1039" s="209"/>
      <c r="W1039" s="209"/>
      <c r="X1039" s="209"/>
      <c r="Y1039" s="209"/>
      <c r="Z1039" s="209"/>
      <c r="AA1039" s="209"/>
      <c r="AB1039" s="209"/>
      <c r="AC1039" s="209"/>
      <c r="AD1039" s="209"/>
      <c r="AE1039" s="209"/>
      <c r="AF1039" s="209"/>
      <c r="AG1039" s="209"/>
      <c r="AH1039" s="209"/>
      <c r="AI1039" s="209"/>
      <c r="AJ1039" s="209"/>
      <c r="AK1039" s="209"/>
    </row>
    <row r="1040">
      <c r="A1040" s="291"/>
      <c r="B1040" s="376" t="s">
        <v>3529</v>
      </c>
      <c r="C1040" s="377" t="s">
        <v>3526</v>
      </c>
      <c r="D1040" s="304" t="s">
        <v>3530</v>
      </c>
      <c r="E1040" s="375" t="s">
        <v>3531</v>
      </c>
      <c r="F1040" s="304" t="s">
        <v>750</v>
      </c>
      <c r="G1040" s="209"/>
      <c r="H1040" s="209"/>
      <c r="I1040" s="209"/>
      <c r="J1040" s="300" t="b">
        <v>1</v>
      </c>
      <c r="K1040" s="301" t="b">
        <v>0</v>
      </c>
      <c r="L1040" s="209"/>
      <c r="M1040" s="209"/>
      <c r="N1040" s="209"/>
      <c r="O1040" s="209"/>
      <c r="P1040" s="209"/>
      <c r="Q1040" s="209"/>
      <c r="R1040" s="209"/>
      <c r="S1040" s="209"/>
      <c r="T1040" s="209"/>
      <c r="U1040" s="209"/>
      <c r="V1040" s="209"/>
      <c r="W1040" s="209"/>
      <c r="X1040" s="209"/>
      <c r="Y1040" s="209"/>
      <c r="Z1040" s="209"/>
      <c r="AA1040" s="209"/>
      <c r="AB1040" s="209"/>
      <c r="AC1040" s="209"/>
      <c r="AD1040" s="209"/>
      <c r="AE1040" s="209"/>
      <c r="AF1040" s="209"/>
      <c r="AG1040" s="209"/>
      <c r="AH1040" s="209"/>
      <c r="AI1040" s="209"/>
      <c r="AJ1040" s="209"/>
      <c r="AK1040" s="209"/>
    </row>
    <row r="1041">
      <c r="A1041" s="291"/>
      <c r="B1041" s="376" t="s">
        <v>3532</v>
      </c>
      <c r="C1041" s="377" t="s">
        <v>3526</v>
      </c>
      <c r="D1041" s="304" t="s">
        <v>3533</v>
      </c>
      <c r="E1041" s="375" t="s">
        <v>3534</v>
      </c>
      <c r="F1041" s="209"/>
      <c r="G1041" s="209"/>
      <c r="H1041" s="209"/>
      <c r="I1041" s="209"/>
      <c r="J1041" s="300" t="b">
        <v>1</v>
      </c>
      <c r="K1041" s="301" t="b">
        <v>0</v>
      </c>
      <c r="L1041" s="209"/>
      <c r="M1041" s="209"/>
      <c r="N1041" s="209"/>
      <c r="O1041" s="209"/>
      <c r="P1041" s="209"/>
      <c r="Q1041" s="209"/>
      <c r="R1041" s="209"/>
      <c r="S1041" s="209"/>
      <c r="T1041" s="209"/>
      <c r="U1041" s="209"/>
      <c r="V1041" s="209"/>
      <c r="W1041" s="209"/>
      <c r="X1041" s="209"/>
      <c r="Y1041" s="209"/>
      <c r="Z1041" s="209"/>
      <c r="AA1041" s="209"/>
      <c r="AB1041" s="209"/>
      <c r="AC1041" s="209"/>
      <c r="AD1041" s="209"/>
      <c r="AE1041" s="209"/>
      <c r="AF1041" s="209"/>
      <c r="AG1041" s="209"/>
      <c r="AH1041" s="209"/>
      <c r="AI1041" s="209"/>
      <c r="AJ1041" s="209"/>
      <c r="AK1041" s="209"/>
    </row>
    <row r="1042">
      <c r="A1042" s="291"/>
      <c r="B1042" s="376" t="s">
        <v>3535</v>
      </c>
      <c r="C1042" s="377" t="s">
        <v>3526</v>
      </c>
      <c r="D1042" s="304" t="s">
        <v>3536</v>
      </c>
      <c r="E1042" s="375" t="s">
        <v>3537</v>
      </c>
      <c r="F1042" s="304" t="s">
        <v>732</v>
      </c>
      <c r="G1042" s="209"/>
      <c r="H1042" s="209"/>
      <c r="I1042" s="304" t="s">
        <v>733</v>
      </c>
      <c r="J1042" s="300" t="b">
        <v>1</v>
      </c>
      <c r="K1042" s="301" t="b">
        <v>0</v>
      </c>
      <c r="L1042" s="209"/>
      <c r="M1042" s="209"/>
      <c r="N1042" s="209"/>
      <c r="O1042" s="209"/>
      <c r="P1042" s="209"/>
      <c r="Q1042" s="209"/>
      <c r="R1042" s="209"/>
      <c r="S1042" s="209"/>
      <c r="T1042" s="209"/>
      <c r="U1042" s="209"/>
      <c r="V1042" s="209"/>
      <c r="W1042" s="209"/>
      <c r="X1042" s="209"/>
      <c r="Y1042" s="209"/>
      <c r="Z1042" s="209"/>
      <c r="AA1042" s="209"/>
      <c r="AB1042" s="209"/>
      <c r="AC1042" s="209"/>
      <c r="AD1042" s="209"/>
      <c r="AE1042" s="209"/>
      <c r="AF1042" s="209"/>
      <c r="AG1042" s="209"/>
      <c r="AH1042" s="209"/>
      <c r="AI1042" s="209"/>
      <c r="AJ1042" s="209"/>
      <c r="AK1042" s="209"/>
    </row>
    <row r="1043">
      <c r="A1043" s="291"/>
      <c r="B1043" s="376" t="s">
        <v>3538</v>
      </c>
      <c r="C1043" s="377" t="s">
        <v>3526</v>
      </c>
      <c r="D1043" s="304" t="s">
        <v>3539</v>
      </c>
      <c r="E1043" s="375" t="s">
        <v>3540</v>
      </c>
      <c r="F1043" s="209"/>
      <c r="G1043" s="209"/>
      <c r="H1043" s="209"/>
      <c r="I1043" s="209"/>
      <c r="J1043" s="300" t="b">
        <v>1</v>
      </c>
      <c r="K1043" s="301" t="b">
        <v>0</v>
      </c>
      <c r="L1043" s="209"/>
      <c r="M1043" s="209"/>
      <c r="N1043" s="209"/>
      <c r="O1043" s="209"/>
      <c r="P1043" s="209"/>
      <c r="Q1043" s="209"/>
      <c r="R1043" s="209"/>
      <c r="S1043" s="209"/>
      <c r="T1043" s="209"/>
      <c r="U1043" s="209"/>
      <c r="V1043" s="209"/>
      <c r="W1043" s="209"/>
      <c r="X1043" s="209"/>
      <c r="Y1043" s="209"/>
      <c r="Z1043" s="209"/>
      <c r="AA1043" s="209"/>
      <c r="AB1043" s="209"/>
      <c r="AC1043" s="209"/>
      <c r="AD1043" s="209"/>
      <c r="AE1043" s="209"/>
      <c r="AF1043" s="209"/>
      <c r="AG1043" s="209"/>
      <c r="AH1043" s="209"/>
      <c r="AI1043" s="209"/>
      <c r="AJ1043" s="209"/>
      <c r="AK1043" s="209"/>
    </row>
    <row r="1044">
      <c r="A1044" s="309"/>
      <c r="B1044" s="378" t="s">
        <v>3541</v>
      </c>
      <c r="C1044" s="379" t="s">
        <v>3526</v>
      </c>
      <c r="D1044" s="311" t="s">
        <v>3542</v>
      </c>
      <c r="E1044" s="380" t="s">
        <v>3543</v>
      </c>
      <c r="F1044" s="311" t="s">
        <v>732</v>
      </c>
      <c r="G1044" s="313"/>
      <c r="H1044" s="313"/>
      <c r="I1044" s="311" t="s">
        <v>733</v>
      </c>
      <c r="J1044" s="300" t="b">
        <v>1</v>
      </c>
      <c r="K1044" s="381" t="b">
        <v>0</v>
      </c>
      <c r="L1044" s="209"/>
      <c r="M1044" s="209"/>
      <c r="N1044" s="209"/>
      <c r="O1044" s="209"/>
      <c r="P1044" s="209"/>
      <c r="Q1044" s="209"/>
      <c r="R1044" s="209"/>
      <c r="S1044" s="209"/>
      <c r="T1044" s="209"/>
      <c r="U1044" s="209"/>
      <c r="V1044" s="209"/>
      <c r="W1044" s="209"/>
      <c r="X1044" s="209"/>
      <c r="Y1044" s="209"/>
      <c r="Z1044" s="209"/>
      <c r="AA1044" s="209"/>
      <c r="AB1044" s="209"/>
      <c r="AC1044" s="209"/>
      <c r="AD1044" s="209"/>
      <c r="AE1044" s="209"/>
      <c r="AF1044" s="209"/>
      <c r="AG1044" s="209"/>
      <c r="AH1044" s="209"/>
      <c r="AI1044" s="209"/>
      <c r="AJ1044" s="209"/>
      <c r="AK1044" s="209"/>
    </row>
    <row r="1045">
      <c r="A1045" s="209"/>
      <c r="B1045" s="209"/>
      <c r="C1045" s="209"/>
      <c r="D1045" s="313"/>
      <c r="E1045" s="353"/>
      <c r="F1045" s="209"/>
      <c r="G1045" s="209"/>
      <c r="H1045" s="209"/>
      <c r="I1045" s="209"/>
      <c r="J1045" s="209"/>
      <c r="K1045" s="209"/>
      <c r="L1045" s="209"/>
      <c r="M1045" s="209"/>
      <c r="N1045" s="209"/>
      <c r="O1045" s="209"/>
      <c r="P1045" s="209"/>
      <c r="Q1045" s="209"/>
      <c r="R1045" s="209"/>
      <c r="S1045" s="209"/>
      <c r="T1045" s="209"/>
      <c r="U1045" s="209"/>
      <c r="V1045" s="209"/>
      <c r="W1045" s="209"/>
      <c r="X1045" s="209"/>
      <c r="Y1045" s="209"/>
      <c r="Z1045" s="209"/>
      <c r="AA1045" s="209"/>
      <c r="AB1045" s="209"/>
      <c r="AC1045" s="209"/>
      <c r="AD1045" s="209"/>
      <c r="AE1045" s="209"/>
      <c r="AF1045" s="209"/>
      <c r="AG1045" s="209"/>
      <c r="AH1045" s="209"/>
      <c r="AI1045" s="209"/>
      <c r="AJ1045" s="209"/>
      <c r="AK1045" s="209"/>
    </row>
    <row r="1046">
      <c r="A1046" s="316" t="s">
        <v>3544</v>
      </c>
      <c r="B1046" s="319" t="s">
        <v>3545</v>
      </c>
      <c r="C1046" s="320"/>
      <c r="D1046" s="283" t="s">
        <v>3546</v>
      </c>
      <c r="E1046" s="322" t="s">
        <v>3547</v>
      </c>
      <c r="F1046" s="436"/>
      <c r="G1046" s="420">
        <v>4.3</v>
      </c>
      <c r="H1046" s="285" t="s">
        <v>376</v>
      </c>
      <c r="I1046" s="285" t="s">
        <v>3548</v>
      </c>
      <c r="J1046" s="278" t="str">
        <f>IF(COUNTIF(J1047:J1052, TRUE) = COUNTA(J1047:J1052), "Complete!", IF(COUNTIF(J1047:J1052, TRUE) &gt; 0, "Partial", "Not Started"))</f>
        <v>Complete!</v>
      </c>
      <c r="K1046" s="279"/>
      <c r="L1046" s="280">
        <v>6.0</v>
      </c>
      <c r="M1046" s="209"/>
      <c r="N1046" s="209"/>
      <c r="O1046" s="209"/>
      <c r="P1046" s="209"/>
      <c r="Q1046" s="209"/>
      <c r="R1046" s="209"/>
      <c r="S1046" s="209"/>
      <c r="T1046" s="209"/>
      <c r="U1046" s="209"/>
      <c r="V1046" s="209"/>
      <c r="W1046" s="209"/>
      <c r="X1046" s="209"/>
      <c r="Y1046" s="209"/>
      <c r="Z1046" s="209"/>
      <c r="AA1046" s="209"/>
      <c r="AB1046" s="209"/>
      <c r="AC1046" s="209"/>
      <c r="AD1046" s="209"/>
      <c r="AE1046" s="209"/>
      <c r="AF1046" s="209"/>
      <c r="AG1046" s="209"/>
      <c r="AH1046" s="209"/>
      <c r="AI1046" s="209"/>
      <c r="AJ1046" s="209"/>
      <c r="AK1046" s="209"/>
    </row>
    <row r="1047">
      <c r="A1047" s="291"/>
      <c r="B1047" s="422" t="s">
        <v>3549</v>
      </c>
      <c r="C1047" s="304" t="s">
        <v>3550</v>
      </c>
      <c r="D1047" s="304" t="s">
        <v>3551</v>
      </c>
      <c r="E1047" s="375" t="s">
        <v>3552</v>
      </c>
      <c r="F1047" s="304" t="s">
        <v>732</v>
      </c>
      <c r="G1047" s="209"/>
      <c r="H1047" s="209"/>
      <c r="I1047" s="384" t="s">
        <v>733</v>
      </c>
      <c r="J1047" s="300" t="b">
        <v>1</v>
      </c>
      <c r="K1047" s="301" t="b">
        <v>0</v>
      </c>
      <c r="L1047" s="209"/>
      <c r="M1047" s="209"/>
      <c r="N1047" s="209"/>
      <c r="O1047" s="209"/>
      <c r="P1047" s="209"/>
      <c r="Q1047" s="209"/>
      <c r="R1047" s="209"/>
      <c r="S1047" s="209"/>
      <c r="T1047" s="209"/>
      <c r="U1047" s="209"/>
      <c r="V1047" s="209"/>
      <c r="W1047" s="209"/>
      <c r="X1047" s="209"/>
      <c r="Y1047" s="209"/>
      <c r="Z1047" s="209"/>
      <c r="AA1047" s="209"/>
      <c r="AB1047" s="209"/>
      <c r="AC1047" s="209"/>
      <c r="AD1047" s="209"/>
      <c r="AE1047" s="209"/>
      <c r="AF1047" s="209"/>
      <c r="AG1047" s="209"/>
      <c r="AH1047" s="209"/>
      <c r="AI1047" s="209"/>
      <c r="AJ1047" s="209"/>
      <c r="AK1047" s="209"/>
    </row>
    <row r="1048">
      <c r="A1048" s="291"/>
      <c r="B1048" s="304" t="s">
        <v>3553</v>
      </c>
      <c r="C1048" s="304" t="s">
        <v>3550</v>
      </c>
      <c r="D1048" s="304" t="s">
        <v>3554</v>
      </c>
      <c r="E1048" s="375" t="s">
        <v>3555</v>
      </c>
      <c r="F1048" s="209"/>
      <c r="G1048" s="209"/>
      <c r="H1048" s="209"/>
      <c r="I1048" s="209"/>
      <c r="J1048" s="300" t="b">
        <v>1</v>
      </c>
      <c r="K1048" s="301" t="b">
        <v>0</v>
      </c>
      <c r="L1048" s="209"/>
      <c r="M1048" s="209"/>
      <c r="N1048" s="209"/>
      <c r="O1048" s="209"/>
      <c r="P1048" s="209"/>
      <c r="Q1048" s="209"/>
      <c r="R1048" s="209"/>
      <c r="S1048" s="209"/>
      <c r="T1048" s="209"/>
      <c r="U1048" s="209"/>
      <c r="V1048" s="209"/>
      <c r="W1048" s="209"/>
      <c r="X1048" s="209"/>
      <c r="Y1048" s="209"/>
      <c r="Z1048" s="209"/>
      <c r="AA1048" s="209"/>
      <c r="AB1048" s="209"/>
      <c r="AC1048" s="209"/>
      <c r="AD1048" s="209"/>
      <c r="AE1048" s="209"/>
      <c r="AF1048" s="209"/>
      <c r="AG1048" s="209"/>
      <c r="AH1048" s="209"/>
      <c r="AI1048" s="209"/>
      <c r="AJ1048" s="209"/>
      <c r="AK1048" s="209"/>
    </row>
    <row r="1049">
      <c r="A1049" s="291"/>
      <c r="B1049" s="304" t="s">
        <v>3556</v>
      </c>
      <c r="C1049" s="304" t="s">
        <v>3550</v>
      </c>
      <c r="D1049" s="304" t="s">
        <v>3557</v>
      </c>
      <c r="E1049" s="375">
        <v>8.1011597765E11</v>
      </c>
      <c r="F1049" s="304" t="s">
        <v>732</v>
      </c>
      <c r="G1049" s="209"/>
      <c r="H1049" s="209"/>
      <c r="I1049" s="304" t="s">
        <v>733</v>
      </c>
      <c r="J1049" s="300" t="b">
        <v>1</v>
      </c>
      <c r="K1049" s="301" t="b">
        <v>0</v>
      </c>
      <c r="L1049" s="209"/>
      <c r="M1049" s="209"/>
      <c r="N1049" s="209"/>
      <c r="O1049" s="209"/>
      <c r="P1049" s="209"/>
      <c r="Q1049" s="209"/>
      <c r="R1049" s="209"/>
      <c r="S1049" s="209"/>
      <c r="T1049" s="209"/>
      <c r="U1049" s="209"/>
      <c r="V1049" s="209"/>
      <c r="W1049" s="209"/>
      <c r="X1049" s="209"/>
      <c r="Y1049" s="209"/>
      <c r="Z1049" s="209"/>
      <c r="AA1049" s="209"/>
      <c r="AB1049" s="209"/>
      <c r="AC1049" s="209"/>
      <c r="AD1049" s="209"/>
      <c r="AE1049" s="209"/>
      <c r="AF1049" s="209"/>
      <c r="AG1049" s="209"/>
      <c r="AH1049" s="209"/>
      <c r="AI1049" s="209"/>
      <c r="AJ1049" s="209"/>
      <c r="AK1049" s="209"/>
    </row>
    <row r="1050">
      <c r="A1050" s="291"/>
      <c r="B1050" s="304" t="s">
        <v>3558</v>
      </c>
      <c r="C1050" s="304" t="s">
        <v>3559</v>
      </c>
      <c r="D1050" s="304" t="s">
        <v>3560</v>
      </c>
      <c r="E1050" s="375">
        <v>8.10115977698E11</v>
      </c>
      <c r="F1050" s="304" t="s">
        <v>732</v>
      </c>
      <c r="G1050" s="209"/>
      <c r="H1050" s="209"/>
      <c r="I1050" s="304" t="s">
        <v>733</v>
      </c>
      <c r="J1050" s="300" t="b">
        <v>1</v>
      </c>
      <c r="K1050" s="301" t="b">
        <v>0</v>
      </c>
      <c r="L1050" s="209"/>
      <c r="M1050" s="209"/>
      <c r="N1050" s="209"/>
      <c r="O1050" s="209"/>
      <c r="P1050" s="209"/>
      <c r="Q1050" s="209"/>
      <c r="R1050" s="209"/>
      <c r="S1050" s="209"/>
      <c r="T1050" s="209"/>
      <c r="U1050" s="209"/>
      <c r="V1050" s="209"/>
      <c r="W1050" s="209"/>
      <c r="X1050" s="209"/>
      <c r="Y1050" s="209"/>
      <c r="Z1050" s="209"/>
      <c r="AA1050" s="209"/>
      <c r="AB1050" s="209"/>
      <c r="AC1050" s="209"/>
      <c r="AD1050" s="209"/>
      <c r="AE1050" s="209"/>
      <c r="AF1050" s="209"/>
      <c r="AG1050" s="209"/>
      <c r="AH1050" s="209"/>
      <c r="AI1050" s="209"/>
      <c r="AJ1050" s="209"/>
      <c r="AK1050" s="209"/>
    </row>
    <row r="1051">
      <c r="A1051" s="291"/>
      <c r="B1051" s="304" t="s">
        <v>3561</v>
      </c>
      <c r="C1051" s="304" t="s">
        <v>3559</v>
      </c>
      <c r="D1051" s="304" t="s">
        <v>3562</v>
      </c>
      <c r="E1051" s="375" t="s">
        <v>3563</v>
      </c>
      <c r="F1051" s="304" t="s">
        <v>732</v>
      </c>
      <c r="G1051" s="209"/>
      <c r="H1051" s="209"/>
      <c r="I1051" s="304" t="s">
        <v>733</v>
      </c>
      <c r="J1051" s="300" t="b">
        <v>1</v>
      </c>
      <c r="K1051" s="301" t="b">
        <v>0</v>
      </c>
      <c r="L1051" s="209"/>
      <c r="M1051" s="209"/>
      <c r="N1051" s="209"/>
      <c r="O1051" s="209"/>
      <c r="P1051" s="209"/>
      <c r="Q1051" s="209"/>
      <c r="R1051" s="209"/>
      <c r="S1051" s="209"/>
      <c r="T1051" s="209"/>
      <c r="U1051" s="209"/>
      <c r="V1051" s="209"/>
      <c r="W1051" s="209"/>
      <c r="X1051" s="209"/>
      <c r="Y1051" s="209"/>
      <c r="Z1051" s="209"/>
      <c r="AA1051" s="209"/>
      <c r="AB1051" s="209"/>
      <c r="AC1051" s="209"/>
      <c r="AD1051" s="209"/>
      <c r="AE1051" s="209"/>
      <c r="AF1051" s="209"/>
      <c r="AG1051" s="209"/>
      <c r="AH1051" s="209"/>
      <c r="AI1051" s="209"/>
      <c r="AJ1051" s="209"/>
      <c r="AK1051" s="209"/>
    </row>
    <row r="1052">
      <c r="A1052" s="309"/>
      <c r="B1052" s="311" t="s">
        <v>3564</v>
      </c>
      <c r="C1052" s="311" t="s">
        <v>3559</v>
      </c>
      <c r="D1052" s="311" t="s">
        <v>3565</v>
      </c>
      <c r="E1052" s="380">
        <v>8.10115977681E11</v>
      </c>
      <c r="F1052" s="311" t="s">
        <v>732</v>
      </c>
      <c r="G1052" s="313"/>
      <c r="H1052" s="313"/>
      <c r="I1052" s="311" t="s">
        <v>733</v>
      </c>
      <c r="J1052" s="350" t="b">
        <v>1</v>
      </c>
      <c r="K1052" s="314" t="b">
        <v>0</v>
      </c>
      <c r="L1052" s="209"/>
      <c r="M1052" s="209"/>
      <c r="N1052" s="209"/>
      <c r="O1052" s="209"/>
      <c r="P1052" s="209"/>
      <c r="Q1052" s="209"/>
      <c r="R1052" s="209"/>
      <c r="S1052" s="209"/>
      <c r="T1052" s="209"/>
      <c r="U1052" s="209"/>
      <c r="V1052" s="209"/>
      <c r="W1052" s="209"/>
      <c r="X1052" s="209"/>
      <c r="Y1052" s="209"/>
      <c r="Z1052" s="209"/>
      <c r="AA1052" s="209"/>
      <c r="AB1052" s="209"/>
      <c r="AC1052" s="209"/>
      <c r="AD1052" s="209"/>
      <c r="AE1052" s="209"/>
      <c r="AF1052" s="209"/>
      <c r="AG1052" s="209"/>
      <c r="AH1052" s="209"/>
      <c r="AI1052" s="209"/>
      <c r="AJ1052" s="209"/>
      <c r="AK1052" s="209"/>
    </row>
    <row r="1053">
      <c r="A1053" s="209"/>
      <c r="B1053" s="209"/>
      <c r="C1053" s="209"/>
      <c r="D1053" s="313"/>
      <c r="E1053" s="209"/>
      <c r="F1053" s="209"/>
      <c r="G1053" s="209"/>
      <c r="H1053" s="209"/>
      <c r="I1053" s="209"/>
      <c r="J1053" s="209"/>
      <c r="K1053" s="209"/>
      <c r="L1053" s="209"/>
      <c r="M1053" s="209"/>
      <c r="N1053" s="209"/>
      <c r="O1053" s="209"/>
      <c r="P1053" s="209"/>
      <c r="Q1053" s="209"/>
      <c r="R1053" s="209"/>
      <c r="S1053" s="209"/>
      <c r="T1053" s="209"/>
      <c r="U1053" s="209"/>
      <c r="V1053" s="209"/>
      <c r="W1053" s="209"/>
      <c r="X1053" s="209"/>
      <c r="Y1053" s="209"/>
      <c r="Z1053" s="209"/>
      <c r="AA1053" s="209"/>
      <c r="AB1053" s="209"/>
      <c r="AC1053" s="209"/>
      <c r="AD1053" s="209"/>
      <c r="AE1053" s="209"/>
      <c r="AF1053" s="209"/>
      <c r="AG1053" s="209"/>
      <c r="AH1053" s="209"/>
      <c r="AI1053" s="209"/>
      <c r="AJ1053" s="209"/>
      <c r="AK1053" s="209"/>
    </row>
    <row r="1054">
      <c r="A1054" s="316" t="s">
        <v>3566</v>
      </c>
      <c r="B1054" s="339" t="s">
        <v>3567</v>
      </c>
      <c r="C1054" s="320"/>
      <c r="D1054" s="283" t="s">
        <v>3568</v>
      </c>
      <c r="E1054" s="322" t="s">
        <v>348</v>
      </c>
      <c r="F1054" s="436"/>
      <c r="G1054" s="322" t="s">
        <v>3569</v>
      </c>
      <c r="H1054" s="285" t="s">
        <v>3401</v>
      </c>
      <c r="I1054" s="285" t="s">
        <v>1425</v>
      </c>
      <c r="J1054" s="278" t="str">
        <f>IF(COUNTIF(J1055:J1057, TRUE) = COUNTA(J1055:J1057), "Complete!", IF(COUNTIF(J1055:J1057, TRUE) &gt; 0, "Partial", "Not Started"))</f>
        <v>Complete!</v>
      </c>
      <c r="K1054" s="279"/>
      <c r="L1054" s="280">
        <v>3.0</v>
      </c>
      <c r="M1054" s="209"/>
      <c r="N1054" s="209"/>
      <c r="O1054" s="209"/>
      <c r="P1054" s="209"/>
      <c r="Q1054" s="209"/>
      <c r="R1054" s="209"/>
      <c r="S1054" s="209"/>
      <c r="T1054" s="209"/>
      <c r="U1054" s="209"/>
      <c r="V1054" s="209"/>
      <c r="W1054" s="209"/>
      <c r="X1054" s="209"/>
      <c r="Y1054" s="209"/>
      <c r="Z1054" s="209"/>
      <c r="AA1054" s="209"/>
      <c r="AB1054" s="209"/>
      <c r="AC1054" s="209"/>
      <c r="AD1054" s="209"/>
      <c r="AE1054" s="209"/>
      <c r="AF1054" s="209"/>
      <c r="AG1054" s="209"/>
      <c r="AH1054" s="209"/>
      <c r="AI1054" s="209"/>
      <c r="AJ1054" s="209"/>
      <c r="AK1054" s="209"/>
    </row>
    <row r="1055">
      <c r="A1055" s="291"/>
      <c r="B1055" s="304" t="s">
        <v>3570</v>
      </c>
      <c r="C1055" s="304" t="s">
        <v>3559</v>
      </c>
      <c r="D1055" s="304" t="s">
        <v>3571</v>
      </c>
      <c r="E1055" s="375" t="s">
        <v>3572</v>
      </c>
      <c r="F1055" s="209"/>
      <c r="G1055" s="209"/>
      <c r="H1055" s="209"/>
      <c r="I1055" s="209"/>
      <c r="J1055" s="300" t="b">
        <v>1</v>
      </c>
      <c r="K1055" s="301" t="b">
        <v>0</v>
      </c>
      <c r="L1055" s="209"/>
      <c r="M1055" s="209"/>
      <c r="N1055" s="209"/>
      <c r="O1055" s="209"/>
      <c r="P1055" s="209"/>
      <c r="Q1055" s="209"/>
      <c r="R1055" s="209"/>
      <c r="S1055" s="209"/>
      <c r="T1055" s="209"/>
      <c r="U1055" s="209"/>
      <c r="V1055" s="209"/>
      <c r="W1055" s="209"/>
      <c r="X1055" s="209"/>
      <c r="Y1055" s="209"/>
      <c r="Z1055" s="209"/>
      <c r="AA1055" s="209"/>
      <c r="AB1055" s="209"/>
      <c r="AC1055" s="209"/>
      <c r="AD1055" s="209"/>
      <c r="AE1055" s="209"/>
      <c r="AF1055" s="209"/>
      <c r="AG1055" s="209"/>
      <c r="AH1055" s="209"/>
      <c r="AI1055" s="209"/>
      <c r="AJ1055" s="209"/>
      <c r="AK1055" s="209"/>
    </row>
    <row r="1056">
      <c r="A1056" s="291"/>
      <c r="B1056" s="304" t="s">
        <v>3573</v>
      </c>
      <c r="C1056" s="304" t="s">
        <v>3559</v>
      </c>
      <c r="D1056" s="304" t="s">
        <v>3574</v>
      </c>
      <c r="E1056" s="375" t="s">
        <v>3575</v>
      </c>
      <c r="F1056" s="304" t="s">
        <v>732</v>
      </c>
      <c r="G1056" s="209"/>
      <c r="H1056" s="209"/>
      <c r="I1056" s="304" t="s">
        <v>733</v>
      </c>
      <c r="J1056" s="300" t="b">
        <v>1</v>
      </c>
      <c r="K1056" s="301" t="b">
        <v>0</v>
      </c>
      <c r="L1056" s="209"/>
      <c r="M1056" s="209"/>
      <c r="N1056" s="209"/>
      <c r="O1056" s="209"/>
      <c r="P1056" s="209"/>
      <c r="Q1056" s="209"/>
      <c r="R1056" s="209"/>
      <c r="S1056" s="209"/>
      <c r="T1056" s="209"/>
      <c r="U1056" s="209"/>
      <c r="V1056" s="209"/>
      <c r="W1056" s="209"/>
      <c r="X1056" s="209"/>
      <c r="Y1056" s="209"/>
      <c r="Z1056" s="209"/>
      <c r="AA1056" s="209"/>
      <c r="AB1056" s="209"/>
      <c r="AC1056" s="209"/>
      <c r="AD1056" s="209"/>
      <c r="AE1056" s="209"/>
      <c r="AF1056" s="209"/>
      <c r="AG1056" s="209"/>
      <c r="AH1056" s="209"/>
      <c r="AI1056" s="209"/>
      <c r="AJ1056" s="209"/>
      <c r="AK1056" s="209"/>
    </row>
    <row r="1057">
      <c r="A1057" s="309"/>
      <c r="B1057" s="311" t="s">
        <v>3576</v>
      </c>
      <c r="C1057" s="311" t="s">
        <v>3559</v>
      </c>
      <c r="D1057" s="311" t="s">
        <v>3577</v>
      </c>
      <c r="E1057" s="380" t="s">
        <v>3578</v>
      </c>
      <c r="F1057" s="313"/>
      <c r="G1057" s="313"/>
      <c r="H1057" s="313"/>
      <c r="I1057" s="313"/>
      <c r="J1057" s="350" t="b">
        <v>1</v>
      </c>
      <c r="K1057" s="314" t="b">
        <v>0</v>
      </c>
      <c r="L1057" s="209"/>
      <c r="M1057" s="209"/>
      <c r="N1057" s="209"/>
      <c r="O1057" s="209"/>
      <c r="P1057" s="209"/>
      <c r="Q1057" s="209"/>
      <c r="R1057" s="209"/>
      <c r="S1057" s="209"/>
      <c r="T1057" s="209"/>
      <c r="U1057" s="209"/>
      <c r="V1057" s="209"/>
      <c r="W1057" s="209"/>
      <c r="X1057" s="209"/>
      <c r="Y1057" s="209"/>
      <c r="Z1057" s="209"/>
      <c r="AA1057" s="209"/>
      <c r="AB1057" s="209"/>
      <c r="AC1057" s="209"/>
      <c r="AD1057" s="209"/>
      <c r="AE1057" s="209"/>
      <c r="AF1057" s="209"/>
      <c r="AG1057" s="209"/>
      <c r="AH1057" s="209"/>
      <c r="AI1057" s="209"/>
      <c r="AJ1057" s="209"/>
      <c r="AK1057" s="209"/>
    </row>
    <row r="1058">
      <c r="A1058" s="209"/>
      <c r="B1058" s="209"/>
      <c r="C1058" s="209"/>
      <c r="D1058" s="313"/>
      <c r="E1058" s="353"/>
      <c r="F1058" s="344"/>
      <c r="G1058" s="344"/>
      <c r="H1058" s="344"/>
      <c r="I1058" s="209"/>
      <c r="J1058" s="209"/>
      <c r="K1058" s="209"/>
      <c r="L1058" s="209"/>
      <c r="M1058" s="209"/>
      <c r="N1058" s="209"/>
      <c r="O1058" s="209"/>
      <c r="P1058" s="209"/>
      <c r="Q1058" s="209"/>
      <c r="R1058" s="209"/>
      <c r="S1058" s="209"/>
      <c r="T1058" s="209"/>
      <c r="U1058" s="209"/>
      <c r="V1058" s="209"/>
      <c r="W1058" s="209"/>
      <c r="X1058" s="209"/>
      <c r="Y1058" s="209"/>
      <c r="Z1058" s="209"/>
      <c r="AA1058" s="209"/>
      <c r="AB1058" s="209"/>
      <c r="AC1058" s="209"/>
      <c r="AD1058" s="209"/>
      <c r="AE1058" s="209"/>
      <c r="AF1058" s="209"/>
      <c r="AG1058" s="209"/>
      <c r="AH1058" s="209"/>
      <c r="AI1058" s="209"/>
      <c r="AJ1058" s="209"/>
      <c r="AK1058" s="209"/>
    </row>
    <row r="1059">
      <c r="A1059" s="316" t="s">
        <v>3579</v>
      </c>
      <c r="B1059" s="319" t="s">
        <v>3580</v>
      </c>
      <c r="C1059" s="320"/>
      <c r="D1059" s="283" t="s">
        <v>3581</v>
      </c>
      <c r="E1059" s="402" t="s">
        <v>3582</v>
      </c>
      <c r="F1059" s="320"/>
      <c r="G1059" s="320"/>
      <c r="H1059" s="276" t="s">
        <v>2803</v>
      </c>
      <c r="I1059" s="285" t="s">
        <v>3583</v>
      </c>
      <c r="J1059" s="278" t="str">
        <f>IF(COUNTIF(J1060:J1080, TRUE) = COUNTA(J1060:J1080), "Complete!", IF(COUNTIF(J1060:J1080, TRUE) &gt; 0, "Partial", "Not Started"))</f>
        <v>Complete!</v>
      </c>
      <c r="K1059" s="279"/>
      <c r="L1059" s="280">
        <v>21.0</v>
      </c>
      <c r="M1059" s="209"/>
      <c r="N1059" s="209"/>
      <c r="O1059" s="209"/>
      <c r="P1059" s="209"/>
      <c r="Q1059" s="209"/>
      <c r="R1059" s="209"/>
      <c r="S1059" s="209"/>
      <c r="T1059" s="209"/>
      <c r="U1059" s="209"/>
      <c r="V1059" s="209"/>
      <c r="W1059" s="209"/>
      <c r="X1059" s="209"/>
      <c r="Y1059" s="209"/>
      <c r="Z1059" s="209"/>
      <c r="AA1059" s="209"/>
      <c r="AB1059" s="209"/>
      <c r="AC1059" s="209"/>
      <c r="AD1059" s="209"/>
      <c r="AE1059" s="209"/>
      <c r="AF1059" s="209"/>
      <c r="AG1059" s="209"/>
      <c r="AH1059" s="209"/>
      <c r="AI1059" s="209"/>
      <c r="AJ1059" s="209"/>
      <c r="AK1059" s="209"/>
    </row>
    <row r="1060">
      <c r="A1060" s="291"/>
      <c r="B1060" s="408" t="s">
        <v>3584</v>
      </c>
      <c r="C1060" s="409" t="s">
        <v>3585</v>
      </c>
      <c r="D1060" s="304" t="s">
        <v>3586</v>
      </c>
      <c r="E1060" s="374" t="s">
        <v>3587</v>
      </c>
      <c r="F1060" s="209"/>
      <c r="G1060" s="209"/>
      <c r="H1060" s="209"/>
      <c r="I1060" s="209"/>
      <c r="J1060" s="296" t="b">
        <v>1</v>
      </c>
      <c r="K1060" s="297" t="b">
        <v>0</v>
      </c>
      <c r="L1060" s="209"/>
      <c r="M1060" s="209"/>
      <c r="N1060" s="209"/>
      <c r="O1060" s="209"/>
      <c r="P1060" s="209"/>
      <c r="Q1060" s="209"/>
      <c r="R1060" s="209"/>
      <c r="S1060" s="209"/>
      <c r="T1060" s="209"/>
      <c r="U1060" s="209"/>
      <c r="V1060" s="209"/>
      <c r="W1060" s="209"/>
      <c r="X1060" s="209"/>
      <c r="Y1060" s="209"/>
      <c r="Z1060" s="209"/>
      <c r="AA1060" s="209"/>
      <c r="AB1060" s="209"/>
      <c r="AC1060" s="209"/>
      <c r="AD1060" s="209"/>
      <c r="AE1060" s="209"/>
      <c r="AF1060" s="209"/>
      <c r="AG1060" s="209"/>
      <c r="AH1060" s="209"/>
      <c r="AI1060" s="209"/>
      <c r="AJ1060" s="209"/>
      <c r="AK1060" s="209"/>
    </row>
    <row r="1061">
      <c r="A1061" s="291"/>
      <c r="B1061" s="376" t="s">
        <v>3588</v>
      </c>
      <c r="C1061" s="377" t="s">
        <v>3585</v>
      </c>
      <c r="D1061" s="304" t="s">
        <v>3589</v>
      </c>
      <c r="E1061" s="375" t="s">
        <v>3590</v>
      </c>
      <c r="F1061" s="209"/>
      <c r="G1061" s="209"/>
      <c r="H1061" s="209"/>
      <c r="I1061" s="209"/>
      <c r="J1061" s="300" t="b">
        <v>1</v>
      </c>
      <c r="K1061" s="301" t="b">
        <v>0</v>
      </c>
      <c r="L1061" s="209"/>
      <c r="M1061" s="209"/>
      <c r="N1061" s="209"/>
      <c r="O1061" s="209"/>
      <c r="P1061" s="209"/>
      <c r="Q1061" s="209"/>
      <c r="R1061" s="209"/>
      <c r="S1061" s="209"/>
      <c r="T1061" s="209"/>
      <c r="U1061" s="209"/>
      <c r="V1061" s="209"/>
      <c r="W1061" s="209"/>
      <c r="X1061" s="209"/>
      <c r="Y1061" s="209"/>
      <c r="Z1061" s="209"/>
      <c r="AA1061" s="209"/>
      <c r="AB1061" s="209"/>
      <c r="AC1061" s="209"/>
      <c r="AD1061" s="209"/>
      <c r="AE1061" s="209"/>
      <c r="AF1061" s="209"/>
      <c r="AG1061" s="209"/>
      <c r="AH1061" s="209"/>
      <c r="AI1061" s="209"/>
      <c r="AJ1061" s="209"/>
      <c r="AK1061" s="209"/>
    </row>
    <row r="1062">
      <c r="A1062" s="291"/>
      <c r="B1062" s="376" t="s">
        <v>3591</v>
      </c>
      <c r="C1062" s="377" t="s">
        <v>3585</v>
      </c>
      <c r="D1062" s="304" t="s">
        <v>3592</v>
      </c>
      <c r="E1062" s="375" t="s">
        <v>3593</v>
      </c>
      <c r="F1062" s="375" t="s">
        <v>750</v>
      </c>
      <c r="G1062" s="209"/>
      <c r="H1062" s="209"/>
      <c r="I1062" s="209"/>
      <c r="J1062" s="300" t="b">
        <v>1</v>
      </c>
      <c r="K1062" s="301" t="b">
        <v>0</v>
      </c>
      <c r="L1062" s="209"/>
      <c r="M1062" s="209"/>
      <c r="N1062" s="209"/>
      <c r="O1062" s="209"/>
      <c r="P1062" s="209"/>
      <c r="Q1062" s="209"/>
      <c r="R1062" s="209"/>
      <c r="S1062" s="209"/>
      <c r="T1062" s="209"/>
      <c r="U1062" s="209"/>
      <c r="V1062" s="209"/>
      <c r="W1062" s="209"/>
      <c r="X1062" s="209"/>
      <c r="Y1062" s="209"/>
      <c r="Z1062" s="209"/>
      <c r="AA1062" s="209"/>
      <c r="AB1062" s="209"/>
      <c r="AC1062" s="209"/>
      <c r="AD1062" s="209"/>
      <c r="AE1062" s="209"/>
      <c r="AF1062" s="209"/>
      <c r="AG1062" s="209"/>
      <c r="AH1062" s="209"/>
      <c r="AI1062" s="209"/>
      <c r="AJ1062" s="209"/>
      <c r="AK1062" s="209"/>
    </row>
    <row r="1063">
      <c r="A1063" s="291"/>
      <c r="B1063" s="303" t="s">
        <v>3594</v>
      </c>
      <c r="C1063" s="304" t="s">
        <v>3595</v>
      </c>
      <c r="D1063" s="304" t="s">
        <v>3596</v>
      </c>
      <c r="E1063" s="375">
        <v>8.10115977322E11</v>
      </c>
      <c r="F1063" s="304" t="s">
        <v>732</v>
      </c>
      <c r="G1063" s="209"/>
      <c r="H1063" s="209"/>
      <c r="I1063" s="304" t="s">
        <v>733</v>
      </c>
      <c r="J1063" s="300" t="b">
        <v>1</v>
      </c>
      <c r="K1063" s="301" t="b">
        <v>0</v>
      </c>
      <c r="L1063" s="209"/>
      <c r="M1063" s="209"/>
      <c r="N1063" s="209"/>
      <c r="O1063" s="209"/>
      <c r="P1063" s="209"/>
      <c r="Q1063" s="209"/>
      <c r="R1063" s="209"/>
      <c r="S1063" s="209"/>
      <c r="T1063" s="209"/>
      <c r="U1063" s="209"/>
      <c r="V1063" s="209"/>
      <c r="W1063" s="209"/>
      <c r="X1063" s="209"/>
      <c r="Y1063" s="209"/>
      <c r="Z1063" s="209"/>
      <c r="AA1063" s="209"/>
      <c r="AB1063" s="209"/>
      <c r="AC1063" s="209"/>
      <c r="AD1063" s="209"/>
      <c r="AE1063" s="209"/>
      <c r="AF1063" s="209"/>
      <c r="AG1063" s="209"/>
      <c r="AH1063" s="209"/>
      <c r="AI1063" s="209"/>
      <c r="AJ1063" s="209"/>
      <c r="AK1063" s="209"/>
    </row>
    <row r="1064">
      <c r="A1064" s="291"/>
      <c r="B1064" s="303" t="s">
        <v>3597</v>
      </c>
      <c r="C1064" s="304" t="s">
        <v>3595</v>
      </c>
      <c r="D1064" s="304" t="s">
        <v>3598</v>
      </c>
      <c r="E1064" s="375">
        <v>8.10115977353E11</v>
      </c>
      <c r="F1064" s="304" t="s">
        <v>732</v>
      </c>
      <c r="G1064" s="209"/>
      <c r="H1064" s="209"/>
      <c r="I1064" s="304" t="s">
        <v>733</v>
      </c>
      <c r="J1064" s="300" t="b">
        <v>1</v>
      </c>
      <c r="K1064" s="301" t="b">
        <v>0</v>
      </c>
      <c r="L1064" s="209"/>
      <c r="M1064" s="209"/>
      <c r="N1064" s="209"/>
      <c r="O1064" s="209"/>
      <c r="P1064" s="209"/>
      <c r="Q1064" s="209"/>
      <c r="R1064" s="209"/>
      <c r="S1064" s="209"/>
      <c r="T1064" s="209"/>
      <c r="U1064" s="209"/>
      <c r="V1064" s="209"/>
      <c r="W1064" s="209"/>
      <c r="X1064" s="209"/>
      <c r="Y1064" s="209"/>
      <c r="Z1064" s="209"/>
      <c r="AA1064" s="209"/>
      <c r="AB1064" s="209"/>
      <c r="AC1064" s="209"/>
      <c r="AD1064" s="209"/>
      <c r="AE1064" s="209"/>
      <c r="AF1064" s="209"/>
      <c r="AG1064" s="209"/>
      <c r="AH1064" s="209"/>
      <c r="AI1064" s="209"/>
      <c r="AJ1064" s="209"/>
      <c r="AK1064" s="209"/>
    </row>
    <row r="1065">
      <c r="A1065" s="291"/>
      <c r="B1065" s="303" t="s">
        <v>3599</v>
      </c>
      <c r="C1065" s="304" t="s">
        <v>3600</v>
      </c>
      <c r="D1065" s="304" t="s">
        <v>3601</v>
      </c>
      <c r="E1065" s="375" t="s">
        <v>3602</v>
      </c>
      <c r="F1065" s="304" t="s">
        <v>732</v>
      </c>
      <c r="G1065" s="209"/>
      <c r="H1065" s="209"/>
      <c r="I1065" s="304" t="s">
        <v>733</v>
      </c>
      <c r="J1065" s="300" t="b">
        <v>1</v>
      </c>
      <c r="K1065" s="301" t="b">
        <v>0</v>
      </c>
      <c r="L1065" s="209"/>
      <c r="M1065" s="209"/>
      <c r="N1065" s="209"/>
      <c r="O1065" s="209"/>
      <c r="P1065" s="209"/>
      <c r="Q1065" s="209"/>
      <c r="R1065" s="209"/>
      <c r="S1065" s="209"/>
      <c r="T1065" s="209"/>
      <c r="U1065" s="209"/>
      <c r="V1065" s="209"/>
      <c r="W1065" s="209"/>
      <c r="X1065" s="209"/>
      <c r="Y1065" s="209"/>
      <c r="Z1065" s="209"/>
      <c r="AA1065" s="209"/>
      <c r="AB1065" s="209"/>
      <c r="AC1065" s="209"/>
      <c r="AD1065" s="209"/>
      <c r="AE1065" s="209"/>
      <c r="AF1065" s="209"/>
      <c r="AG1065" s="209"/>
      <c r="AH1065" s="209"/>
      <c r="AI1065" s="209"/>
      <c r="AJ1065" s="209"/>
      <c r="AK1065" s="209"/>
    </row>
    <row r="1066">
      <c r="A1066" s="291"/>
      <c r="B1066" s="303" t="s">
        <v>3603</v>
      </c>
      <c r="C1066" s="304" t="s">
        <v>3600</v>
      </c>
      <c r="D1066" s="304" t="s">
        <v>3604</v>
      </c>
      <c r="E1066" s="305">
        <v>8.10115977414E11</v>
      </c>
      <c r="F1066" s="209"/>
      <c r="G1066" s="209"/>
      <c r="H1066" s="209"/>
      <c r="I1066" s="209"/>
      <c r="J1066" s="300" t="b">
        <v>1</v>
      </c>
      <c r="K1066" s="301" t="b">
        <v>0</v>
      </c>
      <c r="L1066" s="209"/>
      <c r="M1066" s="209"/>
      <c r="N1066" s="209"/>
      <c r="O1066" s="209"/>
      <c r="P1066" s="209"/>
      <c r="Q1066" s="209"/>
      <c r="R1066" s="209"/>
      <c r="S1066" s="209"/>
      <c r="T1066" s="209"/>
      <c r="U1066" s="209"/>
      <c r="V1066" s="209"/>
      <c r="W1066" s="209"/>
      <c r="X1066" s="209"/>
      <c r="Y1066" s="209"/>
      <c r="Z1066" s="209"/>
      <c r="AA1066" s="209"/>
      <c r="AB1066" s="209"/>
      <c r="AC1066" s="209"/>
      <c r="AD1066" s="209"/>
      <c r="AE1066" s="209"/>
      <c r="AF1066" s="209"/>
      <c r="AG1066" s="209"/>
      <c r="AH1066" s="209"/>
      <c r="AI1066" s="209"/>
      <c r="AJ1066" s="209"/>
      <c r="AK1066" s="209"/>
    </row>
    <row r="1067">
      <c r="A1067" s="291"/>
      <c r="B1067" s="376" t="s">
        <v>3605</v>
      </c>
      <c r="C1067" s="377" t="s">
        <v>3585</v>
      </c>
      <c r="D1067" s="304" t="s">
        <v>3606</v>
      </c>
      <c r="E1067" s="375" t="s">
        <v>3607</v>
      </c>
      <c r="F1067" s="304" t="s">
        <v>732</v>
      </c>
      <c r="G1067" s="209"/>
      <c r="H1067" s="209"/>
      <c r="I1067" s="304" t="s">
        <v>733</v>
      </c>
      <c r="J1067" s="300" t="b">
        <v>1</v>
      </c>
      <c r="K1067" s="301" t="b">
        <v>0</v>
      </c>
      <c r="L1067" s="209"/>
      <c r="M1067" s="209"/>
      <c r="N1067" s="209"/>
      <c r="O1067" s="209"/>
      <c r="P1067" s="209"/>
      <c r="Q1067" s="209"/>
      <c r="R1067" s="209"/>
      <c r="S1067" s="209"/>
      <c r="T1067" s="209"/>
      <c r="U1067" s="209"/>
      <c r="V1067" s="209"/>
      <c r="W1067" s="209"/>
      <c r="X1067" s="209"/>
      <c r="Y1067" s="209"/>
      <c r="Z1067" s="209"/>
      <c r="AA1067" s="209"/>
      <c r="AB1067" s="209"/>
      <c r="AC1067" s="209"/>
      <c r="AD1067" s="209"/>
      <c r="AE1067" s="209"/>
      <c r="AF1067" s="209"/>
      <c r="AG1067" s="209"/>
      <c r="AH1067" s="209"/>
      <c r="AI1067" s="209"/>
      <c r="AJ1067" s="209"/>
      <c r="AK1067" s="209"/>
    </row>
    <row r="1068">
      <c r="A1068" s="291"/>
      <c r="B1068" s="376" t="s">
        <v>3608</v>
      </c>
      <c r="C1068" s="377" t="s">
        <v>3585</v>
      </c>
      <c r="D1068" s="304" t="s">
        <v>3609</v>
      </c>
      <c r="E1068" s="375" t="s">
        <v>3610</v>
      </c>
      <c r="F1068" s="209"/>
      <c r="G1068" s="209"/>
      <c r="H1068" s="209"/>
      <c r="I1068" s="209"/>
      <c r="J1068" s="300" t="b">
        <v>1</v>
      </c>
      <c r="K1068" s="301" t="b">
        <v>0</v>
      </c>
      <c r="L1068" s="209"/>
      <c r="M1068" s="209"/>
      <c r="N1068" s="209"/>
      <c r="O1068" s="209"/>
      <c r="P1068" s="209"/>
      <c r="Q1068" s="209"/>
      <c r="R1068" s="209"/>
      <c r="S1068" s="209"/>
      <c r="T1068" s="209"/>
      <c r="U1068" s="209"/>
      <c r="V1068" s="209"/>
      <c r="W1068" s="209"/>
      <c r="X1068" s="209"/>
      <c r="Y1068" s="209"/>
      <c r="Z1068" s="209"/>
      <c r="AA1068" s="209"/>
      <c r="AB1068" s="209"/>
      <c r="AC1068" s="209"/>
      <c r="AD1068" s="209"/>
      <c r="AE1068" s="209"/>
      <c r="AF1068" s="209"/>
      <c r="AG1068" s="209"/>
      <c r="AH1068" s="209"/>
      <c r="AI1068" s="209"/>
      <c r="AJ1068" s="209"/>
      <c r="AK1068" s="209"/>
    </row>
    <row r="1069">
      <c r="A1069" s="291"/>
      <c r="B1069" s="377" t="s">
        <v>3611</v>
      </c>
      <c r="C1069" s="377" t="s">
        <v>3585</v>
      </c>
      <c r="D1069" s="304" t="s">
        <v>3612</v>
      </c>
      <c r="E1069" s="375" t="s">
        <v>3613</v>
      </c>
      <c r="F1069" s="304" t="s">
        <v>750</v>
      </c>
      <c r="G1069" s="209"/>
      <c r="H1069" s="209"/>
      <c r="I1069" s="209"/>
      <c r="J1069" s="300" t="b">
        <v>1</v>
      </c>
      <c r="K1069" s="301" t="b">
        <v>0</v>
      </c>
      <c r="L1069" s="209"/>
      <c r="M1069" s="209"/>
      <c r="N1069" s="209"/>
      <c r="O1069" s="209"/>
      <c r="P1069" s="209"/>
      <c r="Q1069" s="209"/>
      <c r="R1069" s="209"/>
      <c r="S1069" s="209"/>
      <c r="T1069" s="209"/>
      <c r="U1069" s="209"/>
      <c r="V1069" s="209"/>
      <c r="W1069" s="209"/>
      <c r="X1069" s="209"/>
      <c r="Y1069" s="209"/>
      <c r="Z1069" s="209"/>
      <c r="AA1069" s="209"/>
      <c r="AB1069" s="209"/>
      <c r="AC1069" s="209"/>
      <c r="AD1069" s="209"/>
      <c r="AE1069" s="209"/>
      <c r="AF1069" s="209"/>
      <c r="AG1069" s="209"/>
      <c r="AH1069" s="209"/>
      <c r="AI1069" s="209"/>
      <c r="AJ1069" s="209"/>
      <c r="AK1069" s="209"/>
    </row>
    <row r="1070">
      <c r="A1070" s="291"/>
      <c r="B1070" s="354" t="s">
        <v>3614</v>
      </c>
      <c r="C1070" s="304" t="s">
        <v>3595</v>
      </c>
      <c r="D1070" s="304" t="s">
        <v>3615</v>
      </c>
      <c r="E1070" s="375" t="s">
        <v>3616</v>
      </c>
      <c r="F1070" s="353"/>
      <c r="G1070" s="209"/>
      <c r="H1070" s="209"/>
      <c r="I1070" s="209"/>
      <c r="J1070" s="300" t="b">
        <v>1</v>
      </c>
      <c r="K1070" s="301" t="b">
        <v>0</v>
      </c>
      <c r="L1070" s="209"/>
      <c r="M1070" s="209"/>
      <c r="N1070" s="209"/>
      <c r="O1070" s="209"/>
      <c r="P1070" s="209"/>
      <c r="Q1070" s="209"/>
      <c r="R1070" s="209"/>
      <c r="S1070" s="209"/>
      <c r="T1070" s="209"/>
      <c r="U1070" s="209"/>
      <c r="V1070" s="209"/>
      <c r="W1070" s="209"/>
      <c r="X1070" s="209"/>
      <c r="Y1070" s="209"/>
      <c r="Z1070" s="209"/>
      <c r="AA1070" s="209"/>
      <c r="AB1070" s="209"/>
      <c r="AC1070" s="209"/>
      <c r="AD1070" s="209"/>
      <c r="AE1070" s="209"/>
      <c r="AF1070" s="209"/>
      <c r="AG1070" s="209"/>
      <c r="AH1070" s="209"/>
      <c r="AI1070" s="209"/>
      <c r="AJ1070" s="209"/>
      <c r="AK1070" s="209"/>
    </row>
    <row r="1071">
      <c r="A1071" s="291"/>
      <c r="B1071" s="303" t="s">
        <v>3617</v>
      </c>
      <c r="C1071" s="304" t="s">
        <v>3595</v>
      </c>
      <c r="D1071" s="304" t="s">
        <v>3618</v>
      </c>
      <c r="E1071" s="375" t="s">
        <v>3619</v>
      </c>
      <c r="F1071" s="209"/>
      <c r="G1071" s="209"/>
      <c r="H1071" s="209"/>
      <c r="I1071" s="209"/>
      <c r="J1071" s="300" t="b">
        <v>1</v>
      </c>
      <c r="K1071" s="301" t="b">
        <v>0</v>
      </c>
      <c r="L1071" s="209"/>
      <c r="M1071" s="209"/>
      <c r="N1071" s="209"/>
      <c r="O1071" s="209"/>
      <c r="P1071" s="209"/>
      <c r="Q1071" s="209"/>
      <c r="R1071" s="209"/>
      <c r="S1071" s="209"/>
      <c r="T1071" s="209"/>
      <c r="U1071" s="209"/>
      <c r="V1071" s="209"/>
      <c r="W1071" s="209"/>
      <c r="X1071" s="209"/>
      <c r="Y1071" s="209"/>
      <c r="Z1071" s="209"/>
      <c r="AA1071" s="209"/>
      <c r="AB1071" s="209"/>
      <c r="AC1071" s="209"/>
      <c r="AD1071" s="209"/>
      <c r="AE1071" s="209"/>
      <c r="AF1071" s="209"/>
      <c r="AG1071" s="209"/>
      <c r="AH1071" s="209"/>
      <c r="AI1071" s="209"/>
      <c r="AJ1071" s="209"/>
      <c r="AK1071" s="209"/>
    </row>
    <row r="1072">
      <c r="A1072" s="291"/>
      <c r="B1072" s="303" t="s">
        <v>3620</v>
      </c>
      <c r="C1072" s="304" t="s">
        <v>3600</v>
      </c>
      <c r="D1072" s="304" t="s">
        <v>3621</v>
      </c>
      <c r="E1072" s="375" t="s">
        <v>3622</v>
      </c>
      <c r="F1072" s="209"/>
      <c r="G1072" s="209"/>
      <c r="H1072" s="209"/>
      <c r="I1072" s="209"/>
      <c r="J1072" s="300" t="b">
        <v>1</v>
      </c>
      <c r="K1072" s="301" t="b">
        <v>0</v>
      </c>
      <c r="L1072" s="209"/>
      <c r="M1072" s="209"/>
      <c r="N1072" s="209"/>
      <c r="O1072" s="209"/>
      <c r="P1072" s="209"/>
      <c r="Q1072" s="209"/>
      <c r="R1072" s="209"/>
      <c r="S1072" s="209"/>
      <c r="T1072" s="209"/>
      <c r="U1072" s="209"/>
      <c r="V1072" s="209"/>
      <c r="W1072" s="209"/>
      <c r="X1072" s="209"/>
      <c r="Y1072" s="209"/>
      <c r="Z1072" s="209"/>
      <c r="AA1072" s="209"/>
      <c r="AB1072" s="209"/>
      <c r="AC1072" s="209"/>
      <c r="AD1072" s="209"/>
      <c r="AE1072" s="209"/>
      <c r="AF1072" s="209"/>
      <c r="AG1072" s="209"/>
      <c r="AH1072" s="209"/>
      <c r="AI1072" s="209"/>
      <c r="AJ1072" s="209"/>
      <c r="AK1072" s="209"/>
    </row>
    <row r="1073">
      <c r="A1073" s="291"/>
      <c r="B1073" s="303" t="s">
        <v>3623</v>
      </c>
      <c r="C1073" s="304" t="s">
        <v>3600</v>
      </c>
      <c r="D1073" s="304" t="s">
        <v>3624</v>
      </c>
      <c r="E1073" s="375">
        <v>8.10115977407E11</v>
      </c>
      <c r="F1073" s="209"/>
      <c r="G1073" s="209"/>
      <c r="H1073" s="209"/>
      <c r="I1073" s="209"/>
      <c r="J1073" s="300" t="b">
        <v>1</v>
      </c>
      <c r="K1073" s="301" t="b">
        <v>0</v>
      </c>
      <c r="L1073" s="209"/>
      <c r="M1073" s="209"/>
      <c r="N1073" s="209"/>
      <c r="O1073" s="209"/>
      <c r="P1073" s="209"/>
      <c r="Q1073" s="209"/>
      <c r="R1073" s="209"/>
      <c r="S1073" s="209"/>
      <c r="T1073" s="209"/>
      <c r="U1073" s="209"/>
      <c r="V1073" s="209"/>
      <c r="W1073" s="209"/>
      <c r="X1073" s="209"/>
      <c r="Y1073" s="209"/>
      <c r="Z1073" s="209"/>
      <c r="AA1073" s="209"/>
      <c r="AB1073" s="209"/>
      <c r="AC1073" s="209"/>
      <c r="AD1073" s="209"/>
      <c r="AE1073" s="209"/>
      <c r="AF1073" s="209"/>
      <c r="AG1073" s="209"/>
      <c r="AH1073" s="209"/>
      <c r="AI1073" s="209"/>
      <c r="AJ1073" s="209"/>
      <c r="AK1073" s="209"/>
    </row>
    <row r="1074">
      <c r="A1074" s="291"/>
      <c r="B1074" s="376" t="s">
        <v>3625</v>
      </c>
      <c r="C1074" s="377" t="s">
        <v>3585</v>
      </c>
      <c r="D1074" s="304" t="s">
        <v>3626</v>
      </c>
      <c r="E1074" s="375" t="s">
        <v>3627</v>
      </c>
      <c r="F1074" s="209"/>
      <c r="G1074" s="209"/>
      <c r="H1074" s="209"/>
      <c r="I1074" s="209"/>
      <c r="J1074" s="300" t="b">
        <v>1</v>
      </c>
      <c r="K1074" s="301" t="b">
        <v>0</v>
      </c>
      <c r="L1074" s="209"/>
      <c r="M1074" s="209"/>
      <c r="N1074" s="209"/>
      <c r="O1074" s="209"/>
      <c r="P1074" s="209"/>
      <c r="Q1074" s="209"/>
      <c r="R1074" s="209"/>
      <c r="S1074" s="209"/>
      <c r="T1074" s="209"/>
      <c r="U1074" s="209"/>
      <c r="V1074" s="209"/>
      <c r="W1074" s="209"/>
      <c r="X1074" s="209"/>
      <c r="Y1074" s="209"/>
      <c r="Z1074" s="209"/>
      <c r="AA1074" s="209"/>
      <c r="AB1074" s="209"/>
      <c r="AC1074" s="209"/>
      <c r="AD1074" s="209"/>
      <c r="AE1074" s="209"/>
      <c r="AF1074" s="209"/>
      <c r="AG1074" s="209"/>
      <c r="AH1074" s="209"/>
      <c r="AI1074" s="209"/>
      <c r="AJ1074" s="209"/>
      <c r="AK1074" s="209"/>
    </row>
    <row r="1075">
      <c r="A1075" s="291"/>
      <c r="B1075" s="424" t="s">
        <v>3628</v>
      </c>
      <c r="C1075" s="377" t="s">
        <v>3585</v>
      </c>
      <c r="D1075" s="304" t="s">
        <v>3629</v>
      </c>
      <c r="E1075" s="375" t="s">
        <v>3630</v>
      </c>
      <c r="F1075" s="209"/>
      <c r="G1075" s="209"/>
      <c r="H1075" s="209"/>
      <c r="I1075" s="209"/>
      <c r="J1075" s="300" t="b">
        <v>1</v>
      </c>
      <c r="K1075" s="301" t="b">
        <v>0</v>
      </c>
      <c r="L1075" s="209"/>
      <c r="M1075" s="209"/>
      <c r="N1075" s="209"/>
      <c r="O1075" s="209"/>
      <c r="P1075" s="209"/>
      <c r="Q1075" s="209"/>
      <c r="R1075" s="209"/>
      <c r="S1075" s="209"/>
      <c r="T1075" s="209"/>
      <c r="U1075" s="209"/>
      <c r="V1075" s="209"/>
      <c r="W1075" s="209"/>
      <c r="X1075" s="209"/>
      <c r="Y1075" s="209"/>
      <c r="Z1075" s="209"/>
      <c r="AA1075" s="209"/>
      <c r="AB1075" s="209"/>
      <c r="AC1075" s="209"/>
      <c r="AD1075" s="209"/>
      <c r="AE1075" s="209"/>
      <c r="AF1075" s="209"/>
      <c r="AG1075" s="209"/>
      <c r="AH1075" s="209"/>
      <c r="AI1075" s="209"/>
      <c r="AJ1075" s="209"/>
      <c r="AK1075" s="209"/>
    </row>
    <row r="1076">
      <c r="A1076" s="291"/>
      <c r="B1076" s="377" t="s">
        <v>3631</v>
      </c>
      <c r="C1076" s="377" t="s">
        <v>3585</v>
      </c>
      <c r="D1076" s="304" t="s">
        <v>3632</v>
      </c>
      <c r="E1076" s="375" t="s">
        <v>3633</v>
      </c>
      <c r="F1076" s="209"/>
      <c r="G1076" s="209"/>
      <c r="H1076" s="209"/>
      <c r="I1076" s="209"/>
      <c r="J1076" s="300" t="b">
        <v>1</v>
      </c>
      <c r="K1076" s="301" t="b">
        <v>0</v>
      </c>
      <c r="L1076" s="209"/>
      <c r="M1076" s="209"/>
      <c r="N1076" s="209"/>
      <c r="O1076" s="209"/>
      <c r="P1076" s="209"/>
      <c r="Q1076" s="209"/>
      <c r="R1076" s="209"/>
      <c r="S1076" s="209"/>
      <c r="T1076" s="209"/>
      <c r="U1076" s="209"/>
      <c r="V1076" s="209"/>
      <c r="W1076" s="209"/>
      <c r="X1076" s="209"/>
      <c r="Y1076" s="209"/>
      <c r="Z1076" s="209"/>
      <c r="AA1076" s="209"/>
      <c r="AB1076" s="209"/>
      <c r="AC1076" s="209"/>
      <c r="AD1076" s="209"/>
      <c r="AE1076" s="209"/>
      <c r="AF1076" s="209"/>
      <c r="AG1076" s="209"/>
      <c r="AH1076" s="209"/>
      <c r="AI1076" s="209"/>
      <c r="AJ1076" s="209"/>
      <c r="AK1076" s="209"/>
    </row>
    <row r="1077">
      <c r="A1077" s="291"/>
      <c r="B1077" s="304" t="s">
        <v>3634</v>
      </c>
      <c r="C1077" s="304" t="s">
        <v>3595</v>
      </c>
      <c r="D1077" s="304" t="s">
        <v>3635</v>
      </c>
      <c r="E1077" s="375">
        <v>8.10115977339E11</v>
      </c>
      <c r="F1077" s="304" t="s">
        <v>750</v>
      </c>
      <c r="G1077" s="209"/>
      <c r="H1077" s="209"/>
      <c r="I1077" s="209"/>
      <c r="J1077" s="300" t="b">
        <v>1</v>
      </c>
      <c r="K1077" s="301" t="b">
        <v>0</v>
      </c>
      <c r="L1077" s="209"/>
      <c r="M1077" s="209"/>
      <c r="N1077" s="209"/>
      <c r="O1077" s="209"/>
      <c r="P1077" s="209"/>
      <c r="Q1077" s="209"/>
      <c r="R1077" s="209"/>
      <c r="S1077" s="209"/>
      <c r="T1077" s="209"/>
      <c r="U1077" s="209"/>
      <c r="V1077" s="209"/>
      <c r="W1077" s="209"/>
      <c r="X1077" s="209"/>
      <c r="Y1077" s="209"/>
      <c r="Z1077" s="209"/>
      <c r="AA1077" s="209"/>
      <c r="AB1077" s="209"/>
      <c r="AC1077" s="209"/>
      <c r="AD1077" s="209"/>
      <c r="AE1077" s="209"/>
      <c r="AF1077" s="209"/>
      <c r="AG1077" s="209"/>
      <c r="AH1077" s="209"/>
      <c r="AI1077" s="209"/>
      <c r="AJ1077" s="209"/>
      <c r="AK1077" s="209"/>
    </row>
    <row r="1078">
      <c r="A1078" s="291"/>
      <c r="B1078" s="304" t="s">
        <v>3636</v>
      </c>
      <c r="C1078" s="304" t="s">
        <v>3595</v>
      </c>
      <c r="D1078" s="304" t="s">
        <v>3637</v>
      </c>
      <c r="E1078" s="375" t="s">
        <v>3638</v>
      </c>
      <c r="F1078" s="304" t="s">
        <v>732</v>
      </c>
      <c r="G1078" s="209"/>
      <c r="H1078" s="209"/>
      <c r="I1078" s="304" t="s">
        <v>733</v>
      </c>
      <c r="J1078" s="300" t="b">
        <v>1</v>
      </c>
      <c r="K1078" s="301" t="b">
        <v>0</v>
      </c>
      <c r="L1078" s="209"/>
      <c r="M1078" s="209"/>
      <c r="N1078" s="209"/>
      <c r="O1078" s="209"/>
      <c r="P1078" s="209"/>
      <c r="Q1078" s="209"/>
      <c r="R1078" s="209"/>
      <c r="S1078" s="209"/>
      <c r="T1078" s="209"/>
      <c r="U1078" s="209"/>
      <c r="V1078" s="209"/>
      <c r="W1078" s="209"/>
      <c r="X1078" s="209"/>
      <c r="Y1078" s="209"/>
      <c r="Z1078" s="209"/>
      <c r="AA1078" s="209"/>
      <c r="AB1078" s="209"/>
      <c r="AC1078" s="209"/>
      <c r="AD1078" s="209"/>
      <c r="AE1078" s="209"/>
      <c r="AF1078" s="209"/>
      <c r="AG1078" s="209"/>
      <c r="AH1078" s="209"/>
      <c r="AI1078" s="209"/>
      <c r="AJ1078" s="209"/>
      <c r="AK1078" s="209"/>
    </row>
    <row r="1079">
      <c r="A1079" s="291"/>
      <c r="B1079" s="304" t="s">
        <v>3639</v>
      </c>
      <c r="C1079" s="304" t="s">
        <v>3600</v>
      </c>
      <c r="D1079" s="304" t="s">
        <v>3640</v>
      </c>
      <c r="E1079" s="305">
        <v>8.10115977391E11</v>
      </c>
      <c r="F1079" s="304" t="s">
        <v>732</v>
      </c>
      <c r="G1079" s="209"/>
      <c r="H1079" s="209"/>
      <c r="I1079" s="304" t="s">
        <v>733</v>
      </c>
      <c r="J1079" s="300" t="b">
        <v>1</v>
      </c>
      <c r="K1079" s="301" t="b">
        <v>0</v>
      </c>
      <c r="L1079" s="209"/>
      <c r="M1079" s="209"/>
      <c r="N1079" s="209"/>
      <c r="O1079" s="209"/>
      <c r="P1079" s="209"/>
      <c r="Q1079" s="209"/>
      <c r="R1079" s="209"/>
      <c r="S1079" s="209"/>
      <c r="T1079" s="209"/>
      <c r="U1079" s="209"/>
      <c r="V1079" s="209"/>
      <c r="W1079" s="209"/>
      <c r="X1079" s="209"/>
      <c r="Y1079" s="209"/>
      <c r="Z1079" s="209"/>
      <c r="AA1079" s="209"/>
      <c r="AB1079" s="209"/>
      <c r="AC1079" s="209"/>
      <c r="AD1079" s="209"/>
      <c r="AE1079" s="209"/>
      <c r="AF1079" s="209"/>
      <c r="AG1079" s="209"/>
      <c r="AH1079" s="209"/>
      <c r="AI1079" s="209"/>
      <c r="AJ1079" s="209"/>
      <c r="AK1079" s="209"/>
    </row>
    <row r="1080">
      <c r="A1080" s="309"/>
      <c r="B1080" s="311" t="s">
        <v>3641</v>
      </c>
      <c r="C1080" s="311" t="s">
        <v>3595</v>
      </c>
      <c r="D1080" s="311" t="s">
        <v>3642</v>
      </c>
      <c r="E1080" s="380" t="s">
        <v>3643</v>
      </c>
      <c r="F1080" s="311" t="s">
        <v>732</v>
      </c>
      <c r="G1080" s="313"/>
      <c r="H1080" s="313"/>
      <c r="I1080" s="311" t="s">
        <v>733</v>
      </c>
      <c r="J1080" s="350" t="b">
        <v>1</v>
      </c>
      <c r="K1080" s="314" t="b">
        <v>0</v>
      </c>
      <c r="L1080" s="209"/>
      <c r="M1080" s="209"/>
      <c r="N1080" s="209"/>
      <c r="O1080" s="209"/>
      <c r="P1080" s="209"/>
      <c r="Q1080" s="209"/>
      <c r="R1080" s="209"/>
      <c r="S1080" s="209"/>
      <c r="T1080" s="209"/>
      <c r="U1080" s="209"/>
      <c r="V1080" s="209"/>
      <c r="W1080" s="209"/>
      <c r="X1080" s="209"/>
      <c r="Y1080" s="209"/>
      <c r="Z1080" s="209"/>
      <c r="AA1080" s="209"/>
      <c r="AB1080" s="209"/>
      <c r="AC1080" s="209"/>
      <c r="AD1080" s="209"/>
      <c r="AE1080" s="209"/>
      <c r="AF1080" s="209"/>
      <c r="AG1080" s="209"/>
      <c r="AH1080" s="209"/>
      <c r="AI1080" s="209"/>
      <c r="AJ1080" s="209"/>
      <c r="AK1080" s="209"/>
    </row>
    <row r="1081">
      <c r="A1081" s="209"/>
      <c r="B1081" s="209"/>
      <c r="C1081" s="209"/>
      <c r="D1081" s="209"/>
      <c r="E1081" s="353"/>
      <c r="F1081" s="344"/>
      <c r="G1081" s="344"/>
      <c r="H1081" s="344"/>
      <c r="I1081" s="209"/>
      <c r="J1081" s="209"/>
      <c r="K1081" s="209"/>
      <c r="L1081" s="209"/>
      <c r="M1081" s="209"/>
      <c r="N1081" s="209"/>
      <c r="O1081" s="209"/>
      <c r="P1081" s="209"/>
      <c r="Q1081" s="209"/>
      <c r="R1081" s="209"/>
      <c r="S1081" s="209"/>
      <c r="T1081" s="209"/>
      <c r="U1081" s="209"/>
      <c r="V1081" s="209"/>
      <c r="W1081" s="209"/>
      <c r="X1081" s="209"/>
      <c r="Y1081" s="209"/>
      <c r="Z1081" s="209"/>
      <c r="AA1081" s="209"/>
      <c r="AB1081" s="209"/>
      <c r="AC1081" s="209"/>
      <c r="AD1081" s="209"/>
      <c r="AE1081" s="209"/>
      <c r="AF1081" s="209"/>
      <c r="AG1081" s="209"/>
      <c r="AH1081" s="209"/>
      <c r="AI1081" s="209"/>
      <c r="AJ1081" s="209"/>
      <c r="AK1081" s="209"/>
    </row>
    <row r="1082">
      <c r="A1082" s="316" t="s">
        <v>3644</v>
      </c>
      <c r="B1082" s="319" t="s">
        <v>3645</v>
      </c>
      <c r="C1082" s="320"/>
      <c r="D1082" s="283" t="s">
        <v>3646</v>
      </c>
      <c r="E1082" s="322" t="s">
        <v>3647</v>
      </c>
      <c r="F1082" s="320"/>
      <c r="G1082" s="320"/>
      <c r="H1082" s="276" t="s">
        <v>468</v>
      </c>
      <c r="I1082" s="285" t="s">
        <v>3648</v>
      </c>
      <c r="J1082" s="278" t="str">
        <f>IF(COUNTIF(J1083:J1096, TRUE) = COUNTA(J1083:J1096), "Complete!", IF(COUNTIF(J1083:J1096, TRUE) &gt; 0, "Partial", "Not Started"))</f>
        <v>Complete!</v>
      </c>
      <c r="K1082" s="279"/>
      <c r="L1082" s="280">
        <v>14.0</v>
      </c>
      <c r="M1082" s="209"/>
      <c r="N1082" s="209"/>
      <c r="O1082" s="209"/>
      <c r="P1082" s="209"/>
      <c r="Q1082" s="209"/>
      <c r="R1082" s="209"/>
      <c r="S1082" s="209"/>
      <c r="T1082" s="209"/>
      <c r="U1082" s="209"/>
      <c r="V1082" s="209"/>
      <c r="W1082" s="209"/>
      <c r="X1082" s="209"/>
      <c r="Y1082" s="209"/>
      <c r="Z1082" s="209"/>
      <c r="AA1082" s="209"/>
      <c r="AB1082" s="209"/>
      <c r="AC1082" s="209"/>
      <c r="AD1082" s="209"/>
      <c r="AE1082" s="209"/>
      <c r="AF1082" s="209"/>
      <c r="AG1082" s="209"/>
      <c r="AH1082" s="209"/>
      <c r="AI1082" s="209"/>
      <c r="AJ1082" s="209"/>
      <c r="AK1082" s="209"/>
    </row>
    <row r="1083">
      <c r="A1083" s="291"/>
      <c r="B1083" s="304" t="s">
        <v>3649</v>
      </c>
      <c r="C1083" s="304" t="s">
        <v>3585</v>
      </c>
      <c r="D1083" s="304" t="s">
        <v>3650</v>
      </c>
      <c r="E1083" s="375">
        <v>8.10115977162E11</v>
      </c>
      <c r="F1083" s="295"/>
      <c r="G1083" s="295"/>
      <c r="H1083" s="209"/>
      <c r="I1083" s="209"/>
      <c r="J1083" s="300" t="b">
        <v>1</v>
      </c>
      <c r="K1083" s="301" t="b">
        <v>0</v>
      </c>
      <c r="L1083" s="209"/>
      <c r="M1083" s="209"/>
      <c r="N1083" s="209"/>
      <c r="O1083" s="209"/>
      <c r="P1083" s="209"/>
      <c r="Q1083" s="209"/>
      <c r="R1083" s="209"/>
      <c r="S1083" s="209"/>
      <c r="T1083" s="209"/>
      <c r="U1083" s="209"/>
      <c r="V1083" s="209"/>
      <c r="W1083" s="209"/>
      <c r="X1083" s="209"/>
      <c r="Y1083" s="209"/>
      <c r="Z1083" s="209"/>
      <c r="AA1083" s="209"/>
      <c r="AB1083" s="209"/>
      <c r="AC1083" s="209"/>
      <c r="AD1083" s="209"/>
      <c r="AE1083" s="209"/>
      <c r="AF1083" s="209"/>
      <c r="AG1083" s="209"/>
      <c r="AH1083" s="209"/>
      <c r="AI1083" s="209"/>
      <c r="AJ1083" s="209"/>
      <c r="AK1083" s="209"/>
    </row>
    <row r="1084">
      <c r="A1084" s="291"/>
      <c r="B1084" s="304" t="s">
        <v>3651</v>
      </c>
      <c r="C1084" s="304" t="s">
        <v>3585</v>
      </c>
      <c r="D1084" s="304" t="s">
        <v>3652</v>
      </c>
      <c r="E1084" s="375" t="s">
        <v>3653</v>
      </c>
      <c r="F1084" s="209"/>
      <c r="G1084" s="209"/>
      <c r="H1084" s="209"/>
      <c r="I1084" s="209"/>
      <c r="J1084" s="300" t="b">
        <v>1</v>
      </c>
      <c r="K1084" s="301" t="b">
        <v>0</v>
      </c>
      <c r="L1084" s="209"/>
      <c r="M1084" s="209"/>
      <c r="N1084" s="209"/>
      <c r="O1084" s="209"/>
      <c r="P1084" s="209"/>
      <c r="Q1084" s="209"/>
      <c r="R1084" s="209"/>
      <c r="S1084" s="209"/>
      <c r="T1084" s="209"/>
      <c r="U1084" s="209"/>
      <c r="V1084" s="209"/>
      <c r="W1084" s="209"/>
      <c r="X1084" s="209"/>
      <c r="Y1084" s="209"/>
      <c r="Z1084" s="209"/>
      <c r="AA1084" s="209"/>
      <c r="AB1084" s="209"/>
      <c r="AC1084" s="209"/>
      <c r="AD1084" s="209"/>
      <c r="AE1084" s="209"/>
      <c r="AF1084" s="209"/>
      <c r="AG1084" s="209"/>
      <c r="AH1084" s="209"/>
      <c r="AI1084" s="209"/>
      <c r="AJ1084" s="209"/>
      <c r="AK1084" s="209"/>
    </row>
    <row r="1085">
      <c r="A1085" s="291"/>
      <c r="B1085" s="304" t="s">
        <v>3654</v>
      </c>
      <c r="C1085" s="304" t="s">
        <v>3585</v>
      </c>
      <c r="D1085" s="304" t="s">
        <v>3655</v>
      </c>
      <c r="E1085" s="375">
        <v>8.10115977193E11</v>
      </c>
      <c r="F1085" s="209"/>
      <c r="G1085" s="209"/>
      <c r="H1085" s="209"/>
      <c r="I1085" s="209"/>
      <c r="J1085" s="300" t="b">
        <v>1</v>
      </c>
      <c r="K1085" s="301" t="b">
        <v>0</v>
      </c>
      <c r="L1085" s="209"/>
      <c r="M1085" s="209"/>
      <c r="N1085" s="209"/>
      <c r="O1085" s="209"/>
      <c r="P1085" s="209"/>
      <c r="Q1085" s="209"/>
      <c r="R1085" s="209"/>
      <c r="S1085" s="209"/>
      <c r="T1085" s="209"/>
      <c r="U1085" s="209"/>
      <c r="V1085" s="209"/>
      <c r="W1085" s="209"/>
      <c r="X1085" s="209"/>
      <c r="Y1085" s="209"/>
      <c r="Z1085" s="209"/>
      <c r="AA1085" s="209"/>
      <c r="AB1085" s="209"/>
      <c r="AC1085" s="209"/>
      <c r="AD1085" s="209"/>
      <c r="AE1085" s="209"/>
      <c r="AF1085" s="209"/>
      <c r="AG1085" s="209"/>
      <c r="AH1085" s="209"/>
      <c r="AI1085" s="209"/>
      <c r="AJ1085" s="209"/>
      <c r="AK1085" s="209"/>
    </row>
    <row r="1086">
      <c r="A1086" s="291"/>
      <c r="B1086" s="304" t="s">
        <v>3656</v>
      </c>
      <c r="C1086" s="304" t="s">
        <v>3585</v>
      </c>
      <c r="D1086" s="304" t="s">
        <v>3657</v>
      </c>
      <c r="E1086" s="375">
        <v>8.10115977261E11</v>
      </c>
      <c r="F1086" s="304" t="s">
        <v>732</v>
      </c>
      <c r="G1086" s="209"/>
      <c r="H1086" s="209"/>
      <c r="I1086" s="304" t="s">
        <v>733</v>
      </c>
      <c r="J1086" s="300" t="b">
        <v>1</v>
      </c>
      <c r="K1086" s="301" t="b">
        <v>0</v>
      </c>
      <c r="L1086" s="209"/>
      <c r="M1086" s="209"/>
      <c r="N1086" s="209"/>
      <c r="O1086" s="209"/>
      <c r="P1086" s="209"/>
      <c r="Q1086" s="209"/>
      <c r="R1086" s="209"/>
      <c r="S1086" s="209"/>
      <c r="T1086" s="209"/>
      <c r="U1086" s="209"/>
      <c r="V1086" s="209"/>
      <c r="W1086" s="209"/>
      <c r="X1086" s="209"/>
      <c r="Y1086" s="209"/>
      <c r="Z1086" s="209"/>
      <c r="AA1086" s="209"/>
      <c r="AB1086" s="209"/>
      <c r="AC1086" s="209"/>
      <c r="AD1086" s="209"/>
      <c r="AE1086" s="209"/>
      <c r="AF1086" s="209"/>
      <c r="AG1086" s="209"/>
      <c r="AH1086" s="209"/>
      <c r="AI1086" s="209"/>
      <c r="AJ1086" s="209"/>
      <c r="AK1086" s="209"/>
    </row>
    <row r="1087">
      <c r="A1087" s="291"/>
      <c r="B1087" s="304" t="s">
        <v>3658</v>
      </c>
      <c r="C1087" s="304" t="s">
        <v>3585</v>
      </c>
      <c r="D1087" s="304" t="s">
        <v>3659</v>
      </c>
      <c r="E1087" s="375" t="s">
        <v>3660</v>
      </c>
      <c r="F1087" s="304" t="s">
        <v>732</v>
      </c>
      <c r="G1087" s="209"/>
      <c r="H1087" s="209"/>
      <c r="I1087" s="304" t="s">
        <v>733</v>
      </c>
      <c r="J1087" s="300" t="b">
        <v>1</v>
      </c>
      <c r="K1087" s="301" t="b">
        <v>0</v>
      </c>
      <c r="L1087" s="209"/>
      <c r="M1087" s="209"/>
      <c r="N1087" s="209"/>
      <c r="O1087" s="209"/>
      <c r="P1087" s="209"/>
      <c r="Q1087" s="209"/>
      <c r="R1087" s="209"/>
      <c r="S1087" s="209"/>
      <c r="T1087" s="209"/>
      <c r="U1087" s="209"/>
      <c r="V1087" s="209"/>
      <c r="W1087" s="209"/>
      <c r="X1087" s="209"/>
      <c r="Y1087" s="209"/>
      <c r="Z1087" s="209"/>
      <c r="AA1087" s="209"/>
      <c r="AB1087" s="209"/>
      <c r="AC1087" s="209"/>
      <c r="AD1087" s="209"/>
      <c r="AE1087" s="209"/>
      <c r="AF1087" s="209"/>
      <c r="AG1087" s="209"/>
      <c r="AH1087" s="209"/>
      <c r="AI1087" s="209"/>
      <c r="AJ1087" s="209"/>
      <c r="AK1087" s="209"/>
    </row>
    <row r="1088">
      <c r="A1088" s="291"/>
      <c r="B1088" s="304" t="s">
        <v>3661</v>
      </c>
      <c r="C1088" s="304" t="s">
        <v>3585</v>
      </c>
      <c r="D1088" s="304" t="s">
        <v>3662</v>
      </c>
      <c r="E1088" s="375" t="s">
        <v>3663</v>
      </c>
      <c r="F1088" s="304" t="s">
        <v>732</v>
      </c>
      <c r="G1088" s="209"/>
      <c r="H1088" s="209"/>
      <c r="I1088" s="304" t="s">
        <v>733</v>
      </c>
      <c r="J1088" s="300" t="b">
        <v>1</v>
      </c>
      <c r="K1088" s="301" t="b">
        <v>0</v>
      </c>
      <c r="L1088" s="209"/>
      <c r="M1088" s="209"/>
      <c r="N1088" s="209"/>
      <c r="O1088" s="209"/>
      <c r="P1088" s="209"/>
      <c r="Q1088" s="209"/>
      <c r="R1088" s="209"/>
      <c r="S1088" s="209"/>
      <c r="T1088" s="209"/>
      <c r="U1088" s="209"/>
      <c r="V1088" s="209"/>
      <c r="W1088" s="209"/>
      <c r="X1088" s="209"/>
      <c r="Y1088" s="209"/>
      <c r="Z1088" s="209"/>
      <c r="AA1088" s="209"/>
      <c r="AB1088" s="209"/>
      <c r="AC1088" s="209"/>
      <c r="AD1088" s="209"/>
      <c r="AE1088" s="209"/>
      <c r="AF1088" s="209"/>
      <c r="AG1088" s="209"/>
      <c r="AH1088" s="209"/>
      <c r="AI1088" s="209"/>
      <c r="AJ1088" s="209"/>
      <c r="AK1088" s="209"/>
    </row>
    <row r="1089">
      <c r="A1089" s="291"/>
      <c r="B1089" s="304" t="s">
        <v>3664</v>
      </c>
      <c r="C1089" s="304" t="s">
        <v>3585</v>
      </c>
      <c r="D1089" s="304" t="s">
        <v>3665</v>
      </c>
      <c r="E1089" s="375" t="s">
        <v>3666</v>
      </c>
      <c r="F1089" s="304" t="s">
        <v>732</v>
      </c>
      <c r="G1089" s="209"/>
      <c r="H1089" s="209"/>
      <c r="I1089" s="304" t="s">
        <v>733</v>
      </c>
      <c r="J1089" s="300" t="b">
        <v>1</v>
      </c>
      <c r="K1089" s="301" t="b">
        <v>0</v>
      </c>
      <c r="L1089" s="209"/>
      <c r="M1089" s="209"/>
      <c r="N1089" s="209"/>
      <c r="O1089" s="209"/>
      <c r="P1089" s="209"/>
      <c r="Q1089" s="209"/>
      <c r="R1089" s="209"/>
      <c r="S1089" s="209"/>
      <c r="T1089" s="209"/>
      <c r="U1089" s="209"/>
      <c r="V1089" s="209"/>
      <c r="W1089" s="209"/>
      <c r="X1089" s="209"/>
      <c r="Y1089" s="209"/>
      <c r="Z1089" s="209"/>
      <c r="AA1089" s="209"/>
      <c r="AB1089" s="209"/>
      <c r="AC1089" s="209"/>
      <c r="AD1089" s="209"/>
      <c r="AE1089" s="209"/>
      <c r="AF1089" s="209"/>
      <c r="AG1089" s="209"/>
      <c r="AH1089" s="209"/>
      <c r="AI1089" s="209"/>
      <c r="AJ1089" s="209"/>
      <c r="AK1089" s="209"/>
    </row>
    <row r="1090">
      <c r="A1090" s="291"/>
      <c r="B1090" s="304" t="s">
        <v>3667</v>
      </c>
      <c r="C1090" s="304" t="s">
        <v>3585</v>
      </c>
      <c r="D1090" s="304" t="s">
        <v>3668</v>
      </c>
      <c r="E1090" s="375">
        <v>8.10115977278E11</v>
      </c>
      <c r="F1090" s="209"/>
      <c r="G1090" s="209"/>
      <c r="H1090" s="209"/>
      <c r="I1090" s="209"/>
      <c r="J1090" s="300" t="b">
        <v>1</v>
      </c>
      <c r="K1090" s="301" t="b">
        <v>0</v>
      </c>
      <c r="L1090" s="209"/>
      <c r="M1090" s="209"/>
      <c r="N1090" s="209"/>
      <c r="O1090" s="209"/>
      <c r="P1090" s="209"/>
      <c r="Q1090" s="209"/>
      <c r="R1090" s="209"/>
      <c r="S1090" s="209"/>
      <c r="T1090" s="209"/>
      <c r="U1090" s="209"/>
      <c r="V1090" s="209"/>
      <c r="W1090" s="209"/>
      <c r="X1090" s="209"/>
      <c r="Y1090" s="209"/>
      <c r="Z1090" s="209"/>
      <c r="AA1090" s="209"/>
      <c r="AB1090" s="209"/>
      <c r="AC1090" s="209"/>
      <c r="AD1090" s="209"/>
      <c r="AE1090" s="209"/>
      <c r="AF1090" s="209"/>
      <c r="AG1090" s="209"/>
      <c r="AH1090" s="209"/>
      <c r="AI1090" s="209"/>
      <c r="AJ1090" s="209"/>
      <c r="AK1090" s="209"/>
    </row>
    <row r="1091">
      <c r="A1091" s="291"/>
      <c r="B1091" s="304" t="s">
        <v>3669</v>
      </c>
      <c r="C1091" s="304" t="s">
        <v>3585</v>
      </c>
      <c r="D1091" s="304" t="s">
        <v>3670</v>
      </c>
      <c r="E1091" s="375">
        <v>8.10115977223E11</v>
      </c>
      <c r="F1091" s="209"/>
      <c r="G1091" s="209"/>
      <c r="H1091" s="209"/>
      <c r="I1091" s="209"/>
      <c r="J1091" s="300" t="b">
        <v>1</v>
      </c>
      <c r="K1091" s="301" t="b">
        <v>0</v>
      </c>
      <c r="L1091" s="209"/>
      <c r="M1091" s="209"/>
      <c r="N1091" s="209"/>
      <c r="O1091" s="209"/>
      <c r="P1091" s="209"/>
      <c r="Q1091" s="209"/>
      <c r="R1091" s="209"/>
      <c r="S1091" s="209"/>
      <c r="T1091" s="209"/>
      <c r="U1091" s="209"/>
      <c r="V1091" s="209"/>
      <c r="W1091" s="209"/>
      <c r="X1091" s="209"/>
      <c r="Y1091" s="209"/>
      <c r="Z1091" s="209"/>
      <c r="AA1091" s="209"/>
      <c r="AB1091" s="209"/>
      <c r="AC1091" s="209"/>
      <c r="AD1091" s="209"/>
      <c r="AE1091" s="209"/>
      <c r="AF1091" s="209"/>
      <c r="AG1091" s="209"/>
      <c r="AH1091" s="209"/>
      <c r="AI1091" s="209"/>
      <c r="AJ1091" s="209"/>
      <c r="AK1091" s="209"/>
    </row>
    <row r="1092">
      <c r="A1092" s="291"/>
      <c r="B1092" s="304" t="s">
        <v>3671</v>
      </c>
      <c r="C1092" s="304" t="s">
        <v>3585</v>
      </c>
      <c r="D1092" s="304" t="s">
        <v>3672</v>
      </c>
      <c r="E1092" s="375" t="s">
        <v>3673</v>
      </c>
      <c r="F1092" s="209"/>
      <c r="G1092" s="209"/>
      <c r="H1092" s="209"/>
      <c r="I1092" s="209"/>
      <c r="J1092" s="300" t="b">
        <v>1</v>
      </c>
      <c r="K1092" s="301" t="b">
        <v>0</v>
      </c>
      <c r="L1092" s="209"/>
      <c r="M1092" s="209"/>
      <c r="N1092" s="209"/>
      <c r="O1092" s="209"/>
      <c r="P1092" s="209"/>
      <c r="Q1092" s="209"/>
      <c r="R1092" s="209"/>
      <c r="S1092" s="209"/>
      <c r="T1092" s="209"/>
      <c r="U1092" s="209"/>
      <c r="V1092" s="209"/>
      <c r="W1092" s="209"/>
      <c r="X1092" s="209"/>
      <c r="Y1092" s="209"/>
      <c r="Z1092" s="209"/>
      <c r="AA1092" s="209"/>
      <c r="AB1092" s="209"/>
      <c r="AC1092" s="209"/>
      <c r="AD1092" s="209"/>
      <c r="AE1092" s="209"/>
      <c r="AF1092" s="209"/>
      <c r="AG1092" s="209"/>
      <c r="AH1092" s="209"/>
      <c r="AI1092" s="209"/>
      <c r="AJ1092" s="209"/>
      <c r="AK1092" s="209"/>
    </row>
    <row r="1093">
      <c r="A1093" s="291"/>
      <c r="B1093" s="304" t="s">
        <v>3674</v>
      </c>
      <c r="C1093" s="304" t="s">
        <v>3585</v>
      </c>
      <c r="D1093" s="304" t="s">
        <v>3675</v>
      </c>
      <c r="E1093" s="375" t="s">
        <v>3676</v>
      </c>
      <c r="F1093" s="304" t="s">
        <v>732</v>
      </c>
      <c r="G1093" s="209"/>
      <c r="H1093" s="209"/>
      <c r="I1093" s="304" t="s">
        <v>733</v>
      </c>
      <c r="J1093" s="300" t="b">
        <v>1</v>
      </c>
      <c r="K1093" s="301" t="b">
        <v>0</v>
      </c>
      <c r="L1093" s="209"/>
      <c r="M1093" s="209"/>
      <c r="N1093" s="209"/>
      <c r="O1093" s="209"/>
      <c r="P1093" s="209"/>
      <c r="Q1093" s="209"/>
      <c r="R1093" s="209"/>
      <c r="S1093" s="209"/>
      <c r="T1093" s="209"/>
      <c r="U1093" s="209"/>
      <c r="V1093" s="209"/>
      <c r="W1093" s="209"/>
      <c r="X1093" s="209"/>
      <c r="Y1093" s="209"/>
      <c r="Z1093" s="209"/>
      <c r="AA1093" s="209"/>
      <c r="AB1093" s="209"/>
      <c r="AC1093" s="209"/>
      <c r="AD1093" s="209"/>
      <c r="AE1093" s="209"/>
      <c r="AF1093" s="209"/>
      <c r="AG1093" s="209"/>
      <c r="AH1093" s="209"/>
      <c r="AI1093" s="209"/>
      <c r="AJ1093" s="209"/>
      <c r="AK1093" s="209"/>
    </row>
    <row r="1094">
      <c r="A1094" s="291"/>
      <c r="B1094" s="304" t="s">
        <v>3677</v>
      </c>
      <c r="C1094" s="304" t="s">
        <v>3585</v>
      </c>
      <c r="D1094" s="304" t="s">
        <v>3678</v>
      </c>
      <c r="E1094" s="375">
        <v>8.10115977247E11</v>
      </c>
      <c r="F1094" s="304" t="s">
        <v>750</v>
      </c>
      <c r="G1094" s="209"/>
      <c r="H1094" s="209"/>
      <c r="I1094" s="209"/>
      <c r="J1094" s="300" t="b">
        <v>1</v>
      </c>
      <c r="K1094" s="301" t="b">
        <v>0</v>
      </c>
      <c r="L1094" s="209"/>
      <c r="M1094" s="209"/>
      <c r="N1094" s="209"/>
      <c r="O1094" s="209"/>
      <c r="P1094" s="209"/>
      <c r="Q1094" s="209"/>
      <c r="R1094" s="209"/>
      <c r="S1094" s="209"/>
      <c r="T1094" s="209"/>
      <c r="U1094" s="209"/>
      <c r="V1094" s="209"/>
      <c r="W1094" s="209"/>
      <c r="X1094" s="209"/>
      <c r="Y1094" s="209"/>
      <c r="Z1094" s="209"/>
      <c r="AA1094" s="209"/>
      <c r="AB1094" s="209"/>
      <c r="AC1094" s="209"/>
      <c r="AD1094" s="209"/>
      <c r="AE1094" s="209"/>
      <c r="AF1094" s="209"/>
      <c r="AG1094" s="209"/>
      <c r="AH1094" s="209"/>
      <c r="AI1094" s="209"/>
      <c r="AJ1094" s="209"/>
      <c r="AK1094" s="209"/>
    </row>
    <row r="1095">
      <c r="A1095" s="291"/>
      <c r="B1095" s="304" t="s">
        <v>3679</v>
      </c>
      <c r="C1095" s="304" t="s">
        <v>3585</v>
      </c>
      <c r="D1095" s="304" t="s">
        <v>3680</v>
      </c>
      <c r="E1095" s="305">
        <v>8.10115977186E11</v>
      </c>
      <c r="F1095" s="209"/>
      <c r="G1095" s="209"/>
      <c r="H1095" s="209"/>
      <c r="I1095" s="209"/>
      <c r="J1095" s="300" t="b">
        <v>1</v>
      </c>
      <c r="K1095" s="301" t="b">
        <v>0</v>
      </c>
      <c r="L1095" s="209"/>
      <c r="M1095" s="209"/>
      <c r="N1095" s="209"/>
      <c r="O1095" s="209"/>
      <c r="P1095" s="209"/>
      <c r="Q1095" s="209"/>
      <c r="R1095" s="209"/>
      <c r="S1095" s="209"/>
      <c r="T1095" s="209"/>
      <c r="U1095" s="209"/>
      <c r="V1095" s="209"/>
      <c r="W1095" s="209"/>
      <c r="X1095" s="209"/>
      <c r="Y1095" s="209"/>
      <c r="Z1095" s="209"/>
      <c r="AA1095" s="209"/>
      <c r="AB1095" s="209"/>
      <c r="AC1095" s="209"/>
      <c r="AD1095" s="209"/>
      <c r="AE1095" s="209"/>
      <c r="AF1095" s="209"/>
      <c r="AG1095" s="209"/>
      <c r="AH1095" s="209"/>
      <c r="AI1095" s="209"/>
      <c r="AJ1095" s="209"/>
      <c r="AK1095" s="209"/>
    </row>
    <row r="1096">
      <c r="A1096" s="309"/>
      <c r="B1096" s="311" t="s">
        <v>3681</v>
      </c>
      <c r="C1096" s="311" t="s">
        <v>3585</v>
      </c>
      <c r="D1096" s="311" t="s">
        <v>3682</v>
      </c>
      <c r="E1096" s="380">
        <v>8.10115977254E11</v>
      </c>
      <c r="F1096" s="313"/>
      <c r="G1096" s="313"/>
      <c r="H1096" s="313"/>
      <c r="I1096" s="313"/>
      <c r="J1096" s="350" t="b">
        <v>1</v>
      </c>
      <c r="K1096" s="314" t="b">
        <v>0</v>
      </c>
      <c r="L1096" s="209"/>
      <c r="M1096" s="209"/>
      <c r="N1096" s="209"/>
      <c r="O1096" s="209"/>
      <c r="P1096" s="209"/>
      <c r="Q1096" s="209"/>
      <c r="R1096" s="209"/>
      <c r="S1096" s="209"/>
      <c r="T1096" s="209"/>
      <c r="U1096" s="209"/>
      <c r="V1096" s="209"/>
      <c r="W1096" s="209"/>
      <c r="X1096" s="209"/>
      <c r="Y1096" s="209"/>
      <c r="Z1096" s="209"/>
      <c r="AA1096" s="209"/>
      <c r="AB1096" s="209"/>
      <c r="AC1096" s="209"/>
      <c r="AD1096" s="209"/>
      <c r="AE1096" s="209"/>
      <c r="AF1096" s="209"/>
      <c r="AG1096" s="209"/>
      <c r="AH1096" s="209"/>
      <c r="AI1096" s="209"/>
      <c r="AJ1096" s="209"/>
      <c r="AK1096" s="209"/>
    </row>
    <row r="1097">
      <c r="A1097" s="209"/>
      <c r="B1097" s="209"/>
      <c r="C1097" s="209"/>
      <c r="D1097" s="209"/>
      <c r="E1097" s="209"/>
      <c r="F1097" s="353"/>
      <c r="G1097" s="209"/>
      <c r="H1097" s="209"/>
      <c r="I1097" s="209"/>
      <c r="J1097" s="209"/>
      <c r="K1097" s="209"/>
      <c r="L1097" s="209"/>
      <c r="M1097" s="209"/>
      <c r="N1097" s="209"/>
      <c r="O1097" s="209"/>
      <c r="P1097" s="209"/>
      <c r="Q1097" s="209"/>
      <c r="R1097" s="209"/>
      <c r="S1097" s="209"/>
      <c r="T1097" s="209"/>
      <c r="U1097" s="209"/>
      <c r="V1097" s="209"/>
      <c r="W1097" s="209"/>
      <c r="X1097" s="209"/>
      <c r="Y1097" s="209"/>
      <c r="Z1097" s="209"/>
      <c r="AA1097" s="209"/>
      <c r="AB1097" s="209"/>
      <c r="AC1097" s="209"/>
      <c r="AD1097" s="209"/>
      <c r="AE1097" s="209"/>
      <c r="AF1097" s="209"/>
      <c r="AG1097" s="209"/>
      <c r="AH1097" s="209"/>
      <c r="AI1097" s="209"/>
      <c r="AJ1097" s="209"/>
      <c r="AK1097" s="209"/>
    </row>
    <row r="1098">
      <c r="A1098" s="316">
        <v>102.0</v>
      </c>
      <c r="B1098" s="339" t="s">
        <v>3683</v>
      </c>
      <c r="C1098" s="320"/>
      <c r="D1098" s="283" t="s">
        <v>3684</v>
      </c>
      <c r="E1098" s="322" t="s">
        <v>3685</v>
      </c>
      <c r="F1098" s="436"/>
      <c r="G1098" s="320"/>
      <c r="H1098" s="285" t="s">
        <v>3401</v>
      </c>
      <c r="I1098" s="285" t="s">
        <v>3075</v>
      </c>
      <c r="J1098" s="278" t="str">
        <f>IF(COUNTIF(J1099, TRUE) = COUNTA(J1099), "Complete!", IF(COUNTIF(J1099, TRUE) &gt; 0, "Partial", "Not Started"))</f>
        <v>Complete!</v>
      </c>
      <c r="K1098" s="279"/>
      <c r="L1098" s="280">
        <v>1.0</v>
      </c>
      <c r="M1098" s="209"/>
      <c r="N1098" s="209"/>
      <c r="O1098" s="209"/>
      <c r="P1098" s="209"/>
      <c r="Q1098" s="209"/>
      <c r="R1098" s="209"/>
      <c r="S1098" s="209"/>
      <c r="T1098" s="209"/>
      <c r="U1098" s="209"/>
      <c r="V1098" s="209"/>
      <c r="W1098" s="209"/>
      <c r="X1098" s="209"/>
      <c r="Y1098" s="209"/>
      <c r="Z1098" s="209"/>
      <c r="AA1098" s="209"/>
      <c r="AB1098" s="209"/>
      <c r="AC1098" s="209"/>
      <c r="AD1098" s="209"/>
      <c r="AE1098" s="209"/>
      <c r="AF1098" s="209"/>
      <c r="AG1098" s="209"/>
      <c r="AH1098" s="209"/>
      <c r="AI1098" s="209"/>
      <c r="AJ1098" s="209"/>
      <c r="AK1098" s="209"/>
    </row>
    <row r="1099">
      <c r="A1099" s="309"/>
      <c r="B1099" s="426" t="s">
        <v>3686</v>
      </c>
      <c r="C1099" s="311" t="s">
        <v>3687</v>
      </c>
      <c r="D1099" s="311" t="s">
        <v>3684</v>
      </c>
      <c r="E1099" s="312">
        <v>8.10115977308E11</v>
      </c>
      <c r="F1099" s="311" t="s">
        <v>732</v>
      </c>
      <c r="G1099" s="313"/>
      <c r="H1099" s="313"/>
      <c r="I1099" s="311" t="s">
        <v>733</v>
      </c>
      <c r="J1099" s="350" t="b">
        <v>1</v>
      </c>
      <c r="K1099" s="314" t="b">
        <v>0</v>
      </c>
      <c r="L1099" s="209"/>
      <c r="M1099" s="209"/>
      <c r="N1099" s="209"/>
      <c r="O1099" s="209"/>
      <c r="P1099" s="209"/>
      <c r="Q1099" s="209"/>
      <c r="R1099" s="209"/>
      <c r="S1099" s="209"/>
      <c r="T1099" s="209"/>
      <c r="U1099" s="209"/>
      <c r="V1099" s="209"/>
      <c r="W1099" s="209"/>
      <c r="X1099" s="209"/>
      <c r="Y1099" s="209"/>
      <c r="Z1099" s="209"/>
      <c r="AA1099" s="209"/>
      <c r="AB1099" s="209"/>
      <c r="AC1099" s="209"/>
      <c r="AD1099" s="209"/>
      <c r="AE1099" s="209"/>
      <c r="AF1099" s="209"/>
      <c r="AG1099" s="209"/>
      <c r="AH1099" s="209"/>
      <c r="AI1099" s="209"/>
      <c r="AJ1099" s="209"/>
      <c r="AK1099" s="209"/>
    </row>
    <row r="1100">
      <c r="A1100" s="209"/>
      <c r="B1100" s="209"/>
      <c r="C1100" s="209"/>
      <c r="D1100" s="209"/>
      <c r="E1100" s="353"/>
      <c r="F1100" s="344"/>
      <c r="G1100" s="344"/>
      <c r="H1100" s="344"/>
      <c r="I1100" s="209"/>
      <c r="J1100" s="209"/>
      <c r="K1100" s="209"/>
      <c r="L1100" s="209"/>
      <c r="M1100" s="209"/>
      <c r="N1100" s="209"/>
      <c r="O1100" s="209"/>
      <c r="P1100" s="209"/>
      <c r="Q1100" s="209"/>
      <c r="R1100" s="209"/>
      <c r="S1100" s="209"/>
      <c r="T1100" s="209"/>
      <c r="U1100" s="209"/>
      <c r="V1100" s="209"/>
      <c r="W1100" s="209"/>
      <c r="X1100" s="209"/>
      <c r="Y1100" s="209"/>
      <c r="Z1100" s="209"/>
      <c r="AA1100" s="209"/>
      <c r="AB1100" s="209"/>
      <c r="AC1100" s="209"/>
      <c r="AD1100" s="209"/>
      <c r="AE1100" s="209"/>
      <c r="AF1100" s="209"/>
      <c r="AG1100" s="209"/>
      <c r="AH1100" s="209"/>
      <c r="AI1100" s="209"/>
      <c r="AJ1100" s="209"/>
      <c r="AK1100" s="209"/>
    </row>
    <row r="1101">
      <c r="A1101" s="316" t="s">
        <v>3688</v>
      </c>
      <c r="B1101" s="282" t="s">
        <v>3689</v>
      </c>
      <c r="C1101" s="273"/>
      <c r="D1101" s="283" t="s">
        <v>3690</v>
      </c>
      <c r="E1101" s="322" t="s">
        <v>3691</v>
      </c>
      <c r="F1101" s="320"/>
      <c r="G1101" s="320"/>
      <c r="H1101" s="276" t="s">
        <v>3401</v>
      </c>
      <c r="I1101" s="285" t="s">
        <v>3692</v>
      </c>
      <c r="J1101" s="278" t="str">
        <f>IF(COUNTIF(J1102:J1113, TRUE) = COUNTA(J1102:J1113), "Complete!", IF(COUNTIF(J1102:J1113, TRUE) &gt; 0, "Partial", "Not Started"))</f>
        <v>Complete!</v>
      </c>
      <c r="K1101" s="279"/>
      <c r="L1101" s="280">
        <v>12.0</v>
      </c>
      <c r="M1101" s="209"/>
      <c r="N1101" s="209"/>
      <c r="O1101" s="209"/>
      <c r="P1101" s="209"/>
      <c r="Q1101" s="209"/>
      <c r="R1101" s="209"/>
      <c r="S1101" s="209"/>
      <c r="T1101" s="209"/>
      <c r="U1101" s="209"/>
      <c r="V1101" s="209"/>
      <c r="W1101" s="209"/>
      <c r="X1101" s="209"/>
      <c r="Y1101" s="209"/>
      <c r="Z1101" s="209"/>
      <c r="AA1101" s="209"/>
      <c r="AB1101" s="209"/>
      <c r="AC1101" s="209"/>
      <c r="AD1101" s="209"/>
      <c r="AE1101" s="209"/>
      <c r="AF1101" s="209"/>
      <c r="AG1101" s="209"/>
      <c r="AH1101" s="209"/>
      <c r="AI1101" s="209"/>
      <c r="AJ1101" s="209"/>
      <c r="AK1101" s="209"/>
    </row>
    <row r="1102">
      <c r="A1102" s="291"/>
      <c r="B1102" s="408" t="s">
        <v>3693</v>
      </c>
      <c r="C1102" s="409" t="s">
        <v>3694</v>
      </c>
      <c r="D1102" s="304" t="s">
        <v>3695</v>
      </c>
      <c r="E1102" s="374" t="s">
        <v>3696</v>
      </c>
      <c r="F1102" s="295"/>
      <c r="G1102" s="295"/>
      <c r="H1102" s="295"/>
      <c r="I1102" s="209"/>
      <c r="J1102" s="296" t="b">
        <v>1</v>
      </c>
      <c r="K1102" s="297" t="b">
        <v>0</v>
      </c>
      <c r="L1102" s="209"/>
      <c r="M1102" s="209"/>
      <c r="N1102" s="209"/>
      <c r="O1102" s="209"/>
      <c r="P1102" s="209"/>
      <c r="Q1102" s="209"/>
      <c r="R1102" s="209"/>
      <c r="S1102" s="209"/>
      <c r="T1102" s="209"/>
      <c r="U1102" s="209"/>
      <c r="V1102" s="209"/>
      <c r="W1102" s="209"/>
      <c r="X1102" s="209"/>
      <c r="Y1102" s="209"/>
      <c r="Z1102" s="209"/>
      <c r="AA1102" s="209"/>
      <c r="AB1102" s="209"/>
      <c r="AC1102" s="209"/>
      <c r="AD1102" s="209"/>
      <c r="AE1102" s="209"/>
      <c r="AF1102" s="209"/>
      <c r="AG1102" s="209"/>
      <c r="AH1102" s="209"/>
      <c r="AI1102" s="209"/>
      <c r="AJ1102" s="209"/>
      <c r="AK1102" s="209"/>
    </row>
    <row r="1103">
      <c r="A1103" s="291"/>
      <c r="B1103" s="376" t="s">
        <v>3697</v>
      </c>
      <c r="C1103" s="377" t="s">
        <v>3694</v>
      </c>
      <c r="D1103" s="304" t="s">
        <v>3698</v>
      </c>
      <c r="E1103" s="375" t="s">
        <v>3699</v>
      </c>
      <c r="F1103" s="209"/>
      <c r="G1103" s="209"/>
      <c r="H1103" s="209"/>
      <c r="I1103" s="209"/>
      <c r="J1103" s="300" t="b">
        <v>1</v>
      </c>
      <c r="K1103" s="301" t="b">
        <v>0</v>
      </c>
      <c r="L1103" s="209"/>
      <c r="M1103" s="209"/>
      <c r="N1103" s="209"/>
      <c r="O1103" s="209"/>
      <c r="P1103" s="209"/>
      <c r="Q1103" s="209"/>
      <c r="R1103" s="209"/>
      <c r="S1103" s="209"/>
      <c r="T1103" s="209"/>
      <c r="U1103" s="209"/>
      <c r="V1103" s="209"/>
      <c r="W1103" s="209"/>
      <c r="X1103" s="209"/>
      <c r="Y1103" s="209"/>
      <c r="Z1103" s="209"/>
      <c r="AA1103" s="209"/>
      <c r="AB1103" s="209"/>
      <c r="AC1103" s="209"/>
      <c r="AD1103" s="209"/>
      <c r="AE1103" s="209"/>
      <c r="AF1103" s="209"/>
      <c r="AG1103" s="209"/>
      <c r="AH1103" s="209"/>
      <c r="AI1103" s="209"/>
      <c r="AJ1103" s="209"/>
      <c r="AK1103" s="209"/>
    </row>
    <row r="1104">
      <c r="A1104" s="291"/>
      <c r="B1104" s="376" t="s">
        <v>3700</v>
      </c>
      <c r="C1104" s="377" t="s">
        <v>3701</v>
      </c>
      <c r="D1104" s="304" t="s">
        <v>3702</v>
      </c>
      <c r="E1104" s="375" t="s">
        <v>3703</v>
      </c>
      <c r="F1104" s="209"/>
      <c r="G1104" s="209"/>
      <c r="H1104" s="209"/>
      <c r="I1104" s="209"/>
      <c r="J1104" s="300" t="b">
        <v>1</v>
      </c>
      <c r="K1104" s="301" t="b">
        <v>0</v>
      </c>
      <c r="L1104" s="209"/>
      <c r="M1104" s="209"/>
      <c r="N1104" s="209"/>
      <c r="O1104" s="209"/>
      <c r="P1104" s="209"/>
      <c r="Q1104" s="209"/>
      <c r="R1104" s="209"/>
      <c r="S1104" s="209"/>
      <c r="T1104" s="209"/>
      <c r="U1104" s="209"/>
      <c r="V1104" s="209"/>
      <c r="W1104" s="209"/>
      <c r="X1104" s="209"/>
      <c r="Y1104" s="209"/>
      <c r="Z1104" s="209"/>
      <c r="AA1104" s="209"/>
      <c r="AB1104" s="209"/>
      <c r="AC1104" s="209"/>
      <c r="AD1104" s="209"/>
      <c r="AE1104" s="209"/>
      <c r="AF1104" s="209"/>
      <c r="AG1104" s="209"/>
      <c r="AH1104" s="209"/>
      <c r="AI1104" s="209"/>
      <c r="AJ1104" s="209"/>
      <c r="AK1104" s="209"/>
    </row>
    <row r="1105">
      <c r="A1105" s="291"/>
      <c r="B1105" s="376" t="s">
        <v>3704</v>
      </c>
      <c r="C1105" s="377" t="s">
        <v>3705</v>
      </c>
      <c r="D1105" s="304" t="s">
        <v>3706</v>
      </c>
      <c r="E1105" s="375" t="s">
        <v>3707</v>
      </c>
      <c r="F1105" s="209"/>
      <c r="G1105" s="209"/>
      <c r="H1105" s="209"/>
      <c r="I1105" s="209"/>
      <c r="J1105" s="300" t="b">
        <v>1</v>
      </c>
      <c r="K1105" s="301" t="b">
        <v>0</v>
      </c>
      <c r="L1105" s="209"/>
      <c r="M1105" s="209"/>
      <c r="N1105" s="209"/>
      <c r="O1105" s="209"/>
      <c r="P1105" s="209"/>
      <c r="Q1105" s="209"/>
      <c r="R1105" s="209"/>
      <c r="S1105" s="209"/>
      <c r="T1105" s="209"/>
      <c r="U1105" s="209"/>
      <c r="V1105" s="209"/>
      <c r="W1105" s="209"/>
      <c r="X1105" s="209"/>
      <c r="Y1105" s="209"/>
      <c r="Z1105" s="209"/>
      <c r="AA1105" s="209"/>
      <c r="AB1105" s="209"/>
      <c r="AC1105" s="209"/>
      <c r="AD1105" s="209"/>
      <c r="AE1105" s="209"/>
      <c r="AF1105" s="209"/>
      <c r="AG1105" s="209"/>
      <c r="AH1105" s="209"/>
      <c r="AI1105" s="209"/>
      <c r="AJ1105" s="209"/>
      <c r="AK1105" s="209"/>
    </row>
    <row r="1106">
      <c r="A1106" s="291"/>
      <c r="B1106" s="376" t="s">
        <v>3708</v>
      </c>
      <c r="C1106" s="377" t="s">
        <v>3705</v>
      </c>
      <c r="D1106" s="304" t="s">
        <v>3709</v>
      </c>
      <c r="E1106" s="375" t="s">
        <v>3710</v>
      </c>
      <c r="F1106" s="209"/>
      <c r="G1106" s="209"/>
      <c r="H1106" s="209"/>
      <c r="I1106" s="209"/>
      <c r="J1106" s="300" t="b">
        <v>1</v>
      </c>
      <c r="K1106" s="301" t="b">
        <v>0</v>
      </c>
      <c r="L1106" s="209"/>
      <c r="M1106" s="209"/>
      <c r="N1106" s="209"/>
      <c r="O1106" s="209"/>
      <c r="P1106" s="209"/>
      <c r="Q1106" s="209"/>
      <c r="R1106" s="209"/>
      <c r="S1106" s="209"/>
      <c r="T1106" s="209"/>
      <c r="U1106" s="209"/>
      <c r="V1106" s="209"/>
      <c r="W1106" s="209"/>
      <c r="X1106" s="209"/>
      <c r="Y1106" s="209"/>
      <c r="Z1106" s="209"/>
      <c r="AA1106" s="209"/>
      <c r="AB1106" s="209"/>
      <c r="AC1106" s="209"/>
      <c r="AD1106" s="209"/>
      <c r="AE1106" s="209"/>
      <c r="AF1106" s="209"/>
      <c r="AG1106" s="209"/>
      <c r="AH1106" s="209"/>
      <c r="AI1106" s="209"/>
      <c r="AJ1106" s="209"/>
      <c r="AK1106" s="209"/>
    </row>
    <row r="1107">
      <c r="A1107" s="291"/>
      <c r="B1107" s="376" t="s">
        <v>3711</v>
      </c>
      <c r="C1107" s="377" t="s">
        <v>3712</v>
      </c>
      <c r="D1107" s="304" t="s">
        <v>3713</v>
      </c>
      <c r="E1107" s="375" t="s">
        <v>3714</v>
      </c>
      <c r="F1107" s="209"/>
      <c r="G1107" s="209"/>
      <c r="H1107" s="209"/>
      <c r="I1107" s="209"/>
      <c r="J1107" s="300" t="b">
        <v>1</v>
      </c>
      <c r="K1107" s="301" t="b">
        <v>0</v>
      </c>
      <c r="L1107" s="209"/>
      <c r="M1107" s="209"/>
      <c r="N1107" s="209"/>
      <c r="O1107" s="209"/>
      <c r="P1107" s="209"/>
      <c r="Q1107" s="209"/>
      <c r="R1107" s="209"/>
      <c r="S1107" s="209"/>
      <c r="T1107" s="209"/>
      <c r="U1107" s="209"/>
      <c r="V1107" s="209"/>
      <c r="W1107" s="209"/>
      <c r="X1107" s="209"/>
      <c r="Y1107" s="209"/>
      <c r="Z1107" s="209"/>
      <c r="AA1107" s="209"/>
      <c r="AB1107" s="209"/>
      <c r="AC1107" s="209"/>
      <c r="AD1107" s="209"/>
      <c r="AE1107" s="209"/>
      <c r="AF1107" s="209"/>
      <c r="AG1107" s="209"/>
      <c r="AH1107" s="209"/>
      <c r="AI1107" s="209"/>
      <c r="AJ1107" s="209"/>
      <c r="AK1107" s="209"/>
    </row>
    <row r="1108">
      <c r="A1108" s="291"/>
      <c r="B1108" s="376" t="s">
        <v>3715</v>
      </c>
      <c r="C1108" s="377" t="s">
        <v>3716</v>
      </c>
      <c r="D1108" s="304" t="s">
        <v>3717</v>
      </c>
      <c r="E1108" s="375" t="s">
        <v>3718</v>
      </c>
      <c r="F1108" s="304" t="s">
        <v>732</v>
      </c>
      <c r="G1108" s="209"/>
      <c r="H1108" s="209"/>
      <c r="I1108" s="304" t="s">
        <v>733</v>
      </c>
      <c r="J1108" s="300" t="b">
        <v>1</v>
      </c>
      <c r="K1108" s="301" t="b">
        <v>0</v>
      </c>
      <c r="L1108" s="209"/>
      <c r="M1108" s="209"/>
      <c r="N1108" s="209"/>
      <c r="O1108" s="209"/>
      <c r="P1108" s="209"/>
      <c r="Q1108" s="209"/>
      <c r="R1108" s="209"/>
      <c r="S1108" s="209"/>
      <c r="T1108" s="209"/>
      <c r="U1108" s="209"/>
      <c r="V1108" s="209"/>
      <c r="W1108" s="209"/>
      <c r="X1108" s="209"/>
      <c r="Y1108" s="209"/>
      <c r="Z1108" s="209"/>
      <c r="AA1108" s="209"/>
      <c r="AB1108" s="209"/>
      <c r="AC1108" s="209"/>
      <c r="AD1108" s="209"/>
      <c r="AE1108" s="209"/>
      <c r="AF1108" s="209"/>
      <c r="AG1108" s="209"/>
      <c r="AH1108" s="209"/>
      <c r="AI1108" s="209"/>
      <c r="AJ1108" s="209"/>
      <c r="AK1108" s="209"/>
    </row>
    <row r="1109">
      <c r="A1109" s="291"/>
      <c r="B1109" s="303" t="s">
        <v>3719</v>
      </c>
      <c r="C1109" s="304" t="s">
        <v>3716</v>
      </c>
      <c r="D1109" s="304" t="s">
        <v>3720</v>
      </c>
      <c r="E1109" s="375" t="s">
        <v>3721</v>
      </c>
      <c r="F1109" s="304" t="s">
        <v>732</v>
      </c>
      <c r="G1109" s="209"/>
      <c r="H1109" s="209"/>
      <c r="I1109" s="304" t="s">
        <v>733</v>
      </c>
      <c r="J1109" s="300" t="b">
        <v>1</v>
      </c>
      <c r="K1109" s="301" t="b">
        <v>0</v>
      </c>
      <c r="L1109" s="209"/>
      <c r="M1109" s="209"/>
      <c r="N1109" s="209"/>
      <c r="O1109" s="209"/>
      <c r="P1109" s="209"/>
      <c r="Q1109" s="209"/>
      <c r="R1109" s="209"/>
      <c r="S1109" s="209"/>
      <c r="T1109" s="209"/>
      <c r="U1109" s="209"/>
      <c r="V1109" s="209"/>
      <c r="W1109" s="209"/>
      <c r="X1109" s="209"/>
      <c r="Y1109" s="209"/>
      <c r="Z1109" s="209"/>
      <c r="AA1109" s="209"/>
      <c r="AB1109" s="209"/>
      <c r="AC1109" s="209"/>
      <c r="AD1109" s="209"/>
      <c r="AE1109" s="209"/>
      <c r="AF1109" s="209"/>
      <c r="AG1109" s="209"/>
      <c r="AH1109" s="209"/>
      <c r="AI1109" s="209"/>
      <c r="AJ1109" s="209"/>
      <c r="AK1109" s="209"/>
    </row>
    <row r="1110">
      <c r="A1110" s="291"/>
      <c r="B1110" s="376" t="s">
        <v>3722</v>
      </c>
      <c r="C1110" s="377" t="s">
        <v>3723</v>
      </c>
      <c r="D1110" s="304" t="s">
        <v>3724</v>
      </c>
      <c r="E1110" s="375" t="s">
        <v>3725</v>
      </c>
      <c r="F1110" s="304" t="s">
        <v>750</v>
      </c>
      <c r="G1110" s="209"/>
      <c r="H1110" s="209"/>
      <c r="I1110" s="209"/>
      <c r="J1110" s="300" t="b">
        <v>1</v>
      </c>
      <c r="K1110" s="301" t="b">
        <v>0</v>
      </c>
      <c r="L1110" s="209"/>
      <c r="M1110" s="209"/>
      <c r="N1110" s="209"/>
      <c r="O1110" s="209"/>
      <c r="P1110" s="209"/>
      <c r="Q1110" s="209"/>
      <c r="R1110" s="209"/>
      <c r="S1110" s="209"/>
      <c r="T1110" s="209"/>
      <c r="U1110" s="209"/>
      <c r="V1110" s="209"/>
      <c r="W1110" s="209"/>
      <c r="X1110" s="209"/>
      <c r="Y1110" s="209"/>
      <c r="Z1110" s="209"/>
      <c r="AA1110" s="209"/>
      <c r="AB1110" s="209"/>
      <c r="AC1110" s="209"/>
      <c r="AD1110" s="209"/>
      <c r="AE1110" s="209"/>
      <c r="AF1110" s="209"/>
      <c r="AG1110" s="209"/>
      <c r="AH1110" s="209"/>
      <c r="AI1110" s="209"/>
      <c r="AJ1110" s="209"/>
      <c r="AK1110" s="209"/>
    </row>
    <row r="1111">
      <c r="A1111" s="291"/>
      <c r="B1111" s="376" t="s">
        <v>3726</v>
      </c>
      <c r="C1111" s="377" t="s">
        <v>3476</v>
      </c>
      <c r="D1111" s="304" t="s">
        <v>3727</v>
      </c>
      <c r="E1111" s="375" t="s">
        <v>3728</v>
      </c>
      <c r="F1111" s="304" t="s">
        <v>750</v>
      </c>
      <c r="G1111" s="209"/>
      <c r="H1111" s="209"/>
      <c r="I1111" s="209"/>
      <c r="J1111" s="300" t="b">
        <v>1</v>
      </c>
      <c r="K1111" s="301" t="b">
        <v>0</v>
      </c>
      <c r="L1111" s="209"/>
      <c r="M1111" s="209"/>
      <c r="N1111" s="209"/>
      <c r="O1111" s="209"/>
      <c r="P1111" s="209"/>
      <c r="Q1111" s="209"/>
      <c r="R1111" s="209"/>
      <c r="S1111" s="209"/>
      <c r="T1111" s="209"/>
      <c r="U1111" s="209"/>
      <c r="V1111" s="209"/>
      <c r="W1111" s="209"/>
      <c r="X1111" s="209"/>
      <c r="Y1111" s="209"/>
      <c r="Z1111" s="209"/>
      <c r="AA1111" s="209"/>
      <c r="AB1111" s="209"/>
      <c r="AC1111" s="209"/>
      <c r="AD1111" s="209"/>
      <c r="AE1111" s="209"/>
      <c r="AF1111" s="209"/>
      <c r="AG1111" s="209"/>
      <c r="AH1111" s="209"/>
      <c r="AI1111" s="209"/>
      <c r="AJ1111" s="209"/>
      <c r="AK1111" s="209"/>
    </row>
    <row r="1112">
      <c r="A1112" s="291"/>
      <c r="B1112" s="376" t="s">
        <v>3729</v>
      </c>
      <c r="C1112" s="377" t="s">
        <v>3476</v>
      </c>
      <c r="D1112" s="304" t="s">
        <v>3730</v>
      </c>
      <c r="E1112" s="375" t="s">
        <v>3731</v>
      </c>
      <c r="F1112" s="304" t="s">
        <v>732</v>
      </c>
      <c r="G1112" s="209"/>
      <c r="H1112" s="209"/>
      <c r="I1112" s="304" t="s">
        <v>733</v>
      </c>
      <c r="J1112" s="300" t="b">
        <v>1</v>
      </c>
      <c r="K1112" s="301" t="b">
        <v>0</v>
      </c>
      <c r="L1112" s="209"/>
      <c r="M1112" s="209"/>
      <c r="N1112" s="209"/>
      <c r="O1112" s="209"/>
      <c r="P1112" s="209"/>
      <c r="Q1112" s="209"/>
      <c r="R1112" s="209"/>
      <c r="S1112" s="209"/>
      <c r="T1112" s="209"/>
      <c r="U1112" s="209"/>
      <c r="V1112" s="209"/>
      <c r="W1112" s="209"/>
      <c r="X1112" s="209"/>
      <c r="Y1112" s="209"/>
      <c r="Z1112" s="209"/>
      <c r="AA1112" s="209"/>
      <c r="AB1112" s="209"/>
      <c r="AC1112" s="209"/>
      <c r="AD1112" s="209"/>
      <c r="AE1112" s="209"/>
      <c r="AF1112" s="209"/>
      <c r="AG1112" s="209"/>
      <c r="AH1112" s="209"/>
      <c r="AI1112" s="209"/>
      <c r="AJ1112" s="209"/>
      <c r="AK1112" s="209"/>
    </row>
    <row r="1113">
      <c r="A1113" s="309"/>
      <c r="B1113" s="378" t="s">
        <v>3732</v>
      </c>
      <c r="C1113" s="379" t="s">
        <v>3476</v>
      </c>
      <c r="D1113" s="311" t="s">
        <v>3733</v>
      </c>
      <c r="E1113" s="380" t="s">
        <v>3734</v>
      </c>
      <c r="F1113" s="380" t="s">
        <v>732</v>
      </c>
      <c r="G1113" s="313"/>
      <c r="H1113" s="313"/>
      <c r="I1113" s="311" t="s">
        <v>733</v>
      </c>
      <c r="J1113" s="318" t="b">
        <v>1</v>
      </c>
      <c r="K1113" s="381" t="b">
        <v>0</v>
      </c>
      <c r="L1113" s="209"/>
      <c r="M1113" s="209"/>
      <c r="N1113" s="209"/>
      <c r="O1113" s="209"/>
      <c r="P1113" s="209"/>
      <c r="Q1113" s="209"/>
      <c r="R1113" s="209"/>
      <c r="S1113" s="209"/>
      <c r="T1113" s="209"/>
      <c r="U1113" s="209"/>
      <c r="V1113" s="209"/>
      <c r="W1113" s="209"/>
      <c r="X1113" s="209"/>
      <c r="Y1113" s="209"/>
      <c r="Z1113" s="209"/>
      <c r="AA1113" s="209"/>
      <c r="AB1113" s="209"/>
      <c r="AC1113" s="209"/>
      <c r="AD1113" s="209"/>
      <c r="AE1113" s="209"/>
      <c r="AF1113" s="209"/>
      <c r="AG1113" s="209"/>
      <c r="AH1113" s="209"/>
      <c r="AI1113" s="209"/>
      <c r="AJ1113" s="209"/>
      <c r="AK1113" s="209"/>
    </row>
    <row r="1114">
      <c r="A1114" s="209"/>
      <c r="B1114" s="209"/>
      <c r="C1114" s="209"/>
      <c r="D1114" s="209"/>
      <c r="E1114" s="209"/>
      <c r="F1114" s="344"/>
      <c r="G1114" s="344"/>
      <c r="H1114" s="344"/>
      <c r="I1114" s="209"/>
      <c r="J1114" s="209"/>
      <c r="K1114" s="209"/>
      <c r="L1114" s="209"/>
      <c r="M1114" s="209"/>
      <c r="N1114" s="209"/>
      <c r="O1114" s="209"/>
      <c r="P1114" s="209"/>
      <c r="Q1114" s="209"/>
      <c r="R1114" s="209"/>
      <c r="S1114" s="209"/>
      <c r="T1114" s="209"/>
      <c r="U1114" s="209"/>
      <c r="V1114" s="209"/>
      <c r="W1114" s="209"/>
      <c r="X1114" s="209"/>
      <c r="Y1114" s="209"/>
      <c r="Z1114" s="209"/>
      <c r="AA1114" s="209"/>
      <c r="AB1114" s="209"/>
      <c r="AC1114" s="209"/>
      <c r="AD1114" s="209"/>
      <c r="AE1114" s="209"/>
      <c r="AF1114" s="209"/>
      <c r="AG1114" s="209"/>
      <c r="AH1114" s="209"/>
      <c r="AI1114" s="209"/>
      <c r="AJ1114" s="209"/>
      <c r="AK1114" s="209"/>
    </row>
    <row r="1115">
      <c r="A1115" s="316" t="s">
        <v>3735</v>
      </c>
      <c r="B1115" s="319" t="s">
        <v>3736</v>
      </c>
      <c r="C1115" s="320"/>
      <c r="D1115" s="388" t="s">
        <v>3737</v>
      </c>
      <c r="E1115" s="322" t="s">
        <v>3738</v>
      </c>
      <c r="F1115" s="320"/>
      <c r="G1115" s="320"/>
      <c r="H1115" s="276" t="s">
        <v>1844</v>
      </c>
      <c r="I1115" s="285" t="s">
        <v>3739</v>
      </c>
      <c r="J1115" s="278" t="str">
        <f>IF(COUNTIF(J1116:J1133, TRUE) = COUNTA(J1116:J1133), "Complete!", IF(COUNTIF(J1116:J1133, TRUE) &gt; 0, "Partial", "Not Started"))</f>
        <v>Complete!</v>
      </c>
      <c r="K1115" s="279"/>
      <c r="L1115" s="280">
        <v>18.0</v>
      </c>
      <c r="M1115" s="209"/>
      <c r="N1115" s="209"/>
      <c r="O1115" s="209"/>
      <c r="P1115" s="209"/>
      <c r="Q1115" s="209"/>
      <c r="R1115" s="209"/>
      <c r="S1115" s="209"/>
      <c r="T1115" s="209"/>
      <c r="U1115" s="209"/>
      <c r="V1115" s="209"/>
      <c r="W1115" s="209"/>
      <c r="X1115" s="209"/>
      <c r="Y1115" s="209"/>
      <c r="Z1115" s="209"/>
      <c r="AA1115" s="209"/>
      <c r="AB1115" s="209"/>
      <c r="AC1115" s="209"/>
      <c r="AD1115" s="209"/>
      <c r="AE1115" s="209"/>
      <c r="AF1115" s="209"/>
      <c r="AG1115" s="209"/>
      <c r="AH1115" s="209"/>
      <c r="AI1115" s="209"/>
      <c r="AJ1115" s="209"/>
      <c r="AK1115" s="209"/>
    </row>
    <row r="1116">
      <c r="A1116" s="291"/>
      <c r="B1116" s="303" t="s">
        <v>3740</v>
      </c>
      <c r="C1116" s="304" t="s">
        <v>3712</v>
      </c>
      <c r="D1116" s="304" t="s">
        <v>3741</v>
      </c>
      <c r="E1116" s="375" t="s">
        <v>3742</v>
      </c>
      <c r="F1116" s="209"/>
      <c r="G1116" s="209"/>
      <c r="H1116" s="209"/>
      <c r="I1116" s="209"/>
      <c r="J1116" s="300" t="b">
        <v>1</v>
      </c>
      <c r="K1116" s="301" t="b">
        <v>0</v>
      </c>
      <c r="L1116" s="209"/>
      <c r="M1116" s="209"/>
      <c r="N1116" s="209"/>
      <c r="O1116" s="209"/>
      <c r="P1116" s="209"/>
      <c r="Q1116" s="209"/>
      <c r="R1116" s="209"/>
      <c r="S1116" s="209"/>
      <c r="T1116" s="209"/>
      <c r="U1116" s="209"/>
      <c r="V1116" s="209"/>
      <c r="W1116" s="209"/>
      <c r="X1116" s="209"/>
      <c r="Y1116" s="209"/>
      <c r="Z1116" s="209"/>
      <c r="AA1116" s="209"/>
      <c r="AB1116" s="209"/>
      <c r="AC1116" s="209"/>
      <c r="AD1116" s="209"/>
      <c r="AE1116" s="209"/>
      <c r="AF1116" s="209"/>
      <c r="AG1116" s="209"/>
      <c r="AH1116" s="209"/>
      <c r="AI1116" s="209"/>
      <c r="AJ1116" s="209"/>
      <c r="AK1116" s="209"/>
    </row>
    <row r="1117">
      <c r="A1117" s="291"/>
      <c r="B1117" s="354" t="s">
        <v>3743</v>
      </c>
      <c r="C1117" s="304" t="s">
        <v>3712</v>
      </c>
      <c r="D1117" s="304" t="s">
        <v>3744</v>
      </c>
      <c r="E1117" s="375" t="s">
        <v>3745</v>
      </c>
      <c r="F1117" s="209"/>
      <c r="G1117" s="209"/>
      <c r="H1117" s="209"/>
      <c r="I1117" s="209"/>
      <c r="J1117" s="300" t="b">
        <v>1</v>
      </c>
      <c r="K1117" s="301" t="b">
        <v>0</v>
      </c>
      <c r="L1117" s="209"/>
      <c r="M1117" s="209"/>
      <c r="N1117" s="209"/>
      <c r="O1117" s="209"/>
      <c r="P1117" s="209"/>
      <c r="Q1117" s="209"/>
      <c r="R1117" s="209"/>
      <c r="S1117" s="209"/>
      <c r="T1117" s="209"/>
      <c r="U1117" s="209"/>
      <c r="V1117" s="209"/>
      <c r="W1117" s="209"/>
      <c r="X1117" s="209"/>
      <c r="Y1117" s="209"/>
      <c r="Z1117" s="209"/>
      <c r="AA1117" s="209"/>
      <c r="AB1117" s="209"/>
      <c r="AC1117" s="209"/>
      <c r="AD1117" s="209"/>
      <c r="AE1117" s="209"/>
      <c r="AF1117" s="209"/>
      <c r="AG1117" s="209"/>
      <c r="AH1117" s="209"/>
      <c r="AI1117" s="209"/>
      <c r="AJ1117" s="209"/>
      <c r="AK1117" s="209"/>
    </row>
    <row r="1118">
      <c r="A1118" s="291"/>
      <c r="B1118" s="303" t="s">
        <v>3746</v>
      </c>
      <c r="C1118" s="304" t="s">
        <v>3712</v>
      </c>
      <c r="D1118" s="304" t="s">
        <v>3747</v>
      </c>
      <c r="E1118" s="375" t="s">
        <v>3748</v>
      </c>
      <c r="F1118" s="304" t="s">
        <v>732</v>
      </c>
      <c r="G1118" s="209"/>
      <c r="H1118" s="209"/>
      <c r="I1118" s="304" t="s">
        <v>733</v>
      </c>
      <c r="J1118" s="300" t="b">
        <v>1</v>
      </c>
      <c r="K1118" s="301" t="b">
        <v>0</v>
      </c>
      <c r="L1118" s="209"/>
      <c r="M1118" s="209"/>
      <c r="N1118" s="209"/>
      <c r="O1118" s="209"/>
      <c r="P1118" s="209"/>
      <c r="Q1118" s="209"/>
      <c r="R1118" s="209"/>
      <c r="S1118" s="209"/>
      <c r="T1118" s="209"/>
      <c r="U1118" s="209"/>
      <c r="V1118" s="209"/>
      <c r="W1118" s="209"/>
      <c r="X1118" s="209"/>
      <c r="Y1118" s="209"/>
      <c r="Z1118" s="209"/>
      <c r="AA1118" s="209"/>
      <c r="AB1118" s="209"/>
      <c r="AC1118" s="209"/>
      <c r="AD1118" s="209"/>
      <c r="AE1118" s="209"/>
      <c r="AF1118" s="209"/>
      <c r="AG1118" s="209"/>
      <c r="AH1118" s="209"/>
      <c r="AI1118" s="209"/>
      <c r="AJ1118" s="209"/>
      <c r="AK1118" s="209"/>
    </row>
    <row r="1119">
      <c r="A1119" s="291"/>
      <c r="B1119" s="303" t="s">
        <v>3749</v>
      </c>
      <c r="C1119" s="304" t="s">
        <v>3712</v>
      </c>
      <c r="D1119" s="304" t="s">
        <v>3750</v>
      </c>
      <c r="E1119" s="375" t="s">
        <v>3751</v>
      </c>
      <c r="F1119" s="209"/>
      <c r="G1119" s="209"/>
      <c r="H1119" s="209"/>
      <c r="I1119" s="209"/>
      <c r="J1119" s="300" t="b">
        <v>1</v>
      </c>
      <c r="K1119" s="301" t="b">
        <v>0</v>
      </c>
      <c r="L1119" s="209"/>
      <c r="M1119" s="209"/>
      <c r="N1119" s="209"/>
      <c r="O1119" s="209"/>
      <c r="P1119" s="209"/>
      <c r="Q1119" s="209"/>
      <c r="R1119" s="209"/>
      <c r="S1119" s="209"/>
      <c r="T1119" s="209"/>
      <c r="U1119" s="209"/>
      <c r="V1119" s="209"/>
      <c r="W1119" s="209"/>
      <c r="X1119" s="209"/>
      <c r="Y1119" s="209"/>
      <c r="Z1119" s="209"/>
      <c r="AA1119" s="209"/>
      <c r="AB1119" s="209"/>
      <c r="AC1119" s="209"/>
      <c r="AD1119" s="209"/>
      <c r="AE1119" s="209"/>
      <c r="AF1119" s="209"/>
      <c r="AG1119" s="209"/>
      <c r="AH1119" s="209"/>
      <c r="AI1119" s="209"/>
      <c r="AJ1119" s="209"/>
      <c r="AK1119" s="209"/>
    </row>
    <row r="1120">
      <c r="A1120" s="291"/>
      <c r="B1120" s="303" t="s">
        <v>3752</v>
      </c>
      <c r="C1120" s="304" t="s">
        <v>3712</v>
      </c>
      <c r="D1120" s="304" t="s">
        <v>3753</v>
      </c>
      <c r="E1120" s="375" t="s">
        <v>3754</v>
      </c>
      <c r="F1120" s="304" t="s">
        <v>750</v>
      </c>
      <c r="G1120" s="209"/>
      <c r="H1120" s="209"/>
      <c r="I1120" s="209"/>
      <c r="J1120" s="300" t="b">
        <v>1</v>
      </c>
      <c r="K1120" s="301" t="b">
        <v>0</v>
      </c>
      <c r="L1120" s="209"/>
      <c r="M1120" s="209"/>
      <c r="N1120" s="209"/>
      <c r="O1120" s="209"/>
      <c r="P1120" s="209"/>
      <c r="Q1120" s="209"/>
      <c r="R1120" s="209"/>
      <c r="S1120" s="209"/>
      <c r="T1120" s="209"/>
      <c r="U1120" s="209"/>
      <c r="V1120" s="209"/>
      <c r="W1120" s="209"/>
      <c r="X1120" s="209"/>
      <c r="Y1120" s="209"/>
      <c r="Z1120" s="209"/>
      <c r="AA1120" s="209"/>
      <c r="AB1120" s="209"/>
      <c r="AC1120" s="209"/>
      <c r="AD1120" s="209"/>
      <c r="AE1120" s="209"/>
      <c r="AF1120" s="209"/>
      <c r="AG1120" s="209"/>
      <c r="AH1120" s="209"/>
      <c r="AI1120" s="209"/>
      <c r="AJ1120" s="209"/>
      <c r="AK1120" s="209"/>
    </row>
    <row r="1121">
      <c r="A1121" s="291"/>
      <c r="B1121" s="303" t="s">
        <v>3755</v>
      </c>
      <c r="C1121" s="304" t="s">
        <v>3712</v>
      </c>
      <c r="D1121" s="304" t="s">
        <v>3756</v>
      </c>
      <c r="E1121" s="375" t="s">
        <v>3757</v>
      </c>
      <c r="F1121" s="209"/>
      <c r="G1121" s="209"/>
      <c r="H1121" s="209"/>
      <c r="I1121" s="209"/>
      <c r="J1121" s="300" t="b">
        <v>1</v>
      </c>
      <c r="K1121" s="301" t="b">
        <v>0</v>
      </c>
      <c r="L1121" s="209"/>
      <c r="M1121" s="209"/>
      <c r="N1121" s="209"/>
      <c r="O1121" s="209"/>
      <c r="P1121" s="209"/>
      <c r="Q1121" s="209"/>
      <c r="R1121" s="209"/>
      <c r="S1121" s="209"/>
      <c r="T1121" s="209"/>
      <c r="U1121" s="209"/>
      <c r="V1121" s="209"/>
      <c r="W1121" s="209"/>
      <c r="X1121" s="209"/>
      <c r="Y1121" s="209"/>
      <c r="Z1121" s="209"/>
      <c r="AA1121" s="209"/>
      <c r="AB1121" s="209"/>
      <c r="AC1121" s="209"/>
      <c r="AD1121" s="209"/>
      <c r="AE1121" s="209"/>
      <c r="AF1121" s="209"/>
      <c r="AG1121" s="209"/>
      <c r="AH1121" s="209"/>
      <c r="AI1121" s="209"/>
      <c r="AJ1121" s="209"/>
      <c r="AK1121" s="209"/>
    </row>
    <row r="1122">
      <c r="A1122" s="291"/>
      <c r="B1122" s="303" t="s">
        <v>3758</v>
      </c>
      <c r="C1122" s="304" t="s">
        <v>3712</v>
      </c>
      <c r="D1122" s="304" t="s">
        <v>3759</v>
      </c>
      <c r="E1122" s="375" t="s">
        <v>3760</v>
      </c>
      <c r="F1122" s="209"/>
      <c r="G1122" s="209"/>
      <c r="H1122" s="209"/>
      <c r="I1122" s="209"/>
      <c r="J1122" s="300" t="b">
        <v>1</v>
      </c>
      <c r="K1122" s="301" t="b">
        <v>0</v>
      </c>
      <c r="L1122" s="209"/>
      <c r="M1122" s="209"/>
      <c r="N1122" s="209"/>
      <c r="O1122" s="209"/>
      <c r="P1122" s="209"/>
      <c r="Q1122" s="209"/>
      <c r="R1122" s="209"/>
      <c r="S1122" s="209"/>
      <c r="T1122" s="209"/>
      <c r="U1122" s="209"/>
      <c r="V1122" s="209"/>
      <c r="W1122" s="209"/>
      <c r="X1122" s="209"/>
      <c r="Y1122" s="209"/>
      <c r="Z1122" s="209"/>
      <c r="AA1122" s="209"/>
      <c r="AB1122" s="209"/>
      <c r="AC1122" s="209"/>
      <c r="AD1122" s="209"/>
      <c r="AE1122" s="209"/>
      <c r="AF1122" s="209"/>
      <c r="AG1122" s="209"/>
      <c r="AH1122" s="209"/>
      <c r="AI1122" s="209"/>
      <c r="AJ1122" s="209"/>
      <c r="AK1122" s="209"/>
    </row>
    <row r="1123">
      <c r="A1123" s="291"/>
      <c r="B1123" s="303" t="s">
        <v>3761</v>
      </c>
      <c r="C1123" s="304" t="s">
        <v>3712</v>
      </c>
      <c r="D1123" s="304" t="s">
        <v>3762</v>
      </c>
      <c r="E1123" s="375" t="s">
        <v>3763</v>
      </c>
      <c r="F1123" s="304" t="s">
        <v>732</v>
      </c>
      <c r="G1123" s="209"/>
      <c r="H1123" s="209"/>
      <c r="I1123" s="304" t="s">
        <v>733</v>
      </c>
      <c r="J1123" s="300" t="b">
        <v>1</v>
      </c>
      <c r="K1123" s="301" t="b">
        <v>0</v>
      </c>
      <c r="L1123" s="209"/>
      <c r="M1123" s="209"/>
      <c r="N1123" s="209"/>
      <c r="O1123" s="209"/>
      <c r="P1123" s="209"/>
      <c r="Q1123" s="209"/>
      <c r="R1123" s="209"/>
      <c r="S1123" s="209"/>
      <c r="T1123" s="209"/>
      <c r="U1123" s="209"/>
      <c r="V1123" s="209"/>
      <c r="W1123" s="209"/>
      <c r="X1123" s="209"/>
      <c r="Y1123" s="209"/>
      <c r="Z1123" s="209"/>
      <c r="AA1123" s="209"/>
      <c r="AB1123" s="209"/>
      <c r="AC1123" s="209"/>
      <c r="AD1123" s="209"/>
      <c r="AE1123" s="209"/>
      <c r="AF1123" s="209"/>
      <c r="AG1123" s="209"/>
      <c r="AH1123" s="209"/>
      <c r="AI1123" s="209"/>
      <c r="AJ1123" s="209"/>
      <c r="AK1123" s="209"/>
    </row>
    <row r="1124">
      <c r="A1124" s="291"/>
      <c r="B1124" s="303" t="s">
        <v>3764</v>
      </c>
      <c r="C1124" s="304" t="s">
        <v>3712</v>
      </c>
      <c r="D1124" s="304" t="s">
        <v>3765</v>
      </c>
      <c r="E1124" s="375" t="s">
        <v>3766</v>
      </c>
      <c r="F1124" s="304" t="s">
        <v>732</v>
      </c>
      <c r="G1124" s="209"/>
      <c r="H1124" s="209"/>
      <c r="I1124" s="304" t="s">
        <v>733</v>
      </c>
      <c r="J1124" s="300" t="b">
        <v>1</v>
      </c>
      <c r="K1124" s="301" t="b">
        <v>0</v>
      </c>
      <c r="L1124" s="209"/>
      <c r="M1124" s="209"/>
      <c r="N1124" s="209"/>
      <c r="O1124" s="209"/>
      <c r="P1124" s="209"/>
      <c r="Q1124" s="209"/>
      <c r="R1124" s="209"/>
      <c r="S1124" s="209"/>
      <c r="T1124" s="209"/>
      <c r="U1124" s="209"/>
      <c r="V1124" s="209"/>
      <c r="W1124" s="209"/>
      <c r="X1124" s="209"/>
      <c r="Y1124" s="209"/>
      <c r="Z1124" s="209"/>
      <c r="AA1124" s="209"/>
      <c r="AB1124" s="209"/>
      <c r="AC1124" s="209"/>
      <c r="AD1124" s="209"/>
      <c r="AE1124" s="209"/>
      <c r="AF1124" s="209"/>
      <c r="AG1124" s="209"/>
      <c r="AH1124" s="209"/>
      <c r="AI1124" s="209"/>
      <c r="AJ1124" s="209"/>
      <c r="AK1124" s="209"/>
    </row>
    <row r="1125">
      <c r="A1125" s="291"/>
      <c r="B1125" s="303" t="s">
        <v>3767</v>
      </c>
      <c r="C1125" s="304" t="s">
        <v>3712</v>
      </c>
      <c r="D1125" s="304" t="s">
        <v>3768</v>
      </c>
      <c r="E1125" s="375" t="s">
        <v>3769</v>
      </c>
      <c r="F1125" s="304" t="s">
        <v>732</v>
      </c>
      <c r="G1125" s="209"/>
      <c r="H1125" s="209"/>
      <c r="I1125" s="304" t="s">
        <v>733</v>
      </c>
      <c r="J1125" s="300" t="b">
        <v>1</v>
      </c>
      <c r="K1125" s="301" t="b">
        <v>0</v>
      </c>
      <c r="L1125" s="209"/>
      <c r="M1125" s="209"/>
      <c r="N1125" s="209"/>
      <c r="O1125" s="209"/>
      <c r="P1125" s="209"/>
      <c r="Q1125" s="209"/>
      <c r="R1125" s="209"/>
      <c r="S1125" s="209"/>
      <c r="T1125" s="209"/>
      <c r="U1125" s="209"/>
      <c r="V1125" s="209"/>
      <c r="W1125" s="209"/>
      <c r="X1125" s="209"/>
      <c r="Y1125" s="209"/>
      <c r="Z1125" s="209"/>
      <c r="AA1125" s="209"/>
      <c r="AB1125" s="209"/>
      <c r="AC1125" s="209"/>
      <c r="AD1125" s="209"/>
      <c r="AE1125" s="209"/>
      <c r="AF1125" s="209"/>
      <c r="AG1125" s="209"/>
      <c r="AH1125" s="209"/>
      <c r="AI1125" s="209"/>
      <c r="AJ1125" s="209"/>
      <c r="AK1125" s="209"/>
    </row>
    <row r="1126">
      <c r="A1126" s="291"/>
      <c r="B1126" s="303" t="s">
        <v>3770</v>
      </c>
      <c r="C1126" s="304" t="s">
        <v>3712</v>
      </c>
      <c r="D1126" s="304" t="s">
        <v>3771</v>
      </c>
      <c r="E1126" s="375" t="s">
        <v>3772</v>
      </c>
      <c r="F1126" s="209"/>
      <c r="G1126" s="209"/>
      <c r="H1126" s="209"/>
      <c r="I1126" s="209"/>
      <c r="J1126" s="300" t="b">
        <v>1</v>
      </c>
      <c r="K1126" s="301" t="b">
        <v>0</v>
      </c>
      <c r="L1126" s="209"/>
      <c r="M1126" s="209"/>
      <c r="N1126" s="209"/>
      <c r="O1126" s="209"/>
      <c r="P1126" s="209"/>
      <c r="Q1126" s="209"/>
      <c r="R1126" s="209"/>
      <c r="S1126" s="209"/>
      <c r="T1126" s="209"/>
      <c r="U1126" s="209"/>
      <c r="V1126" s="209"/>
      <c r="W1126" s="209"/>
      <c r="X1126" s="209"/>
      <c r="Y1126" s="209"/>
      <c r="Z1126" s="209"/>
      <c r="AA1126" s="209"/>
      <c r="AB1126" s="209"/>
      <c r="AC1126" s="209"/>
      <c r="AD1126" s="209"/>
      <c r="AE1126" s="209"/>
      <c r="AF1126" s="209"/>
      <c r="AG1126" s="209"/>
      <c r="AH1126" s="209"/>
      <c r="AI1126" s="209"/>
      <c r="AJ1126" s="209"/>
      <c r="AK1126" s="209"/>
    </row>
    <row r="1127">
      <c r="A1127" s="291"/>
      <c r="B1127" s="303" t="s">
        <v>3773</v>
      </c>
      <c r="C1127" s="304" t="s">
        <v>3712</v>
      </c>
      <c r="D1127" s="304" t="s">
        <v>3774</v>
      </c>
      <c r="E1127" s="375" t="s">
        <v>3775</v>
      </c>
      <c r="F1127" s="209"/>
      <c r="G1127" s="209"/>
      <c r="H1127" s="209"/>
      <c r="I1127" s="209"/>
      <c r="J1127" s="300" t="b">
        <v>1</v>
      </c>
      <c r="K1127" s="301" t="b">
        <v>0</v>
      </c>
      <c r="L1127" s="209"/>
      <c r="M1127" s="209"/>
      <c r="N1127" s="209"/>
      <c r="O1127" s="209"/>
      <c r="P1127" s="209"/>
      <c r="Q1127" s="209"/>
      <c r="R1127" s="209"/>
      <c r="S1127" s="209"/>
      <c r="T1127" s="209"/>
      <c r="U1127" s="209"/>
      <c r="V1127" s="209"/>
      <c r="W1127" s="209"/>
      <c r="X1127" s="209"/>
      <c r="Y1127" s="209"/>
      <c r="Z1127" s="209"/>
      <c r="AA1127" s="209"/>
      <c r="AB1127" s="209"/>
      <c r="AC1127" s="209"/>
      <c r="AD1127" s="209"/>
      <c r="AE1127" s="209"/>
      <c r="AF1127" s="209"/>
      <c r="AG1127" s="209"/>
      <c r="AH1127" s="209"/>
      <c r="AI1127" s="209"/>
      <c r="AJ1127" s="209"/>
      <c r="AK1127" s="209"/>
    </row>
    <row r="1128">
      <c r="A1128" s="291"/>
      <c r="B1128" s="303" t="s">
        <v>3776</v>
      </c>
      <c r="C1128" s="304" t="s">
        <v>3712</v>
      </c>
      <c r="D1128" s="304" t="s">
        <v>3777</v>
      </c>
      <c r="E1128" s="375" t="s">
        <v>3778</v>
      </c>
      <c r="F1128" s="209"/>
      <c r="G1128" s="209"/>
      <c r="H1128" s="209"/>
      <c r="I1128" s="209"/>
      <c r="J1128" s="300" t="b">
        <v>1</v>
      </c>
      <c r="K1128" s="301" t="b">
        <v>0</v>
      </c>
      <c r="L1128" s="209"/>
      <c r="M1128" s="209"/>
      <c r="N1128" s="209"/>
      <c r="O1128" s="209"/>
      <c r="P1128" s="209"/>
      <c r="Q1128" s="209"/>
      <c r="R1128" s="209"/>
      <c r="S1128" s="209"/>
      <c r="T1128" s="209"/>
      <c r="U1128" s="209"/>
      <c r="V1128" s="209"/>
      <c r="W1128" s="209"/>
      <c r="X1128" s="209"/>
      <c r="Y1128" s="209"/>
      <c r="Z1128" s="209"/>
      <c r="AA1128" s="209"/>
      <c r="AB1128" s="209"/>
      <c r="AC1128" s="209"/>
      <c r="AD1128" s="209"/>
      <c r="AE1128" s="209"/>
      <c r="AF1128" s="209"/>
      <c r="AG1128" s="209"/>
      <c r="AH1128" s="209"/>
      <c r="AI1128" s="209"/>
      <c r="AJ1128" s="209"/>
      <c r="AK1128" s="209"/>
    </row>
    <row r="1129">
      <c r="A1129" s="291"/>
      <c r="B1129" s="303" t="s">
        <v>3779</v>
      </c>
      <c r="C1129" s="304" t="s">
        <v>3712</v>
      </c>
      <c r="D1129" s="304" t="s">
        <v>3780</v>
      </c>
      <c r="E1129" s="375" t="s">
        <v>3780</v>
      </c>
      <c r="F1129" s="304" t="s">
        <v>732</v>
      </c>
      <c r="G1129" s="209"/>
      <c r="H1129" s="209"/>
      <c r="I1129" s="304" t="s">
        <v>733</v>
      </c>
      <c r="J1129" s="300" t="b">
        <v>1</v>
      </c>
      <c r="K1129" s="301" t="b">
        <v>0</v>
      </c>
      <c r="L1129" s="209"/>
      <c r="M1129" s="209"/>
      <c r="N1129" s="209"/>
      <c r="O1129" s="209"/>
      <c r="P1129" s="209"/>
      <c r="Q1129" s="209"/>
      <c r="R1129" s="209"/>
      <c r="S1129" s="209"/>
      <c r="T1129" s="209"/>
      <c r="U1129" s="209"/>
      <c r="V1129" s="209"/>
      <c r="W1129" s="209"/>
      <c r="X1129" s="209"/>
      <c r="Y1129" s="209"/>
      <c r="Z1129" s="209"/>
      <c r="AA1129" s="209"/>
      <c r="AB1129" s="209"/>
      <c r="AC1129" s="209"/>
      <c r="AD1129" s="209"/>
      <c r="AE1129" s="209"/>
      <c r="AF1129" s="209"/>
      <c r="AG1129" s="209"/>
      <c r="AH1129" s="209"/>
      <c r="AI1129" s="209"/>
      <c r="AJ1129" s="209"/>
      <c r="AK1129" s="209"/>
    </row>
    <row r="1130">
      <c r="A1130" s="291"/>
      <c r="B1130" s="303" t="s">
        <v>3781</v>
      </c>
      <c r="C1130" s="304" t="s">
        <v>3712</v>
      </c>
      <c r="D1130" s="304" t="s">
        <v>3782</v>
      </c>
      <c r="E1130" s="375" t="s">
        <v>3783</v>
      </c>
      <c r="F1130" s="209"/>
      <c r="G1130" s="209"/>
      <c r="H1130" s="209"/>
      <c r="I1130" s="209"/>
      <c r="J1130" s="300" t="b">
        <v>1</v>
      </c>
      <c r="K1130" s="301" t="b">
        <v>0</v>
      </c>
      <c r="L1130" s="209"/>
      <c r="M1130" s="209"/>
      <c r="N1130" s="209"/>
      <c r="O1130" s="209"/>
      <c r="P1130" s="209"/>
      <c r="Q1130" s="209"/>
      <c r="R1130" s="209"/>
      <c r="S1130" s="209"/>
      <c r="T1130" s="209"/>
      <c r="U1130" s="209"/>
      <c r="V1130" s="209"/>
      <c r="W1130" s="209"/>
      <c r="X1130" s="209"/>
      <c r="Y1130" s="209"/>
      <c r="Z1130" s="209"/>
      <c r="AA1130" s="209"/>
      <c r="AB1130" s="209"/>
      <c r="AC1130" s="209"/>
      <c r="AD1130" s="209"/>
      <c r="AE1130" s="209"/>
      <c r="AF1130" s="209"/>
      <c r="AG1130" s="209"/>
      <c r="AH1130" s="209"/>
      <c r="AI1130" s="209"/>
      <c r="AJ1130" s="209"/>
      <c r="AK1130" s="209"/>
    </row>
    <row r="1131">
      <c r="A1131" s="291"/>
      <c r="B1131" s="354" t="s">
        <v>3784</v>
      </c>
      <c r="C1131" s="304" t="s">
        <v>3712</v>
      </c>
      <c r="D1131" s="304" t="s">
        <v>3785</v>
      </c>
      <c r="E1131" s="375" t="s">
        <v>3786</v>
      </c>
      <c r="F1131" s="353"/>
      <c r="G1131" s="209"/>
      <c r="H1131" s="209"/>
      <c r="I1131" s="209"/>
      <c r="J1131" s="300" t="b">
        <v>1</v>
      </c>
      <c r="K1131" s="301" t="b">
        <v>0</v>
      </c>
      <c r="L1131" s="209"/>
      <c r="M1131" s="209"/>
      <c r="N1131" s="209"/>
      <c r="O1131" s="209"/>
      <c r="P1131" s="209"/>
      <c r="Q1131" s="209"/>
      <c r="R1131" s="209"/>
      <c r="S1131" s="209"/>
      <c r="T1131" s="209"/>
      <c r="U1131" s="209"/>
      <c r="V1131" s="209"/>
      <c r="W1131" s="209"/>
      <c r="X1131" s="209"/>
      <c r="Y1131" s="209"/>
      <c r="Z1131" s="209"/>
      <c r="AA1131" s="209"/>
      <c r="AB1131" s="209"/>
      <c r="AC1131" s="209"/>
      <c r="AD1131" s="209"/>
      <c r="AE1131" s="209"/>
      <c r="AF1131" s="209"/>
      <c r="AG1131" s="209"/>
      <c r="AH1131" s="209"/>
      <c r="AI1131" s="209"/>
      <c r="AJ1131" s="209"/>
      <c r="AK1131" s="209"/>
    </row>
    <row r="1132">
      <c r="A1132" s="291"/>
      <c r="B1132" s="303" t="s">
        <v>3787</v>
      </c>
      <c r="C1132" s="304" t="s">
        <v>3712</v>
      </c>
      <c r="D1132" s="304" t="s">
        <v>3788</v>
      </c>
      <c r="E1132" s="375" t="s">
        <v>3789</v>
      </c>
      <c r="F1132" s="209"/>
      <c r="G1132" s="209"/>
      <c r="H1132" s="209"/>
      <c r="I1132" s="209"/>
      <c r="J1132" s="300" t="b">
        <v>1</v>
      </c>
      <c r="K1132" s="301" t="b">
        <v>0</v>
      </c>
      <c r="L1132" s="209"/>
      <c r="M1132" s="209"/>
      <c r="N1132" s="209"/>
      <c r="O1132" s="209"/>
      <c r="P1132" s="209"/>
      <c r="Q1132" s="209"/>
      <c r="R1132" s="209"/>
      <c r="S1132" s="209"/>
      <c r="T1132" s="209"/>
      <c r="U1132" s="209"/>
      <c r="V1132" s="209"/>
      <c r="W1132" s="209"/>
      <c r="X1132" s="209"/>
      <c r="Y1132" s="209"/>
      <c r="Z1132" s="209"/>
      <c r="AA1132" s="209"/>
      <c r="AB1132" s="209"/>
      <c r="AC1132" s="209"/>
      <c r="AD1132" s="209"/>
      <c r="AE1132" s="209"/>
      <c r="AF1132" s="209"/>
      <c r="AG1132" s="209"/>
      <c r="AH1132" s="209"/>
      <c r="AI1132" s="209"/>
      <c r="AJ1132" s="209"/>
      <c r="AK1132" s="209"/>
    </row>
    <row r="1133">
      <c r="A1133" s="309"/>
      <c r="B1133" s="310" t="s">
        <v>3790</v>
      </c>
      <c r="C1133" s="311" t="s">
        <v>3712</v>
      </c>
      <c r="D1133" s="311" t="s">
        <v>3791</v>
      </c>
      <c r="E1133" s="380" t="s">
        <v>3792</v>
      </c>
      <c r="F1133" s="313"/>
      <c r="G1133" s="313"/>
      <c r="H1133" s="313"/>
      <c r="I1133" s="313"/>
      <c r="J1133" s="350" t="b">
        <v>1</v>
      </c>
      <c r="K1133" s="314" t="b">
        <v>0</v>
      </c>
      <c r="L1133" s="209"/>
      <c r="M1133" s="209"/>
      <c r="N1133" s="209"/>
      <c r="O1133" s="209"/>
      <c r="P1133" s="209"/>
      <c r="Q1133" s="209"/>
      <c r="R1133" s="209"/>
      <c r="S1133" s="209"/>
      <c r="T1133" s="209"/>
      <c r="U1133" s="209"/>
      <c r="V1133" s="209"/>
      <c r="W1133" s="209"/>
      <c r="X1133" s="209"/>
      <c r="Y1133" s="209"/>
      <c r="Z1133" s="209"/>
      <c r="AA1133" s="209"/>
      <c r="AB1133" s="209"/>
      <c r="AC1133" s="209"/>
      <c r="AD1133" s="209"/>
      <c r="AE1133" s="209"/>
      <c r="AF1133" s="209"/>
      <c r="AG1133" s="209"/>
      <c r="AH1133" s="209"/>
      <c r="AI1133" s="209"/>
      <c r="AJ1133" s="209"/>
      <c r="AK1133" s="209"/>
    </row>
    <row r="1134">
      <c r="A1134" s="209"/>
      <c r="B1134" s="209"/>
      <c r="C1134" s="209"/>
      <c r="D1134" s="209"/>
      <c r="E1134" s="353"/>
      <c r="F1134" s="344"/>
      <c r="G1134" s="344"/>
      <c r="H1134" s="344"/>
      <c r="I1134" s="209"/>
      <c r="J1134" s="209"/>
      <c r="K1134" s="209"/>
      <c r="L1134" s="209"/>
      <c r="M1134" s="209"/>
      <c r="N1134" s="209"/>
      <c r="O1134" s="209"/>
      <c r="P1134" s="209"/>
      <c r="Q1134" s="209"/>
      <c r="R1134" s="209"/>
      <c r="S1134" s="209"/>
      <c r="T1134" s="209"/>
      <c r="U1134" s="209"/>
      <c r="V1134" s="209"/>
      <c r="W1134" s="209"/>
      <c r="X1134" s="209"/>
      <c r="Y1134" s="209"/>
      <c r="Z1134" s="209"/>
      <c r="AA1134" s="209"/>
      <c r="AB1134" s="209"/>
      <c r="AC1134" s="209"/>
      <c r="AD1134" s="209"/>
      <c r="AE1134" s="209"/>
      <c r="AF1134" s="209"/>
      <c r="AG1134" s="209"/>
      <c r="AH1134" s="209"/>
      <c r="AI1134" s="209"/>
      <c r="AJ1134" s="209"/>
      <c r="AK1134" s="209"/>
    </row>
    <row r="1135">
      <c r="A1135" s="316" t="s">
        <v>3793</v>
      </c>
      <c r="B1135" s="319" t="s">
        <v>3794</v>
      </c>
      <c r="C1135" s="320"/>
      <c r="D1135" s="283" t="s">
        <v>3795</v>
      </c>
      <c r="E1135" s="402" t="s">
        <v>3796</v>
      </c>
      <c r="F1135" s="320"/>
      <c r="G1135" s="320"/>
      <c r="H1135" s="276" t="s">
        <v>370</v>
      </c>
      <c r="I1135" s="285" t="s">
        <v>3797</v>
      </c>
      <c r="J1135" s="278" t="str">
        <f>IF(COUNTIF(J1136:J1155, TRUE) = COUNTA(J1136:J1155), "Complete!", IF(COUNTIF(J1136:J1155, TRUE) &gt; 0, "Partial", "Not Started"))</f>
        <v>Complete!</v>
      </c>
      <c r="K1135" s="279"/>
      <c r="L1135" s="280">
        <v>20.0</v>
      </c>
      <c r="M1135" s="209"/>
      <c r="N1135" s="209"/>
      <c r="O1135" s="209"/>
      <c r="P1135" s="209"/>
      <c r="Q1135" s="209"/>
      <c r="R1135" s="209"/>
      <c r="S1135" s="209"/>
      <c r="T1135" s="209"/>
      <c r="U1135" s="209"/>
      <c r="V1135" s="209"/>
      <c r="W1135" s="209"/>
      <c r="X1135" s="209"/>
      <c r="Y1135" s="209"/>
      <c r="Z1135" s="209"/>
      <c r="AA1135" s="209"/>
      <c r="AB1135" s="209"/>
      <c r="AC1135" s="209"/>
      <c r="AD1135" s="209"/>
      <c r="AE1135" s="209"/>
      <c r="AF1135" s="209"/>
      <c r="AG1135" s="209"/>
      <c r="AH1135" s="209"/>
      <c r="AI1135" s="209"/>
      <c r="AJ1135" s="209"/>
      <c r="AK1135" s="209"/>
    </row>
    <row r="1136">
      <c r="A1136" s="291"/>
      <c r="B1136" s="292" t="s">
        <v>3798</v>
      </c>
      <c r="C1136" s="293" t="s">
        <v>3799</v>
      </c>
      <c r="D1136" s="304" t="s">
        <v>3800</v>
      </c>
      <c r="E1136" s="374" t="s">
        <v>3801</v>
      </c>
      <c r="F1136" s="209"/>
      <c r="G1136" s="209"/>
      <c r="H1136" s="209"/>
      <c r="I1136" s="209"/>
      <c r="J1136" s="300" t="b">
        <v>1</v>
      </c>
      <c r="K1136" s="301" t="b">
        <v>0</v>
      </c>
      <c r="L1136" s="209"/>
      <c r="M1136" s="209"/>
      <c r="N1136" s="209"/>
      <c r="O1136" s="209"/>
      <c r="P1136" s="209"/>
      <c r="Q1136" s="209"/>
      <c r="R1136" s="209"/>
      <c r="S1136" s="209"/>
      <c r="T1136" s="209"/>
      <c r="U1136" s="209"/>
      <c r="V1136" s="209"/>
      <c r="W1136" s="209"/>
      <c r="X1136" s="209"/>
      <c r="Y1136" s="209"/>
      <c r="Z1136" s="209"/>
      <c r="AA1136" s="209"/>
      <c r="AB1136" s="209"/>
      <c r="AC1136" s="209"/>
      <c r="AD1136" s="209"/>
      <c r="AE1136" s="209"/>
      <c r="AF1136" s="209"/>
      <c r="AG1136" s="209"/>
      <c r="AH1136" s="209"/>
      <c r="AI1136" s="209"/>
      <c r="AJ1136" s="209"/>
      <c r="AK1136" s="209"/>
    </row>
    <row r="1137">
      <c r="A1137" s="291"/>
      <c r="B1137" s="303" t="s">
        <v>3802</v>
      </c>
      <c r="C1137" s="293" t="s">
        <v>3799</v>
      </c>
      <c r="D1137" s="304" t="s">
        <v>3803</v>
      </c>
      <c r="E1137" s="375" t="s">
        <v>3804</v>
      </c>
      <c r="F1137" s="209"/>
      <c r="G1137" s="209"/>
      <c r="H1137" s="209"/>
      <c r="I1137" s="209"/>
      <c r="J1137" s="300" t="b">
        <v>1</v>
      </c>
      <c r="K1137" s="301" t="b">
        <v>0</v>
      </c>
      <c r="L1137" s="209"/>
      <c r="M1137" s="209"/>
      <c r="N1137" s="209"/>
      <c r="O1137" s="209"/>
      <c r="P1137" s="209"/>
      <c r="Q1137" s="209"/>
      <c r="R1137" s="209"/>
      <c r="S1137" s="209"/>
      <c r="T1137" s="209"/>
      <c r="U1137" s="209"/>
      <c r="V1137" s="209"/>
      <c r="W1137" s="209"/>
      <c r="X1137" s="209"/>
      <c r="Y1137" s="209"/>
      <c r="Z1137" s="209"/>
      <c r="AA1137" s="209"/>
      <c r="AB1137" s="209"/>
      <c r="AC1137" s="209"/>
      <c r="AD1137" s="209"/>
      <c r="AE1137" s="209"/>
      <c r="AF1137" s="209"/>
      <c r="AG1137" s="209"/>
      <c r="AH1137" s="209"/>
      <c r="AI1137" s="209"/>
      <c r="AJ1137" s="209"/>
      <c r="AK1137" s="209"/>
    </row>
    <row r="1138">
      <c r="A1138" s="291"/>
      <c r="B1138" s="303" t="s">
        <v>3805</v>
      </c>
      <c r="C1138" s="304" t="s">
        <v>400</v>
      </c>
      <c r="D1138" s="304" t="s">
        <v>3806</v>
      </c>
      <c r="E1138" s="375" t="s">
        <v>3807</v>
      </c>
      <c r="F1138" s="209"/>
      <c r="G1138" s="209"/>
      <c r="H1138" s="209"/>
      <c r="I1138" s="209"/>
      <c r="J1138" s="300" t="b">
        <v>1</v>
      </c>
      <c r="K1138" s="301" t="b">
        <v>0</v>
      </c>
      <c r="L1138" s="209"/>
      <c r="M1138" s="209"/>
      <c r="N1138" s="209"/>
      <c r="O1138" s="209"/>
      <c r="P1138" s="209"/>
      <c r="Q1138" s="209"/>
      <c r="R1138" s="209"/>
      <c r="S1138" s="209"/>
      <c r="T1138" s="209"/>
      <c r="U1138" s="209"/>
      <c r="V1138" s="209"/>
      <c r="W1138" s="209"/>
      <c r="X1138" s="209"/>
      <c r="Y1138" s="209"/>
      <c r="Z1138" s="209"/>
      <c r="AA1138" s="209"/>
      <c r="AB1138" s="209"/>
      <c r="AC1138" s="209"/>
      <c r="AD1138" s="209"/>
      <c r="AE1138" s="209"/>
      <c r="AF1138" s="209"/>
      <c r="AG1138" s="209"/>
      <c r="AH1138" s="209"/>
      <c r="AI1138" s="209"/>
      <c r="AJ1138" s="209"/>
      <c r="AK1138" s="209"/>
    </row>
    <row r="1139">
      <c r="A1139" s="291"/>
      <c r="B1139" s="303" t="s">
        <v>3808</v>
      </c>
      <c r="C1139" s="304" t="s">
        <v>400</v>
      </c>
      <c r="D1139" s="304" t="s">
        <v>3809</v>
      </c>
      <c r="E1139" s="375" t="s">
        <v>3810</v>
      </c>
      <c r="F1139" s="209"/>
      <c r="G1139" s="209"/>
      <c r="H1139" s="209"/>
      <c r="I1139" s="209"/>
      <c r="J1139" s="300" t="b">
        <v>1</v>
      </c>
      <c r="K1139" s="301" t="b">
        <v>0</v>
      </c>
      <c r="L1139" s="209"/>
      <c r="M1139" s="209"/>
      <c r="N1139" s="209"/>
      <c r="O1139" s="209"/>
      <c r="P1139" s="209"/>
      <c r="Q1139" s="209"/>
      <c r="R1139" s="209"/>
      <c r="S1139" s="209"/>
      <c r="T1139" s="209"/>
      <c r="U1139" s="209"/>
      <c r="V1139" s="209"/>
      <c r="W1139" s="209"/>
      <c r="X1139" s="209"/>
      <c r="Y1139" s="209"/>
      <c r="Z1139" s="209"/>
      <c r="AA1139" s="209"/>
      <c r="AB1139" s="209"/>
      <c r="AC1139" s="209"/>
      <c r="AD1139" s="209"/>
      <c r="AE1139" s="209"/>
      <c r="AF1139" s="209"/>
      <c r="AG1139" s="209"/>
      <c r="AH1139" s="209"/>
      <c r="AI1139" s="209"/>
      <c r="AJ1139" s="209"/>
      <c r="AK1139" s="209"/>
    </row>
    <row r="1140">
      <c r="A1140" s="291"/>
      <c r="B1140" s="303" t="s">
        <v>3811</v>
      </c>
      <c r="C1140" s="304" t="s">
        <v>705</v>
      </c>
      <c r="D1140" s="304" t="s">
        <v>3812</v>
      </c>
      <c r="E1140" s="375" t="s">
        <v>3813</v>
      </c>
      <c r="F1140" s="209"/>
      <c r="G1140" s="209"/>
      <c r="H1140" s="209"/>
      <c r="I1140" s="209"/>
      <c r="J1140" s="300" t="b">
        <v>1</v>
      </c>
      <c r="K1140" s="301" t="b">
        <v>0</v>
      </c>
      <c r="L1140" s="209"/>
      <c r="M1140" s="209"/>
      <c r="N1140" s="209"/>
      <c r="O1140" s="209"/>
      <c r="P1140" s="209"/>
      <c r="Q1140" s="209"/>
      <c r="R1140" s="209"/>
      <c r="S1140" s="209"/>
      <c r="T1140" s="209"/>
      <c r="U1140" s="209"/>
      <c r="V1140" s="209"/>
      <c r="W1140" s="209"/>
      <c r="X1140" s="209"/>
      <c r="Y1140" s="209"/>
      <c r="Z1140" s="209"/>
      <c r="AA1140" s="209"/>
      <c r="AB1140" s="209"/>
      <c r="AC1140" s="209"/>
      <c r="AD1140" s="209"/>
      <c r="AE1140" s="209"/>
      <c r="AF1140" s="209"/>
      <c r="AG1140" s="209"/>
      <c r="AH1140" s="209"/>
      <c r="AI1140" s="209"/>
      <c r="AJ1140" s="209"/>
      <c r="AK1140" s="209"/>
    </row>
    <row r="1141">
      <c r="A1141" s="291"/>
      <c r="B1141" s="303" t="s">
        <v>3814</v>
      </c>
      <c r="C1141" s="304" t="s">
        <v>705</v>
      </c>
      <c r="D1141" s="304" t="s">
        <v>3815</v>
      </c>
      <c r="E1141" s="375" t="s">
        <v>3816</v>
      </c>
      <c r="F1141" s="209"/>
      <c r="G1141" s="209"/>
      <c r="H1141" s="209"/>
      <c r="I1141" s="209"/>
      <c r="J1141" s="300" t="b">
        <v>1</v>
      </c>
      <c r="K1141" s="301" t="b">
        <v>0</v>
      </c>
      <c r="L1141" s="209"/>
      <c r="M1141" s="209"/>
      <c r="N1141" s="209"/>
      <c r="O1141" s="209"/>
      <c r="P1141" s="209"/>
      <c r="Q1141" s="209"/>
      <c r="R1141" s="209"/>
      <c r="S1141" s="209"/>
      <c r="T1141" s="209"/>
      <c r="U1141" s="209"/>
      <c r="V1141" s="209"/>
      <c r="W1141" s="209"/>
      <c r="X1141" s="209"/>
      <c r="Y1141" s="209"/>
      <c r="Z1141" s="209"/>
      <c r="AA1141" s="209"/>
      <c r="AB1141" s="209"/>
      <c r="AC1141" s="209"/>
      <c r="AD1141" s="209"/>
      <c r="AE1141" s="209"/>
      <c r="AF1141" s="209"/>
      <c r="AG1141" s="209"/>
      <c r="AH1141" s="209"/>
      <c r="AI1141" s="209"/>
      <c r="AJ1141" s="209"/>
      <c r="AK1141" s="209"/>
    </row>
    <row r="1142">
      <c r="A1142" s="291"/>
      <c r="B1142" s="303" t="s">
        <v>3817</v>
      </c>
      <c r="C1142" s="304" t="s">
        <v>431</v>
      </c>
      <c r="D1142" s="304" t="s">
        <v>3818</v>
      </c>
      <c r="E1142" s="375" t="s">
        <v>3816</v>
      </c>
      <c r="F1142" s="209"/>
      <c r="G1142" s="209"/>
      <c r="H1142" s="209"/>
      <c r="I1142" s="209"/>
      <c r="J1142" s="300" t="b">
        <v>1</v>
      </c>
      <c r="K1142" s="301" t="b">
        <v>0</v>
      </c>
      <c r="L1142" s="209"/>
      <c r="M1142" s="209"/>
      <c r="N1142" s="209"/>
      <c r="O1142" s="209"/>
      <c r="P1142" s="209"/>
      <c r="Q1142" s="209"/>
      <c r="R1142" s="209"/>
      <c r="S1142" s="209"/>
      <c r="T1142" s="209"/>
      <c r="U1142" s="209"/>
      <c r="V1142" s="209"/>
      <c r="W1142" s="209"/>
      <c r="X1142" s="209"/>
      <c r="Y1142" s="209"/>
      <c r="Z1142" s="209"/>
      <c r="AA1142" s="209"/>
      <c r="AB1142" s="209"/>
      <c r="AC1142" s="209"/>
      <c r="AD1142" s="209"/>
      <c r="AE1142" s="209"/>
      <c r="AF1142" s="209"/>
      <c r="AG1142" s="209"/>
      <c r="AH1142" s="209"/>
      <c r="AI1142" s="209"/>
      <c r="AJ1142" s="209"/>
      <c r="AK1142" s="209"/>
    </row>
    <row r="1143">
      <c r="A1143" s="291"/>
      <c r="B1143" s="303" t="s">
        <v>3819</v>
      </c>
      <c r="C1143" s="304" t="s">
        <v>431</v>
      </c>
      <c r="D1143" s="304" t="s">
        <v>3820</v>
      </c>
      <c r="E1143" s="375" t="s">
        <v>3821</v>
      </c>
      <c r="F1143" s="209"/>
      <c r="G1143" s="209"/>
      <c r="H1143" s="209"/>
      <c r="I1143" s="209"/>
      <c r="J1143" s="300" t="b">
        <v>1</v>
      </c>
      <c r="K1143" s="301" t="b">
        <v>0</v>
      </c>
      <c r="L1143" s="209"/>
      <c r="M1143" s="209"/>
      <c r="N1143" s="209"/>
      <c r="O1143" s="209"/>
      <c r="P1143" s="209"/>
      <c r="Q1143" s="209"/>
      <c r="R1143" s="209"/>
      <c r="S1143" s="209"/>
      <c r="T1143" s="209"/>
      <c r="U1143" s="209"/>
      <c r="V1143" s="209"/>
      <c r="W1143" s="209"/>
      <c r="X1143" s="209"/>
      <c r="Y1143" s="209"/>
      <c r="Z1143" s="209"/>
      <c r="AA1143" s="209"/>
      <c r="AB1143" s="209"/>
      <c r="AC1143" s="209"/>
      <c r="AD1143" s="209"/>
      <c r="AE1143" s="209"/>
      <c r="AF1143" s="209"/>
      <c r="AG1143" s="209"/>
      <c r="AH1143" s="209"/>
      <c r="AI1143" s="209"/>
      <c r="AJ1143" s="209"/>
      <c r="AK1143" s="209"/>
    </row>
    <row r="1144">
      <c r="A1144" s="291"/>
      <c r="B1144" s="303" t="s">
        <v>3822</v>
      </c>
      <c r="C1144" s="304" t="s">
        <v>1186</v>
      </c>
      <c r="D1144" s="304" t="s">
        <v>3823</v>
      </c>
      <c r="E1144" s="375" t="s">
        <v>3824</v>
      </c>
      <c r="F1144" s="209"/>
      <c r="G1144" s="209"/>
      <c r="H1144" s="209"/>
      <c r="I1144" s="209"/>
      <c r="J1144" s="300" t="b">
        <v>1</v>
      </c>
      <c r="K1144" s="301" t="b">
        <v>0</v>
      </c>
      <c r="L1144" s="209"/>
      <c r="M1144" s="209"/>
      <c r="N1144" s="209"/>
      <c r="O1144" s="209"/>
      <c r="P1144" s="209"/>
      <c r="Q1144" s="209"/>
      <c r="R1144" s="209"/>
      <c r="S1144" s="209"/>
      <c r="T1144" s="209"/>
      <c r="U1144" s="209"/>
      <c r="V1144" s="209"/>
      <c r="W1144" s="209"/>
      <c r="X1144" s="209"/>
      <c r="Y1144" s="209"/>
      <c r="Z1144" s="209"/>
      <c r="AA1144" s="209"/>
      <c r="AB1144" s="209"/>
      <c r="AC1144" s="209"/>
      <c r="AD1144" s="209"/>
      <c r="AE1144" s="209"/>
      <c r="AF1144" s="209"/>
      <c r="AG1144" s="209"/>
      <c r="AH1144" s="209"/>
      <c r="AI1144" s="209"/>
      <c r="AJ1144" s="209"/>
      <c r="AK1144" s="209"/>
    </row>
    <row r="1145">
      <c r="A1145" s="291"/>
      <c r="B1145" s="303" t="s">
        <v>3825</v>
      </c>
      <c r="C1145" s="304" t="s">
        <v>1186</v>
      </c>
      <c r="D1145" s="304" t="s">
        <v>3826</v>
      </c>
      <c r="E1145" s="375" t="s">
        <v>3827</v>
      </c>
      <c r="F1145" s="209"/>
      <c r="G1145" s="209"/>
      <c r="H1145" s="209"/>
      <c r="I1145" s="209"/>
      <c r="J1145" s="300" t="b">
        <v>1</v>
      </c>
      <c r="K1145" s="301" t="b">
        <v>0</v>
      </c>
      <c r="L1145" s="209"/>
      <c r="M1145" s="209"/>
      <c r="N1145" s="209"/>
      <c r="O1145" s="209"/>
      <c r="P1145" s="209"/>
      <c r="Q1145" s="209"/>
      <c r="R1145" s="209"/>
      <c r="S1145" s="209"/>
      <c r="T1145" s="209"/>
      <c r="U1145" s="209"/>
      <c r="V1145" s="209"/>
      <c r="W1145" s="209"/>
      <c r="X1145" s="209"/>
      <c r="Y1145" s="209"/>
      <c r="Z1145" s="209"/>
      <c r="AA1145" s="209"/>
      <c r="AB1145" s="209"/>
      <c r="AC1145" s="209"/>
      <c r="AD1145" s="209"/>
      <c r="AE1145" s="209"/>
      <c r="AF1145" s="209"/>
      <c r="AG1145" s="209"/>
      <c r="AH1145" s="209"/>
      <c r="AI1145" s="209"/>
      <c r="AJ1145" s="209"/>
      <c r="AK1145" s="209"/>
    </row>
    <row r="1146">
      <c r="A1146" s="291"/>
      <c r="B1146" s="303" t="s">
        <v>3828</v>
      </c>
      <c r="C1146" s="304" t="s">
        <v>390</v>
      </c>
      <c r="D1146" s="304" t="s">
        <v>3829</v>
      </c>
      <c r="E1146" s="375" t="s">
        <v>3830</v>
      </c>
      <c r="F1146" s="209"/>
      <c r="G1146" s="209"/>
      <c r="H1146" s="209"/>
      <c r="I1146" s="209"/>
      <c r="J1146" s="300" t="b">
        <v>1</v>
      </c>
      <c r="K1146" s="301" t="b">
        <v>0</v>
      </c>
      <c r="L1146" s="209"/>
      <c r="M1146" s="209"/>
      <c r="N1146" s="209"/>
      <c r="O1146" s="209"/>
      <c r="P1146" s="209"/>
      <c r="Q1146" s="209"/>
      <c r="R1146" s="209"/>
      <c r="S1146" s="209"/>
      <c r="T1146" s="209"/>
      <c r="U1146" s="209"/>
      <c r="V1146" s="209"/>
      <c r="W1146" s="209"/>
      <c r="X1146" s="209"/>
      <c r="Y1146" s="209"/>
      <c r="Z1146" s="209"/>
      <c r="AA1146" s="209"/>
      <c r="AB1146" s="209"/>
      <c r="AC1146" s="209"/>
      <c r="AD1146" s="209"/>
      <c r="AE1146" s="209"/>
      <c r="AF1146" s="209"/>
      <c r="AG1146" s="209"/>
      <c r="AH1146" s="209"/>
      <c r="AI1146" s="209"/>
      <c r="AJ1146" s="209"/>
      <c r="AK1146" s="209"/>
    </row>
    <row r="1147">
      <c r="A1147" s="291"/>
      <c r="B1147" s="303" t="s">
        <v>3831</v>
      </c>
      <c r="C1147" s="304" t="s">
        <v>390</v>
      </c>
      <c r="D1147" s="304" t="s">
        <v>3832</v>
      </c>
      <c r="E1147" s="375" t="s">
        <v>3833</v>
      </c>
      <c r="F1147" s="209"/>
      <c r="G1147" s="209"/>
      <c r="H1147" s="209"/>
      <c r="I1147" s="209"/>
      <c r="J1147" s="300" t="b">
        <v>1</v>
      </c>
      <c r="K1147" s="301" t="b">
        <v>0</v>
      </c>
      <c r="L1147" s="209"/>
      <c r="M1147" s="209"/>
      <c r="N1147" s="209"/>
      <c r="O1147" s="209"/>
      <c r="P1147" s="209"/>
      <c r="Q1147" s="209"/>
      <c r="R1147" s="209"/>
      <c r="S1147" s="209"/>
      <c r="T1147" s="209"/>
      <c r="U1147" s="209"/>
      <c r="V1147" s="209"/>
      <c r="W1147" s="209"/>
      <c r="X1147" s="209"/>
      <c r="Y1147" s="209"/>
      <c r="Z1147" s="209"/>
      <c r="AA1147" s="209"/>
      <c r="AB1147" s="209"/>
      <c r="AC1147" s="209"/>
      <c r="AD1147" s="209"/>
      <c r="AE1147" s="209"/>
      <c r="AF1147" s="209"/>
      <c r="AG1147" s="209"/>
      <c r="AH1147" s="209"/>
      <c r="AI1147" s="209"/>
      <c r="AJ1147" s="209"/>
      <c r="AK1147" s="209"/>
    </row>
    <row r="1148">
      <c r="A1148" s="291"/>
      <c r="B1148" s="303" t="s">
        <v>3834</v>
      </c>
      <c r="C1148" s="304" t="s">
        <v>400</v>
      </c>
      <c r="D1148" s="304" t="s">
        <v>3835</v>
      </c>
      <c r="E1148" s="375" t="s">
        <v>3836</v>
      </c>
      <c r="F1148" s="209"/>
      <c r="G1148" s="209"/>
      <c r="H1148" s="209"/>
      <c r="I1148" s="209"/>
      <c r="J1148" s="300" t="b">
        <v>1</v>
      </c>
      <c r="K1148" s="301" t="b">
        <v>0</v>
      </c>
      <c r="L1148" s="209"/>
      <c r="M1148" s="209"/>
      <c r="N1148" s="209"/>
      <c r="O1148" s="209"/>
      <c r="P1148" s="209"/>
      <c r="Q1148" s="209"/>
      <c r="R1148" s="209"/>
      <c r="S1148" s="209"/>
      <c r="T1148" s="209"/>
      <c r="U1148" s="209"/>
      <c r="V1148" s="209"/>
      <c r="W1148" s="209"/>
      <c r="X1148" s="209"/>
      <c r="Y1148" s="209"/>
      <c r="Z1148" s="209"/>
      <c r="AA1148" s="209"/>
      <c r="AB1148" s="209"/>
      <c r="AC1148" s="209"/>
      <c r="AD1148" s="209"/>
      <c r="AE1148" s="209"/>
      <c r="AF1148" s="209"/>
      <c r="AG1148" s="209"/>
      <c r="AH1148" s="209"/>
      <c r="AI1148" s="209"/>
      <c r="AJ1148" s="209"/>
      <c r="AK1148" s="209"/>
    </row>
    <row r="1149">
      <c r="A1149" s="291"/>
      <c r="B1149" s="303" t="s">
        <v>3837</v>
      </c>
      <c r="C1149" s="304" t="s">
        <v>400</v>
      </c>
      <c r="D1149" s="304" t="s">
        <v>3838</v>
      </c>
      <c r="E1149" s="375" t="s">
        <v>3839</v>
      </c>
      <c r="F1149" s="209"/>
      <c r="G1149" s="209"/>
      <c r="H1149" s="209"/>
      <c r="I1149" s="209"/>
      <c r="J1149" s="300" t="b">
        <v>1</v>
      </c>
      <c r="K1149" s="301" t="b">
        <v>0</v>
      </c>
      <c r="L1149" s="209"/>
      <c r="M1149" s="209"/>
      <c r="N1149" s="209"/>
      <c r="O1149" s="209"/>
      <c r="P1149" s="209"/>
      <c r="Q1149" s="209"/>
      <c r="R1149" s="209"/>
      <c r="S1149" s="209"/>
      <c r="T1149" s="209"/>
      <c r="U1149" s="209"/>
      <c r="V1149" s="209"/>
      <c r="W1149" s="209"/>
      <c r="X1149" s="209"/>
      <c r="Y1149" s="209"/>
      <c r="Z1149" s="209"/>
      <c r="AA1149" s="209"/>
      <c r="AB1149" s="209"/>
      <c r="AC1149" s="209"/>
      <c r="AD1149" s="209"/>
      <c r="AE1149" s="209"/>
      <c r="AF1149" s="209"/>
      <c r="AG1149" s="209"/>
      <c r="AH1149" s="209"/>
      <c r="AI1149" s="209"/>
      <c r="AJ1149" s="209"/>
      <c r="AK1149" s="209"/>
    </row>
    <row r="1150">
      <c r="A1150" s="291"/>
      <c r="B1150" s="303" t="s">
        <v>3840</v>
      </c>
      <c r="C1150" s="304" t="s">
        <v>705</v>
      </c>
      <c r="D1150" s="304" t="s">
        <v>3841</v>
      </c>
      <c r="E1150" s="375" t="s">
        <v>3842</v>
      </c>
      <c r="F1150" s="304" t="s">
        <v>732</v>
      </c>
      <c r="G1150" s="209"/>
      <c r="H1150" s="209"/>
      <c r="I1150" s="304" t="s">
        <v>733</v>
      </c>
      <c r="J1150" s="300" t="b">
        <v>1</v>
      </c>
      <c r="K1150" s="301" t="b">
        <v>0</v>
      </c>
      <c r="L1150" s="209"/>
      <c r="M1150" s="209"/>
      <c r="N1150" s="209"/>
      <c r="O1150" s="209"/>
      <c r="P1150" s="209"/>
      <c r="Q1150" s="209"/>
      <c r="R1150" s="209"/>
      <c r="S1150" s="209"/>
      <c r="T1150" s="209"/>
      <c r="U1150" s="209"/>
      <c r="V1150" s="209"/>
      <c r="W1150" s="209"/>
      <c r="X1150" s="209"/>
      <c r="Y1150" s="209"/>
      <c r="Z1150" s="209"/>
      <c r="AA1150" s="209"/>
      <c r="AB1150" s="209"/>
      <c r="AC1150" s="209"/>
      <c r="AD1150" s="209"/>
      <c r="AE1150" s="209"/>
      <c r="AF1150" s="209"/>
      <c r="AG1150" s="209"/>
      <c r="AH1150" s="209"/>
      <c r="AI1150" s="209"/>
      <c r="AJ1150" s="209"/>
      <c r="AK1150" s="209"/>
    </row>
    <row r="1151">
      <c r="A1151" s="291"/>
      <c r="B1151" s="303" t="s">
        <v>3843</v>
      </c>
      <c r="C1151" s="304" t="s">
        <v>705</v>
      </c>
      <c r="D1151" s="304" t="s">
        <v>3844</v>
      </c>
      <c r="E1151" s="375" t="s">
        <v>3845</v>
      </c>
      <c r="F1151" s="304" t="s">
        <v>732</v>
      </c>
      <c r="G1151" s="209"/>
      <c r="H1151" s="209"/>
      <c r="I1151" s="304" t="s">
        <v>733</v>
      </c>
      <c r="J1151" s="300" t="b">
        <v>1</v>
      </c>
      <c r="K1151" s="301" t="b">
        <v>0</v>
      </c>
      <c r="L1151" s="209"/>
      <c r="M1151" s="209"/>
      <c r="N1151" s="209"/>
      <c r="O1151" s="209"/>
      <c r="P1151" s="209"/>
      <c r="Q1151" s="209"/>
      <c r="R1151" s="209"/>
      <c r="S1151" s="209"/>
      <c r="T1151" s="209"/>
      <c r="U1151" s="209"/>
      <c r="V1151" s="209"/>
      <c r="W1151" s="209"/>
      <c r="X1151" s="209"/>
      <c r="Y1151" s="209"/>
      <c r="Z1151" s="209"/>
      <c r="AA1151" s="209"/>
      <c r="AB1151" s="209"/>
      <c r="AC1151" s="209"/>
      <c r="AD1151" s="209"/>
      <c r="AE1151" s="209"/>
      <c r="AF1151" s="209"/>
      <c r="AG1151" s="209"/>
      <c r="AH1151" s="209"/>
      <c r="AI1151" s="209"/>
      <c r="AJ1151" s="209"/>
      <c r="AK1151" s="209"/>
    </row>
    <row r="1152">
      <c r="A1152" s="291"/>
      <c r="B1152" s="303" t="s">
        <v>3846</v>
      </c>
      <c r="C1152" s="304" t="s">
        <v>431</v>
      </c>
      <c r="D1152" s="304" t="s">
        <v>3847</v>
      </c>
      <c r="E1152" s="375" t="s">
        <v>3848</v>
      </c>
      <c r="F1152" s="209"/>
      <c r="G1152" s="209"/>
      <c r="H1152" s="209"/>
      <c r="I1152" s="209"/>
      <c r="J1152" s="300" t="b">
        <v>1</v>
      </c>
      <c r="K1152" s="301" t="b">
        <v>0</v>
      </c>
      <c r="L1152" s="209"/>
      <c r="M1152" s="209"/>
      <c r="N1152" s="209"/>
      <c r="O1152" s="209"/>
      <c r="P1152" s="209"/>
      <c r="Q1152" s="209"/>
      <c r="R1152" s="209"/>
      <c r="S1152" s="209"/>
      <c r="T1152" s="209"/>
      <c r="U1152" s="209"/>
      <c r="V1152" s="209"/>
      <c r="W1152" s="209"/>
      <c r="X1152" s="209"/>
      <c r="Y1152" s="209"/>
      <c r="Z1152" s="209"/>
      <c r="AA1152" s="209"/>
      <c r="AB1152" s="209"/>
      <c r="AC1152" s="209"/>
      <c r="AD1152" s="209"/>
      <c r="AE1152" s="209"/>
      <c r="AF1152" s="209"/>
      <c r="AG1152" s="209"/>
      <c r="AH1152" s="209"/>
      <c r="AI1152" s="209"/>
      <c r="AJ1152" s="209"/>
      <c r="AK1152" s="209"/>
    </row>
    <row r="1153">
      <c r="A1153" s="291"/>
      <c r="B1153" s="303" t="s">
        <v>3849</v>
      </c>
      <c r="C1153" s="304" t="s">
        <v>431</v>
      </c>
      <c r="D1153" s="304" t="s">
        <v>3850</v>
      </c>
      <c r="E1153" s="375" t="s">
        <v>3851</v>
      </c>
      <c r="F1153" s="304" t="s">
        <v>750</v>
      </c>
      <c r="G1153" s="209"/>
      <c r="H1153" s="209"/>
      <c r="I1153" s="209"/>
      <c r="J1153" s="300" t="b">
        <v>1</v>
      </c>
      <c r="K1153" s="301" t="b">
        <v>0</v>
      </c>
      <c r="L1153" s="209"/>
      <c r="M1153" s="209"/>
      <c r="N1153" s="209"/>
      <c r="O1153" s="209"/>
      <c r="P1153" s="209"/>
      <c r="Q1153" s="209"/>
      <c r="R1153" s="209"/>
      <c r="S1153" s="209"/>
      <c r="T1153" s="209"/>
      <c r="U1153" s="209"/>
      <c r="V1153" s="209"/>
      <c r="W1153" s="209"/>
      <c r="X1153" s="209"/>
      <c r="Y1153" s="209"/>
      <c r="Z1153" s="209"/>
      <c r="AA1153" s="209"/>
      <c r="AB1153" s="209"/>
      <c r="AC1153" s="209"/>
      <c r="AD1153" s="209"/>
      <c r="AE1153" s="209"/>
      <c r="AF1153" s="209"/>
      <c r="AG1153" s="209"/>
      <c r="AH1153" s="209"/>
      <c r="AI1153" s="209"/>
      <c r="AJ1153" s="209"/>
      <c r="AK1153" s="209"/>
    </row>
    <row r="1154">
      <c r="A1154" s="291"/>
      <c r="B1154" s="303" t="s">
        <v>3852</v>
      </c>
      <c r="C1154" s="304" t="s">
        <v>1186</v>
      </c>
      <c r="D1154" s="304" t="s">
        <v>3853</v>
      </c>
      <c r="E1154" s="375" t="s">
        <v>3854</v>
      </c>
      <c r="F1154" s="304" t="s">
        <v>750</v>
      </c>
      <c r="G1154" s="209"/>
      <c r="H1154" s="209"/>
      <c r="I1154" s="209"/>
      <c r="J1154" s="300" t="b">
        <v>1</v>
      </c>
      <c r="K1154" s="301" t="b">
        <v>0</v>
      </c>
      <c r="L1154" s="209"/>
      <c r="M1154" s="209"/>
      <c r="N1154" s="209"/>
      <c r="O1154" s="209"/>
      <c r="P1154" s="209"/>
      <c r="Q1154" s="209"/>
      <c r="R1154" s="209"/>
      <c r="S1154" s="209"/>
      <c r="T1154" s="209"/>
      <c r="U1154" s="209"/>
      <c r="V1154" s="209"/>
      <c r="W1154" s="209"/>
      <c r="X1154" s="209"/>
      <c r="Y1154" s="209"/>
      <c r="Z1154" s="209"/>
      <c r="AA1154" s="209"/>
      <c r="AB1154" s="209"/>
      <c r="AC1154" s="209"/>
      <c r="AD1154" s="209"/>
      <c r="AE1154" s="209"/>
      <c r="AF1154" s="209"/>
      <c r="AG1154" s="209"/>
      <c r="AH1154" s="209"/>
      <c r="AI1154" s="209"/>
      <c r="AJ1154" s="209"/>
      <c r="AK1154" s="209"/>
    </row>
    <row r="1155">
      <c r="A1155" s="309"/>
      <c r="B1155" s="310" t="s">
        <v>3855</v>
      </c>
      <c r="C1155" s="311" t="s">
        <v>1186</v>
      </c>
      <c r="D1155" s="311" t="s">
        <v>3856</v>
      </c>
      <c r="E1155" s="380" t="s">
        <v>3857</v>
      </c>
      <c r="F1155" s="311" t="s">
        <v>732</v>
      </c>
      <c r="G1155" s="313"/>
      <c r="H1155" s="313"/>
      <c r="I1155" s="311" t="s">
        <v>733</v>
      </c>
      <c r="J1155" s="318" t="b">
        <v>1</v>
      </c>
      <c r="K1155" s="381" t="b">
        <v>0</v>
      </c>
      <c r="L1155" s="209"/>
      <c r="M1155" s="209"/>
      <c r="N1155" s="209"/>
      <c r="O1155" s="209"/>
      <c r="P1155" s="209"/>
      <c r="Q1155" s="209"/>
      <c r="R1155" s="209"/>
      <c r="S1155" s="209"/>
      <c r="T1155" s="209"/>
      <c r="U1155" s="209"/>
      <c r="V1155" s="209"/>
      <c r="W1155" s="209"/>
      <c r="X1155" s="209"/>
      <c r="Y1155" s="209"/>
      <c r="Z1155" s="209"/>
      <c r="AA1155" s="209"/>
      <c r="AB1155" s="209"/>
      <c r="AC1155" s="209"/>
      <c r="AD1155" s="209"/>
      <c r="AE1155" s="209"/>
      <c r="AF1155" s="209"/>
      <c r="AG1155" s="209"/>
      <c r="AH1155" s="209"/>
      <c r="AI1155" s="209"/>
      <c r="AJ1155" s="209"/>
      <c r="AK1155" s="209"/>
    </row>
    <row r="1156">
      <c r="A1156" s="209"/>
      <c r="B1156" s="209"/>
      <c r="C1156" s="209"/>
      <c r="D1156" s="209"/>
      <c r="E1156" s="209"/>
      <c r="F1156" s="344"/>
      <c r="G1156" s="344"/>
      <c r="H1156" s="344"/>
      <c r="I1156" s="209"/>
      <c r="J1156" s="313"/>
      <c r="K1156" s="209"/>
      <c r="L1156" s="209"/>
      <c r="M1156" s="209"/>
      <c r="N1156" s="209"/>
      <c r="O1156" s="209"/>
      <c r="P1156" s="209"/>
      <c r="Q1156" s="209"/>
      <c r="R1156" s="209"/>
      <c r="S1156" s="209"/>
      <c r="T1156" s="209"/>
      <c r="U1156" s="209"/>
      <c r="V1156" s="209"/>
      <c r="W1156" s="209"/>
      <c r="X1156" s="209"/>
      <c r="Y1156" s="209"/>
      <c r="Z1156" s="209"/>
      <c r="AA1156" s="209"/>
      <c r="AB1156" s="209"/>
      <c r="AC1156" s="209"/>
      <c r="AD1156" s="209"/>
      <c r="AE1156" s="209"/>
      <c r="AF1156" s="209"/>
      <c r="AG1156" s="209"/>
      <c r="AH1156" s="209"/>
      <c r="AI1156" s="209"/>
      <c r="AJ1156" s="209"/>
      <c r="AK1156" s="209"/>
    </row>
    <row r="1157">
      <c r="A1157" s="316" t="s">
        <v>3858</v>
      </c>
      <c r="B1157" s="319" t="s">
        <v>3859</v>
      </c>
      <c r="C1157" s="320"/>
      <c r="D1157" s="283" t="s">
        <v>3860</v>
      </c>
      <c r="E1157" s="322" t="s">
        <v>3861</v>
      </c>
      <c r="F1157" s="320"/>
      <c r="G1157" s="320"/>
      <c r="H1157" s="276" t="s">
        <v>1844</v>
      </c>
      <c r="I1157" s="285" t="s">
        <v>3862</v>
      </c>
      <c r="J1157" s="278" t="str">
        <f>IF(COUNTIF(J1158:J1177, TRUE) = COUNTA(J1158:J1177), "Complete!", IF(COUNTIF(J1158:J1177, TRUE) &gt; 0, "Partial", "Not Started"))</f>
        <v>Complete!</v>
      </c>
      <c r="K1157" s="279"/>
      <c r="L1157" s="280">
        <v>20.0</v>
      </c>
      <c r="M1157" s="209"/>
      <c r="N1157" s="209"/>
      <c r="O1157" s="209"/>
      <c r="P1157" s="209"/>
      <c r="Q1157" s="209"/>
      <c r="R1157" s="209"/>
      <c r="S1157" s="209"/>
      <c r="T1157" s="209"/>
      <c r="U1157" s="209"/>
      <c r="V1157" s="209"/>
      <c r="W1157" s="209"/>
      <c r="X1157" s="209"/>
      <c r="Y1157" s="209"/>
      <c r="Z1157" s="209"/>
      <c r="AA1157" s="209"/>
      <c r="AB1157" s="209"/>
      <c r="AC1157" s="209"/>
      <c r="AD1157" s="209"/>
      <c r="AE1157" s="209"/>
      <c r="AF1157" s="209"/>
      <c r="AG1157" s="209"/>
      <c r="AH1157" s="209"/>
      <c r="AI1157" s="209"/>
      <c r="AJ1157" s="209"/>
      <c r="AK1157" s="209"/>
    </row>
    <row r="1158">
      <c r="A1158" s="291"/>
      <c r="B1158" s="303" t="s">
        <v>3863</v>
      </c>
      <c r="C1158" s="304" t="s">
        <v>390</v>
      </c>
      <c r="D1158" s="304" t="s">
        <v>3864</v>
      </c>
      <c r="E1158" s="375" t="s">
        <v>3865</v>
      </c>
      <c r="F1158" s="209"/>
      <c r="G1158" s="209"/>
      <c r="H1158" s="209"/>
      <c r="I1158" s="209"/>
      <c r="J1158" s="300" t="b">
        <v>1</v>
      </c>
      <c r="K1158" s="301" t="b">
        <v>0</v>
      </c>
      <c r="L1158" s="209"/>
      <c r="M1158" s="209"/>
      <c r="N1158" s="209"/>
      <c r="O1158" s="209"/>
      <c r="P1158" s="209"/>
      <c r="Q1158" s="209"/>
      <c r="R1158" s="209"/>
      <c r="S1158" s="209"/>
      <c r="T1158" s="209"/>
      <c r="U1158" s="209"/>
      <c r="V1158" s="209"/>
      <c r="W1158" s="209"/>
      <c r="X1158" s="209"/>
      <c r="Y1158" s="209"/>
      <c r="Z1158" s="209"/>
      <c r="AA1158" s="209"/>
      <c r="AB1158" s="209"/>
      <c r="AC1158" s="209"/>
      <c r="AD1158" s="209"/>
      <c r="AE1158" s="209"/>
      <c r="AF1158" s="209"/>
      <c r="AG1158" s="209"/>
      <c r="AH1158" s="209"/>
      <c r="AI1158" s="209"/>
      <c r="AJ1158" s="209"/>
      <c r="AK1158" s="209"/>
    </row>
    <row r="1159">
      <c r="A1159" s="291"/>
      <c r="B1159" s="303" t="s">
        <v>3866</v>
      </c>
      <c r="C1159" s="304" t="s">
        <v>390</v>
      </c>
      <c r="D1159" s="304" t="s">
        <v>3867</v>
      </c>
      <c r="E1159" s="375" t="s">
        <v>3868</v>
      </c>
      <c r="F1159" s="209"/>
      <c r="G1159" s="209"/>
      <c r="H1159" s="209"/>
      <c r="I1159" s="209"/>
      <c r="J1159" s="300" t="b">
        <v>1</v>
      </c>
      <c r="K1159" s="301" t="b">
        <v>0</v>
      </c>
      <c r="L1159" s="209"/>
      <c r="M1159" s="209"/>
      <c r="N1159" s="209"/>
      <c r="O1159" s="209"/>
      <c r="P1159" s="209"/>
      <c r="Q1159" s="353"/>
      <c r="R1159" s="209"/>
      <c r="S1159" s="209"/>
      <c r="T1159" s="209"/>
      <c r="U1159" s="209"/>
      <c r="V1159" s="209"/>
      <c r="W1159" s="209"/>
      <c r="X1159" s="209"/>
      <c r="Y1159" s="209"/>
      <c r="Z1159" s="209"/>
      <c r="AA1159" s="209"/>
      <c r="AB1159" s="209"/>
      <c r="AC1159" s="209"/>
      <c r="AD1159" s="209"/>
      <c r="AE1159" s="209"/>
      <c r="AF1159" s="209"/>
      <c r="AG1159" s="209"/>
      <c r="AH1159" s="209"/>
      <c r="AI1159" s="209"/>
      <c r="AJ1159" s="209"/>
      <c r="AK1159" s="209"/>
    </row>
    <row r="1160">
      <c r="A1160" s="291"/>
      <c r="B1160" s="303" t="s">
        <v>3869</v>
      </c>
      <c r="C1160" s="304" t="s">
        <v>400</v>
      </c>
      <c r="D1160" s="304" t="s">
        <v>3870</v>
      </c>
      <c r="E1160" s="375" t="s">
        <v>3871</v>
      </c>
      <c r="F1160" s="209"/>
      <c r="G1160" s="209"/>
      <c r="H1160" s="209"/>
      <c r="I1160" s="209"/>
      <c r="J1160" s="300" t="b">
        <v>1</v>
      </c>
      <c r="K1160" s="301" t="b">
        <v>0</v>
      </c>
      <c r="L1160" s="209"/>
      <c r="M1160" s="209"/>
      <c r="N1160" s="209"/>
      <c r="O1160" s="209"/>
      <c r="P1160" s="209"/>
      <c r="Q1160" s="353"/>
      <c r="R1160" s="209"/>
      <c r="S1160" s="209"/>
      <c r="T1160" s="209"/>
      <c r="U1160" s="209"/>
      <c r="V1160" s="209"/>
      <c r="W1160" s="209"/>
      <c r="X1160" s="209"/>
      <c r="Y1160" s="209"/>
      <c r="Z1160" s="209"/>
      <c r="AA1160" s="209"/>
      <c r="AB1160" s="209"/>
      <c r="AC1160" s="209"/>
      <c r="AD1160" s="209"/>
      <c r="AE1160" s="209"/>
      <c r="AF1160" s="209"/>
      <c r="AG1160" s="209"/>
      <c r="AH1160" s="209"/>
      <c r="AI1160" s="209"/>
      <c r="AJ1160" s="209"/>
      <c r="AK1160" s="209"/>
    </row>
    <row r="1161">
      <c r="A1161" s="291"/>
      <c r="B1161" s="303" t="s">
        <v>3872</v>
      </c>
      <c r="C1161" s="304" t="s">
        <v>400</v>
      </c>
      <c r="D1161" s="304" t="s">
        <v>3873</v>
      </c>
      <c r="E1161" s="375" t="s">
        <v>3874</v>
      </c>
      <c r="F1161" s="304" t="s">
        <v>732</v>
      </c>
      <c r="G1161" s="209"/>
      <c r="H1161" s="209"/>
      <c r="I1161" s="304" t="s">
        <v>733</v>
      </c>
      <c r="J1161" s="300" t="b">
        <v>1</v>
      </c>
      <c r="K1161" s="301" t="b">
        <v>0</v>
      </c>
      <c r="L1161" s="209"/>
      <c r="M1161" s="209"/>
      <c r="N1161" s="209"/>
      <c r="O1161" s="209"/>
      <c r="P1161" s="209"/>
      <c r="Q1161" s="209"/>
      <c r="R1161" s="209"/>
      <c r="S1161" s="209"/>
      <c r="T1161" s="209"/>
      <c r="U1161" s="209"/>
      <c r="V1161" s="209"/>
      <c r="W1161" s="209"/>
      <c r="X1161" s="209"/>
      <c r="Y1161" s="209"/>
      <c r="Z1161" s="209"/>
      <c r="AA1161" s="209"/>
      <c r="AB1161" s="209"/>
      <c r="AC1161" s="209"/>
      <c r="AD1161" s="209"/>
      <c r="AE1161" s="209"/>
      <c r="AF1161" s="209"/>
      <c r="AG1161" s="209"/>
      <c r="AH1161" s="209"/>
      <c r="AI1161" s="209"/>
      <c r="AJ1161" s="209"/>
      <c r="AK1161" s="209"/>
    </row>
    <row r="1162">
      <c r="A1162" s="291"/>
      <c r="B1162" s="303" t="s">
        <v>3875</v>
      </c>
      <c r="C1162" s="304" t="s">
        <v>705</v>
      </c>
      <c r="D1162" s="304" t="s">
        <v>3876</v>
      </c>
      <c r="E1162" s="375" t="s">
        <v>3877</v>
      </c>
      <c r="F1162" s="209"/>
      <c r="G1162" s="209"/>
      <c r="H1162" s="209"/>
      <c r="I1162" s="209"/>
      <c r="J1162" s="300" t="b">
        <v>1</v>
      </c>
      <c r="K1162" s="301" t="b">
        <v>0</v>
      </c>
      <c r="L1162" s="209"/>
      <c r="M1162" s="209"/>
      <c r="N1162" s="209"/>
      <c r="O1162" s="209"/>
      <c r="P1162" s="209"/>
      <c r="Q1162" s="209"/>
      <c r="R1162" s="209"/>
      <c r="S1162" s="209"/>
      <c r="T1162" s="209"/>
      <c r="U1162" s="209"/>
      <c r="V1162" s="209"/>
      <c r="W1162" s="209"/>
      <c r="X1162" s="209"/>
      <c r="Y1162" s="209"/>
      <c r="Z1162" s="209"/>
      <c r="AA1162" s="209"/>
      <c r="AB1162" s="209"/>
      <c r="AC1162" s="209"/>
      <c r="AD1162" s="209"/>
      <c r="AE1162" s="209"/>
      <c r="AF1162" s="209"/>
      <c r="AG1162" s="209"/>
      <c r="AH1162" s="209"/>
      <c r="AI1162" s="209"/>
      <c r="AJ1162" s="209"/>
      <c r="AK1162" s="209"/>
    </row>
    <row r="1163">
      <c r="A1163" s="291"/>
      <c r="B1163" s="303" t="s">
        <v>3878</v>
      </c>
      <c r="C1163" s="304" t="s">
        <v>705</v>
      </c>
      <c r="D1163" s="304" t="s">
        <v>3879</v>
      </c>
      <c r="E1163" s="375" t="s">
        <v>3880</v>
      </c>
      <c r="F1163" s="304" t="s">
        <v>732</v>
      </c>
      <c r="G1163" s="209"/>
      <c r="H1163" s="209"/>
      <c r="I1163" s="304" t="s">
        <v>733</v>
      </c>
      <c r="J1163" s="300" t="b">
        <v>1</v>
      </c>
      <c r="K1163" s="301" t="b">
        <v>0</v>
      </c>
      <c r="L1163" s="209"/>
      <c r="M1163" s="209"/>
      <c r="N1163" s="209"/>
      <c r="O1163" s="209"/>
      <c r="P1163" s="209"/>
      <c r="Q1163" s="353"/>
      <c r="R1163" s="209"/>
      <c r="S1163" s="209"/>
      <c r="T1163" s="209"/>
      <c r="U1163" s="209"/>
      <c r="V1163" s="209"/>
      <c r="W1163" s="209"/>
      <c r="X1163" s="209"/>
      <c r="Y1163" s="209"/>
      <c r="Z1163" s="209"/>
      <c r="AA1163" s="209"/>
      <c r="AB1163" s="209"/>
      <c r="AC1163" s="209"/>
      <c r="AD1163" s="209"/>
      <c r="AE1163" s="209"/>
      <c r="AF1163" s="209"/>
      <c r="AG1163" s="209"/>
      <c r="AH1163" s="209"/>
      <c r="AI1163" s="209"/>
      <c r="AJ1163" s="209"/>
      <c r="AK1163" s="209"/>
    </row>
    <row r="1164">
      <c r="A1164" s="291"/>
      <c r="B1164" s="303" t="s">
        <v>3881</v>
      </c>
      <c r="C1164" s="304" t="s">
        <v>431</v>
      </c>
      <c r="D1164" s="304" t="s">
        <v>3882</v>
      </c>
      <c r="E1164" s="375" t="s">
        <v>3883</v>
      </c>
      <c r="F1164" s="209"/>
      <c r="G1164" s="209"/>
      <c r="H1164" s="209"/>
      <c r="I1164" s="209"/>
      <c r="J1164" s="300" t="b">
        <v>1</v>
      </c>
      <c r="K1164" s="301" t="b">
        <v>0</v>
      </c>
      <c r="L1164" s="209"/>
      <c r="M1164" s="209"/>
      <c r="N1164" s="209"/>
      <c r="O1164" s="209"/>
      <c r="P1164" s="209"/>
      <c r="Q1164" s="353"/>
      <c r="R1164" s="209"/>
      <c r="S1164" s="209"/>
      <c r="T1164" s="209"/>
      <c r="U1164" s="209"/>
      <c r="V1164" s="209"/>
      <c r="W1164" s="209"/>
      <c r="X1164" s="209"/>
      <c r="Y1164" s="209"/>
      <c r="Z1164" s="209"/>
      <c r="AA1164" s="209"/>
      <c r="AB1164" s="209"/>
      <c r="AC1164" s="209"/>
      <c r="AD1164" s="209"/>
      <c r="AE1164" s="209"/>
      <c r="AF1164" s="209"/>
      <c r="AG1164" s="209"/>
      <c r="AH1164" s="209"/>
      <c r="AI1164" s="209"/>
      <c r="AJ1164" s="209"/>
      <c r="AK1164" s="209"/>
    </row>
    <row r="1165">
      <c r="A1165" s="291"/>
      <c r="B1165" s="303" t="s">
        <v>3884</v>
      </c>
      <c r="C1165" s="304" t="s">
        <v>431</v>
      </c>
      <c r="D1165" s="304" t="s">
        <v>3885</v>
      </c>
      <c r="E1165" s="375" t="s">
        <v>3886</v>
      </c>
      <c r="F1165" s="209"/>
      <c r="G1165" s="209"/>
      <c r="H1165" s="209"/>
      <c r="I1165" s="209"/>
      <c r="J1165" s="300" t="b">
        <v>1</v>
      </c>
      <c r="K1165" s="301" t="b">
        <v>0</v>
      </c>
      <c r="L1165" s="209"/>
      <c r="M1165" s="209"/>
      <c r="N1165" s="209"/>
      <c r="O1165" s="209"/>
      <c r="P1165" s="209"/>
      <c r="Q1165" s="209"/>
      <c r="R1165" s="209"/>
      <c r="S1165" s="209"/>
      <c r="T1165" s="209"/>
      <c r="U1165" s="209"/>
      <c r="V1165" s="209"/>
      <c r="W1165" s="209"/>
      <c r="X1165" s="209"/>
      <c r="Y1165" s="209"/>
      <c r="Z1165" s="209"/>
      <c r="AA1165" s="209"/>
      <c r="AB1165" s="209"/>
      <c r="AC1165" s="209"/>
      <c r="AD1165" s="209"/>
      <c r="AE1165" s="209"/>
      <c r="AF1165" s="209"/>
      <c r="AG1165" s="209"/>
      <c r="AH1165" s="209"/>
      <c r="AI1165" s="209"/>
      <c r="AJ1165" s="209"/>
      <c r="AK1165" s="209"/>
    </row>
    <row r="1166">
      <c r="A1166" s="291"/>
      <c r="B1166" s="303" t="s">
        <v>3887</v>
      </c>
      <c r="C1166" s="304" t="s">
        <v>1186</v>
      </c>
      <c r="D1166" s="304" t="s">
        <v>3888</v>
      </c>
      <c r="E1166" s="375" t="s">
        <v>3889</v>
      </c>
      <c r="F1166" s="304" t="s">
        <v>750</v>
      </c>
      <c r="G1166" s="209"/>
      <c r="H1166" s="209"/>
      <c r="I1166" s="209"/>
      <c r="J1166" s="300" t="b">
        <v>1</v>
      </c>
      <c r="K1166" s="301" t="b">
        <v>0</v>
      </c>
      <c r="L1166" s="209"/>
      <c r="M1166" s="209"/>
      <c r="N1166" s="209"/>
      <c r="O1166" s="209"/>
      <c r="P1166" s="209"/>
      <c r="Q1166" s="209"/>
      <c r="R1166" s="209"/>
      <c r="S1166" s="209"/>
      <c r="T1166" s="209"/>
      <c r="U1166" s="209"/>
      <c r="V1166" s="209"/>
      <c r="W1166" s="209"/>
      <c r="X1166" s="209"/>
      <c r="Y1166" s="209"/>
      <c r="Z1166" s="209"/>
      <c r="AA1166" s="209"/>
      <c r="AB1166" s="209"/>
      <c r="AC1166" s="209"/>
      <c r="AD1166" s="209"/>
      <c r="AE1166" s="209"/>
      <c r="AF1166" s="209"/>
      <c r="AG1166" s="209"/>
      <c r="AH1166" s="209"/>
      <c r="AI1166" s="209"/>
      <c r="AJ1166" s="209"/>
      <c r="AK1166" s="209"/>
    </row>
    <row r="1167">
      <c r="A1167" s="291"/>
      <c r="B1167" s="303" t="s">
        <v>3890</v>
      </c>
      <c r="C1167" s="304" t="s">
        <v>1186</v>
      </c>
      <c r="D1167" s="304" t="s">
        <v>3891</v>
      </c>
      <c r="E1167" s="375" t="s">
        <v>3892</v>
      </c>
      <c r="F1167" s="209"/>
      <c r="G1167" s="209"/>
      <c r="H1167" s="209"/>
      <c r="I1167" s="209"/>
      <c r="J1167" s="300" t="b">
        <v>1</v>
      </c>
      <c r="K1167" s="301" t="b">
        <v>0</v>
      </c>
      <c r="L1167" s="209"/>
      <c r="M1167" s="209"/>
      <c r="N1167" s="209"/>
      <c r="O1167" s="209"/>
      <c r="P1167" s="209"/>
      <c r="Q1167" s="209"/>
      <c r="R1167" s="209"/>
      <c r="S1167" s="209"/>
      <c r="T1167" s="209"/>
      <c r="U1167" s="209"/>
      <c r="V1167" s="209"/>
      <c r="W1167" s="209"/>
      <c r="X1167" s="209"/>
      <c r="Y1167" s="209"/>
      <c r="Z1167" s="209"/>
      <c r="AA1167" s="209"/>
      <c r="AB1167" s="209"/>
      <c r="AC1167" s="209"/>
      <c r="AD1167" s="209"/>
      <c r="AE1167" s="209"/>
      <c r="AF1167" s="209"/>
      <c r="AG1167" s="209"/>
      <c r="AH1167" s="209"/>
      <c r="AI1167" s="209"/>
      <c r="AJ1167" s="209"/>
      <c r="AK1167" s="209"/>
    </row>
    <row r="1168">
      <c r="A1168" s="291"/>
      <c r="B1168" s="303" t="s">
        <v>3893</v>
      </c>
      <c r="C1168" s="304" t="s">
        <v>390</v>
      </c>
      <c r="D1168" s="304" t="s">
        <v>3894</v>
      </c>
      <c r="E1168" s="305">
        <v>8.10115972877E11</v>
      </c>
      <c r="F1168" s="209"/>
      <c r="G1168" s="209"/>
      <c r="H1168" s="209"/>
      <c r="I1168" s="209"/>
      <c r="J1168" s="300" t="b">
        <v>1</v>
      </c>
      <c r="K1168" s="301" t="b">
        <v>0</v>
      </c>
      <c r="L1168" s="209"/>
      <c r="M1168" s="209"/>
      <c r="N1168" s="209"/>
      <c r="O1168" s="209"/>
      <c r="P1168" s="209"/>
      <c r="Q1168" s="209"/>
      <c r="R1168" s="209"/>
      <c r="S1168" s="209"/>
      <c r="T1168" s="209"/>
      <c r="U1168" s="209"/>
      <c r="V1168" s="209"/>
      <c r="W1168" s="209"/>
      <c r="X1168" s="209"/>
      <c r="Y1168" s="209"/>
      <c r="Z1168" s="209"/>
      <c r="AA1168" s="209"/>
      <c r="AB1168" s="209"/>
      <c r="AC1168" s="209"/>
      <c r="AD1168" s="209"/>
      <c r="AE1168" s="209"/>
      <c r="AF1168" s="209"/>
      <c r="AG1168" s="209"/>
      <c r="AH1168" s="209"/>
      <c r="AI1168" s="209"/>
      <c r="AJ1168" s="209"/>
      <c r="AK1168" s="209"/>
    </row>
    <row r="1169">
      <c r="A1169" s="291"/>
      <c r="B1169" s="303" t="s">
        <v>3895</v>
      </c>
      <c r="C1169" s="304" t="s">
        <v>390</v>
      </c>
      <c r="D1169" s="304" t="s">
        <v>3896</v>
      </c>
      <c r="E1169" s="375" t="s">
        <v>3897</v>
      </c>
      <c r="F1169" s="209"/>
      <c r="G1169" s="209"/>
      <c r="H1169" s="209"/>
      <c r="I1169" s="209"/>
      <c r="J1169" s="300" t="b">
        <v>1</v>
      </c>
      <c r="K1169" s="301" t="b">
        <v>0</v>
      </c>
      <c r="L1169" s="209"/>
      <c r="M1169" s="209"/>
      <c r="N1169" s="209"/>
      <c r="O1169" s="209"/>
      <c r="P1169" s="209"/>
      <c r="Q1169" s="209"/>
      <c r="R1169" s="209"/>
      <c r="S1169" s="209"/>
      <c r="T1169" s="209"/>
      <c r="U1169" s="209"/>
      <c r="V1169" s="209"/>
      <c r="W1169" s="209"/>
      <c r="X1169" s="209"/>
      <c r="Y1169" s="209"/>
      <c r="Z1169" s="209"/>
      <c r="AA1169" s="209"/>
      <c r="AB1169" s="209"/>
      <c r="AC1169" s="209"/>
      <c r="AD1169" s="209"/>
      <c r="AE1169" s="209"/>
      <c r="AF1169" s="209"/>
      <c r="AG1169" s="209"/>
      <c r="AH1169" s="209"/>
      <c r="AI1169" s="209"/>
      <c r="AJ1169" s="209"/>
      <c r="AK1169" s="209"/>
    </row>
    <row r="1170">
      <c r="A1170" s="291"/>
      <c r="B1170" s="303" t="s">
        <v>3898</v>
      </c>
      <c r="C1170" s="304" t="s">
        <v>400</v>
      </c>
      <c r="D1170" s="304" t="s">
        <v>3899</v>
      </c>
      <c r="E1170" s="305">
        <v>8.10115972884E11</v>
      </c>
      <c r="F1170" s="209"/>
      <c r="G1170" s="209"/>
      <c r="H1170" s="209"/>
      <c r="I1170" s="209"/>
      <c r="J1170" s="300" t="b">
        <v>1</v>
      </c>
      <c r="K1170" s="301" t="b">
        <v>0</v>
      </c>
      <c r="L1170" s="209"/>
      <c r="M1170" s="209"/>
      <c r="N1170" s="209"/>
      <c r="O1170" s="209"/>
      <c r="P1170" s="209"/>
      <c r="Q1170" s="209"/>
      <c r="R1170" s="209"/>
      <c r="S1170" s="209"/>
      <c r="T1170" s="209"/>
      <c r="U1170" s="209"/>
      <c r="V1170" s="209"/>
      <c r="W1170" s="209"/>
      <c r="X1170" s="209"/>
      <c r="Y1170" s="209"/>
      <c r="Z1170" s="209"/>
      <c r="AA1170" s="209"/>
      <c r="AB1170" s="209"/>
      <c r="AC1170" s="209"/>
      <c r="AD1170" s="209"/>
      <c r="AE1170" s="209"/>
      <c r="AF1170" s="209"/>
      <c r="AG1170" s="209"/>
      <c r="AH1170" s="209"/>
      <c r="AI1170" s="209"/>
      <c r="AJ1170" s="209"/>
      <c r="AK1170" s="209"/>
    </row>
    <row r="1171">
      <c r="A1171" s="291"/>
      <c r="B1171" s="303" t="s">
        <v>3900</v>
      </c>
      <c r="C1171" s="304" t="s">
        <v>400</v>
      </c>
      <c r="D1171" s="304" t="s">
        <v>3901</v>
      </c>
      <c r="E1171" s="375" t="s">
        <v>3902</v>
      </c>
      <c r="F1171" s="304" t="s">
        <v>750</v>
      </c>
      <c r="G1171" s="209"/>
      <c r="H1171" s="209"/>
      <c r="I1171" s="209"/>
      <c r="J1171" s="300" t="b">
        <v>1</v>
      </c>
      <c r="K1171" s="301" t="b">
        <v>0</v>
      </c>
      <c r="L1171" s="209"/>
      <c r="M1171" s="209"/>
      <c r="N1171" s="209"/>
      <c r="O1171" s="209"/>
      <c r="P1171" s="209"/>
      <c r="Q1171" s="209"/>
      <c r="R1171" s="209"/>
      <c r="S1171" s="209"/>
      <c r="T1171" s="209"/>
      <c r="U1171" s="209"/>
      <c r="V1171" s="209"/>
      <c r="W1171" s="209"/>
      <c r="X1171" s="209"/>
      <c r="Y1171" s="209"/>
      <c r="Z1171" s="209"/>
      <c r="AA1171" s="209"/>
      <c r="AB1171" s="209"/>
      <c r="AC1171" s="209"/>
      <c r="AD1171" s="209"/>
      <c r="AE1171" s="209"/>
      <c r="AF1171" s="209"/>
      <c r="AG1171" s="209"/>
      <c r="AH1171" s="209"/>
      <c r="AI1171" s="209"/>
      <c r="AJ1171" s="209"/>
      <c r="AK1171" s="209"/>
    </row>
    <row r="1172">
      <c r="A1172" s="291"/>
      <c r="B1172" s="303" t="s">
        <v>3903</v>
      </c>
      <c r="C1172" s="304" t="s">
        <v>705</v>
      </c>
      <c r="D1172" s="304" t="s">
        <v>3904</v>
      </c>
      <c r="E1172" s="305">
        <v>8.10115972891E11</v>
      </c>
      <c r="F1172" s="304" t="s">
        <v>732</v>
      </c>
      <c r="G1172" s="209"/>
      <c r="H1172" s="209"/>
      <c r="I1172" s="304" t="s">
        <v>733</v>
      </c>
      <c r="J1172" s="300" t="b">
        <v>1</v>
      </c>
      <c r="K1172" s="301" t="b">
        <v>0</v>
      </c>
      <c r="L1172" s="209"/>
      <c r="M1172" s="209"/>
      <c r="N1172" s="209"/>
      <c r="O1172" s="209"/>
      <c r="P1172" s="209"/>
      <c r="Q1172" s="209"/>
      <c r="R1172" s="209"/>
      <c r="S1172" s="209"/>
      <c r="T1172" s="209"/>
      <c r="U1172" s="209"/>
      <c r="V1172" s="209"/>
      <c r="W1172" s="209"/>
      <c r="X1172" s="209"/>
      <c r="Y1172" s="209"/>
      <c r="Z1172" s="209"/>
      <c r="AA1172" s="209"/>
      <c r="AB1172" s="209"/>
      <c r="AC1172" s="209"/>
      <c r="AD1172" s="209"/>
      <c r="AE1172" s="209"/>
      <c r="AF1172" s="209"/>
      <c r="AG1172" s="209"/>
      <c r="AH1172" s="209"/>
      <c r="AI1172" s="209"/>
      <c r="AJ1172" s="209"/>
      <c r="AK1172" s="209"/>
    </row>
    <row r="1173">
      <c r="A1173" s="291"/>
      <c r="B1173" s="303" t="s">
        <v>3905</v>
      </c>
      <c r="C1173" s="304" t="s">
        <v>705</v>
      </c>
      <c r="D1173" s="304" t="s">
        <v>3906</v>
      </c>
      <c r="E1173" s="375" t="s">
        <v>3907</v>
      </c>
      <c r="F1173" s="209"/>
      <c r="G1173" s="209"/>
      <c r="H1173" s="209"/>
      <c r="I1173" s="209"/>
      <c r="J1173" s="300" t="b">
        <v>1</v>
      </c>
      <c r="K1173" s="301" t="b">
        <v>0</v>
      </c>
      <c r="L1173" s="209"/>
      <c r="M1173" s="209"/>
      <c r="N1173" s="209"/>
      <c r="O1173" s="209"/>
      <c r="P1173" s="209"/>
      <c r="Q1173" s="209"/>
      <c r="R1173" s="209"/>
      <c r="S1173" s="209"/>
      <c r="T1173" s="209"/>
      <c r="U1173" s="209"/>
      <c r="V1173" s="209"/>
      <c r="W1173" s="209"/>
      <c r="X1173" s="209"/>
      <c r="Y1173" s="209"/>
      <c r="Z1173" s="209"/>
      <c r="AA1173" s="209"/>
      <c r="AB1173" s="209"/>
      <c r="AC1173" s="209"/>
      <c r="AD1173" s="209"/>
      <c r="AE1173" s="209"/>
      <c r="AF1173" s="209"/>
      <c r="AG1173" s="209"/>
      <c r="AH1173" s="209"/>
      <c r="AI1173" s="209"/>
      <c r="AJ1173" s="209"/>
      <c r="AK1173" s="209"/>
    </row>
    <row r="1174">
      <c r="A1174" s="291"/>
      <c r="B1174" s="303" t="s">
        <v>3908</v>
      </c>
      <c r="C1174" s="304" t="s">
        <v>431</v>
      </c>
      <c r="D1174" s="304" t="s">
        <v>3909</v>
      </c>
      <c r="E1174" s="305">
        <v>8.10115972907E11</v>
      </c>
      <c r="F1174" s="209"/>
      <c r="G1174" s="209"/>
      <c r="H1174" s="209"/>
      <c r="I1174" s="209"/>
      <c r="J1174" s="300" t="b">
        <v>1</v>
      </c>
      <c r="K1174" s="301" t="b">
        <v>0</v>
      </c>
      <c r="L1174" s="209"/>
      <c r="M1174" s="209"/>
      <c r="N1174" s="209"/>
      <c r="O1174" s="209"/>
      <c r="P1174" s="209"/>
      <c r="Q1174" s="209"/>
      <c r="R1174" s="209"/>
      <c r="S1174" s="209"/>
      <c r="T1174" s="209"/>
      <c r="U1174" s="209"/>
      <c r="V1174" s="209"/>
      <c r="W1174" s="209"/>
      <c r="X1174" s="209"/>
      <c r="Y1174" s="209"/>
      <c r="Z1174" s="209"/>
      <c r="AA1174" s="209"/>
      <c r="AB1174" s="209"/>
      <c r="AC1174" s="209"/>
      <c r="AD1174" s="209"/>
      <c r="AE1174" s="209"/>
      <c r="AF1174" s="209"/>
      <c r="AG1174" s="209"/>
      <c r="AH1174" s="209"/>
      <c r="AI1174" s="209"/>
      <c r="AJ1174" s="209"/>
      <c r="AK1174" s="209"/>
    </row>
    <row r="1175">
      <c r="A1175" s="291"/>
      <c r="B1175" s="303" t="s">
        <v>3910</v>
      </c>
      <c r="C1175" s="304" t="s">
        <v>431</v>
      </c>
      <c r="D1175" s="304" t="s">
        <v>3911</v>
      </c>
      <c r="E1175" s="375" t="s">
        <v>3912</v>
      </c>
      <c r="F1175" s="209"/>
      <c r="G1175" s="209"/>
      <c r="H1175" s="209"/>
      <c r="I1175" s="209"/>
      <c r="J1175" s="300" t="b">
        <v>1</v>
      </c>
      <c r="K1175" s="301" t="b">
        <v>0</v>
      </c>
      <c r="L1175" s="209"/>
      <c r="M1175" s="209"/>
      <c r="N1175" s="209"/>
      <c r="O1175" s="209"/>
      <c r="P1175" s="209"/>
      <c r="Q1175" s="209"/>
      <c r="R1175" s="209"/>
      <c r="S1175" s="209"/>
      <c r="T1175" s="209"/>
      <c r="U1175" s="209"/>
      <c r="V1175" s="209"/>
      <c r="W1175" s="209"/>
      <c r="X1175" s="209"/>
      <c r="Y1175" s="209"/>
      <c r="Z1175" s="209"/>
      <c r="AA1175" s="209"/>
      <c r="AB1175" s="209"/>
      <c r="AC1175" s="209"/>
      <c r="AD1175" s="209"/>
      <c r="AE1175" s="209"/>
      <c r="AF1175" s="209"/>
      <c r="AG1175" s="209"/>
      <c r="AH1175" s="209"/>
      <c r="AI1175" s="209"/>
      <c r="AJ1175" s="209"/>
      <c r="AK1175" s="209"/>
    </row>
    <row r="1176">
      <c r="A1176" s="291"/>
      <c r="B1176" s="303" t="s">
        <v>3913</v>
      </c>
      <c r="C1176" s="304" t="s">
        <v>1186</v>
      </c>
      <c r="D1176" s="304" t="s">
        <v>3914</v>
      </c>
      <c r="E1176" s="305">
        <v>8.10115974116E11</v>
      </c>
      <c r="F1176" s="304" t="s">
        <v>732</v>
      </c>
      <c r="G1176" s="209"/>
      <c r="H1176" s="209"/>
      <c r="I1176" s="304" t="s">
        <v>733</v>
      </c>
      <c r="J1176" s="300" t="b">
        <v>1</v>
      </c>
      <c r="K1176" s="301" t="b">
        <v>0</v>
      </c>
      <c r="L1176" s="209"/>
      <c r="M1176" s="209"/>
      <c r="N1176" s="209"/>
      <c r="O1176" s="209"/>
      <c r="P1176" s="209"/>
      <c r="Q1176" s="209"/>
      <c r="R1176" s="209"/>
      <c r="S1176" s="209"/>
      <c r="T1176" s="209"/>
      <c r="U1176" s="209"/>
      <c r="V1176" s="209"/>
      <c r="W1176" s="209"/>
      <c r="X1176" s="209"/>
      <c r="Y1176" s="209"/>
      <c r="Z1176" s="209"/>
      <c r="AA1176" s="209"/>
      <c r="AB1176" s="209"/>
      <c r="AC1176" s="209"/>
      <c r="AD1176" s="209"/>
      <c r="AE1176" s="209"/>
      <c r="AF1176" s="209"/>
      <c r="AG1176" s="209"/>
      <c r="AH1176" s="209"/>
      <c r="AI1176" s="209"/>
      <c r="AJ1176" s="209"/>
      <c r="AK1176" s="209"/>
    </row>
    <row r="1177">
      <c r="A1177" s="309"/>
      <c r="B1177" s="310" t="s">
        <v>3915</v>
      </c>
      <c r="C1177" s="311" t="s">
        <v>1186</v>
      </c>
      <c r="D1177" s="311" t="s">
        <v>3916</v>
      </c>
      <c r="E1177" s="380" t="s">
        <v>3917</v>
      </c>
      <c r="F1177" s="311" t="s">
        <v>732</v>
      </c>
      <c r="G1177" s="313"/>
      <c r="H1177" s="313"/>
      <c r="I1177" s="311" t="s">
        <v>733</v>
      </c>
      <c r="J1177" s="318" t="b">
        <v>1</v>
      </c>
      <c r="K1177" s="301" t="b">
        <v>0</v>
      </c>
      <c r="L1177" s="209"/>
      <c r="M1177" s="209"/>
      <c r="N1177" s="209"/>
      <c r="O1177" s="209"/>
      <c r="P1177" s="209"/>
      <c r="Q1177" s="209"/>
      <c r="R1177" s="209"/>
      <c r="S1177" s="209"/>
      <c r="T1177" s="209"/>
      <c r="U1177" s="209"/>
      <c r="V1177" s="209"/>
      <c r="W1177" s="209"/>
      <c r="X1177" s="209"/>
      <c r="Y1177" s="209"/>
      <c r="Z1177" s="209"/>
      <c r="AA1177" s="209"/>
      <c r="AB1177" s="209"/>
      <c r="AC1177" s="209"/>
      <c r="AD1177" s="209"/>
      <c r="AE1177" s="209"/>
      <c r="AF1177" s="209"/>
      <c r="AG1177" s="209"/>
      <c r="AH1177" s="209"/>
      <c r="AI1177" s="209"/>
      <c r="AJ1177" s="209"/>
      <c r="AK1177" s="209"/>
    </row>
    <row r="1178">
      <c r="A1178" s="209"/>
      <c r="B1178" s="209"/>
      <c r="C1178" s="209"/>
      <c r="D1178" s="209"/>
      <c r="E1178" s="209"/>
      <c r="F1178" s="344"/>
      <c r="G1178" s="344"/>
      <c r="H1178" s="344"/>
      <c r="I1178" s="209"/>
      <c r="J1178" s="313"/>
      <c r="K1178" s="209"/>
      <c r="L1178" s="209"/>
      <c r="M1178" s="209"/>
      <c r="N1178" s="209"/>
      <c r="O1178" s="209"/>
      <c r="P1178" s="209"/>
      <c r="Q1178" s="209"/>
      <c r="R1178" s="209"/>
      <c r="S1178" s="209"/>
      <c r="T1178" s="209"/>
      <c r="U1178" s="209"/>
      <c r="V1178" s="209"/>
      <c r="W1178" s="209"/>
      <c r="X1178" s="209"/>
      <c r="Y1178" s="209"/>
      <c r="Z1178" s="209"/>
      <c r="AA1178" s="209"/>
      <c r="AB1178" s="209"/>
      <c r="AC1178" s="209"/>
      <c r="AD1178" s="209"/>
      <c r="AE1178" s="209"/>
      <c r="AF1178" s="209"/>
      <c r="AG1178" s="209"/>
      <c r="AH1178" s="209"/>
      <c r="AI1178" s="209"/>
      <c r="AJ1178" s="209"/>
      <c r="AK1178" s="209"/>
    </row>
    <row r="1179">
      <c r="A1179" s="316" t="s">
        <v>3918</v>
      </c>
      <c r="B1179" s="319" t="s">
        <v>3919</v>
      </c>
      <c r="C1179" s="320"/>
      <c r="D1179" s="283" t="s">
        <v>3920</v>
      </c>
      <c r="E1179" s="322" t="s">
        <v>3921</v>
      </c>
      <c r="F1179" s="320"/>
      <c r="G1179" s="320"/>
      <c r="H1179" s="276" t="s">
        <v>888</v>
      </c>
      <c r="I1179" s="285" t="s">
        <v>3922</v>
      </c>
      <c r="J1179" s="438" t="str">
        <f>IF(COUNTIF(J1180:J1191, TRUE) = COUNTA(J1180:J1191), "Complete!", IF(COUNTIF(J1180:J1191, TRUE) &gt; 0, "Partial", "Not Started"))</f>
        <v>Complete!</v>
      </c>
      <c r="K1179" s="334"/>
      <c r="L1179" s="280">
        <v>12.0</v>
      </c>
      <c r="M1179" s="209"/>
      <c r="N1179" s="209"/>
      <c r="O1179" s="209"/>
      <c r="P1179" s="209"/>
      <c r="Q1179" s="209"/>
      <c r="R1179" s="209"/>
      <c r="S1179" s="209"/>
      <c r="T1179" s="209"/>
      <c r="U1179" s="209"/>
      <c r="V1179" s="209"/>
      <c r="W1179" s="209"/>
      <c r="X1179" s="209"/>
      <c r="Y1179" s="209"/>
      <c r="Z1179" s="209"/>
      <c r="AA1179" s="209"/>
      <c r="AB1179" s="209"/>
      <c r="AC1179" s="209"/>
      <c r="AD1179" s="209"/>
      <c r="AE1179" s="209"/>
      <c r="AF1179" s="209"/>
      <c r="AG1179" s="209"/>
      <c r="AH1179" s="209"/>
      <c r="AI1179" s="209"/>
      <c r="AJ1179" s="209"/>
      <c r="AK1179" s="209"/>
    </row>
    <row r="1180">
      <c r="A1180" s="291"/>
      <c r="B1180" s="292" t="s">
        <v>3923</v>
      </c>
      <c r="C1180" s="293" t="s">
        <v>404</v>
      </c>
      <c r="D1180" s="304" t="s">
        <v>3924</v>
      </c>
      <c r="E1180" s="294">
        <v>8.10115973928E11</v>
      </c>
      <c r="F1180" s="293" t="s">
        <v>732</v>
      </c>
      <c r="G1180" s="295"/>
      <c r="H1180" s="295"/>
      <c r="I1180" s="304" t="s">
        <v>733</v>
      </c>
      <c r="J1180" s="296" t="b">
        <v>1</v>
      </c>
      <c r="K1180" s="297" t="b">
        <v>0</v>
      </c>
      <c r="L1180" s="209"/>
      <c r="M1180" s="209"/>
      <c r="N1180" s="209"/>
      <c r="O1180" s="209"/>
      <c r="P1180" s="209"/>
      <c r="Q1180" s="209"/>
      <c r="R1180" s="209"/>
      <c r="S1180" s="209"/>
      <c r="T1180" s="209"/>
      <c r="U1180" s="209"/>
      <c r="V1180" s="209"/>
      <c r="W1180" s="209"/>
      <c r="X1180" s="209"/>
      <c r="Y1180" s="209"/>
      <c r="Z1180" s="209"/>
      <c r="AA1180" s="209"/>
      <c r="AB1180" s="209"/>
      <c r="AC1180" s="209"/>
      <c r="AD1180" s="209"/>
      <c r="AE1180" s="209"/>
      <c r="AF1180" s="209"/>
      <c r="AG1180" s="209"/>
      <c r="AH1180" s="209"/>
      <c r="AI1180" s="209"/>
      <c r="AJ1180" s="209"/>
      <c r="AK1180" s="209"/>
    </row>
    <row r="1181">
      <c r="A1181" s="291"/>
      <c r="B1181" s="303" t="s">
        <v>3925</v>
      </c>
      <c r="C1181" s="304" t="s">
        <v>404</v>
      </c>
      <c r="D1181" s="304" t="s">
        <v>3926</v>
      </c>
      <c r="E1181" s="375" t="s">
        <v>3927</v>
      </c>
      <c r="F1181" s="304" t="s">
        <v>732</v>
      </c>
      <c r="G1181" s="209"/>
      <c r="H1181" s="209"/>
      <c r="I1181" s="304" t="s">
        <v>733</v>
      </c>
      <c r="J1181" s="300" t="b">
        <v>1</v>
      </c>
      <c r="K1181" s="301" t="b">
        <v>0</v>
      </c>
      <c r="L1181" s="209"/>
      <c r="M1181" s="209"/>
      <c r="N1181" s="209"/>
      <c r="O1181" s="209"/>
      <c r="P1181" s="209"/>
      <c r="Q1181" s="209"/>
      <c r="R1181" s="209"/>
      <c r="S1181" s="209"/>
      <c r="T1181" s="209"/>
      <c r="U1181" s="209"/>
      <c r="V1181" s="209"/>
      <c r="W1181" s="209"/>
      <c r="X1181" s="209"/>
      <c r="Y1181" s="209"/>
      <c r="Z1181" s="209"/>
      <c r="AA1181" s="209"/>
      <c r="AB1181" s="209"/>
      <c r="AC1181" s="209"/>
      <c r="AD1181" s="209"/>
      <c r="AE1181" s="209"/>
      <c r="AF1181" s="209"/>
      <c r="AG1181" s="209"/>
      <c r="AH1181" s="209"/>
      <c r="AI1181" s="209"/>
      <c r="AJ1181" s="209"/>
      <c r="AK1181" s="209"/>
    </row>
    <row r="1182">
      <c r="A1182" s="291"/>
      <c r="B1182" s="303" t="s">
        <v>3928</v>
      </c>
      <c r="C1182" s="304" t="s">
        <v>390</v>
      </c>
      <c r="D1182" s="304" t="s">
        <v>3929</v>
      </c>
      <c r="E1182" s="305">
        <v>8.10115973942E11</v>
      </c>
      <c r="F1182" s="304" t="s">
        <v>750</v>
      </c>
      <c r="G1182" s="209"/>
      <c r="H1182" s="209"/>
      <c r="I1182" s="209"/>
      <c r="J1182" s="300" t="b">
        <v>1</v>
      </c>
      <c r="K1182" s="301" t="b">
        <v>0</v>
      </c>
      <c r="L1182" s="209"/>
      <c r="M1182" s="209"/>
      <c r="N1182" s="209"/>
      <c r="O1182" s="209"/>
      <c r="P1182" s="209"/>
      <c r="Q1182" s="209"/>
      <c r="R1182" s="209"/>
      <c r="S1182" s="209"/>
      <c r="T1182" s="209"/>
      <c r="U1182" s="209"/>
      <c r="V1182" s="209"/>
      <c r="W1182" s="209"/>
      <c r="X1182" s="209"/>
      <c r="Y1182" s="209"/>
      <c r="Z1182" s="209"/>
      <c r="AA1182" s="209"/>
      <c r="AB1182" s="209"/>
      <c r="AC1182" s="209"/>
      <c r="AD1182" s="209"/>
      <c r="AE1182" s="209"/>
      <c r="AF1182" s="209"/>
      <c r="AG1182" s="209"/>
      <c r="AH1182" s="209"/>
      <c r="AI1182" s="209"/>
      <c r="AJ1182" s="209"/>
      <c r="AK1182" s="209"/>
    </row>
    <row r="1183">
      <c r="A1183" s="291"/>
      <c r="B1183" s="303" t="s">
        <v>3930</v>
      </c>
      <c r="C1183" s="304" t="s">
        <v>390</v>
      </c>
      <c r="D1183" s="304" t="s">
        <v>3931</v>
      </c>
      <c r="E1183" s="375" t="s">
        <v>3932</v>
      </c>
      <c r="F1183" s="209"/>
      <c r="G1183" s="209"/>
      <c r="H1183" s="209"/>
      <c r="I1183" s="209"/>
      <c r="J1183" s="300" t="b">
        <v>1</v>
      </c>
      <c r="K1183" s="301" t="b">
        <v>0</v>
      </c>
      <c r="L1183" s="209"/>
      <c r="M1183" s="209"/>
      <c r="N1183" s="209"/>
      <c r="O1183" s="209"/>
      <c r="P1183" s="209"/>
      <c r="Q1183" s="209"/>
      <c r="R1183" s="209"/>
      <c r="S1183" s="209"/>
      <c r="T1183" s="209"/>
      <c r="U1183" s="209"/>
      <c r="V1183" s="209"/>
      <c r="W1183" s="209"/>
      <c r="X1183" s="209"/>
      <c r="Y1183" s="209"/>
      <c r="Z1183" s="209"/>
      <c r="AA1183" s="209"/>
      <c r="AB1183" s="209"/>
      <c r="AC1183" s="209"/>
      <c r="AD1183" s="209"/>
      <c r="AE1183" s="209"/>
      <c r="AF1183" s="209"/>
      <c r="AG1183" s="209"/>
      <c r="AH1183" s="209"/>
      <c r="AI1183" s="209"/>
      <c r="AJ1183" s="209"/>
      <c r="AK1183" s="209"/>
    </row>
    <row r="1184">
      <c r="A1184" s="291"/>
      <c r="B1184" s="303" t="s">
        <v>3933</v>
      </c>
      <c r="C1184" s="304" t="s">
        <v>400</v>
      </c>
      <c r="D1184" s="304" t="s">
        <v>3934</v>
      </c>
      <c r="E1184" s="305">
        <v>8.10115973966E11</v>
      </c>
      <c r="F1184" s="304" t="s">
        <v>732</v>
      </c>
      <c r="G1184" s="209"/>
      <c r="H1184" s="209"/>
      <c r="I1184" s="304" t="s">
        <v>733</v>
      </c>
      <c r="J1184" s="300" t="b">
        <v>1</v>
      </c>
      <c r="K1184" s="301" t="b">
        <v>0</v>
      </c>
      <c r="L1184" s="209"/>
      <c r="M1184" s="209"/>
      <c r="N1184" s="209"/>
      <c r="O1184" s="209"/>
      <c r="P1184" s="209"/>
      <c r="Q1184" s="209"/>
      <c r="R1184" s="209"/>
      <c r="S1184" s="209"/>
      <c r="T1184" s="209"/>
      <c r="U1184" s="209"/>
      <c r="V1184" s="209"/>
      <c r="W1184" s="209"/>
      <c r="X1184" s="209"/>
      <c r="Y1184" s="209"/>
      <c r="Z1184" s="209"/>
      <c r="AA1184" s="209"/>
      <c r="AB1184" s="209"/>
      <c r="AC1184" s="209"/>
      <c r="AD1184" s="209"/>
      <c r="AE1184" s="209"/>
      <c r="AF1184" s="209"/>
      <c r="AG1184" s="209"/>
      <c r="AH1184" s="209"/>
      <c r="AI1184" s="209"/>
      <c r="AJ1184" s="209"/>
      <c r="AK1184" s="209"/>
    </row>
    <row r="1185">
      <c r="A1185" s="291"/>
      <c r="B1185" s="303" t="s">
        <v>3935</v>
      </c>
      <c r="C1185" s="304" t="s">
        <v>400</v>
      </c>
      <c r="D1185" s="304" t="s">
        <v>3936</v>
      </c>
      <c r="E1185" s="375" t="s">
        <v>3937</v>
      </c>
      <c r="F1185" s="304" t="s">
        <v>732</v>
      </c>
      <c r="G1185" s="209"/>
      <c r="H1185" s="209"/>
      <c r="I1185" s="304" t="s">
        <v>733</v>
      </c>
      <c r="J1185" s="300" t="b">
        <v>1</v>
      </c>
      <c r="K1185" s="301" t="b">
        <v>0</v>
      </c>
      <c r="L1185" s="209"/>
      <c r="M1185" s="209"/>
      <c r="N1185" s="209"/>
      <c r="O1185" s="209"/>
      <c r="P1185" s="209"/>
      <c r="Q1185" s="209"/>
      <c r="R1185" s="209"/>
      <c r="S1185" s="209"/>
      <c r="T1185" s="209"/>
      <c r="U1185" s="209"/>
      <c r="V1185" s="209"/>
      <c r="W1185" s="209"/>
      <c r="X1185" s="209"/>
      <c r="Y1185" s="209"/>
      <c r="Z1185" s="209"/>
      <c r="AA1185" s="209"/>
      <c r="AB1185" s="209"/>
      <c r="AC1185" s="209"/>
      <c r="AD1185" s="209"/>
      <c r="AE1185" s="209"/>
      <c r="AF1185" s="209"/>
      <c r="AG1185" s="209"/>
      <c r="AH1185" s="209"/>
      <c r="AI1185" s="209"/>
      <c r="AJ1185" s="209"/>
      <c r="AK1185" s="209"/>
    </row>
    <row r="1186">
      <c r="A1186" s="291"/>
      <c r="B1186" s="303" t="s">
        <v>3938</v>
      </c>
      <c r="C1186" s="304" t="s">
        <v>412</v>
      </c>
      <c r="D1186" s="304" t="s">
        <v>3939</v>
      </c>
      <c r="E1186" s="305">
        <v>8.1011597398E11</v>
      </c>
      <c r="F1186" s="304" t="s">
        <v>732</v>
      </c>
      <c r="G1186" s="209"/>
      <c r="H1186" s="209"/>
      <c r="I1186" s="304" t="s">
        <v>733</v>
      </c>
      <c r="J1186" s="300" t="b">
        <v>1</v>
      </c>
      <c r="K1186" s="301" t="b">
        <v>0</v>
      </c>
      <c r="L1186" s="209"/>
      <c r="M1186" s="209"/>
      <c r="N1186" s="209"/>
      <c r="O1186" s="209"/>
      <c r="P1186" s="209"/>
      <c r="Q1186" s="209"/>
      <c r="R1186" s="209"/>
      <c r="S1186" s="209"/>
      <c r="T1186" s="209"/>
      <c r="U1186" s="209"/>
      <c r="V1186" s="209"/>
      <c r="W1186" s="209"/>
      <c r="X1186" s="209"/>
      <c r="Y1186" s="209"/>
      <c r="Z1186" s="209"/>
      <c r="AA1186" s="209"/>
      <c r="AB1186" s="209"/>
      <c r="AC1186" s="209"/>
      <c r="AD1186" s="209"/>
      <c r="AE1186" s="209"/>
      <c r="AF1186" s="209"/>
      <c r="AG1186" s="209"/>
      <c r="AH1186" s="209"/>
      <c r="AI1186" s="209"/>
      <c r="AJ1186" s="209"/>
      <c r="AK1186" s="209"/>
    </row>
    <row r="1187">
      <c r="A1187" s="291"/>
      <c r="B1187" s="303" t="s">
        <v>3940</v>
      </c>
      <c r="C1187" s="304" t="s">
        <v>412</v>
      </c>
      <c r="D1187" s="304" t="s">
        <v>3941</v>
      </c>
      <c r="E1187" s="375" t="s">
        <v>3942</v>
      </c>
      <c r="F1187" s="304" t="s">
        <v>732</v>
      </c>
      <c r="G1187" s="209"/>
      <c r="H1187" s="209"/>
      <c r="I1187" s="304" t="s">
        <v>733</v>
      </c>
      <c r="J1187" s="300" t="b">
        <v>1</v>
      </c>
      <c r="K1187" s="301" t="b">
        <v>0</v>
      </c>
      <c r="L1187" s="209"/>
      <c r="M1187" s="209"/>
      <c r="N1187" s="209"/>
      <c r="O1187" s="209"/>
      <c r="P1187" s="209"/>
      <c r="Q1187" s="209"/>
      <c r="R1187" s="209"/>
      <c r="S1187" s="209"/>
      <c r="T1187" s="209"/>
      <c r="U1187" s="209"/>
      <c r="V1187" s="209"/>
      <c r="W1187" s="209"/>
      <c r="X1187" s="209"/>
      <c r="Y1187" s="209"/>
      <c r="Z1187" s="209"/>
      <c r="AA1187" s="209"/>
      <c r="AB1187" s="209"/>
      <c r="AC1187" s="209"/>
      <c r="AD1187" s="209"/>
      <c r="AE1187" s="209"/>
      <c r="AF1187" s="209"/>
      <c r="AG1187" s="209"/>
      <c r="AH1187" s="209"/>
      <c r="AI1187" s="209"/>
      <c r="AJ1187" s="209"/>
      <c r="AK1187" s="209"/>
    </row>
    <row r="1188">
      <c r="A1188" s="291"/>
      <c r="B1188" s="303" t="s">
        <v>3943</v>
      </c>
      <c r="C1188" s="304" t="s">
        <v>431</v>
      </c>
      <c r="D1188" s="304" t="s">
        <v>3944</v>
      </c>
      <c r="E1188" s="375" t="s">
        <v>3945</v>
      </c>
      <c r="F1188" s="304" t="s">
        <v>2954</v>
      </c>
      <c r="G1188" s="209"/>
      <c r="H1188" s="209"/>
      <c r="I1188" s="209"/>
      <c r="J1188" s="300" t="b">
        <v>1</v>
      </c>
      <c r="K1188" s="301" t="b">
        <v>0</v>
      </c>
      <c r="L1188" s="209"/>
      <c r="M1188" s="209"/>
      <c r="N1188" s="209"/>
      <c r="O1188" s="209"/>
      <c r="P1188" s="209"/>
      <c r="Q1188" s="209"/>
      <c r="R1188" s="209"/>
      <c r="S1188" s="209"/>
      <c r="T1188" s="209"/>
      <c r="U1188" s="209"/>
      <c r="V1188" s="209"/>
      <c r="W1188" s="209"/>
      <c r="X1188" s="209"/>
      <c r="Y1188" s="209"/>
      <c r="Z1188" s="209"/>
      <c r="AA1188" s="209"/>
      <c r="AB1188" s="209"/>
      <c r="AC1188" s="209"/>
      <c r="AD1188" s="209"/>
      <c r="AE1188" s="209"/>
      <c r="AF1188" s="209"/>
      <c r="AG1188" s="209"/>
      <c r="AH1188" s="209"/>
      <c r="AI1188" s="209"/>
      <c r="AJ1188" s="209"/>
      <c r="AK1188" s="209"/>
    </row>
    <row r="1189">
      <c r="A1189" s="291"/>
      <c r="B1189" s="303" t="s">
        <v>3946</v>
      </c>
      <c r="C1189" s="304" t="s">
        <v>431</v>
      </c>
      <c r="D1189" s="304" t="s">
        <v>3947</v>
      </c>
      <c r="E1189" s="305">
        <v>8.10115974E11</v>
      </c>
      <c r="F1189" s="304" t="s">
        <v>732</v>
      </c>
      <c r="G1189" s="209"/>
      <c r="H1189" s="209"/>
      <c r="I1189" s="304" t="s">
        <v>733</v>
      </c>
      <c r="J1189" s="300" t="b">
        <v>1</v>
      </c>
      <c r="K1189" s="301" t="b">
        <v>0</v>
      </c>
      <c r="L1189" s="209"/>
      <c r="M1189" s="209"/>
      <c r="N1189" s="209"/>
      <c r="O1189" s="209"/>
      <c r="P1189" s="209"/>
      <c r="Q1189" s="209"/>
      <c r="R1189" s="209"/>
      <c r="S1189" s="209"/>
      <c r="T1189" s="209"/>
      <c r="U1189" s="209"/>
      <c r="V1189" s="209"/>
      <c r="W1189" s="209"/>
      <c r="X1189" s="209"/>
      <c r="Y1189" s="209"/>
      <c r="Z1189" s="209"/>
      <c r="AA1189" s="209"/>
      <c r="AB1189" s="209"/>
      <c r="AC1189" s="209"/>
      <c r="AD1189" s="209"/>
      <c r="AE1189" s="209"/>
      <c r="AF1189" s="209"/>
      <c r="AG1189" s="209"/>
      <c r="AH1189" s="209"/>
      <c r="AI1189" s="209"/>
      <c r="AJ1189" s="209"/>
      <c r="AK1189" s="209"/>
    </row>
    <row r="1190">
      <c r="A1190" s="291"/>
      <c r="B1190" s="303" t="s">
        <v>3948</v>
      </c>
      <c r="C1190" s="304" t="s">
        <v>3949</v>
      </c>
      <c r="D1190" s="304" t="s">
        <v>3950</v>
      </c>
      <c r="E1190" s="375" t="s">
        <v>3951</v>
      </c>
      <c r="F1190" s="304" t="s">
        <v>750</v>
      </c>
      <c r="G1190" s="209"/>
      <c r="H1190" s="209"/>
      <c r="I1190" s="209"/>
      <c r="J1190" s="300" t="b">
        <v>1</v>
      </c>
      <c r="K1190" s="301" t="b">
        <v>0</v>
      </c>
      <c r="L1190" s="209"/>
      <c r="M1190" s="209"/>
      <c r="N1190" s="209"/>
      <c r="O1190" s="209"/>
      <c r="P1190" s="209"/>
      <c r="Q1190" s="209"/>
      <c r="R1190" s="209"/>
      <c r="S1190" s="209"/>
      <c r="T1190" s="209"/>
      <c r="U1190" s="209"/>
      <c r="V1190" s="209"/>
      <c r="W1190" s="209"/>
      <c r="X1190" s="209"/>
      <c r="Y1190" s="209"/>
      <c r="Z1190" s="209"/>
      <c r="AA1190" s="209"/>
      <c r="AB1190" s="209"/>
      <c r="AC1190" s="209"/>
      <c r="AD1190" s="209"/>
      <c r="AE1190" s="209"/>
      <c r="AF1190" s="209"/>
      <c r="AG1190" s="209"/>
      <c r="AH1190" s="209"/>
      <c r="AI1190" s="209"/>
      <c r="AJ1190" s="209"/>
      <c r="AK1190" s="209"/>
    </row>
    <row r="1191">
      <c r="A1191" s="309"/>
      <c r="B1191" s="310" t="s">
        <v>3952</v>
      </c>
      <c r="C1191" s="311" t="s">
        <v>1186</v>
      </c>
      <c r="D1191" s="311" t="s">
        <v>3953</v>
      </c>
      <c r="E1191" s="312">
        <v>8.10115974024E11</v>
      </c>
      <c r="F1191" s="311" t="s">
        <v>732</v>
      </c>
      <c r="G1191" s="313"/>
      <c r="H1191" s="313"/>
      <c r="I1191" s="304" t="s">
        <v>733</v>
      </c>
      <c r="J1191" s="350" t="b">
        <v>1</v>
      </c>
      <c r="K1191" s="381" t="b">
        <v>0</v>
      </c>
      <c r="L1191" s="209"/>
      <c r="M1191" s="209"/>
      <c r="N1191" s="209"/>
      <c r="O1191" s="209"/>
      <c r="P1191" s="209"/>
      <c r="Q1191" s="209"/>
      <c r="R1191" s="209"/>
      <c r="S1191" s="209"/>
      <c r="T1191" s="209"/>
      <c r="U1191" s="209"/>
      <c r="V1191" s="209"/>
      <c r="W1191" s="209"/>
      <c r="X1191" s="209"/>
      <c r="Y1191" s="209"/>
      <c r="Z1191" s="209"/>
      <c r="AA1191" s="209"/>
      <c r="AB1191" s="209"/>
      <c r="AC1191" s="209"/>
      <c r="AD1191" s="209"/>
      <c r="AE1191" s="209"/>
      <c r="AF1191" s="209"/>
      <c r="AG1191" s="209"/>
      <c r="AH1191" s="209"/>
      <c r="AI1191" s="209"/>
      <c r="AJ1191" s="209"/>
      <c r="AK1191" s="209"/>
    </row>
    <row r="1192">
      <c r="A1192" s="209"/>
      <c r="B1192" s="209"/>
      <c r="C1192" s="209"/>
      <c r="D1192" s="209"/>
      <c r="E1192" s="209"/>
      <c r="F1192" s="209"/>
      <c r="G1192" s="209"/>
      <c r="H1192" s="209"/>
      <c r="I1192" s="209"/>
      <c r="J1192" s="313"/>
      <c r="K1192" s="209"/>
      <c r="L1192" s="209"/>
      <c r="M1192" s="209"/>
      <c r="N1192" s="209"/>
      <c r="O1192" s="209"/>
      <c r="P1192" s="209"/>
      <c r="Q1192" s="209"/>
      <c r="R1192" s="209"/>
      <c r="S1192" s="209"/>
      <c r="T1192" s="209"/>
      <c r="U1192" s="209"/>
      <c r="V1192" s="209"/>
      <c r="W1192" s="209"/>
      <c r="X1192" s="209"/>
      <c r="Y1192" s="209"/>
      <c r="Z1192" s="209"/>
      <c r="AA1192" s="209"/>
      <c r="AB1192" s="209"/>
      <c r="AC1192" s="209"/>
      <c r="AD1192" s="209"/>
      <c r="AE1192" s="209"/>
      <c r="AF1192" s="209"/>
      <c r="AG1192" s="209"/>
      <c r="AH1192" s="209"/>
      <c r="AI1192" s="209"/>
      <c r="AJ1192" s="209"/>
      <c r="AK1192" s="209"/>
    </row>
    <row r="1193">
      <c r="A1193" s="316" t="s">
        <v>3954</v>
      </c>
      <c r="B1193" s="319" t="s">
        <v>3955</v>
      </c>
      <c r="C1193" s="320"/>
      <c r="D1193" s="283" t="s">
        <v>3956</v>
      </c>
      <c r="E1193" s="322" t="s">
        <v>3957</v>
      </c>
      <c r="F1193" s="320"/>
      <c r="G1193" s="320"/>
      <c r="H1193" s="285" t="s">
        <v>370</v>
      </c>
      <c r="I1193" s="285" t="s">
        <v>3958</v>
      </c>
      <c r="J1193" s="333" t="str">
        <f>IF(COUNTIF(J1194:J1199, TRUE) = COUNTA(J1194:J1199), "Complete!", IF(COUNTIF(J1194:J1199, TRUE) &gt; 0, "Partial", "Not Started"))</f>
        <v>Complete!</v>
      </c>
      <c r="K1193" s="334"/>
      <c r="L1193" s="280">
        <v>6.0</v>
      </c>
      <c r="M1193" s="209"/>
      <c r="N1193" s="209"/>
      <c r="O1193" s="209"/>
      <c r="P1193" s="209"/>
      <c r="Q1193" s="209"/>
      <c r="R1193" s="209"/>
      <c r="S1193" s="209"/>
      <c r="T1193" s="209"/>
      <c r="U1193" s="209"/>
      <c r="V1193" s="209"/>
      <c r="W1193" s="209"/>
      <c r="X1193" s="209"/>
      <c r="Y1193" s="209"/>
      <c r="Z1193" s="209"/>
      <c r="AA1193" s="209"/>
      <c r="AB1193" s="209"/>
      <c r="AC1193" s="209"/>
      <c r="AD1193" s="209"/>
      <c r="AE1193" s="209"/>
      <c r="AF1193" s="209"/>
      <c r="AG1193" s="209"/>
      <c r="AH1193" s="209"/>
      <c r="AI1193" s="209"/>
      <c r="AJ1193" s="209"/>
      <c r="AK1193" s="209"/>
    </row>
    <row r="1194">
      <c r="A1194" s="291"/>
      <c r="B1194" s="303" t="s">
        <v>3959</v>
      </c>
      <c r="C1194" s="304" t="s">
        <v>1419</v>
      </c>
      <c r="D1194" s="304" t="s">
        <v>3960</v>
      </c>
      <c r="E1194" s="305">
        <v>8.10115979876E11</v>
      </c>
      <c r="F1194" s="209"/>
      <c r="G1194" s="209"/>
      <c r="H1194" s="209"/>
      <c r="I1194" s="209"/>
      <c r="J1194" s="300" t="b">
        <v>1</v>
      </c>
      <c r="K1194" s="301" t="b">
        <v>0</v>
      </c>
      <c r="L1194" s="209"/>
      <c r="M1194" s="209"/>
      <c r="N1194" s="209"/>
      <c r="O1194" s="209"/>
      <c r="P1194" s="209"/>
      <c r="Q1194" s="209"/>
      <c r="R1194" s="209"/>
      <c r="S1194" s="209"/>
      <c r="T1194" s="209"/>
      <c r="U1194" s="209"/>
      <c r="V1194" s="209"/>
      <c r="W1194" s="209"/>
      <c r="X1194" s="209"/>
      <c r="Y1194" s="209"/>
      <c r="Z1194" s="209"/>
      <c r="AA1194" s="209"/>
      <c r="AB1194" s="209"/>
      <c r="AC1194" s="209"/>
      <c r="AD1194" s="209"/>
      <c r="AE1194" s="209"/>
      <c r="AF1194" s="209"/>
      <c r="AG1194" s="209"/>
      <c r="AH1194" s="209"/>
      <c r="AI1194" s="209"/>
      <c r="AJ1194" s="209"/>
      <c r="AK1194" s="209"/>
    </row>
    <row r="1195">
      <c r="A1195" s="291"/>
      <c r="B1195" s="303" t="s">
        <v>3961</v>
      </c>
      <c r="C1195" s="304" t="s">
        <v>3962</v>
      </c>
      <c r="D1195" s="304" t="s">
        <v>3963</v>
      </c>
      <c r="E1195" s="375" t="s">
        <v>3964</v>
      </c>
      <c r="F1195" s="209"/>
      <c r="G1195" s="209"/>
      <c r="H1195" s="209"/>
      <c r="I1195" s="209"/>
      <c r="J1195" s="300" t="b">
        <v>1</v>
      </c>
      <c r="K1195" s="301" t="b">
        <v>0</v>
      </c>
      <c r="L1195" s="209"/>
      <c r="M1195" s="209"/>
      <c r="N1195" s="209"/>
      <c r="O1195" s="209"/>
      <c r="P1195" s="209"/>
      <c r="Q1195" s="209"/>
      <c r="R1195" s="209"/>
      <c r="S1195" s="209"/>
      <c r="T1195" s="209"/>
      <c r="U1195" s="209"/>
      <c r="V1195" s="209"/>
      <c r="W1195" s="209"/>
      <c r="X1195" s="209"/>
      <c r="Y1195" s="209"/>
      <c r="Z1195" s="209"/>
      <c r="AA1195" s="209"/>
      <c r="AB1195" s="209"/>
      <c r="AC1195" s="209"/>
      <c r="AD1195" s="209"/>
      <c r="AE1195" s="209"/>
      <c r="AF1195" s="209"/>
      <c r="AG1195" s="209"/>
      <c r="AH1195" s="209"/>
      <c r="AI1195" s="209"/>
      <c r="AJ1195" s="209"/>
      <c r="AK1195" s="209"/>
    </row>
    <row r="1196">
      <c r="A1196" s="291"/>
      <c r="B1196" s="303" t="s">
        <v>3965</v>
      </c>
      <c r="C1196" s="304" t="s">
        <v>1419</v>
      </c>
      <c r="D1196" s="304" t="s">
        <v>3966</v>
      </c>
      <c r="E1196" s="305">
        <v>8.1011597989E11</v>
      </c>
      <c r="F1196" s="209"/>
      <c r="G1196" s="209"/>
      <c r="H1196" s="209"/>
      <c r="I1196" s="209"/>
      <c r="J1196" s="300" t="b">
        <v>1</v>
      </c>
      <c r="K1196" s="301" t="b">
        <v>0</v>
      </c>
      <c r="L1196" s="209"/>
      <c r="M1196" s="209"/>
      <c r="N1196" s="209"/>
      <c r="O1196" s="209"/>
      <c r="P1196" s="209"/>
      <c r="Q1196" s="209"/>
      <c r="R1196" s="209"/>
      <c r="S1196" s="209"/>
      <c r="T1196" s="209"/>
      <c r="U1196" s="209"/>
      <c r="V1196" s="209"/>
      <c r="W1196" s="209"/>
      <c r="X1196" s="209"/>
      <c r="Y1196" s="209"/>
      <c r="Z1196" s="209"/>
      <c r="AA1196" s="209"/>
      <c r="AB1196" s="209"/>
      <c r="AC1196" s="209"/>
      <c r="AD1196" s="209"/>
      <c r="AE1196" s="209"/>
      <c r="AF1196" s="209"/>
      <c r="AG1196" s="209"/>
      <c r="AH1196" s="209"/>
      <c r="AI1196" s="209"/>
      <c r="AJ1196" s="209"/>
      <c r="AK1196" s="209"/>
    </row>
    <row r="1197">
      <c r="A1197" s="291"/>
      <c r="B1197" s="303" t="s">
        <v>3967</v>
      </c>
      <c r="C1197" s="304" t="s">
        <v>952</v>
      </c>
      <c r="D1197" s="304" t="s">
        <v>3968</v>
      </c>
      <c r="E1197" s="375" t="s">
        <v>3969</v>
      </c>
      <c r="F1197" s="209"/>
      <c r="G1197" s="209"/>
      <c r="H1197" s="209"/>
      <c r="I1197" s="209"/>
      <c r="J1197" s="300" t="b">
        <v>1</v>
      </c>
      <c r="K1197" s="301" t="b">
        <v>0</v>
      </c>
      <c r="L1197" s="209"/>
      <c r="M1197" s="209"/>
      <c r="N1197" s="209"/>
      <c r="O1197" s="209"/>
      <c r="P1197" s="209"/>
      <c r="Q1197" s="209"/>
      <c r="R1197" s="209"/>
      <c r="S1197" s="209"/>
      <c r="T1197" s="209"/>
      <c r="U1197" s="209"/>
      <c r="V1197" s="209"/>
      <c r="W1197" s="209"/>
      <c r="X1197" s="209"/>
      <c r="Y1197" s="209"/>
      <c r="Z1197" s="209"/>
      <c r="AA1197" s="209"/>
      <c r="AB1197" s="209"/>
      <c r="AC1197" s="209"/>
      <c r="AD1197" s="209"/>
      <c r="AE1197" s="209"/>
      <c r="AF1197" s="209"/>
      <c r="AG1197" s="209"/>
      <c r="AH1197" s="209"/>
      <c r="AI1197" s="209"/>
      <c r="AJ1197" s="209"/>
      <c r="AK1197" s="209"/>
    </row>
    <row r="1198">
      <c r="A1198" s="291"/>
      <c r="B1198" s="303" t="s">
        <v>3970</v>
      </c>
      <c r="C1198" s="304" t="s">
        <v>952</v>
      </c>
      <c r="D1198" s="304" t="s">
        <v>3971</v>
      </c>
      <c r="E1198" s="305">
        <v>8.10115979913E11</v>
      </c>
      <c r="F1198" s="209"/>
      <c r="G1198" s="209"/>
      <c r="H1198" s="209"/>
      <c r="I1198" s="209"/>
      <c r="J1198" s="300" t="b">
        <v>1</v>
      </c>
      <c r="K1198" s="301" t="b">
        <v>0</v>
      </c>
      <c r="L1198" s="209"/>
      <c r="M1198" s="209"/>
      <c r="N1198" s="209"/>
      <c r="O1198" s="209"/>
      <c r="P1198" s="209"/>
      <c r="Q1198" s="209"/>
      <c r="R1198" s="209"/>
      <c r="S1198" s="209"/>
      <c r="T1198" s="209"/>
      <c r="U1198" s="209"/>
      <c r="V1198" s="209"/>
      <c r="W1198" s="209"/>
      <c r="X1198" s="209"/>
      <c r="Y1198" s="209"/>
      <c r="Z1198" s="209"/>
      <c r="AA1198" s="209"/>
      <c r="AB1198" s="209"/>
      <c r="AC1198" s="209"/>
      <c r="AD1198" s="209"/>
      <c r="AE1198" s="209"/>
      <c r="AF1198" s="209"/>
      <c r="AG1198" s="209"/>
      <c r="AH1198" s="209"/>
      <c r="AI1198" s="209"/>
      <c r="AJ1198" s="209"/>
      <c r="AK1198" s="209"/>
    </row>
    <row r="1199">
      <c r="A1199" s="309"/>
      <c r="B1199" s="310" t="s">
        <v>3972</v>
      </c>
      <c r="C1199" s="311" t="s">
        <v>952</v>
      </c>
      <c r="D1199" s="311" t="s">
        <v>3973</v>
      </c>
      <c r="E1199" s="380" t="s">
        <v>3974</v>
      </c>
      <c r="F1199" s="313"/>
      <c r="G1199" s="313"/>
      <c r="H1199" s="313"/>
      <c r="I1199" s="313"/>
      <c r="J1199" s="318" t="b">
        <v>1</v>
      </c>
      <c r="K1199" s="381" t="b">
        <v>0</v>
      </c>
      <c r="L1199" s="209"/>
      <c r="M1199" s="209"/>
      <c r="N1199" s="209"/>
      <c r="O1199" s="209"/>
      <c r="P1199" s="209"/>
      <c r="Q1199" s="209"/>
      <c r="R1199" s="209"/>
      <c r="S1199" s="209"/>
      <c r="T1199" s="209"/>
      <c r="U1199" s="209"/>
      <c r="V1199" s="209"/>
      <c r="W1199" s="209"/>
      <c r="X1199" s="209"/>
      <c r="Y1199" s="209"/>
      <c r="Z1199" s="209"/>
      <c r="AA1199" s="209"/>
      <c r="AB1199" s="209"/>
      <c r="AC1199" s="209"/>
      <c r="AD1199" s="209"/>
      <c r="AE1199" s="209"/>
      <c r="AF1199" s="209"/>
      <c r="AG1199" s="209"/>
      <c r="AH1199" s="209"/>
      <c r="AI1199" s="209"/>
      <c r="AJ1199" s="209"/>
      <c r="AK1199" s="209"/>
    </row>
    <row r="1200">
      <c r="A1200" s="209"/>
      <c r="B1200" s="209"/>
      <c r="C1200" s="209"/>
      <c r="D1200" s="209"/>
      <c r="E1200" s="209"/>
      <c r="F1200" s="344"/>
      <c r="G1200" s="344"/>
      <c r="H1200" s="344"/>
      <c r="I1200" s="209"/>
      <c r="J1200" s="209"/>
      <c r="K1200" s="209"/>
      <c r="L1200" s="209"/>
      <c r="M1200" s="209"/>
      <c r="N1200" s="209"/>
      <c r="O1200" s="209"/>
      <c r="P1200" s="209"/>
      <c r="Q1200" s="209"/>
      <c r="R1200" s="209"/>
      <c r="S1200" s="209"/>
      <c r="T1200" s="209"/>
      <c r="U1200" s="209"/>
      <c r="V1200" s="209"/>
      <c r="W1200" s="209"/>
      <c r="X1200" s="209"/>
      <c r="Y1200" s="209"/>
      <c r="Z1200" s="209"/>
      <c r="AA1200" s="209"/>
      <c r="AB1200" s="209"/>
      <c r="AC1200" s="209"/>
      <c r="AD1200" s="209"/>
      <c r="AE1200" s="209"/>
      <c r="AF1200" s="209"/>
      <c r="AG1200" s="209"/>
      <c r="AH1200" s="209"/>
      <c r="AI1200" s="209"/>
      <c r="AJ1200" s="209"/>
      <c r="AK1200" s="209"/>
    </row>
    <row r="1201">
      <c r="A1201" s="316" t="s">
        <v>3975</v>
      </c>
      <c r="B1201" s="282" t="s">
        <v>3976</v>
      </c>
      <c r="C1201" s="273"/>
      <c r="D1201" s="283" t="s">
        <v>3977</v>
      </c>
      <c r="E1201" s="275" t="s">
        <v>3978</v>
      </c>
      <c r="F1201" s="320"/>
      <c r="G1201" s="320"/>
      <c r="H1201" s="276" t="s">
        <v>376</v>
      </c>
      <c r="I1201" s="285" t="s">
        <v>3979</v>
      </c>
      <c r="J1201" s="278" t="str">
        <f>IF(COUNTIF(J1202:J1212, TRUE) = COUNTA(J1202:J1212), "Complete!", IF(COUNTIF(J1202:J1212, TRUE) &gt; 0, "Partial", "Not Started"))</f>
        <v>Complete!</v>
      </c>
      <c r="K1201" s="279"/>
      <c r="L1201" s="280">
        <v>11.0</v>
      </c>
      <c r="M1201" s="209"/>
      <c r="N1201" s="209"/>
      <c r="O1201" s="209"/>
      <c r="P1201" s="209"/>
      <c r="Q1201" s="209"/>
      <c r="R1201" s="209"/>
      <c r="S1201" s="209"/>
      <c r="T1201" s="209"/>
      <c r="U1201" s="209"/>
      <c r="V1201" s="209"/>
      <c r="W1201" s="209"/>
      <c r="X1201" s="209"/>
      <c r="Y1201" s="209"/>
      <c r="Z1201" s="209"/>
      <c r="AA1201" s="209"/>
      <c r="AB1201" s="209"/>
      <c r="AC1201" s="209"/>
      <c r="AD1201" s="209"/>
      <c r="AE1201" s="209"/>
      <c r="AF1201" s="209"/>
      <c r="AG1201" s="209"/>
      <c r="AH1201" s="209"/>
      <c r="AI1201" s="209"/>
      <c r="AJ1201" s="209"/>
      <c r="AK1201" s="209"/>
    </row>
    <row r="1202">
      <c r="A1202" s="291"/>
      <c r="B1202" s="292" t="s">
        <v>3980</v>
      </c>
      <c r="C1202" s="293" t="s">
        <v>705</v>
      </c>
      <c r="D1202" s="304" t="s">
        <v>3981</v>
      </c>
      <c r="E1202" s="374" t="s">
        <v>3982</v>
      </c>
      <c r="F1202" s="295"/>
      <c r="G1202" s="295"/>
      <c r="H1202" s="295"/>
      <c r="I1202" s="295"/>
      <c r="J1202" s="296" t="b">
        <v>1</v>
      </c>
      <c r="K1202" s="297" t="b">
        <v>0</v>
      </c>
      <c r="L1202" s="209"/>
      <c r="M1202" s="209"/>
      <c r="N1202" s="209"/>
      <c r="O1202" s="209"/>
      <c r="P1202" s="209"/>
      <c r="Q1202" s="209"/>
      <c r="R1202" s="209"/>
      <c r="S1202" s="209"/>
      <c r="T1202" s="209"/>
      <c r="U1202" s="209"/>
      <c r="V1202" s="209"/>
      <c r="W1202" s="209"/>
      <c r="X1202" s="209"/>
      <c r="Y1202" s="209"/>
      <c r="Z1202" s="209"/>
      <c r="AA1202" s="209"/>
      <c r="AB1202" s="209"/>
      <c r="AC1202" s="209"/>
      <c r="AD1202" s="209"/>
      <c r="AE1202" s="209"/>
      <c r="AF1202" s="209"/>
      <c r="AG1202" s="209"/>
      <c r="AH1202" s="209"/>
      <c r="AI1202" s="209"/>
      <c r="AJ1202" s="209"/>
      <c r="AK1202" s="209"/>
    </row>
    <row r="1203">
      <c r="A1203" s="291"/>
      <c r="B1203" s="303" t="s">
        <v>3983</v>
      </c>
      <c r="C1203" s="304" t="s">
        <v>679</v>
      </c>
      <c r="D1203" s="304" t="s">
        <v>3984</v>
      </c>
      <c r="E1203" s="375" t="s">
        <v>3985</v>
      </c>
      <c r="F1203" s="209"/>
      <c r="G1203" s="209"/>
      <c r="H1203" s="209"/>
      <c r="I1203" s="209"/>
      <c r="J1203" s="296" t="b">
        <v>1</v>
      </c>
      <c r="K1203" s="301" t="b">
        <v>0</v>
      </c>
      <c r="L1203" s="209"/>
      <c r="M1203" s="209"/>
      <c r="N1203" s="209"/>
      <c r="O1203" s="209"/>
      <c r="P1203" s="209"/>
      <c r="Q1203" s="209"/>
      <c r="R1203" s="209"/>
      <c r="S1203" s="209"/>
      <c r="T1203" s="209"/>
      <c r="U1203" s="209"/>
      <c r="V1203" s="209"/>
      <c r="W1203" s="209"/>
      <c r="X1203" s="209"/>
      <c r="Y1203" s="209"/>
      <c r="Z1203" s="209"/>
      <c r="AA1203" s="209"/>
      <c r="AB1203" s="209"/>
      <c r="AC1203" s="209"/>
      <c r="AD1203" s="209"/>
      <c r="AE1203" s="209"/>
      <c r="AF1203" s="209"/>
      <c r="AG1203" s="209"/>
      <c r="AH1203" s="209"/>
      <c r="AI1203" s="209"/>
      <c r="AJ1203" s="209"/>
      <c r="AK1203" s="209"/>
    </row>
    <row r="1204">
      <c r="A1204" s="291"/>
      <c r="B1204" s="303" t="s">
        <v>3986</v>
      </c>
      <c r="C1204" s="304" t="s">
        <v>1186</v>
      </c>
      <c r="D1204" s="304" t="s">
        <v>3987</v>
      </c>
      <c r="E1204" s="375" t="s">
        <v>3988</v>
      </c>
      <c r="F1204" s="209"/>
      <c r="G1204" s="209"/>
      <c r="H1204" s="209"/>
      <c r="I1204" s="209"/>
      <c r="J1204" s="296" t="b">
        <v>1</v>
      </c>
      <c r="K1204" s="301" t="b">
        <v>0</v>
      </c>
      <c r="L1204" s="209"/>
      <c r="M1204" s="209"/>
      <c r="N1204" s="209"/>
      <c r="O1204" s="209"/>
      <c r="P1204" s="209"/>
      <c r="Q1204" s="209"/>
      <c r="R1204" s="209"/>
      <c r="S1204" s="209"/>
      <c r="T1204" s="209"/>
      <c r="U1204" s="209"/>
      <c r="V1204" s="209"/>
      <c r="W1204" s="209"/>
      <c r="X1204" s="209"/>
      <c r="Y1204" s="209"/>
      <c r="Z1204" s="209"/>
      <c r="AA1204" s="209"/>
      <c r="AB1204" s="209"/>
      <c r="AC1204" s="209"/>
      <c r="AD1204" s="209"/>
      <c r="AE1204" s="209"/>
      <c r="AF1204" s="209"/>
      <c r="AG1204" s="209"/>
      <c r="AH1204" s="209"/>
      <c r="AI1204" s="209"/>
      <c r="AJ1204" s="209"/>
      <c r="AK1204" s="209"/>
    </row>
    <row r="1205">
      <c r="A1205" s="291"/>
      <c r="B1205" s="303" t="s">
        <v>3989</v>
      </c>
      <c r="C1205" s="304" t="s">
        <v>952</v>
      </c>
      <c r="D1205" s="304" t="s">
        <v>3990</v>
      </c>
      <c r="E1205" s="375" t="s">
        <v>3991</v>
      </c>
      <c r="F1205" s="304" t="s">
        <v>1432</v>
      </c>
      <c r="G1205" s="209"/>
      <c r="H1205" s="209"/>
      <c r="I1205" s="311" t="s">
        <v>3992</v>
      </c>
      <c r="J1205" s="296" t="b">
        <v>1</v>
      </c>
      <c r="K1205" s="301" t="b">
        <v>1</v>
      </c>
      <c r="L1205" s="209"/>
      <c r="M1205" s="209"/>
      <c r="N1205" s="209"/>
      <c r="O1205" s="209"/>
      <c r="P1205" s="209"/>
      <c r="Q1205" s="209"/>
      <c r="R1205" s="209"/>
      <c r="S1205" s="209"/>
      <c r="T1205" s="209"/>
      <c r="U1205" s="209"/>
      <c r="V1205" s="209"/>
      <c r="W1205" s="209"/>
      <c r="X1205" s="209"/>
      <c r="Y1205" s="209"/>
      <c r="Z1205" s="209"/>
      <c r="AA1205" s="209"/>
      <c r="AB1205" s="209"/>
      <c r="AC1205" s="209"/>
      <c r="AD1205" s="209"/>
      <c r="AE1205" s="209"/>
      <c r="AF1205" s="209"/>
      <c r="AG1205" s="209"/>
      <c r="AH1205" s="209"/>
      <c r="AI1205" s="209"/>
      <c r="AJ1205" s="209"/>
      <c r="AK1205" s="209"/>
    </row>
    <row r="1206">
      <c r="A1206" s="291"/>
      <c r="B1206" s="303" t="s">
        <v>3993</v>
      </c>
      <c r="C1206" s="304" t="s">
        <v>952</v>
      </c>
      <c r="D1206" s="304" t="s">
        <v>3994</v>
      </c>
      <c r="E1206" s="375" t="s">
        <v>3995</v>
      </c>
      <c r="F1206" s="304" t="s">
        <v>1432</v>
      </c>
      <c r="G1206" s="209"/>
      <c r="H1206" s="209"/>
      <c r="I1206" s="311" t="s">
        <v>3992</v>
      </c>
      <c r="J1206" s="296" t="b">
        <v>1</v>
      </c>
      <c r="K1206" s="301" t="b">
        <v>1</v>
      </c>
      <c r="L1206" s="209"/>
      <c r="M1206" s="209"/>
      <c r="N1206" s="209"/>
      <c r="O1206" s="209"/>
      <c r="P1206" s="209"/>
      <c r="Q1206" s="209"/>
      <c r="R1206" s="209"/>
      <c r="S1206" s="209"/>
      <c r="T1206" s="209"/>
      <c r="U1206" s="209"/>
      <c r="V1206" s="209"/>
      <c r="W1206" s="209"/>
      <c r="X1206" s="209"/>
      <c r="Y1206" s="209"/>
      <c r="Z1206" s="209"/>
      <c r="AA1206" s="209"/>
      <c r="AB1206" s="209"/>
      <c r="AC1206" s="209"/>
      <c r="AD1206" s="209"/>
      <c r="AE1206" s="209"/>
      <c r="AF1206" s="209"/>
      <c r="AG1206" s="209"/>
      <c r="AH1206" s="209"/>
      <c r="AI1206" s="209"/>
      <c r="AJ1206" s="209"/>
      <c r="AK1206" s="209"/>
    </row>
    <row r="1207">
      <c r="A1207" s="291"/>
      <c r="B1207" s="303" t="s">
        <v>3996</v>
      </c>
      <c r="C1207" s="304" t="s">
        <v>3997</v>
      </c>
      <c r="D1207" s="304" t="s">
        <v>3998</v>
      </c>
      <c r="E1207" s="375" t="s">
        <v>3999</v>
      </c>
      <c r="F1207" s="304" t="s">
        <v>1432</v>
      </c>
      <c r="G1207" s="209"/>
      <c r="H1207" s="209"/>
      <c r="I1207" s="311" t="s">
        <v>3992</v>
      </c>
      <c r="J1207" s="296" t="b">
        <v>1</v>
      </c>
      <c r="K1207" s="301" t="b">
        <v>1</v>
      </c>
      <c r="L1207" s="209"/>
      <c r="M1207" s="209"/>
      <c r="N1207" s="209"/>
      <c r="O1207" s="209"/>
      <c r="P1207" s="209"/>
      <c r="Q1207" s="209"/>
      <c r="R1207" s="209"/>
      <c r="S1207" s="209"/>
      <c r="T1207" s="209"/>
      <c r="U1207" s="209"/>
      <c r="V1207" s="209"/>
      <c r="W1207" s="209"/>
      <c r="X1207" s="209"/>
      <c r="Y1207" s="209"/>
      <c r="Z1207" s="209"/>
      <c r="AA1207" s="209"/>
      <c r="AB1207" s="209"/>
      <c r="AC1207" s="209"/>
      <c r="AD1207" s="209"/>
      <c r="AE1207" s="209"/>
      <c r="AF1207" s="209"/>
      <c r="AG1207" s="209"/>
      <c r="AH1207" s="209"/>
      <c r="AI1207" s="209"/>
      <c r="AJ1207" s="209"/>
      <c r="AK1207" s="209"/>
    </row>
    <row r="1208">
      <c r="A1208" s="291"/>
      <c r="B1208" s="303" t="s">
        <v>4000</v>
      </c>
      <c r="C1208" s="304" t="s">
        <v>3997</v>
      </c>
      <c r="D1208" s="304" t="s">
        <v>4001</v>
      </c>
      <c r="E1208" s="375" t="s">
        <v>4002</v>
      </c>
      <c r="F1208" s="304" t="s">
        <v>1432</v>
      </c>
      <c r="G1208" s="209"/>
      <c r="H1208" s="209"/>
      <c r="I1208" s="311" t="s">
        <v>3992</v>
      </c>
      <c r="J1208" s="296" t="b">
        <v>1</v>
      </c>
      <c r="K1208" s="301" t="b">
        <v>1</v>
      </c>
      <c r="L1208" s="209"/>
      <c r="M1208" s="209"/>
      <c r="N1208" s="209"/>
      <c r="O1208" s="209"/>
      <c r="P1208" s="209"/>
      <c r="Q1208" s="209"/>
      <c r="R1208" s="209"/>
      <c r="S1208" s="209"/>
      <c r="T1208" s="209"/>
      <c r="U1208" s="209"/>
      <c r="V1208" s="209"/>
      <c r="W1208" s="209"/>
      <c r="X1208" s="209"/>
      <c r="Y1208" s="209"/>
      <c r="Z1208" s="209"/>
      <c r="AA1208" s="209"/>
      <c r="AB1208" s="209"/>
      <c r="AC1208" s="209"/>
      <c r="AD1208" s="209"/>
      <c r="AE1208" s="209"/>
      <c r="AF1208" s="209"/>
      <c r="AG1208" s="209"/>
      <c r="AH1208" s="209"/>
      <c r="AI1208" s="209"/>
      <c r="AJ1208" s="209"/>
      <c r="AK1208" s="209"/>
    </row>
    <row r="1209">
      <c r="A1209" s="291"/>
      <c r="B1209" s="303" t="s">
        <v>4003</v>
      </c>
      <c r="C1209" s="304" t="s">
        <v>522</v>
      </c>
      <c r="D1209" s="304" t="s">
        <v>4004</v>
      </c>
      <c r="E1209" s="375" t="s">
        <v>4005</v>
      </c>
      <c r="F1209" s="209"/>
      <c r="G1209" s="209"/>
      <c r="H1209" s="209"/>
      <c r="I1209" s="209"/>
      <c r="J1209" s="296" t="b">
        <v>1</v>
      </c>
      <c r="K1209" s="301" t="b">
        <v>0</v>
      </c>
      <c r="L1209" s="209"/>
      <c r="M1209" s="209"/>
      <c r="N1209" s="209"/>
      <c r="O1209" s="209"/>
      <c r="P1209" s="209"/>
      <c r="Q1209" s="209"/>
      <c r="R1209" s="209"/>
      <c r="S1209" s="209"/>
      <c r="T1209" s="209"/>
      <c r="U1209" s="209"/>
      <c r="V1209" s="209"/>
      <c r="W1209" s="209"/>
      <c r="X1209" s="209"/>
      <c r="Y1209" s="209"/>
      <c r="Z1209" s="209"/>
      <c r="AA1209" s="209"/>
      <c r="AB1209" s="209"/>
      <c r="AC1209" s="209"/>
      <c r="AD1209" s="209"/>
      <c r="AE1209" s="209"/>
      <c r="AF1209" s="209"/>
      <c r="AG1209" s="209"/>
      <c r="AH1209" s="209"/>
      <c r="AI1209" s="209"/>
      <c r="AJ1209" s="209"/>
      <c r="AK1209" s="209"/>
    </row>
    <row r="1210">
      <c r="A1210" s="291"/>
      <c r="B1210" s="303" t="s">
        <v>4006</v>
      </c>
      <c r="C1210" s="304" t="s">
        <v>522</v>
      </c>
      <c r="D1210" s="304" t="s">
        <v>4007</v>
      </c>
      <c r="E1210" s="375" t="s">
        <v>4008</v>
      </c>
      <c r="F1210" s="304" t="s">
        <v>1432</v>
      </c>
      <c r="G1210" s="209"/>
      <c r="H1210" s="209"/>
      <c r="I1210" s="311" t="s">
        <v>3992</v>
      </c>
      <c r="J1210" s="296" t="b">
        <v>1</v>
      </c>
      <c r="K1210" s="301" t="b">
        <v>1</v>
      </c>
      <c r="L1210" s="209"/>
      <c r="M1210" s="209"/>
      <c r="N1210" s="209"/>
      <c r="O1210" s="209"/>
      <c r="P1210" s="209"/>
      <c r="Q1210" s="209"/>
      <c r="R1210" s="209"/>
      <c r="S1210" s="209"/>
      <c r="T1210" s="209"/>
      <c r="U1210" s="209"/>
      <c r="V1210" s="209"/>
      <c r="W1210" s="209"/>
      <c r="X1210" s="209"/>
      <c r="Y1210" s="209"/>
      <c r="Z1210" s="209"/>
      <c r="AA1210" s="209"/>
      <c r="AB1210" s="209"/>
      <c r="AC1210" s="209"/>
      <c r="AD1210" s="209"/>
      <c r="AE1210" s="209"/>
      <c r="AF1210" s="209"/>
      <c r="AG1210" s="209"/>
      <c r="AH1210" s="209"/>
      <c r="AI1210" s="209"/>
      <c r="AJ1210" s="209"/>
      <c r="AK1210" s="209"/>
    </row>
    <row r="1211">
      <c r="A1211" s="291"/>
      <c r="B1211" s="303" t="s">
        <v>4009</v>
      </c>
      <c r="C1211" s="304" t="s">
        <v>547</v>
      </c>
      <c r="D1211" s="304" t="s">
        <v>4010</v>
      </c>
      <c r="E1211" s="375" t="s">
        <v>4011</v>
      </c>
      <c r="F1211" s="304" t="s">
        <v>1432</v>
      </c>
      <c r="G1211" s="209"/>
      <c r="H1211" s="209"/>
      <c r="I1211" s="311" t="s">
        <v>3992</v>
      </c>
      <c r="J1211" s="296" t="b">
        <v>1</v>
      </c>
      <c r="K1211" s="301" t="b">
        <v>1</v>
      </c>
      <c r="L1211" s="209"/>
      <c r="M1211" s="209"/>
      <c r="N1211" s="209"/>
      <c r="O1211" s="209"/>
      <c r="P1211" s="209"/>
      <c r="Q1211" s="209"/>
      <c r="R1211" s="209"/>
      <c r="S1211" s="209"/>
      <c r="T1211" s="209"/>
      <c r="U1211" s="209"/>
      <c r="V1211" s="209"/>
      <c r="W1211" s="209"/>
      <c r="X1211" s="209"/>
      <c r="Y1211" s="209"/>
      <c r="Z1211" s="209"/>
      <c r="AA1211" s="209"/>
      <c r="AB1211" s="209"/>
      <c r="AC1211" s="209"/>
      <c r="AD1211" s="209"/>
      <c r="AE1211" s="209"/>
      <c r="AF1211" s="209"/>
      <c r="AG1211" s="209"/>
      <c r="AH1211" s="209"/>
      <c r="AI1211" s="209"/>
      <c r="AJ1211" s="209"/>
      <c r="AK1211" s="209"/>
    </row>
    <row r="1212">
      <c r="A1212" s="309"/>
      <c r="B1212" s="310" t="s">
        <v>4012</v>
      </c>
      <c r="C1212" s="311" t="s">
        <v>547</v>
      </c>
      <c r="D1212" s="311" t="s">
        <v>4013</v>
      </c>
      <c r="E1212" s="380" t="s">
        <v>4014</v>
      </c>
      <c r="F1212" s="311" t="s">
        <v>1432</v>
      </c>
      <c r="G1212" s="313"/>
      <c r="H1212" s="313"/>
      <c r="I1212" s="311" t="s">
        <v>3992</v>
      </c>
      <c r="J1212" s="296" t="b">
        <v>1</v>
      </c>
      <c r="K1212" s="381" t="b">
        <v>1</v>
      </c>
      <c r="L1212" s="209"/>
      <c r="M1212" s="209"/>
      <c r="N1212" s="209"/>
      <c r="O1212" s="209"/>
      <c r="P1212" s="209"/>
      <c r="Q1212" s="209"/>
      <c r="R1212" s="209"/>
      <c r="S1212" s="209"/>
      <c r="T1212" s="209"/>
      <c r="U1212" s="209"/>
      <c r="V1212" s="209"/>
      <c r="W1212" s="209"/>
      <c r="X1212" s="209"/>
      <c r="Y1212" s="209"/>
      <c r="Z1212" s="209"/>
      <c r="AA1212" s="209"/>
      <c r="AB1212" s="209"/>
      <c r="AC1212" s="209"/>
      <c r="AD1212" s="209"/>
      <c r="AE1212" s="209"/>
      <c r="AF1212" s="209"/>
      <c r="AG1212" s="209"/>
      <c r="AH1212" s="209"/>
      <c r="AI1212" s="209"/>
      <c r="AJ1212" s="209"/>
      <c r="AK1212" s="209"/>
    </row>
    <row r="1213">
      <c r="A1213" s="209"/>
      <c r="B1213" s="209"/>
      <c r="C1213" s="209"/>
      <c r="D1213" s="209"/>
      <c r="E1213" s="209"/>
      <c r="F1213" s="344"/>
      <c r="G1213" s="344"/>
      <c r="H1213" s="344"/>
      <c r="I1213" s="209"/>
      <c r="J1213" s="313"/>
      <c r="K1213" s="209"/>
      <c r="L1213" s="209"/>
      <c r="M1213" s="209"/>
      <c r="N1213" s="209"/>
      <c r="O1213" s="209"/>
      <c r="P1213" s="209"/>
      <c r="Q1213" s="209"/>
      <c r="R1213" s="209"/>
      <c r="S1213" s="209"/>
      <c r="T1213" s="209"/>
      <c r="U1213" s="209"/>
      <c r="V1213" s="209"/>
      <c r="W1213" s="209"/>
      <c r="X1213" s="209"/>
      <c r="Y1213" s="209"/>
      <c r="Z1213" s="209"/>
      <c r="AA1213" s="209"/>
      <c r="AB1213" s="209"/>
      <c r="AC1213" s="209"/>
      <c r="AD1213" s="209"/>
      <c r="AE1213" s="209"/>
      <c r="AF1213" s="209"/>
      <c r="AG1213" s="209"/>
      <c r="AH1213" s="209"/>
      <c r="AI1213" s="209"/>
      <c r="AJ1213" s="209"/>
      <c r="AK1213" s="209"/>
    </row>
    <row r="1214">
      <c r="A1214" s="316" t="s">
        <v>4015</v>
      </c>
      <c r="B1214" s="319" t="s">
        <v>4016</v>
      </c>
      <c r="C1214" s="320"/>
      <c r="D1214" s="283" t="s">
        <v>4017</v>
      </c>
      <c r="E1214" s="322" t="s">
        <v>4018</v>
      </c>
      <c r="F1214" s="320"/>
      <c r="G1214" s="320"/>
      <c r="H1214" s="276" t="s">
        <v>2803</v>
      </c>
      <c r="I1214" s="285" t="s">
        <v>3052</v>
      </c>
      <c r="J1214" s="438" t="str">
        <f>IF(COUNTIF(J1215:J1219, TRUE) = COUNTA(J1215:J1219), "Complete!", IF(COUNTIF(J1215:J1219, TRUE) &gt; 0, "Partial", "Not Started"))</f>
        <v>Complete!</v>
      </c>
      <c r="K1214" s="334"/>
      <c r="L1214" s="280">
        <v>5.0</v>
      </c>
      <c r="M1214" s="209"/>
      <c r="N1214" s="209"/>
      <c r="O1214" s="209"/>
      <c r="P1214" s="209"/>
      <c r="Q1214" s="209"/>
      <c r="R1214" s="209"/>
      <c r="S1214" s="209"/>
      <c r="T1214" s="209"/>
      <c r="U1214" s="209"/>
      <c r="V1214" s="209"/>
      <c r="W1214" s="209"/>
      <c r="X1214" s="209"/>
      <c r="Y1214" s="209"/>
      <c r="Z1214" s="209"/>
      <c r="AA1214" s="209"/>
      <c r="AB1214" s="209"/>
      <c r="AC1214" s="209"/>
      <c r="AD1214" s="209"/>
      <c r="AE1214" s="209"/>
      <c r="AF1214" s="209"/>
      <c r="AG1214" s="209"/>
      <c r="AH1214" s="209"/>
      <c r="AI1214" s="209"/>
      <c r="AJ1214" s="209"/>
      <c r="AK1214" s="209"/>
    </row>
    <row r="1215">
      <c r="A1215" s="291"/>
      <c r="B1215" s="292" t="s">
        <v>4019</v>
      </c>
      <c r="C1215" s="293" t="s">
        <v>4020</v>
      </c>
      <c r="D1215" s="304" t="s">
        <v>4021</v>
      </c>
      <c r="E1215" s="374" t="s">
        <v>4022</v>
      </c>
      <c r="F1215" s="209"/>
      <c r="G1215" s="209"/>
      <c r="H1215" s="209"/>
      <c r="I1215" s="209"/>
      <c r="J1215" s="300" t="b">
        <v>1</v>
      </c>
      <c r="K1215" s="301" t="b">
        <v>0</v>
      </c>
      <c r="L1215" s="209"/>
      <c r="M1215" s="209"/>
      <c r="N1215" s="209"/>
      <c r="O1215" s="209"/>
      <c r="P1215" s="209"/>
      <c r="Q1215" s="209"/>
      <c r="R1215" s="209"/>
      <c r="S1215" s="209"/>
      <c r="T1215" s="209"/>
      <c r="U1215" s="209"/>
      <c r="V1215" s="209"/>
      <c r="W1215" s="209"/>
      <c r="X1215" s="209"/>
      <c r="Y1215" s="209"/>
      <c r="Z1215" s="209"/>
      <c r="AA1215" s="209"/>
      <c r="AB1215" s="209"/>
      <c r="AC1215" s="209"/>
      <c r="AD1215" s="209"/>
      <c r="AE1215" s="209"/>
      <c r="AF1215" s="209"/>
      <c r="AG1215" s="209"/>
      <c r="AH1215" s="209"/>
      <c r="AI1215" s="209"/>
      <c r="AJ1215" s="209"/>
      <c r="AK1215" s="209"/>
    </row>
    <row r="1216">
      <c r="A1216" s="291"/>
      <c r="B1216" s="303" t="s">
        <v>4023</v>
      </c>
      <c r="C1216" s="304" t="s">
        <v>4024</v>
      </c>
      <c r="D1216" s="304" t="s">
        <v>4025</v>
      </c>
      <c r="E1216" s="375" t="s">
        <v>4026</v>
      </c>
      <c r="F1216" s="209"/>
      <c r="G1216" s="209"/>
      <c r="H1216" s="209"/>
      <c r="I1216" s="209"/>
      <c r="J1216" s="300" t="b">
        <v>1</v>
      </c>
      <c r="K1216" s="301" t="b">
        <v>0</v>
      </c>
      <c r="L1216" s="209"/>
      <c r="M1216" s="209"/>
      <c r="N1216" s="209"/>
      <c r="O1216" s="209"/>
      <c r="P1216" s="209"/>
      <c r="Q1216" s="209"/>
      <c r="R1216" s="209"/>
      <c r="S1216" s="209"/>
      <c r="T1216" s="209"/>
      <c r="U1216" s="209"/>
      <c r="V1216" s="209"/>
      <c r="W1216" s="209"/>
      <c r="X1216" s="209"/>
      <c r="Y1216" s="209"/>
      <c r="Z1216" s="209"/>
      <c r="AA1216" s="209"/>
      <c r="AB1216" s="209"/>
      <c r="AC1216" s="209"/>
      <c r="AD1216" s="209"/>
      <c r="AE1216" s="209"/>
      <c r="AF1216" s="209"/>
      <c r="AG1216" s="209"/>
      <c r="AH1216" s="209"/>
      <c r="AI1216" s="209"/>
      <c r="AJ1216" s="209"/>
      <c r="AK1216" s="209"/>
    </row>
    <row r="1217">
      <c r="A1217" s="291"/>
      <c r="B1217" s="303" t="s">
        <v>4027</v>
      </c>
      <c r="C1217" s="304" t="s">
        <v>4028</v>
      </c>
      <c r="D1217" s="304" t="s">
        <v>4029</v>
      </c>
      <c r="E1217" s="375" t="s">
        <v>4030</v>
      </c>
      <c r="F1217" s="304" t="s">
        <v>732</v>
      </c>
      <c r="G1217" s="209"/>
      <c r="H1217" s="209"/>
      <c r="I1217" s="304" t="s">
        <v>733</v>
      </c>
      <c r="J1217" s="300" t="b">
        <v>1</v>
      </c>
      <c r="K1217" s="301" t="b">
        <v>0</v>
      </c>
      <c r="L1217" s="209"/>
      <c r="M1217" s="209"/>
      <c r="N1217" s="209"/>
      <c r="O1217" s="209"/>
      <c r="P1217" s="209"/>
      <c r="Q1217" s="209"/>
      <c r="R1217" s="209"/>
      <c r="S1217" s="209"/>
      <c r="T1217" s="209"/>
      <c r="U1217" s="209"/>
      <c r="V1217" s="209"/>
      <c r="W1217" s="209"/>
      <c r="X1217" s="209"/>
      <c r="Y1217" s="209"/>
      <c r="Z1217" s="209"/>
      <c r="AA1217" s="209"/>
      <c r="AB1217" s="209"/>
      <c r="AC1217" s="209"/>
      <c r="AD1217" s="209"/>
      <c r="AE1217" s="209"/>
      <c r="AF1217" s="209"/>
      <c r="AG1217" s="209"/>
      <c r="AH1217" s="209"/>
      <c r="AI1217" s="209"/>
      <c r="AJ1217" s="209"/>
      <c r="AK1217" s="209"/>
    </row>
    <row r="1218">
      <c r="A1218" s="291"/>
      <c r="B1218" s="303" t="s">
        <v>4031</v>
      </c>
      <c r="C1218" s="304" t="s">
        <v>4032</v>
      </c>
      <c r="D1218" s="304" t="s">
        <v>4033</v>
      </c>
      <c r="E1218" s="375" t="s">
        <v>4034</v>
      </c>
      <c r="F1218" s="304" t="s">
        <v>732</v>
      </c>
      <c r="G1218" s="209"/>
      <c r="H1218" s="209"/>
      <c r="I1218" s="304" t="s">
        <v>733</v>
      </c>
      <c r="J1218" s="300" t="b">
        <v>1</v>
      </c>
      <c r="K1218" s="301" t="b">
        <v>0</v>
      </c>
      <c r="L1218" s="209"/>
      <c r="M1218" s="209"/>
      <c r="N1218" s="209"/>
      <c r="O1218" s="209"/>
      <c r="P1218" s="209"/>
      <c r="Q1218" s="209"/>
      <c r="R1218" s="209"/>
      <c r="S1218" s="209"/>
      <c r="T1218" s="209"/>
      <c r="U1218" s="209"/>
      <c r="V1218" s="209"/>
      <c r="W1218" s="209"/>
      <c r="X1218" s="209"/>
      <c r="Y1218" s="209"/>
      <c r="Z1218" s="209"/>
      <c r="AA1218" s="209"/>
      <c r="AB1218" s="209"/>
      <c r="AC1218" s="209"/>
      <c r="AD1218" s="209"/>
      <c r="AE1218" s="209"/>
      <c r="AF1218" s="209"/>
      <c r="AG1218" s="209"/>
      <c r="AH1218" s="209"/>
      <c r="AI1218" s="209"/>
      <c r="AJ1218" s="209"/>
      <c r="AK1218" s="209"/>
    </row>
    <row r="1219">
      <c r="A1219" s="309"/>
      <c r="B1219" s="310" t="s">
        <v>4035</v>
      </c>
      <c r="C1219" s="311" t="s">
        <v>4036</v>
      </c>
      <c r="D1219" s="311" t="s">
        <v>4037</v>
      </c>
      <c r="E1219" s="380" t="s">
        <v>4038</v>
      </c>
      <c r="F1219" s="313"/>
      <c r="G1219" s="313"/>
      <c r="H1219" s="313"/>
      <c r="I1219" s="313"/>
      <c r="J1219" s="318" t="b">
        <v>1</v>
      </c>
      <c r="K1219" s="381" t="b">
        <v>0</v>
      </c>
      <c r="L1219" s="209"/>
      <c r="M1219" s="209"/>
      <c r="N1219" s="209"/>
      <c r="O1219" s="209"/>
      <c r="P1219" s="209"/>
      <c r="Q1219" s="209"/>
      <c r="R1219" s="209"/>
      <c r="S1219" s="209"/>
      <c r="T1219" s="209"/>
      <c r="U1219" s="209"/>
      <c r="V1219" s="209"/>
      <c r="W1219" s="209"/>
      <c r="X1219" s="209"/>
      <c r="Y1219" s="209"/>
      <c r="Z1219" s="209"/>
      <c r="AA1219" s="209"/>
      <c r="AB1219" s="209"/>
      <c r="AC1219" s="209"/>
      <c r="AD1219" s="209"/>
      <c r="AE1219" s="209"/>
      <c r="AF1219" s="209"/>
      <c r="AG1219" s="209"/>
      <c r="AH1219" s="209"/>
      <c r="AI1219" s="209"/>
      <c r="AJ1219" s="209"/>
      <c r="AK1219" s="209"/>
    </row>
    <row r="1220">
      <c r="A1220" s="209"/>
      <c r="B1220" s="209"/>
      <c r="C1220" s="209"/>
      <c r="D1220" s="209"/>
      <c r="E1220" s="209"/>
      <c r="F1220" s="344"/>
      <c r="G1220" s="344"/>
      <c r="H1220" s="344"/>
      <c r="I1220" s="209"/>
      <c r="J1220" s="209"/>
      <c r="K1220" s="209"/>
      <c r="L1220" s="209"/>
      <c r="M1220" s="209"/>
      <c r="N1220" s="209"/>
      <c r="O1220" s="209"/>
      <c r="P1220" s="209"/>
      <c r="Q1220" s="209"/>
      <c r="R1220" s="209"/>
      <c r="S1220" s="209"/>
      <c r="T1220" s="209"/>
      <c r="U1220" s="209"/>
      <c r="V1220" s="209"/>
      <c r="W1220" s="209"/>
      <c r="X1220" s="209"/>
      <c r="Y1220" s="209"/>
      <c r="Z1220" s="209"/>
      <c r="AA1220" s="209"/>
      <c r="AB1220" s="209"/>
      <c r="AC1220" s="209"/>
      <c r="AD1220" s="209"/>
      <c r="AE1220" s="209"/>
      <c r="AF1220" s="209"/>
      <c r="AG1220" s="209"/>
      <c r="AH1220" s="209"/>
      <c r="AI1220" s="209"/>
      <c r="AJ1220" s="209"/>
      <c r="AK1220" s="209"/>
    </row>
    <row r="1221">
      <c r="A1221" s="316">
        <v>111.0</v>
      </c>
      <c r="B1221" s="388" t="s">
        <v>3683</v>
      </c>
      <c r="C1221" s="320"/>
      <c r="D1221" s="320"/>
      <c r="E1221" s="320"/>
      <c r="F1221" s="320"/>
      <c r="G1221" s="320"/>
      <c r="H1221" s="276" t="s">
        <v>376</v>
      </c>
      <c r="I1221" s="285" t="s">
        <v>4039</v>
      </c>
      <c r="J1221" s="278" t="str">
        <f>IF(COUNTIF(J1222, TRUE) = COUNTA(J1222), "Complete!", IF(COUNTIF(J1222, TRUE) &gt; 0, "Partial", "Not Started"))</f>
        <v>Complete!</v>
      </c>
      <c r="K1221" s="279"/>
      <c r="L1221" s="209"/>
      <c r="M1221" s="209"/>
      <c r="N1221" s="209"/>
      <c r="O1221" s="209"/>
      <c r="P1221" s="209"/>
      <c r="Q1221" s="209"/>
      <c r="R1221" s="209"/>
      <c r="S1221" s="209"/>
      <c r="T1221" s="209"/>
      <c r="U1221" s="209"/>
      <c r="V1221" s="209"/>
      <c r="W1221" s="209"/>
      <c r="X1221" s="209"/>
      <c r="Y1221" s="209"/>
      <c r="Z1221" s="209"/>
      <c r="AA1221" s="209"/>
      <c r="AB1221" s="209"/>
      <c r="AC1221" s="209"/>
      <c r="AD1221" s="209"/>
      <c r="AE1221" s="209"/>
      <c r="AF1221" s="209"/>
      <c r="AG1221" s="209"/>
      <c r="AH1221" s="209"/>
      <c r="AI1221" s="209"/>
      <c r="AJ1221" s="209"/>
      <c r="AK1221" s="209"/>
    </row>
    <row r="1222">
      <c r="A1222" s="309"/>
      <c r="B1222" s="439" t="s">
        <v>4040</v>
      </c>
      <c r="C1222" s="348" t="s">
        <v>4041</v>
      </c>
      <c r="D1222" s="348" t="s">
        <v>4042</v>
      </c>
      <c r="E1222" s="440" t="s">
        <v>4043</v>
      </c>
      <c r="F1222" s="348" t="s">
        <v>732</v>
      </c>
      <c r="G1222" s="399"/>
      <c r="H1222" s="399"/>
      <c r="I1222" s="399"/>
      <c r="J1222" s="350" t="b">
        <v>1</v>
      </c>
      <c r="K1222" s="314" t="b">
        <v>0</v>
      </c>
      <c r="L1222" s="209"/>
      <c r="M1222" s="209"/>
      <c r="N1222" s="209"/>
      <c r="O1222" s="209"/>
      <c r="P1222" s="209"/>
      <c r="Q1222" s="209"/>
      <c r="R1222" s="209"/>
      <c r="S1222" s="209"/>
      <c r="T1222" s="209"/>
      <c r="U1222" s="209"/>
      <c r="V1222" s="209"/>
      <c r="W1222" s="209"/>
      <c r="X1222" s="209"/>
      <c r="Y1222" s="209"/>
      <c r="Z1222" s="209"/>
      <c r="AA1222" s="209"/>
      <c r="AB1222" s="209"/>
      <c r="AC1222" s="209"/>
      <c r="AD1222" s="209"/>
      <c r="AE1222" s="209"/>
      <c r="AF1222" s="209"/>
      <c r="AG1222" s="209"/>
      <c r="AH1222" s="209"/>
      <c r="AI1222" s="209"/>
      <c r="AJ1222" s="209"/>
      <c r="AK1222" s="209"/>
    </row>
    <row r="1223">
      <c r="A1223" s="209"/>
      <c r="B1223" s="209"/>
      <c r="C1223" s="209"/>
      <c r="D1223" s="209"/>
      <c r="E1223" s="209"/>
      <c r="F1223" s="209"/>
      <c r="G1223" s="209"/>
      <c r="H1223" s="209"/>
      <c r="I1223" s="209"/>
      <c r="J1223" s="209"/>
      <c r="K1223" s="209"/>
      <c r="L1223" s="209"/>
      <c r="M1223" s="209"/>
      <c r="N1223" s="209"/>
      <c r="O1223" s="209"/>
      <c r="P1223" s="209"/>
      <c r="Q1223" s="209"/>
      <c r="R1223" s="209"/>
      <c r="S1223" s="209"/>
      <c r="T1223" s="209"/>
      <c r="U1223" s="209"/>
      <c r="V1223" s="209"/>
      <c r="W1223" s="209"/>
      <c r="X1223" s="209"/>
      <c r="Y1223" s="209"/>
      <c r="Z1223" s="209"/>
      <c r="AA1223" s="209"/>
      <c r="AB1223" s="209"/>
      <c r="AC1223" s="209"/>
      <c r="AD1223" s="209"/>
      <c r="AE1223" s="209"/>
      <c r="AF1223" s="209"/>
      <c r="AG1223" s="209"/>
      <c r="AH1223" s="209"/>
      <c r="AI1223" s="209"/>
      <c r="AJ1223" s="209"/>
      <c r="AK1223" s="209"/>
    </row>
    <row r="1224">
      <c r="A1224" s="209"/>
      <c r="B1224" s="209"/>
      <c r="C1224" s="209"/>
      <c r="D1224" s="209"/>
      <c r="E1224" s="209"/>
      <c r="F1224" s="209"/>
      <c r="G1224" s="209"/>
      <c r="H1224" s="209"/>
      <c r="I1224" s="209"/>
      <c r="J1224" s="209"/>
      <c r="K1224" s="209"/>
      <c r="L1224" s="209"/>
      <c r="M1224" s="209"/>
      <c r="N1224" s="209"/>
      <c r="O1224" s="209"/>
      <c r="P1224" s="209"/>
      <c r="Q1224" s="209"/>
      <c r="R1224" s="209"/>
      <c r="S1224" s="209"/>
      <c r="T1224" s="209"/>
      <c r="U1224" s="209"/>
      <c r="V1224" s="209"/>
      <c r="W1224" s="209"/>
      <c r="X1224" s="209"/>
      <c r="Y1224" s="209"/>
      <c r="Z1224" s="209"/>
      <c r="AA1224" s="209"/>
      <c r="AB1224" s="209"/>
      <c r="AC1224" s="209"/>
      <c r="AD1224" s="209"/>
      <c r="AE1224" s="209"/>
      <c r="AF1224" s="209"/>
      <c r="AG1224" s="209"/>
      <c r="AH1224" s="209"/>
      <c r="AI1224" s="209"/>
      <c r="AJ1224" s="209"/>
      <c r="AK1224" s="209"/>
    </row>
    <row r="1225">
      <c r="A1225" s="209"/>
      <c r="B1225" s="209"/>
      <c r="C1225" s="209"/>
      <c r="D1225" s="209"/>
      <c r="E1225" s="209"/>
      <c r="F1225" s="209"/>
      <c r="G1225" s="209"/>
      <c r="H1225" s="209"/>
      <c r="I1225" s="209"/>
      <c r="J1225" s="209"/>
      <c r="K1225" s="209"/>
      <c r="L1225" s="209"/>
      <c r="M1225" s="209"/>
      <c r="N1225" s="209"/>
      <c r="O1225" s="209"/>
      <c r="P1225" s="209"/>
      <c r="Q1225" s="209"/>
      <c r="R1225" s="209"/>
      <c r="S1225" s="209"/>
      <c r="T1225" s="209"/>
      <c r="U1225" s="209"/>
      <c r="V1225" s="209"/>
      <c r="W1225" s="209"/>
      <c r="X1225" s="209"/>
      <c r="Y1225" s="209"/>
      <c r="Z1225" s="209"/>
      <c r="AA1225" s="209"/>
      <c r="AB1225" s="209"/>
      <c r="AC1225" s="209"/>
      <c r="AD1225" s="209"/>
      <c r="AE1225" s="209"/>
      <c r="AF1225" s="209"/>
      <c r="AG1225" s="209"/>
      <c r="AH1225" s="209"/>
      <c r="AI1225" s="209"/>
      <c r="AJ1225" s="209"/>
      <c r="AK1225" s="209"/>
    </row>
    <row r="1226">
      <c r="A1226" s="209"/>
      <c r="B1226" s="209"/>
      <c r="C1226" s="209"/>
      <c r="D1226" s="209"/>
      <c r="E1226" s="209"/>
      <c r="F1226" s="209"/>
      <c r="G1226" s="209"/>
      <c r="H1226" s="209"/>
      <c r="I1226" s="209"/>
      <c r="J1226" s="209"/>
      <c r="K1226" s="209"/>
      <c r="L1226" s="209"/>
      <c r="M1226" s="209"/>
      <c r="N1226" s="209"/>
      <c r="O1226" s="209"/>
      <c r="P1226" s="209"/>
      <c r="Q1226" s="209"/>
      <c r="R1226" s="209"/>
      <c r="S1226" s="209"/>
      <c r="T1226" s="209"/>
      <c r="U1226" s="209"/>
      <c r="V1226" s="209"/>
      <c r="W1226" s="209"/>
      <c r="X1226" s="209"/>
      <c r="Y1226" s="209"/>
      <c r="Z1226" s="209"/>
      <c r="AA1226" s="209"/>
      <c r="AB1226" s="209"/>
      <c r="AC1226" s="209"/>
      <c r="AD1226" s="209"/>
      <c r="AE1226" s="209"/>
      <c r="AF1226" s="209"/>
      <c r="AG1226" s="209"/>
      <c r="AH1226" s="209"/>
      <c r="AI1226" s="209"/>
      <c r="AJ1226" s="209"/>
      <c r="AK1226" s="209"/>
    </row>
    <row r="1227">
      <c r="A1227" s="209"/>
      <c r="B1227" s="209"/>
      <c r="C1227" s="209"/>
      <c r="D1227" s="209"/>
      <c r="E1227" s="209"/>
      <c r="F1227" s="209"/>
      <c r="G1227" s="209"/>
      <c r="H1227" s="209"/>
      <c r="I1227" s="209"/>
      <c r="J1227" s="209"/>
      <c r="K1227" s="209"/>
      <c r="L1227" s="209"/>
      <c r="M1227" s="209"/>
      <c r="N1227" s="209"/>
      <c r="O1227" s="209"/>
      <c r="P1227" s="209"/>
      <c r="Q1227" s="209"/>
      <c r="R1227" s="209"/>
      <c r="S1227" s="209"/>
      <c r="T1227" s="209"/>
      <c r="U1227" s="209"/>
      <c r="V1227" s="209"/>
      <c r="W1227" s="209"/>
      <c r="X1227" s="209"/>
      <c r="Y1227" s="209"/>
      <c r="Z1227" s="209"/>
      <c r="AA1227" s="209"/>
      <c r="AB1227" s="209"/>
      <c r="AC1227" s="209"/>
      <c r="AD1227" s="209"/>
      <c r="AE1227" s="209"/>
      <c r="AF1227" s="209"/>
      <c r="AG1227" s="209"/>
      <c r="AH1227" s="209"/>
      <c r="AI1227" s="209"/>
      <c r="AJ1227" s="209"/>
      <c r="AK1227" s="209"/>
    </row>
    <row r="1228">
      <c r="A1228" s="209"/>
      <c r="B1228" s="209"/>
      <c r="C1228" s="209"/>
      <c r="D1228" s="209"/>
      <c r="E1228" s="209"/>
      <c r="F1228" s="209"/>
      <c r="G1228" s="209"/>
      <c r="H1228" s="209"/>
      <c r="I1228" s="209"/>
      <c r="J1228" s="209"/>
      <c r="K1228" s="209"/>
      <c r="L1228" s="209"/>
      <c r="M1228" s="209"/>
      <c r="N1228" s="209"/>
      <c r="O1228" s="209"/>
      <c r="P1228" s="209"/>
      <c r="Q1228" s="209"/>
      <c r="R1228" s="209"/>
      <c r="S1228" s="209"/>
      <c r="T1228" s="209"/>
      <c r="U1228" s="209"/>
      <c r="V1228" s="209"/>
      <c r="W1228" s="209"/>
      <c r="X1228" s="209"/>
      <c r="Y1228" s="209"/>
      <c r="Z1228" s="209"/>
      <c r="AA1228" s="209"/>
      <c r="AB1228" s="209"/>
      <c r="AC1228" s="209"/>
      <c r="AD1228" s="209"/>
      <c r="AE1228" s="209"/>
      <c r="AF1228" s="209"/>
      <c r="AG1228" s="209"/>
      <c r="AH1228" s="209"/>
      <c r="AI1228" s="209"/>
      <c r="AJ1228" s="209"/>
      <c r="AK1228" s="209"/>
    </row>
    <row r="1229">
      <c r="A1229" s="209"/>
      <c r="B1229" s="209"/>
      <c r="C1229" s="209"/>
      <c r="D1229" s="209"/>
      <c r="E1229" s="209"/>
      <c r="F1229" s="209"/>
      <c r="G1229" s="209"/>
      <c r="H1229" s="209"/>
      <c r="I1229" s="209"/>
      <c r="J1229" s="209"/>
      <c r="K1229" s="209"/>
      <c r="L1229" s="209"/>
      <c r="M1229" s="209"/>
      <c r="N1229" s="209"/>
      <c r="O1229" s="209"/>
      <c r="P1229" s="209"/>
      <c r="Q1229" s="209"/>
      <c r="R1229" s="209"/>
      <c r="S1229" s="209"/>
      <c r="T1229" s="209"/>
      <c r="U1229" s="209"/>
      <c r="V1229" s="209"/>
      <c r="W1229" s="209"/>
      <c r="X1229" s="209"/>
      <c r="Y1229" s="209"/>
      <c r="Z1229" s="209"/>
      <c r="AA1229" s="209"/>
      <c r="AB1229" s="209"/>
      <c r="AC1229" s="209"/>
      <c r="AD1229" s="209"/>
      <c r="AE1229" s="209"/>
      <c r="AF1229" s="209"/>
      <c r="AG1229" s="209"/>
      <c r="AH1229" s="209"/>
      <c r="AI1229" s="209"/>
      <c r="AJ1229" s="209"/>
      <c r="AK1229" s="209"/>
    </row>
    <row r="1230">
      <c r="A1230" s="209"/>
      <c r="B1230" s="209"/>
      <c r="C1230" s="209"/>
      <c r="D1230" s="209"/>
      <c r="E1230" s="209"/>
      <c r="F1230" s="209"/>
      <c r="G1230" s="209"/>
      <c r="H1230" s="209"/>
      <c r="I1230" s="209"/>
      <c r="J1230" s="209"/>
      <c r="K1230" s="209"/>
      <c r="L1230" s="209"/>
      <c r="M1230" s="209"/>
      <c r="N1230" s="209"/>
      <c r="O1230" s="209"/>
      <c r="P1230" s="209"/>
      <c r="Q1230" s="209"/>
      <c r="R1230" s="209"/>
      <c r="S1230" s="209"/>
      <c r="T1230" s="209"/>
      <c r="U1230" s="209"/>
      <c r="V1230" s="209"/>
      <c r="W1230" s="209"/>
      <c r="X1230" s="209"/>
      <c r="Y1230" s="209"/>
      <c r="Z1230" s="209"/>
      <c r="AA1230" s="209"/>
      <c r="AB1230" s="209"/>
      <c r="AC1230" s="209"/>
      <c r="AD1230" s="209"/>
      <c r="AE1230" s="209"/>
      <c r="AF1230" s="209"/>
      <c r="AG1230" s="209"/>
      <c r="AH1230" s="209"/>
      <c r="AI1230" s="209"/>
      <c r="AJ1230" s="209"/>
      <c r="AK1230" s="209"/>
    </row>
    <row r="1231">
      <c r="A1231" s="209"/>
      <c r="B1231" s="209"/>
      <c r="C1231" s="209"/>
      <c r="D1231" s="209"/>
      <c r="E1231" s="209"/>
      <c r="F1231" s="209"/>
      <c r="G1231" s="209"/>
      <c r="H1231" s="209"/>
      <c r="I1231" s="209"/>
      <c r="J1231" s="209"/>
      <c r="K1231" s="209"/>
      <c r="L1231" s="209"/>
      <c r="M1231" s="209"/>
      <c r="N1231" s="209"/>
      <c r="O1231" s="209"/>
      <c r="P1231" s="209"/>
      <c r="Q1231" s="209"/>
      <c r="R1231" s="209"/>
      <c r="S1231" s="209"/>
      <c r="T1231" s="209"/>
      <c r="U1231" s="209"/>
      <c r="V1231" s="209"/>
      <c r="W1231" s="209"/>
      <c r="X1231" s="209"/>
      <c r="Y1231" s="209"/>
      <c r="Z1231" s="209"/>
      <c r="AA1231" s="209"/>
      <c r="AB1231" s="209"/>
      <c r="AC1231" s="209"/>
      <c r="AD1231" s="209"/>
      <c r="AE1231" s="209"/>
      <c r="AF1231" s="209"/>
      <c r="AG1231" s="209"/>
      <c r="AH1231" s="209"/>
      <c r="AI1231" s="209"/>
      <c r="AJ1231" s="209"/>
      <c r="AK1231" s="209"/>
    </row>
    <row r="1232">
      <c r="A1232" s="209"/>
      <c r="B1232" s="209"/>
      <c r="C1232" s="209"/>
      <c r="D1232" s="209"/>
      <c r="E1232" s="209"/>
      <c r="F1232" s="209"/>
      <c r="G1232" s="209"/>
      <c r="H1232" s="209"/>
      <c r="I1232" s="209"/>
      <c r="J1232" s="209"/>
      <c r="K1232" s="209"/>
      <c r="L1232" s="209"/>
      <c r="M1232" s="209"/>
      <c r="N1232" s="209"/>
      <c r="O1232" s="209"/>
      <c r="P1232" s="209"/>
      <c r="Q1232" s="209"/>
      <c r="R1232" s="209"/>
      <c r="S1232" s="209"/>
      <c r="T1232" s="209"/>
      <c r="U1232" s="209"/>
      <c r="V1232" s="209"/>
      <c r="W1232" s="209"/>
      <c r="X1232" s="209"/>
      <c r="Y1232" s="209"/>
      <c r="Z1232" s="209"/>
      <c r="AA1232" s="209"/>
      <c r="AB1232" s="209"/>
      <c r="AC1232" s="209"/>
      <c r="AD1232" s="209"/>
      <c r="AE1232" s="209"/>
      <c r="AF1232" s="209"/>
      <c r="AG1232" s="209"/>
      <c r="AH1232" s="209"/>
      <c r="AI1232" s="209"/>
      <c r="AJ1232" s="209"/>
      <c r="AK1232" s="209"/>
    </row>
    <row r="1233">
      <c r="A1233" s="209"/>
      <c r="B1233" s="209"/>
      <c r="C1233" s="209"/>
      <c r="D1233" s="209"/>
      <c r="E1233" s="209"/>
      <c r="F1233" s="209"/>
      <c r="G1233" s="209"/>
      <c r="H1233" s="209"/>
      <c r="I1233" s="209"/>
      <c r="J1233" s="209"/>
      <c r="K1233" s="209"/>
      <c r="L1233" s="209"/>
      <c r="M1233" s="209"/>
      <c r="N1233" s="209"/>
      <c r="O1233" s="209"/>
      <c r="P1233" s="209"/>
      <c r="Q1233" s="209"/>
      <c r="R1233" s="209"/>
      <c r="S1233" s="209"/>
      <c r="T1233" s="209"/>
      <c r="U1233" s="209"/>
      <c r="V1233" s="209"/>
      <c r="W1233" s="209"/>
      <c r="X1233" s="209"/>
      <c r="Y1233" s="209"/>
      <c r="Z1233" s="209"/>
      <c r="AA1233" s="209"/>
      <c r="AB1233" s="209"/>
      <c r="AC1233" s="209"/>
      <c r="AD1233" s="209"/>
      <c r="AE1233" s="209"/>
      <c r="AF1233" s="209"/>
      <c r="AG1233" s="209"/>
      <c r="AH1233" s="209"/>
      <c r="AI1233" s="209"/>
      <c r="AJ1233" s="209"/>
      <c r="AK1233" s="209"/>
    </row>
    <row r="1234">
      <c r="A1234" s="209"/>
      <c r="B1234" s="209"/>
      <c r="C1234" s="209"/>
      <c r="D1234" s="209"/>
      <c r="E1234" s="209"/>
      <c r="F1234" s="209"/>
      <c r="G1234" s="209"/>
      <c r="H1234" s="209"/>
      <c r="I1234" s="209"/>
      <c r="J1234" s="209"/>
      <c r="K1234" s="209"/>
      <c r="L1234" s="209"/>
      <c r="M1234" s="209"/>
      <c r="N1234" s="209"/>
      <c r="O1234" s="209"/>
      <c r="P1234" s="209"/>
      <c r="Q1234" s="209"/>
      <c r="R1234" s="209"/>
      <c r="S1234" s="209"/>
      <c r="T1234" s="209"/>
      <c r="U1234" s="209"/>
      <c r="V1234" s="209"/>
      <c r="W1234" s="209"/>
      <c r="X1234" s="209"/>
      <c r="Y1234" s="209"/>
      <c r="Z1234" s="209"/>
      <c r="AA1234" s="209"/>
      <c r="AB1234" s="209"/>
      <c r="AC1234" s="209"/>
      <c r="AD1234" s="209"/>
      <c r="AE1234" s="209"/>
      <c r="AF1234" s="209"/>
      <c r="AG1234" s="209"/>
      <c r="AH1234" s="209"/>
      <c r="AI1234" s="209"/>
      <c r="AJ1234" s="209"/>
      <c r="AK1234" s="209"/>
    </row>
    <row r="1235">
      <c r="A1235" s="209"/>
      <c r="B1235" s="209"/>
      <c r="C1235" s="209"/>
      <c r="D1235" s="209"/>
      <c r="E1235" s="209"/>
      <c r="F1235" s="209"/>
      <c r="G1235" s="209"/>
      <c r="H1235" s="209"/>
      <c r="I1235" s="209"/>
      <c r="J1235" s="209"/>
      <c r="K1235" s="209"/>
      <c r="L1235" s="209"/>
      <c r="M1235" s="209"/>
      <c r="N1235" s="209"/>
      <c r="O1235" s="209"/>
      <c r="P1235" s="209"/>
      <c r="Q1235" s="209"/>
      <c r="R1235" s="209"/>
      <c r="S1235" s="209"/>
      <c r="T1235" s="209"/>
      <c r="U1235" s="209"/>
      <c r="V1235" s="209"/>
      <c r="W1235" s="209"/>
      <c r="X1235" s="209"/>
      <c r="Y1235" s="209"/>
      <c r="Z1235" s="209"/>
      <c r="AA1235" s="209"/>
      <c r="AB1235" s="209"/>
      <c r="AC1235" s="209"/>
      <c r="AD1235" s="209"/>
      <c r="AE1235" s="209"/>
      <c r="AF1235" s="209"/>
      <c r="AG1235" s="209"/>
      <c r="AH1235" s="209"/>
      <c r="AI1235" s="209"/>
      <c r="AJ1235" s="209"/>
      <c r="AK1235" s="209"/>
    </row>
    <row r="1236">
      <c r="A1236" s="209"/>
      <c r="B1236" s="209"/>
      <c r="C1236" s="209"/>
      <c r="D1236" s="209"/>
      <c r="E1236" s="209"/>
      <c r="F1236" s="209"/>
      <c r="G1236" s="209"/>
      <c r="H1236" s="209"/>
      <c r="I1236" s="209"/>
      <c r="J1236" s="209"/>
      <c r="K1236" s="209"/>
      <c r="L1236" s="209"/>
      <c r="M1236" s="209"/>
      <c r="N1236" s="209"/>
      <c r="O1236" s="209"/>
      <c r="P1236" s="209"/>
      <c r="Q1236" s="209"/>
      <c r="R1236" s="209"/>
      <c r="S1236" s="209"/>
      <c r="T1236" s="209"/>
      <c r="U1236" s="209"/>
      <c r="V1236" s="209"/>
      <c r="W1236" s="209"/>
      <c r="X1236" s="209"/>
      <c r="Y1236" s="209"/>
      <c r="Z1236" s="209"/>
      <c r="AA1236" s="209"/>
      <c r="AB1236" s="209"/>
      <c r="AC1236" s="209"/>
      <c r="AD1236" s="209"/>
      <c r="AE1236" s="209"/>
      <c r="AF1236" s="209"/>
      <c r="AG1236" s="209"/>
      <c r="AH1236" s="209"/>
      <c r="AI1236" s="209"/>
      <c r="AJ1236" s="209"/>
      <c r="AK1236" s="209"/>
    </row>
    <row r="1237">
      <c r="A1237" s="209"/>
      <c r="B1237" s="209"/>
      <c r="C1237" s="209"/>
      <c r="D1237" s="209"/>
      <c r="E1237" s="209"/>
      <c r="F1237" s="209"/>
      <c r="G1237" s="209"/>
      <c r="H1237" s="209"/>
      <c r="I1237" s="209"/>
      <c r="J1237" s="209"/>
      <c r="K1237" s="209"/>
      <c r="L1237" s="209"/>
      <c r="M1237" s="209"/>
      <c r="N1237" s="209"/>
      <c r="O1237" s="209"/>
      <c r="P1237" s="209"/>
      <c r="Q1237" s="209"/>
      <c r="R1237" s="209"/>
      <c r="S1237" s="209"/>
      <c r="T1237" s="209"/>
      <c r="U1237" s="209"/>
      <c r="V1237" s="209"/>
      <c r="W1237" s="209"/>
      <c r="X1237" s="209"/>
      <c r="Y1237" s="209"/>
      <c r="Z1237" s="209"/>
      <c r="AA1237" s="209"/>
      <c r="AB1237" s="209"/>
      <c r="AC1237" s="209"/>
      <c r="AD1237" s="209"/>
      <c r="AE1237" s="209"/>
      <c r="AF1237" s="209"/>
      <c r="AG1237" s="209"/>
      <c r="AH1237" s="209"/>
      <c r="AI1237" s="209"/>
      <c r="AJ1237" s="209"/>
      <c r="AK1237" s="209"/>
    </row>
    <row r="1238">
      <c r="A1238" s="209"/>
      <c r="B1238" s="209"/>
      <c r="C1238" s="209"/>
      <c r="D1238" s="209"/>
      <c r="E1238" s="209"/>
      <c r="F1238" s="209"/>
      <c r="G1238" s="209"/>
      <c r="H1238" s="209"/>
      <c r="I1238" s="209"/>
      <c r="J1238" s="209"/>
      <c r="K1238" s="209"/>
      <c r="L1238" s="209"/>
      <c r="M1238" s="209"/>
      <c r="N1238" s="209"/>
      <c r="O1238" s="209"/>
      <c r="P1238" s="209"/>
      <c r="Q1238" s="209"/>
      <c r="R1238" s="209"/>
      <c r="S1238" s="209"/>
      <c r="T1238" s="209"/>
      <c r="U1238" s="209"/>
      <c r="V1238" s="209"/>
      <c r="W1238" s="209"/>
      <c r="X1238" s="209"/>
      <c r="Y1238" s="209"/>
      <c r="Z1238" s="209"/>
      <c r="AA1238" s="209"/>
      <c r="AB1238" s="209"/>
      <c r="AC1238" s="209"/>
      <c r="AD1238" s="209"/>
      <c r="AE1238" s="209"/>
      <c r="AF1238" s="209"/>
      <c r="AG1238" s="209"/>
      <c r="AH1238" s="209"/>
      <c r="AI1238" s="209"/>
      <c r="AJ1238" s="209"/>
      <c r="AK1238" s="209"/>
    </row>
    <row r="1239">
      <c r="A1239" s="209"/>
      <c r="B1239" s="209"/>
      <c r="C1239" s="209"/>
      <c r="D1239" s="209"/>
      <c r="E1239" s="209"/>
      <c r="F1239" s="209"/>
      <c r="G1239" s="209"/>
      <c r="H1239" s="209"/>
      <c r="I1239" s="209"/>
      <c r="J1239" s="209"/>
      <c r="K1239" s="209"/>
      <c r="L1239" s="209"/>
      <c r="M1239" s="209"/>
      <c r="N1239" s="209"/>
      <c r="O1239" s="209"/>
      <c r="P1239" s="209"/>
      <c r="Q1239" s="209"/>
      <c r="R1239" s="209"/>
      <c r="S1239" s="209"/>
      <c r="T1239" s="209"/>
      <c r="U1239" s="209"/>
      <c r="V1239" s="209"/>
      <c r="W1239" s="209"/>
      <c r="X1239" s="209"/>
      <c r="Y1239" s="209"/>
      <c r="Z1239" s="209"/>
      <c r="AA1239" s="209"/>
      <c r="AB1239" s="209"/>
      <c r="AC1239" s="209"/>
      <c r="AD1239" s="209"/>
      <c r="AE1239" s="209"/>
      <c r="AF1239" s="209"/>
      <c r="AG1239" s="209"/>
      <c r="AH1239" s="209"/>
      <c r="AI1239" s="209"/>
      <c r="AJ1239" s="209"/>
      <c r="AK1239" s="209"/>
    </row>
    <row r="1240">
      <c r="A1240" s="209"/>
      <c r="B1240" s="209"/>
      <c r="C1240" s="209"/>
      <c r="D1240" s="209"/>
      <c r="E1240" s="209"/>
      <c r="F1240" s="209"/>
      <c r="G1240" s="209"/>
      <c r="H1240" s="209"/>
      <c r="I1240" s="209"/>
      <c r="J1240" s="209"/>
      <c r="K1240" s="209"/>
      <c r="L1240" s="209"/>
      <c r="M1240" s="209"/>
      <c r="N1240" s="209"/>
      <c r="O1240" s="209"/>
      <c r="P1240" s="209"/>
      <c r="Q1240" s="209"/>
      <c r="R1240" s="209"/>
      <c r="S1240" s="209"/>
      <c r="T1240" s="209"/>
      <c r="U1240" s="209"/>
      <c r="V1240" s="209"/>
      <c r="W1240" s="209"/>
      <c r="X1240" s="209"/>
      <c r="Y1240" s="209"/>
      <c r="Z1240" s="209"/>
      <c r="AA1240" s="209"/>
      <c r="AB1240" s="209"/>
      <c r="AC1240" s="209"/>
      <c r="AD1240" s="209"/>
      <c r="AE1240" s="209"/>
      <c r="AF1240" s="209"/>
      <c r="AG1240" s="209"/>
      <c r="AH1240" s="209"/>
      <c r="AI1240" s="209"/>
      <c r="AJ1240" s="209"/>
      <c r="AK1240" s="209"/>
    </row>
    <row r="1241">
      <c r="A1241" s="209"/>
      <c r="B1241" s="209"/>
      <c r="C1241" s="209"/>
      <c r="D1241" s="209"/>
      <c r="E1241" s="209"/>
      <c r="F1241" s="209"/>
      <c r="G1241" s="209"/>
      <c r="H1241" s="209"/>
      <c r="I1241" s="209"/>
      <c r="J1241" s="209"/>
      <c r="K1241" s="209"/>
      <c r="L1241" s="209"/>
      <c r="M1241" s="209"/>
      <c r="N1241" s="209"/>
      <c r="O1241" s="209"/>
      <c r="P1241" s="209"/>
      <c r="Q1241" s="209"/>
      <c r="R1241" s="209"/>
      <c r="S1241" s="209"/>
      <c r="T1241" s="209"/>
      <c r="U1241" s="209"/>
      <c r="V1241" s="209"/>
      <c r="W1241" s="209"/>
      <c r="X1241" s="209"/>
      <c r="Y1241" s="209"/>
      <c r="Z1241" s="209"/>
      <c r="AA1241" s="209"/>
      <c r="AB1241" s="209"/>
      <c r="AC1241" s="209"/>
      <c r="AD1241" s="209"/>
      <c r="AE1241" s="209"/>
      <c r="AF1241" s="209"/>
      <c r="AG1241" s="209"/>
      <c r="AH1241" s="209"/>
      <c r="AI1241" s="209"/>
      <c r="AJ1241" s="209"/>
      <c r="AK1241" s="209"/>
    </row>
    <row r="1242">
      <c r="A1242" s="209"/>
      <c r="B1242" s="209"/>
      <c r="C1242" s="209"/>
      <c r="D1242" s="209"/>
      <c r="E1242" s="209"/>
      <c r="F1242" s="209"/>
      <c r="G1242" s="209"/>
      <c r="H1242" s="209"/>
      <c r="I1242" s="209"/>
      <c r="J1242" s="209"/>
      <c r="K1242" s="209"/>
      <c r="L1242" s="209"/>
      <c r="M1242" s="209"/>
      <c r="N1242" s="209"/>
      <c r="O1242" s="209"/>
      <c r="P1242" s="209"/>
      <c r="Q1242" s="209"/>
      <c r="R1242" s="209"/>
      <c r="S1242" s="209"/>
      <c r="T1242" s="209"/>
      <c r="U1242" s="209"/>
      <c r="V1242" s="209"/>
      <c r="W1242" s="209"/>
      <c r="X1242" s="209"/>
      <c r="Y1242" s="209"/>
      <c r="Z1242" s="209"/>
      <c r="AA1242" s="209"/>
      <c r="AB1242" s="209"/>
      <c r="AC1242" s="209"/>
      <c r="AD1242" s="209"/>
      <c r="AE1242" s="209"/>
      <c r="AF1242" s="209"/>
      <c r="AG1242" s="209"/>
      <c r="AH1242" s="209"/>
      <c r="AI1242" s="209"/>
      <c r="AJ1242" s="209"/>
      <c r="AK1242" s="209"/>
    </row>
    <row r="1243">
      <c r="A1243" s="209"/>
      <c r="B1243" s="209"/>
      <c r="C1243" s="209"/>
      <c r="D1243" s="209"/>
      <c r="E1243" s="209"/>
      <c r="F1243" s="209"/>
      <c r="G1243" s="209"/>
      <c r="H1243" s="209"/>
      <c r="I1243" s="209"/>
      <c r="J1243" s="209"/>
      <c r="K1243" s="209"/>
      <c r="L1243" s="209"/>
      <c r="M1243" s="209"/>
      <c r="N1243" s="209"/>
      <c r="O1243" s="209"/>
      <c r="P1243" s="209"/>
      <c r="Q1243" s="209"/>
      <c r="R1243" s="209"/>
      <c r="S1243" s="209"/>
      <c r="T1243" s="209"/>
      <c r="U1243" s="209"/>
      <c r="V1243" s="209"/>
      <c r="W1243" s="209"/>
      <c r="X1243" s="209"/>
      <c r="Y1243" s="209"/>
      <c r="Z1243" s="209"/>
      <c r="AA1243" s="209"/>
      <c r="AB1243" s="209"/>
      <c r="AC1243" s="209"/>
      <c r="AD1243" s="209"/>
      <c r="AE1243" s="209"/>
      <c r="AF1243" s="209"/>
      <c r="AG1243" s="209"/>
      <c r="AH1243" s="209"/>
      <c r="AI1243" s="209"/>
      <c r="AJ1243" s="209"/>
      <c r="AK1243" s="209"/>
    </row>
    <row r="1244">
      <c r="A1244" s="209"/>
      <c r="B1244" s="209"/>
      <c r="C1244" s="209"/>
      <c r="D1244" s="209"/>
      <c r="E1244" s="209"/>
      <c r="F1244" s="209"/>
      <c r="G1244" s="209"/>
      <c r="H1244" s="209"/>
      <c r="I1244" s="209"/>
      <c r="J1244" s="209"/>
      <c r="K1244" s="209"/>
      <c r="L1244" s="209"/>
      <c r="M1244" s="209"/>
      <c r="N1244" s="209"/>
      <c r="O1244" s="209"/>
      <c r="P1244" s="209"/>
      <c r="Q1244" s="209"/>
      <c r="R1244" s="209"/>
      <c r="S1244" s="209"/>
      <c r="T1244" s="209"/>
      <c r="U1244" s="209"/>
      <c r="V1244" s="209"/>
      <c r="W1244" s="209"/>
      <c r="X1244" s="209"/>
      <c r="Y1244" s="209"/>
      <c r="Z1244" s="209"/>
      <c r="AA1244" s="209"/>
      <c r="AB1244" s="209"/>
      <c r="AC1244" s="209"/>
      <c r="AD1244" s="209"/>
      <c r="AE1244" s="209"/>
      <c r="AF1244" s="209"/>
      <c r="AG1244" s="209"/>
      <c r="AH1244" s="209"/>
      <c r="AI1244" s="209"/>
      <c r="AJ1244" s="209"/>
      <c r="AK1244" s="209"/>
    </row>
    <row r="1245">
      <c r="A1245" s="209"/>
      <c r="B1245" s="209"/>
      <c r="C1245" s="209"/>
      <c r="D1245" s="209"/>
      <c r="E1245" s="209"/>
      <c r="F1245" s="209"/>
      <c r="G1245" s="209"/>
      <c r="H1245" s="209"/>
      <c r="I1245" s="209"/>
      <c r="J1245" s="209"/>
      <c r="K1245" s="209"/>
      <c r="L1245" s="209"/>
      <c r="M1245" s="209"/>
      <c r="N1245" s="209"/>
      <c r="O1245" s="209"/>
      <c r="P1245" s="209"/>
      <c r="Q1245" s="209"/>
      <c r="R1245" s="209"/>
      <c r="S1245" s="209"/>
      <c r="T1245" s="209"/>
      <c r="U1245" s="209"/>
      <c r="V1245" s="209"/>
      <c r="W1245" s="209"/>
      <c r="X1245" s="209"/>
      <c r="Y1245" s="209"/>
      <c r="Z1245" s="209"/>
      <c r="AA1245" s="209"/>
      <c r="AB1245" s="209"/>
      <c r="AC1245" s="209"/>
      <c r="AD1245" s="209"/>
      <c r="AE1245" s="209"/>
      <c r="AF1245" s="209"/>
      <c r="AG1245" s="209"/>
      <c r="AH1245" s="209"/>
      <c r="AI1245" s="209"/>
      <c r="AJ1245" s="209"/>
      <c r="AK1245" s="209"/>
    </row>
    <row r="1246">
      <c r="A1246" s="209"/>
      <c r="B1246" s="209"/>
      <c r="C1246" s="209"/>
      <c r="D1246" s="209"/>
      <c r="E1246" s="209"/>
      <c r="F1246" s="209"/>
      <c r="G1246" s="209"/>
      <c r="H1246" s="209"/>
      <c r="I1246" s="209"/>
      <c r="J1246" s="209"/>
      <c r="K1246" s="209"/>
      <c r="L1246" s="209"/>
      <c r="M1246" s="209"/>
      <c r="N1246" s="209"/>
      <c r="O1246" s="209"/>
      <c r="P1246" s="209"/>
      <c r="Q1246" s="209"/>
      <c r="R1246" s="209"/>
      <c r="S1246" s="209"/>
      <c r="T1246" s="209"/>
      <c r="U1246" s="209"/>
      <c r="V1246" s="209"/>
      <c r="W1246" s="209"/>
      <c r="X1246" s="209"/>
      <c r="Y1246" s="209"/>
      <c r="Z1246" s="209"/>
      <c r="AA1246" s="209"/>
      <c r="AB1246" s="209"/>
      <c r="AC1246" s="209"/>
      <c r="AD1246" s="209"/>
      <c r="AE1246" s="209"/>
      <c r="AF1246" s="209"/>
      <c r="AG1246" s="209"/>
      <c r="AH1246" s="209"/>
      <c r="AI1246" s="209"/>
      <c r="AJ1246" s="209"/>
      <c r="AK1246" s="209"/>
    </row>
    <row r="1247">
      <c r="A1247" s="209"/>
      <c r="B1247" s="209"/>
      <c r="C1247" s="209"/>
      <c r="D1247" s="209"/>
      <c r="E1247" s="209"/>
      <c r="F1247" s="209"/>
      <c r="G1247" s="209"/>
      <c r="H1247" s="209"/>
      <c r="I1247" s="209"/>
      <c r="J1247" s="209"/>
      <c r="K1247" s="209"/>
      <c r="L1247" s="209"/>
      <c r="M1247" s="209"/>
      <c r="N1247" s="209"/>
      <c r="O1247" s="209"/>
      <c r="P1247" s="209"/>
      <c r="Q1247" s="209"/>
      <c r="R1247" s="209"/>
      <c r="S1247" s="209"/>
      <c r="T1247" s="209"/>
      <c r="U1247" s="209"/>
      <c r="V1247" s="209"/>
      <c r="W1247" s="209"/>
      <c r="X1247" s="209"/>
      <c r="Y1247" s="209"/>
      <c r="Z1247" s="209"/>
      <c r="AA1247" s="209"/>
      <c r="AB1247" s="209"/>
      <c r="AC1247" s="209"/>
      <c r="AD1247" s="209"/>
      <c r="AE1247" s="209"/>
      <c r="AF1247" s="209"/>
      <c r="AG1247" s="209"/>
      <c r="AH1247" s="209"/>
      <c r="AI1247" s="209"/>
      <c r="AJ1247" s="209"/>
      <c r="AK1247" s="209"/>
    </row>
    <row r="1248">
      <c r="A1248" s="209"/>
      <c r="B1248" s="209"/>
      <c r="C1248" s="209"/>
      <c r="D1248" s="209"/>
      <c r="E1248" s="209"/>
      <c r="F1248" s="209"/>
      <c r="G1248" s="209"/>
      <c r="H1248" s="209"/>
      <c r="I1248" s="209"/>
      <c r="J1248" s="209"/>
      <c r="K1248" s="209"/>
      <c r="L1248" s="209"/>
      <c r="M1248" s="209"/>
      <c r="N1248" s="209"/>
      <c r="O1248" s="209"/>
      <c r="P1248" s="209"/>
      <c r="Q1248" s="209"/>
      <c r="R1248" s="209"/>
      <c r="S1248" s="209"/>
      <c r="T1248" s="209"/>
      <c r="U1248" s="209"/>
      <c r="V1248" s="209"/>
      <c r="W1248" s="209"/>
      <c r="X1248" s="209"/>
      <c r="Y1248" s="209"/>
      <c r="Z1248" s="209"/>
      <c r="AA1248" s="209"/>
      <c r="AB1248" s="209"/>
      <c r="AC1248" s="209"/>
      <c r="AD1248" s="209"/>
      <c r="AE1248" s="209"/>
      <c r="AF1248" s="209"/>
      <c r="AG1248" s="209"/>
      <c r="AH1248" s="209"/>
      <c r="AI1248" s="209"/>
      <c r="AJ1248" s="209"/>
      <c r="AK1248" s="209"/>
    </row>
    <row r="1249">
      <c r="A1249" s="209"/>
      <c r="B1249" s="209"/>
      <c r="C1249" s="209"/>
      <c r="D1249" s="209"/>
      <c r="E1249" s="209"/>
      <c r="F1249" s="209"/>
      <c r="G1249" s="209"/>
      <c r="H1249" s="209"/>
      <c r="I1249" s="209"/>
      <c r="J1249" s="209"/>
      <c r="K1249" s="209"/>
      <c r="L1249" s="209"/>
      <c r="M1249" s="209"/>
      <c r="N1249" s="209"/>
      <c r="O1249" s="209"/>
      <c r="P1249" s="209"/>
      <c r="Q1249" s="209"/>
      <c r="R1249" s="209"/>
      <c r="S1249" s="209"/>
      <c r="T1249" s="209"/>
      <c r="U1249" s="209"/>
      <c r="V1249" s="209"/>
      <c r="W1249" s="209"/>
      <c r="X1249" s="209"/>
      <c r="Y1249" s="209"/>
      <c r="Z1249" s="209"/>
      <c r="AA1249" s="209"/>
      <c r="AB1249" s="209"/>
      <c r="AC1249" s="209"/>
      <c r="AD1249" s="209"/>
      <c r="AE1249" s="209"/>
      <c r="AF1249" s="209"/>
      <c r="AG1249" s="209"/>
      <c r="AH1249" s="209"/>
      <c r="AI1249" s="209"/>
      <c r="AJ1249" s="209"/>
      <c r="AK1249" s="209"/>
    </row>
    <row r="1250">
      <c r="A1250" s="209"/>
      <c r="B1250" s="209"/>
      <c r="C1250" s="209"/>
      <c r="D1250" s="209"/>
      <c r="E1250" s="209"/>
      <c r="F1250" s="209"/>
      <c r="G1250" s="209"/>
      <c r="H1250" s="209"/>
      <c r="I1250" s="209"/>
      <c r="J1250" s="209"/>
      <c r="K1250" s="209"/>
      <c r="L1250" s="209"/>
      <c r="M1250" s="209"/>
      <c r="N1250" s="209"/>
      <c r="O1250" s="209"/>
      <c r="P1250" s="209"/>
      <c r="Q1250" s="209"/>
      <c r="R1250" s="209"/>
      <c r="S1250" s="209"/>
      <c r="T1250" s="209"/>
      <c r="U1250" s="209"/>
      <c r="V1250" s="209"/>
      <c r="W1250" s="209"/>
      <c r="X1250" s="209"/>
      <c r="Y1250" s="209"/>
      <c r="Z1250" s="209"/>
      <c r="AA1250" s="209"/>
      <c r="AB1250" s="209"/>
      <c r="AC1250" s="209"/>
      <c r="AD1250" s="209"/>
      <c r="AE1250" s="209"/>
      <c r="AF1250" s="209"/>
      <c r="AG1250" s="209"/>
      <c r="AH1250" s="209"/>
      <c r="AI1250" s="209"/>
      <c r="AJ1250" s="209"/>
      <c r="AK1250" s="209"/>
    </row>
    <row r="1251">
      <c r="A1251" s="209"/>
      <c r="B1251" s="209"/>
      <c r="C1251" s="209"/>
      <c r="D1251" s="209"/>
      <c r="E1251" s="209"/>
      <c r="F1251" s="209"/>
      <c r="G1251" s="209"/>
      <c r="H1251" s="209"/>
      <c r="I1251" s="209"/>
      <c r="J1251" s="209"/>
      <c r="K1251" s="209"/>
      <c r="L1251" s="209"/>
      <c r="M1251" s="209"/>
      <c r="N1251" s="209"/>
      <c r="O1251" s="209"/>
      <c r="P1251" s="209"/>
      <c r="Q1251" s="209"/>
      <c r="R1251" s="209"/>
      <c r="S1251" s="209"/>
      <c r="T1251" s="209"/>
      <c r="U1251" s="209"/>
      <c r="V1251" s="209"/>
      <c r="W1251" s="209"/>
      <c r="X1251" s="209"/>
      <c r="Y1251" s="209"/>
      <c r="Z1251" s="209"/>
      <c r="AA1251" s="209"/>
      <c r="AB1251" s="209"/>
      <c r="AC1251" s="209"/>
      <c r="AD1251" s="209"/>
      <c r="AE1251" s="209"/>
      <c r="AF1251" s="209"/>
      <c r="AG1251" s="209"/>
      <c r="AH1251" s="209"/>
      <c r="AI1251" s="209"/>
      <c r="AJ1251" s="209"/>
      <c r="AK1251" s="209"/>
    </row>
    <row r="1252">
      <c r="A1252" s="209"/>
      <c r="B1252" s="209"/>
      <c r="C1252" s="209"/>
      <c r="D1252" s="209"/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209"/>
      <c r="P1252" s="209"/>
      <c r="Q1252" s="209"/>
      <c r="R1252" s="209"/>
      <c r="S1252" s="209"/>
      <c r="T1252" s="209"/>
      <c r="U1252" s="209"/>
      <c r="V1252" s="209"/>
      <c r="W1252" s="209"/>
      <c r="X1252" s="209"/>
      <c r="Y1252" s="209"/>
      <c r="Z1252" s="209"/>
      <c r="AA1252" s="209"/>
      <c r="AB1252" s="209"/>
      <c r="AC1252" s="209"/>
      <c r="AD1252" s="209"/>
      <c r="AE1252" s="209"/>
      <c r="AF1252" s="209"/>
      <c r="AG1252" s="209"/>
      <c r="AH1252" s="209"/>
      <c r="AI1252" s="209"/>
      <c r="AJ1252" s="209"/>
      <c r="AK1252" s="209"/>
    </row>
    <row r="1253">
      <c r="A1253" s="209"/>
      <c r="B1253" s="209"/>
      <c r="C1253" s="209"/>
      <c r="D1253" s="209"/>
      <c r="E1253" s="209"/>
      <c r="F1253" s="209"/>
      <c r="G1253" s="209"/>
      <c r="H1253" s="209"/>
      <c r="I1253" s="209"/>
      <c r="J1253" s="209"/>
      <c r="K1253" s="209"/>
      <c r="L1253" s="209"/>
      <c r="M1253" s="209"/>
      <c r="N1253" s="209"/>
      <c r="O1253" s="209"/>
      <c r="P1253" s="209"/>
      <c r="Q1253" s="209"/>
      <c r="R1253" s="209"/>
      <c r="S1253" s="209"/>
      <c r="T1253" s="209"/>
      <c r="U1253" s="209"/>
      <c r="V1253" s="209"/>
      <c r="W1253" s="209"/>
      <c r="X1253" s="209"/>
      <c r="Y1253" s="209"/>
      <c r="Z1253" s="209"/>
      <c r="AA1253" s="209"/>
      <c r="AB1253" s="209"/>
      <c r="AC1253" s="209"/>
      <c r="AD1253" s="209"/>
      <c r="AE1253" s="209"/>
      <c r="AF1253" s="209"/>
      <c r="AG1253" s="209"/>
      <c r="AH1253" s="209"/>
      <c r="AI1253" s="209"/>
      <c r="AJ1253" s="209"/>
      <c r="AK1253" s="209"/>
    </row>
    <row r="1254">
      <c r="A1254" s="209"/>
      <c r="B1254" s="209"/>
      <c r="C1254" s="209"/>
      <c r="D1254" s="209"/>
      <c r="E1254" s="209"/>
      <c r="F1254" s="209"/>
      <c r="G1254" s="209"/>
      <c r="H1254" s="209"/>
      <c r="I1254" s="209"/>
      <c r="J1254" s="209"/>
      <c r="K1254" s="209"/>
      <c r="L1254" s="209"/>
      <c r="M1254" s="209"/>
      <c r="N1254" s="209"/>
      <c r="O1254" s="209"/>
      <c r="P1254" s="209"/>
      <c r="Q1254" s="209"/>
      <c r="R1254" s="209"/>
      <c r="S1254" s="209"/>
      <c r="T1254" s="209"/>
      <c r="U1254" s="209"/>
      <c r="V1254" s="209"/>
      <c r="W1254" s="209"/>
      <c r="X1254" s="209"/>
      <c r="Y1254" s="209"/>
      <c r="Z1254" s="209"/>
      <c r="AA1254" s="209"/>
      <c r="AB1254" s="209"/>
      <c r="AC1254" s="209"/>
      <c r="AD1254" s="209"/>
      <c r="AE1254" s="209"/>
      <c r="AF1254" s="209"/>
      <c r="AG1254" s="209"/>
      <c r="AH1254" s="209"/>
      <c r="AI1254" s="209"/>
      <c r="AJ1254" s="209"/>
      <c r="AK1254" s="209"/>
    </row>
    <row r="1255">
      <c r="A1255" s="209"/>
      <c r="B1255" s="209"/>
      <c r="C1255" s="209"/>
      <c r="D1255" s="209"/>
      <c r="E1255" s="209"/>
      <c r="F1255" s="209"/>
      <c r="G1255" s="209"/>
      <c r="H1255" s="209"/>
      <c r="I1255" s="209"/>
      <c r="J1255" s="209"/>
      <c r="K1255" s="209"/>
      <c r="L1255" s="209"/>
      <c r="M1255" s="209"/>
      <c r="N1255" s="209"/>
      <c r="O1255" s="209"/>
      <c r="P1255" s="209"/>
      <c r="Q1255" s="209"/>
      <c r="R1255" s="209"/>
      <c r="S1255" s="209"/>
      <c r="T1255" s="209"/>
      <c r="U1255" s="209"/>
      <c r="V1255" s="209"/>
      <c r="W1255" s="209"/>
      <c r="X1255" s="209"/>
      <c r="Y1255" s="209"/>
      <c r="Z1255" s="209"/>
      <c r="AA1255" s="209"/>
      <c r="AB1255" s="209"/>
      <c r="AC1255" s="209"/>
      <c r="AD1255" s="209"/>
      <c r="AE1255" s="209"/>
      <c r="AF1255" s="209"/>
      <c r="AG1255" s="209"/>
      <c r="AH1255" s="209"/>
      <c r="AI1255" s="209"/>
      <c r="AJ1255" s="209"/>
      <c r="AK1255" s="209"/>
    </row>
    <row r="1256">
      <c r="A1256" s="209"/>
      <c r="B1256" s="209"/>
      <c r="C1256" s="209"/>
      <c r="D1256" s="209"/>
      <c r="E1256" s="209"/>
      <c r="F1256" s="209"/>
      <c r="G1256" s="209"/>
      <c r="H1256" s="209"/>
      <c r="I1256" s="209"/>
      <c r="J1256" s="209"/>
      <c r="K1256" s="209"/>
      <c r="L1256" s="209"/>
      <c r="M1256" s="209"/>
      <c r="N1256" s="209"/>
      <c r="O1256" s="209"/>
      <c r="P1256" s="209"/>
      <c r="Q1256" s="209"/>
      <c r="R1256" s="209"/>
      <c r="S1256" s="209"/>
      <c r="T1256" s="209"/>
      <c r="U1256" s="209"/>
      <c r="V1256" s="209"/>
      <c r="W1256" s="209"/>
      <c r="X1256" s="209"/>
      <c r="Y1256" s="209"/>
      <c r="Z1256" s="209"/>
      <c r="AA1256" s="209"/>
      <c r="AB1256" s="209"/>
      <c r="AC1256" s="209"/>
      <c r="AD1256" s="209"/>
      <c r="AE1256" s="209"/>
      <c r="AF1256" s="209"/>
      <c r="AG1256" s="209"/>
      <c r="AH1256" s="209"/>
      <c r="AI1256" s="209"/>
      <c r="AJ1256" s="209"/>
      <c r="AK1256" s="209"/>
    </row>
    <row r="1257">
      <c r="A1257" s="209"/>
      <c r="B1257" s="209"/>
      <c r="C1257" s="209"/>
      <c r="D1257" s="209"/>
      <c r="E1257" s="209"/>
      <c r="F1257" s="209"/>
      <c r="G1257" s="209"/>
      <c r="H1257" s="209"/>
      <c r="I1257" s="209"/>
      <c r="J1257" s="209"/>
      <c r="K1257" s="209"/>
      <c r="L1257" s="209"/>
      <c r="M1257" s="209"/>
      <c r="N1257" s="209"/>
      <c r="O1257" s="209"/>
      <c r="P1257" s="209"/>
      <c r="Q1257" s="209"/>
      <c r="R1257" s="209"/>
      <c r="S1257" s="209"/>
      <c r="T1257" s="209"/>
      <c r="U1257" s="209"/>
      <c r="V1257" s="209"/>
      <c r="W1257" s="209"/>
      <c r="X1257" s="209"/>
      <c r="Y1257" s="209"/>
      <c r="Z1257" s="209"/>
      <c r="AA1257" s="209"/>
      <c r="AB1257" s="209"/>
      <c r="AC1257" s="209"/>
      <c r="AD1257" s="209"/>
      <c r="AE1257" s="209"/>
      <c r="AF1257" s="209"/>
      <c r="AG1257" s="209"/>
      <c r="AH1257" s="209"/>
      <c r="AI1257" s="209"/>
      <c r="AJ1257" s="209"/>
      <c r="AK1257" s="209"/>
    </row>
    <row r="1258">
      <c r="A1258" s="209"/>
      <c r="B1258" s="209"/>
      <c r="C1258" s="209"/>
      <c r="D1258" s="209"/>
      <c r="E1258" s="209"/>
      <c r="F1258" s="209"/>
      <c r="G1258" s="209"/>
      <c r="H1258" s="209"/>
      <c r="I1258" s="209"/>
      <c r="J1258" s="209"/>
      <c r="K1258" s="209"/>
      <c r="L1258" s="209"/>
      <c r="M1258" s="209"/>
      <c r="N1258" s="209"/>
      <c r="O1258" s="209"/>
      <c r="P1258" s="209"/>
      <c r="Q1258" s="209"/>
      <c r="R1258" s="209"/>
      <c r="S1258" s="209"/>
      <c r="T1258" s="209"/>
      <c r="U1258" s="209"/>
      <c r="V1258" s="209"/>
      <c r="W1258" s="209"/>
      <c r="X1258" s="209"/>
      <c r="Y1258" s="209"/>
      <c r="Z1258" s="209"/>
      <c r="AA1258" s="209"/>
      <c r="AB1258" s="209"/>
      <c r="AC1258" s="209"/>
      <c r="AD1258" s="209"/>
      <c r="AE1258" s="209"/>
      <c r="AF1258" s="209"/>
      <c r="AG1258" s="209"/>
      <c r="AH1258" s="209"/>
      <c r="AI1258" s="209"/>
      <c r="AJ1258" s="209"/>
      <c r="AK1258" s="209"/>
    </row>
    <row r="1259">
      <c r="A1259" s="209"/>
      <c r="B1259" s="209"/>
      <c r="C1259" s="209"/>
      <c r="D1259" s="209"/>
      <c r="E1259" s="209"/>
      <c r="F1259" s="209"/>
      <c r="G1259" s="209"/>
      <c r="H1259" s="209"/>
      <c r="I1259" s="209"/>
      <c r="J1259" s="209"/>
      <c r="K1259" s="209"/>
      <c r="L1259" s="209"/>
      <c r="M1259" s="209"/>
      <c r="N1259" s="209"/>
      <c r="O1259" s="209"/>
      <c r="P1259" s="209"/>
      <c r="Q1259" s="209"/>
      <c r="R1259" s="209"/>
      <c r="S1259" s="209"/>
      <c r="T1259" s="209"/>
      <c r="U1259" s="209"/>
      <c r="V1259" s="209"/>
      <c r="W1259" s="209"/>
      <c r="X1259" s="209"/>
      <c r="Y1259" s="209"/>
      <c r="Z1259" s="209"/>
      <c r="AA1259" s="209"/>
      <c r="AB1259" s="209"/>
      <c r="AC1259" s="209"/>
      <c r="AD1259" s="209"/>
      <c r="AE1259" s="209"/>
      <c r="AF1259" s="209"/>
      <c r="AG1259" s="209"/>
      <c r="AH1259" s="209"/>
      <c r="AI1259" s="209"/>
      <c r="AJ1259" s="209"/>
      <c r="AK1259" s="209"/>
    </row>
    <row r="1260">
      <c r="A1260" s="209"/>
      <c r="B1260" s="209"/>
      <c r="C1260" s="209"/>
      <c r="D1260" s="209"/>
      <c r="E1260" s="209"/>
      <c r="F1260" s="209"/>
      <c r="G1260" s="209"/>
      <c r="H1260" s="209"/>
      <c r="I1260" s="209"/>
      <c r="J1260" s="209"/>
      <c r="K1260" s="209"/>
      <c r="L1260" s="209"/>
      <c r="M1260" s="209"/>
      <c r="N1260" s="209"/>
      <c r="O1260" s="209"/>
      <c r="P1260" s="209"/>
      <c r="Q1260" s="209"/>
      <c r="R1260" s="209"/>
      <c r="S1260" s="209"/>
      <c r="T1260" s="209"/>
      <c r="U1260" s="209"/>
      <c r="V1260" s="209"/>
      <c r="W1260" s="209"/>
      <c r="X1260" s="209"/>
      <c r="Y1260" s="209"/>
      <c r="Z1260" s="209"/>
      <c r="AA1260" s="209"/>
      <c r="AB1260" s="209"/>
      <c r="AC1260" s="209"/>
      <c r="AD1260" s="209"/>
      <c r="AE1260" s="209"/>
      <c r="AF1260" s="209"/>
      <c r="AG1260" s="209"/>
      <c r="AH1260" s="209"/>
      <c r="AI1260" s="209"/>
      <c r="AJ1260" s="209"/>
      <c r="AK1260" s="209"/>
    </row>
    <row r="1261">
      <c r="A1261" s="209"/>
      <c r="B1261" s="209"/>
      <c r="C1261" s="209"/>
      <c r="D1261" s="209"/>
      <c r="E1261" s="209"/>
      <c r="F1261" s="209"/>
      <c r="G1261" s="209"/>
      <c r="H1261" s="209"/>
      <c r="I1261" s="209"/>
      <c r="J1261" s="209"/>
      <c r="K1261" s="209"/>
      <c r="L1261" s="209"/>
      <c r="M1261" s="209"/>
      <c r="N1261" s="209"/>
      <c r="O1261" s="209"/>
      <c r="P1261" s="209"/>
      <c r="Q1261" s="209"/>
      <c r="R1261" s="209"/>
      <c r="S1261" s="209"/>
      <c r="T1261" s="209"/>
      <c r="U1261" s="209"/>
      <c r="V1261" s="209"/>
      <c r="W1261" s="209"/>
      <c r="X1261" s="209"/>
      <c r="Y1261" s="209"/>
      <c r="Z1261" s="209"/>
      <c r="AA1261" s="209"/>
      <c r="AB1261" s="209"/>
      <c r="AC1261" s="209"/>
      <c r="AD1261" s="209"/>
      <c r="AE1261" s="209"/>
      <c r="AF1261" s="209"/>
      <c r="AG1261" s="209"/>
      <c r="AH1261" s="209"/>
      <c r="AI1261" s="209"/>
      <c r="AJ1261" s="209"/>
      <c r="AK1261" s="209"/>
    </row>
    <row r="1262">
      <c r="A1262" s="209"/>
      <c r="B1262" s="209"/>
      <c r="C1262" s="209"/>
      <c r="D1262" s="209"/>
      <c r="E1262" s="209"/>
      <c r="F1262" s="209"/>
      <c r="G1262" s="209"/>
      <c r="H1262" s="209"/>
      <c r="I1262" s="209"/>
      <c r="J1262" s="209"/>
      <c r="K1262" s="209"/>
      <c r="L1262" s="209"/>
      <c r="M1262" s="209"/>
      <c r="N1262" s="209"/>
      <c r="O1262" s="209"/>
      <c r="P1262" s="209"/>
      <c r="Q1262" s="209"/>
      <c r="R1262" s="209"/>
      <c r="S1262" s="209"/>
      <c r="T1262" s="209"/>
      <c r="U1262" s="209"/>
      <c r="V1262" s="209"/>
      <c r="W1262" s="209"/>
      <c r="X1262" s="209"/>
      <c r="Y1262" s="209"/>
      <c r="Z1262" s="209"/>
      <c r="AA1262" s="209"/>
      <c r="AB1262" s="209"/>
      <c r="AC1262" s="209"/>
      <c r="AD1262" s="209"/>
      <c r="AE1262" s="209"/>
      <c r="AF1262" s="209"/>
      <c r="AG1262" s="209"/>
      <c r="AH1262" s="209"/>
      <c r="AI1262" s="209"/>
      <c r="AJ1262" s="209"/>
      <c r="AK1262" s="209"/>
    </row>
    <row r="1263">
      <c r="A1263" s="209"/>
      <c r="B1263" s="209"/>
      <c r="C1263" s="209"/>
      <c r="D1263" s="209"/>
      <c r="E1263" s="209"/>
      <c r="F1263" s="209"/>
      <c r="G1263" s="209"/>
      <c r="H1263" s="209"/>
      <c r="I1263" s="209"/>
      <c r="J1263" s="209"/>
      <c r="K1263" s="209"/>
      <c r="L1263" s="209"/>
      <c r="M1263" s="209"/>
      <c r="N1263" s="209"/>
      <c r="O1263" s="209"/>
      <c r="P1263" s="209"/>
      <c r="Q1263" s="209"/>
      <c r="R1263" s="209"/>
      <c r="S1263" s="209"/>
      <c r="T1263" s="209"/>
      <c r="U1263" s="209"/>
      <c r="V1263" s="209"/>
      <c r="W1263" s="209"/>
      <c r="X1263" s="209"/>
      <c r="Y1263" s="209"/>
      <c r="Z1263" s="209"/>
      <c r="AA1263" s="209"/>
      <c r="AB1263" s="209"/>
      <c r="AC1263" s="209"/>
      <c r="AD1263" s="209"/>
      <c r="AE1263" s="209"/>
      <c r="AF1263" s="209"/>
      <c r="AG1263" s="209"/>
      <c r="AH1263" s="209"/>
      <c r="AI1263" s="209"/>
      <c r="AJ1263" s="209"/>
      <c r="AK1263" s="209"/>
    </row>
    <row r="1264">
      <c r="A1264" s="209"/>
      <c r="B1264" s="209"/>
      <c r="C1264" s="209"/>
      <c r="D1264" s="209"/>
      <c r="E1264" s="209"/>
      <c r="F1264" s="209"/>
      <c r="G1264" s="209"/>
      <c r="H1264" s="209"/>
      <c r="I1264" s="209"/>
      <c r="J1264" s="209"/>
      <c r="K1264" s="209"/>
      <c r="L1264" s="209"/>
      <c r="M1264" s="209"/>
      <c r="N1264" s="209"/>
      <c r="O1264" s="209"/>
      <c r="P1264" s="209"/>
      <c r="Q1264" s="209"/>
      <c r="R1264" s="209"/>
      <c r="S1264" s="209"/>
      <c r="T1264" s="209"/>
      <c r="U1264" s="209"/>
      <c r="V1264" s="209"/>
      <c r="W1264" s="209"/>
      <c r="X1264" s="209"/>
      <c r="Y1264" s="209"/>
      <c r="Z1264" s="209"/>
      <c r="AA1264" s="209"/>
      <c r="AB1264" s="209"/>
      <c r="AC1264" s="209"/>
      <c r="AD1264" s="209"/>
      <c r="AE1264" s="209"/>
      <c r="AF1264" s="209"/>
      <c r="AG1264" s="209"/>
      <c r="AH1264" s="209"/>
      <c r="AI1264" s="209"/>
      <c r="AJ1264" s="209"/>
      <c r="AK1264" s="209"/>
    </row>
    <row r="1265">
      <c r="A1265" s="209"/>
      <c r="B1265" s="209"/>
      <c r="C1265" s="209"/>
      <c r="D1265" s="209"/>
      <c r="E1265" s="209"/>
      <c r="F1265" s="209"/>
      <c r="G1265" s="209"/>
      <c r="H1265" s="209"/>
      <c r="I1265" s="209"/>
      <c r="J1265" s="209"/>
      <c r="K1265" s="209"/>
      <c r="L1265" s="209"/>
      <c r="M1265" s="209"/>
      <c r="N1265" s="209"/>
      <c r="O1265" s="209"/>
      <c r="P1265" s="209"/>
      <c r="Q1265" s="209"/>
      <c r="R1265" s="209"/>
      <c r="S1265" s="209"/>
      <c r="T1265" s="209"/>
      <c r="U1265" s="209"/>
      <c r="V1265" s="209"/>
      <c r="W1265" s="209"/>
      <c r="X1265" s="209"/>
      <c r="Y1265" s="209"/>
      <c r="Z1265" s="209"/>
      <c r="AA1265" s="209"/>
      <c r="AB1265" s="209"/>
      <c r="AC1265" s="209"/>
      <c r="AD1265" s="209"/>
      <c r="AE1265" s="209"/>
      <c r="AF1265" s="209"/>
      <c r="AG1265" s="209"/>
      <c r="AH1265" s="209"/>
      <c r="AI1265" s="209"/>
      <c r="AJ1265" s="209"/>
      <c r="AK1265" s="209"/>
    </row>
    <row r="1266">
      <c r="A1266" s="209"/>
      <c r="B1266" s="209"/>
      <c r="C1266" s="209"/>
      <c r="D1266" s="209"/>
      <c r="E1266" s="209"/>
      <c r="F1266" s="209"/>
      <c r="G1266" s="209"/>
      <c r="H1266" s="209"/>
      <c r="I1266" s="209"/>
      <c r="J1266" s="209"/>
      <c r="K1266" s="209"/>
      <c r="L1266" s="209"/>
      <c r="M1266" s="209"/>
      <c r="N1266" s="209"/>
      <c r="O1266" s="209"/>
      <c r="P1266" s="209"/>
      <c r="Q1266" s="209"/>
      <c r="R1266" s="209"/>
      <c r="S1266" s="209"/>
      <c r="T1266" s="209"/>
      <c r="U1266" s="209"/>
      <c r="V1266" s="209"/>
      <c r="W1266" s="209"/>
      <c r="X1266" s="209"/>
      <c r="Y1266" s="209"/>
      <c r="Z1266" s="209"/>
      <c r="AA1266" s="209"/>
      <c r="AB1266" s="209"/>
      <c r="AC1266" s="209"/>
      <c r="AD1266" s="209"/>
      <c r="AE1266" s="209"/>
      <c r="AF1266" s="209"/>
      <c r="AG1266" s="209"/>
      <c r="AH1266" s="209"/>
      <c r="AI1266" s="209"/>
      <c r="AJ1266" s="209"/>
      <c r="AK1266" s="209"/>
    </row>
    <row r="1267">
      <c r="A1267" s="209"/>
      <c r="B1267" s="209"/>
      <c r="C1267" s="209"/>
      <c r="D1267" s="209"/>
      <c r="E1267" s="209"/>
      <c r="F1267" s="209"/>
      <c r="G1267" s="209"/>
      <c r="H1267" s="209"/>
      <c r="I1267" s="209"/>
      <c r="J1267" s="209"/>
      <c r="K1267" s="209"/>
      <c r="L1267" s="209"/>
      <c r="M1267" s="209"/>
      <c r="N1267" s="209"/>
      <c r="O1267" s="209"/>
      <c r="P1267" s="209"/>
      <c r="Q1267" s="209"/>
      <c r="R1267" s="209"/>
      <c r="S1267" s="209"/>
      <c r="T1267" s="209"/>
      <c r="U1267" s="209"/>
      <c r="V1267" s="209"/>
      <c r="W1267" s="209"/>
      <c r="X1267" s="209"/>
      <c r="Y1267" s="209"/>
      <c r="Z1267" s="209"/>
      <c r="AA1267" s="209"/>
      <c r="AB1267" s="209"/>
      <c r="AC1267" s="209"/>
      <c r="AD1267" s="209"/>
      <c r="AE1267" s="209"/>
      <c r="AF1267" s="209"/>
      <c r="AG1267" s="209"/>
      <c r="AH1267" s="209"/>
      <c r="AI1267" s="209"/>
      <c r="AJ1267" s="209"/>
      <c r="AK1267" s="209"/>
    </row>
    <row r="1268">
      <c r="A1268" s="209"/>
      <c r="B1268" s="209"/>
      <c r="C1268" s="209"/>
      <c r="D1268" s="209"/>
      <c r="E1268" s="209"/>
      <c r="F1268" s="209"/>
      <c r="G1268" s="209"/>
      <c r="H1268" s="209"/>
      <c r="I1268" s="209"/>
      <c r="J1268" s="209"/>
      <c r="K1268" s="209"/>
      <c r="L1268" s="209"/>
      <c r="M1268" s="209"/>
      <c r="N1268" s="209"/>
      <c r="O1268" s="209"/>
      <c r="P1268" s="209"/>
      <c r="Q1268" s="209"/>
      <c r="R1268" s="209"/>
      <c r="S1268" s="209"/>
      <c r="T1268" s="209"/>
      <c r="U1268" s="209"/>
      <c r="V1268" s="209"/>
      <c r="W1268" s="209"/>
      <c r="X1268" s="209"/>
      <c r="Y1268" s="209"/>
      <c r="Z1268" s="209"/>
      <c r="AA1268" s="209"/>
      <c r="AB1268" s="209"/>
      <c r="AC1268" s="209"/>
      <c r="AD1268" s="209"/>
      <c r="AE1268" s="209"/>
      <c r="AF1268" s="209"/>
      <c r="AG1268" s="209"/>
      <c r="AH1268" s="209"/>
      <c r="AI1268" s="209"/>
      <c r="AJ1268" s="209"/>
      <c r="AK1268" s="209"/>
    </row>
    <row r="1269">
      <c r="A1269" s="209"/>
      <c r="B1269" s="209"/>
      <c r="C1269" s="209"/>
      <c r="D1269" s="209"/>
      <c r="E1269" s="209"/>
      <c r="F1269" s="209"/>
      <c r="G1269" s="209"/>
      <c r="H1269" s="209"/>
      <c r="I1269" s="209"/>
      <c r="J1269" s="209"/>
      <c r="K1269" s="209"/>
      <c r="L1269" s="209"/>
      <c r="M1269" s="209"/>
      <c r="N1269" s="209"/>
      <c r="O1269" s="209"/>
      <c r="P1269" s="209"/>
      <c r="Q1269" s="209"/>
      <c r="R1269" s="209"/>
      <c r="S1269" s="209"/>
      <c r="T1269" s="209"/>
      <c r="U1269" s="209"/>
      <c r="V1269" s="209"/>
      <c r="W1269" s="209"/>
      <c r="X1269" s="209"/>
      <c r="Y1269" s="209"/>
      <c r="Z1269" s="209"/>
      <c r="AA1269" s="209"/>
      <c r="AB1269" s="209"/>
      <c r="AC1269" s="209"/>
      <c r="AD1269" s="209"/>
      <c r="AE1269" s="209"/>
      <c r="AF1269" s="209"/>
      <c r="AG1269" s="209"/>
      <c r="AH1269" s="209"/>
      <c r="AI1269" s="209"/>
      <c r="AJ1269" s="209"/>
      <c r="AK1269" s="209"/>
    </row>
    <row r="1270">
      <c r="A1270" s="209"/>
      <c r="B1270" s="209"/>
      <c r="C1270" s="209"/>
      <c r="D1270" s="209"/>
      <c r="E1270" s="209"/>
      <c r="F1270" s="209"/>
      <c r="G1270" s="209"/>
      <c r="H1270" s="209"/>
      <c r="I1270" s="209"/>
      <c r="J1270" s="209"/>
      <c r="K1270" s="209"/>
      <c r="L1270" s="209"/>
      <c r="M1270" s="209"/>
      <c r="N1270" s="209"/>
      <c r="O1270" s="209"/>
      <c r="P1270" s="209"/>
      <c r="Q1270" s="209"/>
      <c r="R1270" s="209"/>
      <c r="S1270" s="209"/>
      <c r="T1270" s="209"/>
      <c r="U1270" s="209"/>
      <c r="V1270" s="209"/>
      <c r="W1270" s="209"/>
      <c r="X1270" s="209"/>
      <c r="Y1270" s="209"/>
      <c r="Z1270" s="209"/>
      <c r="AA1270" s="209"/>
      <c r="AB1270" s="209"/>
      <c r="AC1270" s="209"/>
      <c r="AD1270" s="209"/>
      <c r="AE1270" s="209"/>
      <c r="AF1270" s="209"/>
      <c r="AG1270" s="209"/>
      <c r="AH1270" s="209"/>
      <c r="AI1270" s="209"/>
      <c r="AJ1270" s="209"/>
      <c r="AK1270" s="209"/>
    </row>
    <row r="1271">
      <c r="A1271" s="209"/>
      <c r="B1271" s="209"/>
      <c r="C1271" s="209"/>
      <c r="D1271" s="209"/>
      <c r="E1271" s="209"/>
      <c r="F1271" s="209"/>
      <c r="G1271" s="209"/>
      <c r="H1271" s="209"/>
      <c r="I1271" s="209"/>
      <c r="J1271" s="209"/>
      <c r="K1271" s="209"/>
      <c r="L1271" s="209"/>
      <c r="M1271" s="209"/>
      <c r="N1271" s="209"/>
      <c r="O1271" s="209"/>
      <c r="P1271" s="209"/>
      <c r="Q1271" s="209"/>
      <c r="R1271" s="209"/>
      <c r="S1271" s="209"/>
      <c r="T1271" s="209"/>
      <c r="U1271" s="209"/>
      <c r="V1271" s="209"/>
      <c r="W1271" s="209"/>
      <c r="X1271" s="209"/>
      <c r="Y1271" s="209"/>
      <c r="Z1271" s="209"/>
      <c r="AA1271" s="209"/>
      <c r="AB1271" s="209"/>
      <c r="AC1271" s="209"/>
      <c r="AD1271" s="209"/>
      <c r="AE1271" s="209"/>
      <c r="AF1271" s="209"/>
      <c r="AG1271" s="209"/>
      <c r="AH1271" s="209"/>
      <c r="AI1271" s="209"/>
      <c r="AJ1271" s="209"/>
      <c r="AK1271" s="209"/>
    </row>
    <row r="1272">
      <c r="A1272" s="209"/>
      <c r="B1272" s="209"/>
      <c r="C1272" s="209"/>
      <c r="D1272" s="209"/>
      <c r="E1272" s="209"/>
      <c r="F1272" s="209"/>
      <c r="G1272" s="209"/>
      <c r="H1272" s="209"/>
      <c r="I1272" s="209"/>
      <c r="J1272" s="209"/>
      <c r="K1272" s="209"/>
      <c r="L1272" s="209"/>
      <c r="M1272" s="209"/>
      <c r="N1272" s="209"/>
      <c r="O1272" s="209"/>
      <c r="P1272" s="209"/>
      <c r="Q1272" s="209"/>
      <c r="R1272" s="209"/>
      <c r="S1272" s="209"/>
      <c r="T1272" s="209"/>
      <c r="U1272" s="209"/>
      <c r="V1272" s="209"/>
      <c r="W1272" s="209"/>
      <c r="X1272" s="209"/>
      <c r="Y1272" s="209"/>
      <c r="Z1272" s="209"/>
      <c r="AA1272" s="209"/>
      <c r="AB1272" s="209"/>
      <c r="AC1272" s="209"/>
      <c r="AD1272" s="209"/>
      <c r="AE1272" s="209"/>
      <c r="AF1272" s="209"/>
      <c r="AG1272" s="209"/>
      <c r="AH1272" s="209"/>
      <c r="AI1272" s="209"/>
      <c r="AJ1272" s="209"/>
      <c r="AK1272" s="209"/>
    </row>
    <row r="1273">
      <c r="A1273" s="209"/>
      <c r="B1273" s="209"/>
      <c r="C1273" s="209"/>
      <c r="D1273" s="209"/>
      <c r="E1273" s="209"/>
      <c r="F1273" s="209"/>
      <c r="G1273" s="209"/>
      <c r="H1273" s="209"/>
      <c r="I1273" s="209"/>
      <c r="J1273" s="209"/>
      <c r="K1273" s="209"/>
      <c r="L1273" s="209"/>
      <c r="M1273" s="209"/>
      <c r="N1273" s="209"/>
      <c r="O1273" s="209"/>
      <c r="P1273" s="209"/>
      <c r="Q1273" s="209"/>
      <c r="R1273" s="209"/>
      <c r="S1273" s="209"/>
      <c r="T1273" s="209"/>
      <c r="U1273" s="209"/>
      <c r="V1273" s="209"/>
      <c r="W1273" s="209"/>
      <c r="X1273" s="209"/>
      <c r="Y1273" s="209"/>
      <c r="Z1273" s="209"/>
      <c r="AA1273" s="209"/>
      <c r="AB1273" s="209"/>
      <c r="AC1273" s="209"/>
      <c r="AD1273" s="209"/>
      <c r="AE1273" s="209"/>
      <c r="AF1273" s="209"/>
      <c r="AG1273" s="209"/>
      <c r="AH1273" s="209"/>
      <c r="AI1273" s="209"/>
      <c r="AJ1273" s="209"/>
      <c r="AK1273" s="209"/>
    </row>
    <row r="1274">
      <c r="A1274" s="209"/>
      <c r="B1274" s="209"/>
      <c r="C1274" s="209"/>
      <c r="D1274" s="209"/>
      <c r="E1274" s="209"/>
      <c r="F1274" s="209"/>
      <c r="G1274" s="209"/>
      <c r="H1274" s="209"/>
      <c r="I1274" s="209"/>
      <c r="J1274" s="209"/>
      <c r="K1274" s="209"/>
      <c r="L1274" s="209"/>
      <c r="M1274" s="209"/>
      <c r="N1274" s="209"/>
      <c r="O1274" s="209"/>
      <c r="P1274" s="209"/>
      <c r="Q1274" s="209"/>
      <c r="R1274" s="209"/>
      <c r="S1274" s="209"/>
      <c r="T1274" s="209"/>
      <c r="U1274" s="209"/>
      <c r="V1274" s="209"/>
      <c r="W1274" s="209"/>
      <c r="X1274" s="209"/>
      <c r="Y1274" s="209"/>
      <c r="Z1274" s="209"/>
      <c r="AA1274" s="209"/>
      <c r="AB1274" s="209"/>
      <c r="AC1274" s="209"/>
      <c r="AD1274" s="209"/>
      <c r="AE1274" s="209"/>
      <c r="AF1274" s="209"/>
      <c r="AG1274" s="209"/>
      <c r="AH1274" s="209"/>
      <c r="AI1274" s="209"/>
      <c r="AJ1274" s="209"/>
      <c r="AK1274" s="209"/>
    </row>
    <row r="1275">
      <c r="A1275" s="209"/>
      <c r="B1275" s="209"/>
      <c r="C1275" s="209"/>
      <c r="D1275" s="209"/>
      <c r="E1275" s="209"/>
      <c r="F1275" s="209"/>
      <c r="G1275" s="209"/>
      <c r="H1275" s="209"/>
      <c r="I1275" s="209"/>
      <c r="J1275" s="209"/>
      <c r="K1275" s="209"/>
      <c r="L1275" s="209"/>
      <c r="M1275" s="209"/>
      <c r="N1275" s="209"/>
      <c r="O1275" s="209"/>
      <c r="P1275" s="209"/>
      <c r="Q1275" s="209"/>
      <c r="R1275" s="209"/>
      <c r="S1275" s="209"/>
      <c r="T1275" s="209"/>
      <c r="U1275" s="209"/>
      <c r="V1275" s="209"/>
      <c r="W1275" s="209"/>
      <c r="X1275" s="209"/>
      <c r="Y1275" s="209"/>
      <c r="Z1275" s="209"/>
      <c r="AA1275" s="209"/>
      <c r="AB1275" s="209"/>
      <c r="AC1275" s="209"/>
      <c r="AD1275" s="209"/>
      <c r="AE1275" s="209"/>
      <c r="AF1275" s="209"/>
      <c r="AG1275" s="209"/>
      <c r="AH1275" s="209"/>
      <c r="AI1275" s="209"/>
      <c r="AJ1275" s="209"/>
      <c r="AK1275" s="209"/>
    </row>
    <row r="1276">
      <c r="A1276" s="209"/>
      <c r="B1276" s="209"/>
      <c r="C1276" s="209"/>
      <c r="D1276" s="209"/>
      <c r="E1276" s="209"/>
      <c r="F1276" s="209"/>
      <c r="G1276" s="209"/>
      <c r="H1276" s="209"/>
      <c r="I1276" s="209"/>
      <c r="J1276" s="209"/>
      <c r="K1276" s="209"/>
      <c r="L1276" s="209"/>
      <c r="M1276" s="209"/>
      <c r="N1276" s="209"/>
      <c r="O1276" s="209"/>
      <c r="P1276" s="209"/>
      <c r="Q1276" s="209"/>
      <c r="R1276" s="209"/>
      <c r="S1276" s="209"/>
      <c r="T1276" s="209"/>
      <c r="U1276" s="209"/>
      <c r="V1276" s="209"/>
      <c r="W1276" s="209"/>
      <c r="X1276" s="209"/>
      <c r="Y1276" s="209"/>
      <c r="Z1276" s="209"/>
      <c r="AA1276" s="209"/>
      <c r="AB1276" s="209"/>
      <c r="AC1276" s="209"/>
      <c r="AD1276" s="209"/>
      <c r="AE1276" s="209"/>
      <c r="AF1276" s="209"/>
      <c r="AG1276" s="209"/>
      <c r="AH1276" s="209"/>
      <c r="AI1276" s="209"/>
      <c r="AJ1276" s="209"/>
      <c r="AK1276" s="209"/>
    </row>
    <row r="1277">
      <c r="A1277" s="209"/>
      <c r="B1277" s="209"/>
      <c r="C1277" s="209"/>
      <c r="D1277" s="209"/>
      <c r="E1277" s="209"/>
      <c r="F1277" s="209"/>
      <c r="G1277" s="209"/>
      <c r="H1277" s="209"/>
      <c r="I1277" s="209"/>
      <c r="J1277" s="209"/>
      <c r="K1277" s="209"/>
      <c r="L1277" s="209"/>
      <c r="M1277" s="209"/>
      <c r="N1277" s="209"/>
      <c r="O1277" s="209"/>
      <c r="P1277" s="209"/>
      <c r="Q1277" s="209"/>
      <c r="R1277" s="209"/>
      <c r="S1277" s="209"/>
      <c r="T1277" s="209"/>
      <c r="U1277" s="209"/>
      <c r="V1277" s="209"/>
      <c r="W1277" s="209"/>
      <c r="X1277" s="209"/>
      <c r="Y1277" s="209"/>
      <c r="Z1277" s="209"/>
      <c r="AA1277" s="209"/>
      <c r="AB1277" s="209"/>
      <c r="AC1277" s="209"/>
      <c r="AD1277" s="209"/>
      <c r="AE1277" s="209"/>
      <c r="AF1277" s="209"/>
      <c r="AG1277" s="209"/>
      <c r="AH1277" s="209"/>
      <c r="AI1277" s="209"/>
      <c r="AJ1277" s="209"/>
      <c r="AK1277" s="209"/>
    </row>
    <row r="1278">
      <c r="A1278" s="209"/>
      <c r="B1278" s="209"/>
      <c r="C1278" s="209"/>
      <c r="D1278" s="209"/>
      <c r="E1278" s="209"/>
      <c r="F1278" s="209"/>
      <c r="G1278" s="209"/>
      <c r="H1278" s="209"/>
      <c r="I1278" s="209"/>
      <c r="J1278" s="209"/>
      <c r="K1278" s="209"/>
      <c r="L1278" s="209"/>
      <c r="M1278" s="209"/>
      <c r="N1278" s="209"/>
      <c r="O1278" s="209"/>
      <c r="P1278" s="209"/>
      <c r="Q1278" s="209"/>
      <c r="R1278" s="209"/>
      <c r="S1278" s="209"/>
      <c r="T1278" s="209"/>
      <c r="U1278" s="209"/>
      <c r="V1278" s="209"/>
      <c r="W1278" s="209"/>
      <c r="X1278" s="209"/>
      <c r="Y1278" s="209"/>
      <c r="Z1278" s="209"/>
      <c r="AA1278" s="209"/>
      <c r="AB1278" s="209"/>
      <c r="AC1278" s="209"/>
      <c r="AD1278" s="209"/>
      <c r="AE1278" s="209"/>
      <c r="AF1278" s="209"/>
      <c r="AG1278" s="209"/>
      <c r="AH1278" s="209"/>
      <c r="AI1278" s="209"/>
      <c r="AJ1278" s="209"/>
      <c r="AK1278" s="209"/>
    </row>
    <row r="1279">
      <c r="A1279" s="209"/>
      <c r="B1279" s="209"/>
      <c r="C1279" s="209"/>
      <c r="D1279" s="209"/>
      <c r="E1279" s="209"/>
      <c r="F1279" s="209"/>
      <c r="G1279" s="209"/>
      <c r="H1279" s="209"/>
      <c r="I1279" s="209"/>
      <c r="J1279" s="209"/>
      <c r="K1279" s="209"/>
      <c r="L1279" s="209"/>
      <c r="M1279" s="209"/>
      <c r="N1279" s="209"/>
      <c r="O1279" s="209"/>
      <c r="P1279" s="209"/>
      <c r="Q1279" s="209"/>
      <c r="R1279" s="209"/>
      <c r="S1279" s="209"/>
      <c r="T1279" s="209"/>
      <c r="U1279" s="209"/>
      <c r="V1279" s="209"/>
      <c r="W1279" s="209"/>
      <c r="X1279" s="209"/>
      <c r="Y1279" s="209"/>
      <c r="Z1279" s="209"/>
      <c r="AA1279" s="209"/>
      <c r="AB1279" s="209"/>
      <c r="AC1279" s="209"/>
      <c r="AD1279" s="209"/>
      <c r="AE1279" s="209"/>
      <c r="AF1279" s="209"/>
      <c r="AG1279" s="209"/>
      <c r="AH1279" s="209"/>
      <c r="AI1279" s="209"/>
      <c r="AJ1279" s="209"/>
      <c r="AK1279" s="209"/>
    </row>
    <row r="1280">
      <c r="A1280" s="209"/>
      <c r="B1280" s="209"/>
      <c r="C1280" s="209"/>
      <c r="D1280" s="209"/>
      <c r="E1280" s="209"/>
      <c r="F1280" s="209"/>
      <c r="G1280" s="209"/>
      <c r="H1280" s="209"/>
      <c r="I1280" s="209"/>
      <c r="J1280" s="209"/>
      <c r="K1280" s="209"/>
      <c r="L1280" s="209"/>
      <c r="M1280" s="209"/>
      <c r="N1280" s="209"/>
      <c r="O1280" s="209"/>
      <c r="P1280" s="209"/>
      <c r="Q1280" s="209"/>
      <c r="R1280" s="209"/>
      <c r="S1280" s="209"/>
      <c r="T1280" s="209"/>
      <c r="U1280" s="209"/>
      <c r="V1280" s="209"/>
      <c r="W1280" s="209"/>
      <c r="X1280" s="209"/>
      <c r="Y1280" s="209"/>
      <c r="Z1280" s="209"/>
      <c r="AA1280" s="209"/>
      <c r="AB1280" s="209"/>
      <c r="AC1280" s="209"/>
      <c r="AD1280" s="209"/>
      <c r="AE1280" s="209"/>
      <c r="AF1280" s="209"/>
      <c r="AG1280" s="209"/>
      <c r="AH1280" s="209"/>
      <c r="AI1280" s="209"/>
      <c r="AJ1280" s="209"/>
      <c r="AK1280" s="209"/>
    </row>
    <row r="1281">
      <c r="A1281" s="209"/>
      <c r="B1281" s="209"/>
      <c r="C1281" s="209"/>
      <c r="D1281" s="209"/>
      <c r="E1281" s="209"/>
      <c r="F1281" s="209"/>
      <c r="G1281" s="209"/>
      <c r="H1281" s="209"/>
      <c r="I1281" s="209"/>
      <c r="J1281" s="209"/>
      <c r="K1281" s="209"/>
      <c r="L1281" s="209"/>
      <c r="M1281" s="209"/>
      <c r="N1281" s="209"/>
      <c r="O1281" s="209"/>
      <c r="P1281" s="209"/>
      <c r="Q1281" s="209"/>
      <c r="R1281" s="209"/>
      <c r="S1281" s="209"/>
      <c r="T1281" s="209"/>
      <c r="U1281" s="209"/>
      <c r="V1281" s="209"/>
      <c r="W1281" s="209"/>
      <c r="X1281" s="209"/>
      <c r="Y1281" s="209"/>
      <c r="Z1281" s="209"/>
      <c r="AA1281" s="209"/>
      <c r="AB1281" s="209"/>
      <c r="AC1281" s="209"/>
      <c r="AD1281" s="209"/>
      <c r="AE1281" s="209"/>
      <c r="AF1281" s="209"/>
      <c r="AG1281" s="209"/>
      <c r="AH1281" s="209"/>
      <c r="AI1281" s="209"/>
      <c r="AJ1281" s="209"/>
      <c r="AK1281" s="209"/>
    </row>
    <row r="1282">
      <c r="A1282" s="209"/>
      <c r="B1282" s="209"/>
      <c r="C1282" s="209"/>
      <c r="D1282" s="209"/>
      <c r="E1282" s="209"/>
      <c r="F1282" s="209"/>
      <c r="G1282" s="209"/>
      <c r="H1282" s="209"/>
      <c r="I1282" s="209"/>
      <c r="J1282" s="209"/>
      <c r="K1282" s="209"/>
      <c r="L1282" s="209"/>
      <c r="M1282" s="209"/>
      <c r="N1282" s="209"/>
      <c r="O1282" s="209"/>
      <c r="P1282" s="209"/>
      <c r="Q1282" s="209"/>
      <c r="R1282" s="209"/>
      <c r="S1282" s="209"/>
      <c r="T1282" s="209"/>
      <c r="U1282" s="209"/>
      <c r="V1282" s="209"/>
      <c r="W1282" s="209"/>
      <c r="X1282" s="209"/>
      <c r="Y1282" s="209"/>
      <c r="Z1282" s="209"/>
      <c r="AA1282" s="209"/>
      <c r="AB1282" s="209"/>
      <c r="AC1282" s="209"/>
      <c r="AD1282" s="209"/>
      <c r="AE1282" s="209"/>
      <c r="AF1282" s="209"/>
      <c r="AG1282" s="209"/>
      <c r="AH1282" s="209"/>
      <c r="AI1282" s="209"/>
      <c r="AJ1282" s="209"/>
      <c r="AK1282" s="209"/>
    </row>
    <row r="1283">
      <c r="A1283" s="209"/>
      <c r="B1283" s="209"/>
      <c r="C1283" s="209"/>
      <c r="D1283" s="209"/>
      <c r="E1283" s="209"/>
      <c r="F1283" s="209"/>
      <c r="G1283" s="209"/>
      <c r="H1283" s="209"/>
      <c r="I1283" s="209"/>
      <c r="J1283" s="209"/>
      <c r="K1283" s="209"/>
      <c r="L1283" s="209"/>
      <c r="M1283" s="209"/>
      <c r="N1283" s="209"/>
      <c r="O1283" s="209"/>
      <c r="P1283" s="209"/>
      <c r="Q1283" s="209"/>
      <c r="R1283" s="209"/>
      <c r="S1283" s="209"/>
      <c r="T1283" s="209"/>
      <c r="U1283" s="209"/>
      <c r="V1283" s="209"/>
      <c r="W1283" s="209"/>
      <c r="X1283" s="209"/>
      <c r="Y1283" s="209"/>
      <c r="Z1283" s="209"/>
      <c r="AA1283" s="209"/>
      <c r="AB1283" s="209"/>
      <c r="AC1283" s="209"/>
      <c r="AD1283" s="209"/>
      <c r="AE1283" s="209"/>
      <c r="AF1283" s="209"/>
      <c r="AG1283" s="209"/>
      <c r="AH1283" s="209"/>
      <c r="AI1283" s="209"/>
      <c r="AJ1283" s="209"/>
      <c r="AK1283" s="209"/>
    </row>
    <row r="1284">
      <c r="A1284" s="209"/>
      <c r="B1284" s="209"/>
      <c r="C1284" s="209"/>
      <c r="D1284" s="209"/>
      <c r="E1284" s="209"/>
      <c r="F1284" s="209"/>
      <c r="G1284" s="209"/>
      <c r="H1284" s="209"/>
      <c r="I1284" s="209"/>
      <c r="J1284" s="209"/>
      <c r="K1284" s="209"/>
      <c r="L1284" s="209"/>
      <c r="M1284" s="209"/>
      <c r="N1284" s="209"/>
      <c r="O1284" s="209"/>
      <c r="P1284" s="209"/>
      <c r="Q1284" s="209"/>
      <c r="R1284" s="209"/>
      <c r="S1284" s="209"/>
      <c r="T1284" s="209"/>
      <c r="U1284" s="209"/>
      <c r="V1284" s="209"/>
      <c r="W1284" s="209"/>
      <c r="X1284" s="209"/>
      <c r="Y1284" s="209"/>
      <c r="Z1284" s="209"/>
      <c r="AA1284" s="209"/>
      <c r="AB1284" s="209"/>
      <c r="AC1284" s="209"/>
      <c r="AD1284" s="209"/>
      <c r="AE1284" s="209"/>
      <c r="AF1284" s="209"/>
      <c r="AG1284" s="209"/>
      <c r="AH1284" s="209"/>
      <c r="AI1284" s="209"/>
      <c r="AJ1284" s="209"/>
      <c r="AK1284" s="209"/>
    </row>
    <row r="1285">
      <c r="A1285" s="209"/>
      <c r="B1285" s="209"/>
      <c r="C1285" s="209"/>
      <c r="D1285" s="209"/>
      <c r="E1285" s="209"/>
      <c r="F1285" s="209"/>
      <c r="G1285" s="209"/>
      <c r="H1285" s="209"/>
      <c r="I1285" s="209"/>
      <c r="J1285" s="209"/>
      <c r="K1285" s="209"/>
      <c r="L1285" s="209"/>
      <c r="M1285" s="209"/>
      <c r="N1285" s="209"/>
      <c r="O1285" s="209"/>
      <c r="P1285" s="209"/>
      <c r="Q1285" s="209"/>
      <c r="R1285" s="209"/>
      <c r="S1285" s="209"/>
      <c r="T1285" s="209"/>
      <c r="U1285" s="209"/>
      <c r="V1285" s="209"/>
      <c r="W1285" s="209"/>
      <c r="X1285" s="209"/>
      <c r="Y1285" s="209"/>
      <c r="Z1285" s="209"/>
      <c r="AA1285" s="209"/>
      <c r="AB1285" s="209"/>
      <c r="AC1285" s="209"/>
      <c r="AD1285" s="209"/>
      <c r="AE1285" s="209"/>
      <c r="AF1285" s="209"/>
      <c r="AG1285" s="209"/>
      <c r="AH1285" s="209"/>
      <c r="AI1285" s="209"/>
      <c r="AJ1285" s="209"/>
      <c r="AK1285" s="209"/>
    </row>
    <row r="1286">
      <c r="A1286" s="209"/>
      <c r="B1286" s="209"/>
      <c r="C1286" s="209"/>
      <c r="D1286" s="209"/>
      <c r="E1286" s="209"/>
      <c r="F1286" s="209"/>
      <c r="G1286" s="209"/>
      <c r="H1286" s="209"/>
      <c r="I1286" s="209"/>
      <c r="J1286" s="209"/>
      <c r="K1286" s="209"/>
      <c r="L1286" s="209"/>
      <c r="M1286" s="209"/>
      <c r="N1286" s="209"/>
      <c r="O1286" s="209"/>
      <c r="P1286" s="209"/>
      <c r="Q1286" s="209"/>
      <c r="R1286" s="209"/>
      <c r="S1286" s="209"/>
      <c r="T1286" s="209"/>
      <c r="U1286" s="209"/>
      <c r="V1286" s="209"/>
      <c r="W1286" s="209"/>
      <c r="X1286" s="209"/>
      <c r="Y1286" s="209"/>
      <c r="Z1286" s="209"/>
      <c r="AA1286" s="209"/>
      <c r="AB1286" s="209"/>
      <c r="AC1286" s="209"/>
      <c r="AD1286" s="209"/>
      <c r="AE1286" s="209"/>
      <c r="AF1286" s="209"/>
      <c r="AG1286" s="209"/>
      <c r="AH1286" s="209"/>
      <c r="AI1286" s="209"/>
      <c r="AJ1286" s="209"/>
      <c r="AK1286" s="209"/>
    </row>
    <row r="1287">
      <c r="A1287" s="209"/>
      <c r="B1287" s="209"/>
      <c r="C1287" s="209"/>
      <c r="D1287" s="209"/>
      <c r="E1287" s="209"/>
      <c r="F1287" s="209"/>
      <c r="G1287" s="209"/>
      <c r="H1287" s="209"/>
      <c r="I1287" s="209"/>
      <c r="J1287" s="209"/>
      <c r="K1287" s="209"/>
      <c r="L1287" s="209"/>
      <c r="M1287" s="209"/>
      <c r="N1287" s="209"/>
      <c r="O1287" s="209"/>
      <c r="P1287" s="209"/>
      <c r="Q1287" s="209"/>
      <c r="R1287" s="209"/>
      <c r="S1287" s="209"/>
      <c r="T1287" s="209"/>
      <c r="U1287" s="209"/>
      <c r="V1287" s="209"/>
      <c r="W1287" s="209"/>
      <c r="X1287" s="209"/>
      <c r="Y1287" s="209"/>
      <c r="Z1287" s="209"/>
      <c r="AA1287" s="209"/>
      <c r="AB1287" s="209"/>
      <c r="AC1287" s="209"/>
      <c r="AD1287" s="209"/>
      <c r="AE1287" s="209"/>
      <c r="AF1287" s="209"/>
      <c r="AG1287" s="209"/>
      <c r="AH1287" s="209"/>
      <c r="AI1287" s="209"/>
      <c r="AJ1287" s="209"/>
      <c r="AK1287" s="209"/>
    </row>
    <row r="1288">
      <c r="A1288" s="209"/>
      <c r="B1288" s="209"/>
      <c r="C1288" s="209"/>
      <c r="D1288" s="209"/>
      <c r="E1288" s="209"/>
      <c r="F1288" s="209"/>
      <c r="G1288" s="209"/>
      <c r="H1288" s="209"/>
      <c r="I1288" s="209"/>
      <c r="J1288" s="209"/>
      <c r="K1288" s="209"/>
      <c r="L1288" s="209"/>
      <c r="M1288" s="209"/>
      <c r="N1288" s="209"/>
      <c r="O1288" s="209"/>
      <c r="P1288" s="209"/>
      <c r="Q1288" s="209"/>
      <c r="R1288" s="209"/>
      <c r="S1288" s="209"/>
      <c r="T1288" s="209"/>
      <c r="U1288" s="209"/>
      <c r="V1288" s="209"/>
      <c r="W1288" s="209"/>
      <c r="X1288" s="209"/>
      <c r="Y1288" s="209"/>
      <c r="Z1288" s="209"/>
      <c r="AA1288" s="209"/>
      <c r="AB1288" s="209"/>
      <c r="AC1288" s="209"/>
      <c r="AD1288" s="209"/>
      <c r="AE1288" s="209"/>
      <c r="AF1288" s="209"/>
      <c r="AG1288" s="209"/>
      <c r="AH1288" s="209"/>
      <c r="AI1288" s="209"/>
      <c r="AJ1288" s="209"/>
      <c r="AK1288" s="209"/>
    </row>
    <row r="1289">
      <c r="A1289" s="209"/>
      <c r="B1289" s="209"/>
      <c r="C1289" s="209"/>
      <c r="D1289" s="209"/>
      <c r="E1289" s="209"/>
      <c r="F1289" s="209"/>
      <c r="G1289" s="209"/>
      <c r="H1289" s="209"/>
      <c r="I1289" s="209"/>
      <c r="J1289" s="209"/>
      <c r="K1289" s="209"/>
      <c r="L1289" s="209"/>
      <c r="M1289" s="209"/>
      <c r="N1289" s="209"/>
      <c r="O1289" s="209"/>
      <c r="P1289" s="209"/>
      <c r="Q1289" s="209"/>
      <c r="R1289" s="209"/>
      <c r="S1289" s="209"/>
      <c r="T1289" s="209"/>
      <c r="U1289" s="209"/>
      <c r="V1289" s="209"/>
      <c r="W1289" s="209"/>
      <c r="X1289" s="209"/>
      <c r="Y1289" s="209"/>
      <c r="Z1289" s="209"/>
      <c r="AA1289" s="209"/>
      <c r="AB1289" s="209"/>
      <c r="AC1289" s="209"/>
      <c r="AD1289" s="209"/>
      <c r="AE1289" s="209"/>
      <c r="AF1289" s="209"/>
      <c r="AG1289" s="209"/>
      <c r="AH1289" s="209"/>
      <c r="AI1289" s="209"/>
      <c r="AJ1289" s="209"/>
      <c r="AK1289" s="209"/>
    </row>
    <row r="1290">
      <c r="A1290" s="209"/>
      <c r="B1290" s="209"/>
      <c r="C1290" s="209"/>
      <c r="D1290" s="209"/>
      <c r="E1290" s="209"/>
      <c r="F1290" s="209"/>
      <c r="G1290" s="209"/>
      <c r="H1290" s="209"/>
      <c r="I1290" s="209"/>
      <c r="J1290" s="209"/>
      <c r="K1290" s="209"/>
      <c r="L1290" s="209"/>
      <c r="M1290" s="209"/>
      <c r="N1290" s="209"/>
      <c r="O1290" s="209"/>
      <c r="P1290" s="209"/>
      <c r="Q1290" s="209"/>
      <c r="R1290" s="209"/>
      <c r="S1290" s="209"/>
      <c r="T1290" s="209"/>
      <c r="U1290" s="209"/>
      <c r="V1290" s="209"/>
      <c r="W1290" s="209"/>
      <c r="X1290" s="209"/>
      <c r="Y1290" s="209"/>
      <c r="Z1290" s="209"/>
      <c r="AA1290" s="209"/>
      <c r="AB1290" s="209"/>
      <c r="AC1290" s="209"/>
      <c r="AD1290" s="209"/>
      <c r="AE1290" s="209"/>
      <c r="AF1290" s="209"/>
      <c r="AG1290" s="209"/>
      <c r="AH1290" s="209"/>
      <c r="AI1290" s="209"/>
      <c r="AJ1290" s="209"/>
      <c r="AK1290" s="209"/>
    </row>
    <row r="1291">
      <c r="A1291" s="209"/>
      <c r="B1291" s="209"/>
      <c r="C1291" s="209"/>
      <c r="D1291" s="209"/>
      <c r="E1291" s="209"/>
      <c r="F1291" s="209"/>
      <c r="G1291" s="209"/>
      <c r="H1291" s="209"/>
      <c r="I1291" s="209"/>
      <c r="J1291" s="209"/>
      <c r="K1291" s="209"/>
      <c r="L1291" s="209"/>
      <c r="M1291" s="209"/>
      <c r="N1291" s="209"/>
      <c r="O1291" s="209"/>
      <c r="P1291" s="209"/>
      <c r="Q1291" s="209"/>
      <c r="R1291" s="209"/>
      <c r="S1291" s="209"/>
      <c r="T1291" s="209"/>
      <c r="U1291" s="209"/>
      <c r="V1291" s="209"/>
      <c r="W1291" s="209"/>
      <c r="X1291" s="209"/>
      <c r="Y1291" s="209"/>
      <c r="Z1291" s="209"/>
      <c r="AA1291" s="209"/>
      <c r="AB1291" s="209"/>
      <c r="AC1291" s="209"/>
      <c r="AD1291" s="209"/>
      <c r="AE1291" s="209"/>
      <c r="AF1291" s="209"/>
      <c r="AG1291" s="209"/>
      <c r="AH1291" s="209"/>
      <c r="AI1291" s="209"/>
      <c r="AJ1291" s="209"/>
      <c r="AK1291" s="209"/>
    </row>
    <row r="1292">
      <c r="A1292" s="209"/>
      <c r="B1292" s="209"/>
      <c r="C1292" s="209"/>
      <c r="D1292" s="209"/>
      <c r="E1292" s="209"/>
      <c r="F1292" s="209"/>
      <c r="G1292" s="209"/>
      <c r="H1292" s="209"/>
      <c r="I1292" s="209"/>
      <c r="J1292" s="209"/>
      <c r="K1292" s="209"/>
      <c r="L1292" s="209"/>
      <c r="M1292" s="209"/>
      <c r="N1292" s="209"/>
      <c r="O1292" s="209"/>
      <c r="P1292" s="209"/>
      <c r="Q1292" s="209"/>
      <c r="R1292" s="209"/>
      <c r="S1292" s="209"/>
      <c r="T1292" s="209"/>
      <c r="U1292" s="209"/>
      <c r="V1292" s="209"/>
      <c r="W1292" s="209"/>
      <c r="X1292" s="209"/>
      <c r="Y1292" s="209"/>
      <c r="Z1292" s="209"/>
      <c r="AA1292" s="209"/>
      <c r="AB1292" s="209"/>
      <c r="AC1292" s="209"/>
      <c r="AD1292" s="209"/>
      <c r="AE1292" s="209"/>
      <c r="AF1292" s="209"/>
      <c r="AG1292" s="209"/>
      <c r="AH1292" s="209"/>
      <c r="AI1292" s="209"/>
      <c r="AJ1292" s="209"/>
      <c r="AK1292" s="209"/>
    </row>
    <row r="1293">
      <c r="A1293" s="209"/>
      <c r="B1293" s="209"/>
      <c r="C1293" s="209"/>
      <c r="D1293" s="209"/>
      <c r="E1293" s="209"/>
      <c r="F1293" s="209"/>
      <c r="G1293" s="209"/>
      <c r="H1293" s="209"/>
      <c r="I1293" s="209"/>
      <c r="J1293" s="209"/>
      <c r="K1293" s="209"/>
      <c r="L1293" s="209"/>
      <c r="M1293" s="209"/>
      <c r="N1293" s="209"/>
      <c r="O1293" s="209"/>
      <c r="P1293" s="209"/>
      <c r="Q1293" s="209"/>
      <c r="R1293" s="209"/>
      <c r="S1293" s="209"/>
      <c r="T1293" s="209"/>
      <c r="U1293" s="209"/>
      <c r="V1293" s="209"/>
      <c r="W1293" s="209"/>
      <c r="X1293" s="209"/>
      <c r="Y1293" s="209"/>
      <c r="Z1293" s="209"/>
      <c r="AA1293" s="209"/>
      <c r="AB1293" s="209"/>
      <c r="AC1293" s="209"/>
      <c r="AD1293" s="209"/>
      <c r="AE1293" s="209"/>
      <c r="AF1293" s="209"/>
      <c r="AG1293" s="209"/>
      <c r="AH1293" s="209"/>
      <c r="AI1293" s="209"/>
      <c r="AJ1293" s="209"/>
      <c r="AK1293" s="209"/>
    </row>
    <row r="1294">
      <c r="A1294" s="209"/>
      <c r="B1294" s="209"/>
      <c r="C1294" s="209"/>
      <c r="D1294" s="209"/>
      <c r="E1294" s="209"/>
      <c r="F1294" s="209"/>
      <c r="G1294" s="209"/>
      <c r="H1294" s="209"/>
      <c r="I1294" s="209"/>
      <c r="J1294" s="209"/>
      <c r="K1294" s="209"/>
      <c r="L1294" s="209"/>
      <c r="M1294" s="209"/>
      <c r="N1294" s="209"/>
      <c r="O1294" s="209"/>
      <c r="P1294" s="209"/>
      <c r="Q1294" s="209"/>
      <c r="R1294" s="209"/>
      <c r="S1294" s="209"/>
      <c r="T1294" s="209"/>
      <c r="U1294" s="209"/>
      <c r="V1294" s="209"/>
      <c r="W1294" s="209"/>
      <c r="X1294" s="209"/>
      <c r="Y1294" s="209"/>
      <c r="Z1294" s="209"/>
      <c r="AA1294" s="209"/>
      <c r="AB1294" s="209"/>
      <c r="AC1294" s="209"/>
      <c r="AD1294" s="209"/>
      <c r="AE1294" s="209"/>
      <c r="AF1294" s="209"/>
      <c r="AG1294" s="209"/>
      <c r="AH1294" s="209"/>
      <c r="AI1294" s="209"/>
      <c r="AJ1294" s="209"/>
      <c r="AK1294" s="209"/>
    </row>
    <row r="1295">
      <c r="A1295" s="209"/>
      <c r="B1295" s="209"/>
      <c r="C1295" s="209"/>
      <c r="D1295" s="209"/>
      <c r="E1295" s="209"/>
      <c r="F1295" s="209"/>
      <c r="G1295" s="209"/>
      <c r="H1295" s="209"/>
      <c r="I1295" s="209"/>
      <c r="J1295" s="209"/>
      <c r="K1295" s="209"/>
      <c r="L1295" s="209"/>
      <c r="M1295" s="209"/>
      <c r="N1295" s="209"/>
      <c r="O1295" s="209"/>
      <c r="P1295" s="209"/>
      <c r="Q1295" s="209"/>
      <c r="R1295" s="209"/>
      <c r="S1295" s="209"/>
      <c r="T1295" s="209"/>
      <c r="U1295" s="209"/>
      <c r="V1295" s="209"/>
      <c r="W1295" s="209"/>
      <c r="X1295" s="209"/>
      <c r="Y1295" s="209"/>
      <c r="Z1295" s="209"/>
      <c r="AA1295" s="209"/>
      <c r="AB1295" s="209"/>
      <c r="AC1295" s="209"/>
      <c r="AD1295" s="209"/>
      <c r="AE1295" s="209"/>
      <c r="AF1295" s="209"/>
      <c r="AG1295" s="209"/>
      <c r="AH1295" s="209"/>
      <c r="AI1295" s="209"/>
      <c r="AJ1295" s="209"/>
      <c r="AK1295" s="209"/>
    </row>
    <row r="1296">
      <c r="A1296" s="209"/>
      <c r="B1296" s="209"/>
      <c r="C1296" s="209"/>
      <c r="D1296" s="209"/>
      <c r="E1296" s="209"/>
      <c r="F1296" s="209"/>
      <c r="G1296" s="209"/>
      <c r="H1296" s="209"/>
      <c r="I1296" s="209"/>
      <c r="J1296" s="209"/>
      <c r="K1296" s="209"/>
      <c r="L1296" s="209"/>
      <c r="M1296" s="209"/>
      <c r="N1296" s="209"/>
      <c r="O1296" s="209"/>
      <c r="P1296" s="209"/>
      <c r="Q1296" s="209"/>
      <c r="R1296" s="209"/>
      <c r="S1296" s="209"/>
      <c r="T1296" s="209"/>
      <c r="U1296" s="209"/>
      <c r="V1296" s="209"/>
      <c r="W1296" s="209"/>
      <c r="X1296" s="209"/>
      <c r="Y1296" s="209"/>
      <c r="Z1296" s="209"/>
      <c r="AA1296" s="209"/>
      <c r="AB1296" s="209"/>
      <c r="AC1296" s="209"/>
      <c r="AD1296" s="209"/>
      <c r="AE1296" s="209"/>
      <c r="AF1296" s="209"/>
      <c r="AG1296" s="209"/>
      <c r="AH1296" s="209"/>
      <c r="AI1296" s="209"/>
      <c r="AJ1296" s="209"/>
      <c r="AK1296" s="209"/>
    </row>
    <row r="1297">
      <c r="A1297" s="209"/>
      <c r="B1297" s="209"/>
      <c r="C1297" s="209"/>
      <c r="D1297" s="209"/>
      <c r="E1297" s="209"/>
      <c r="F1297" s="209"/>
      <c r="G1297" s="209"/>
      <c r="H1297" s="209"/>
      <c r="I1297" s="209"/>
      <c r="J1297" s="209"/>
      <c r="K1297" s="209"/>
      <c r="L1297" s="209"/>
      <c r="M1297" s="209"/>
      <c r="N1297" s="209"/>
      <c r="O1297" s="209"/>
      <c r="P1297" s="209"/>
      <c r="Q1297" s="209"/>
      <c r="R1297" s="209"/>
      <c r="S1297" s="209"/>
      <c r="T1297" s="209"/>
      <c r="U1297" s="209"/>
      <c r="V1297" s="209"/>
      <c r="W1297" s="209"/>
      <c r="X1297" s="209"/>
      <c r="Y1297" s="209"/>
      <c r="Z1297" s="209"/>
      <c r="AA1297" s="209"/>
      <c r="AB1297" s="209"/>
      <c r="AC1297" s="209"/>
      <c r="AD1297" s="209"/>
      <c r="AE1297" s="209"/>
      <c r="AF1297" s="209"/>
      <c r="AG1297" s="209"/>
      <c r="AH1297" s="209"/>
      <c r="AI1297" s="209"/>
      <c r="AJ1297" s="209"/>
      <c r="AK1297" s="209"/>
    </row>
    <row r="1298">
      <c r="A1298" s="209"/>
      <c r="B1298" s="209"/>
      <c r="C1298" s="209"/>
      <c r="D1298" s="209"/>
      <c r="E1298" s="209"/>
      <c r="F1298" s="209"/>
      <c r="G1298" s="209"/>
      <c r="H1298" s="209"/>
      <c r="I1298" s="209"/>
      <c r="J1298" s="209"/>
      <c r="K1298" s="209"/>
      <c r="L1298" s="209"/>
      <c r="M1298" s="209"/>
      <c r="N1298" s="209"/>
      <c r="O1298" s="209"/>
      <c r="P1298" s="209"/>
      <c r="Q1298" s="209"/>
      <c r="R1298" s="209"/>
      <c r="S1298" s="209"/>
      <c r="T1298" s="209"/>
      <c r="U1298" s="209"/>
      <c r="V1298" s="209"/>
      <c r="W1298" s="209"/>
      <c r="X1298" s="209"/>
      <c r="Y1298" s="209"/>
      <c r="Z1298" s="209"/>
      <c r="AA1298" s="209"/>
      <c r="AB1298" s="209"/>
      <c r="AC1298" s="209"/>
      <c r="AD1298" s="209"/>
      <c r="AE1298" s="209"/>
      <c r="AF1298" s="209"/>
      <c r="AG1298" s="209"/>
      <c r="AH1298" s="209"/>
      <c r="AI1298" s="209"/>
      <c r="AJ1298" s="209"/>
      <c r="AK1298" s="209"/>
    </row>
    <row r="1299">
      <c r="A1299" s="209"/>
      <c r="B1299" s="209"/>
      <c r="C1299" s="209"/>
      <c r="D1299" s="209"/>
      <c r="E1299" s="209"/>
      <c r="F1299" s="209"/>
      <c r="G1299" s="209"/>
      <c r="H1299" s="209"/>
      <c r="I1299" s="209"/>
      <c r="J1299" s="209"/>
      <c r="K1299" s="209"/>
      <c r="L1299" s="209"/>
      <c r="M1299" s="209"/>
      <c r="N1299" s="209"/>
      <c r="O1299" s="209"/>
      <c r="P1299" s="209"/>
      <c r="Q1299" s="209"/>
      <c r="R1299" s="209"/>
      <c r="S1299" s="209"/>
      <c r="T1299" s="209"/>
      <c r="U1299" s="209"/>
      <c r="V1299" s="209"/>
      <c r="W1299" s="209"/>
      <c r="X1299" s="209"/>
      <c r="Y1299" s="209"/>
      <c r="Z1299" s="209"/>
      <c r="AA1299" s="209"/>
      <c r="AB1299" s="209"/>
      <c r="AC1299" s="209"/>
      <c r="AD1299" s="209"/>
      <c r="AE1299" s="209"/>
      <c r="AF1299" s="209"/>
      <c r="AG1299" s="209"/>
      <c r="AH1299" s="209"/>
      <c r="AI1299" s="209"/>
      <c r="AJ1299" s="209"/>
      <c r="AK1299" s="209"/>
    </row>
    <row r="1300">
      <c r="A1300" s="209"/>
      <c r="B1300" s="209"/>
      <c r="C1300" s="209"/>
      <c r="D1300" s="209"/>
      <c r="E1300" s="209"/>
      <c r="F1300" s="209"/>
      <c r="G1300" s="209"/>
      <c r="H1300" s="209"/>
      <c r="I1300" s="209"/>
      <c r="J1300" s="209"/>
      <c r="K1300" s="209"/>
      <c r="L1300" s="209"/>
      <c r="M1300" s="209"/>
      <c r="N1300" s="209"/>
      <c r="O1300" s="209"/>
      <c r="P1300" s="209"/>
      <c r="Q1300" s="209"/>
      <c r="R1300" s="209"/>
      <c r="S1300" s="209"/>
      <c r="T1300" s="209"/>
      <c r="U1300" s="209"/>
      <c r="V1300" s="209"/>
      <c r="W1300" s="209"/>
      <c r="X1300" s="209"/>
      <c r="Y1300" s="209"/>
      <c r="Z1300" s="209"/>
      <c r="AA1300" s="209"/>
      <c r="AB1300" s="209"/>
      <c r="AC1300" s="209"/>
      <c r="AD1300" s="209"/>
      <c r="AE1300" s="209"/>
      <c r="AF1300" s="209"/>
      <c r="AG1300" s="209"/>
      <c r="AH1300" s="209"/>
      <c r="AI1300" s="209"/>
      <c r="AJ1300" s="209"/>
      <c r="AK1300" s="209"/>
    </row>
    <row r="1301">
      <c r="A1301" s="209"/>
      <c r="B1301" s="209"/>
      <c r="C1301" s="209"/>
      <c r="D1301" s="209"/>
      <c r="E1301" s="209"/>
      <c r="F1301" s="209"/>
      <c r="G1301" s="209"/>
      <c r="H1301" s="209"/>
      <c r="I1301" s="209"/>
      <c r="J1301" s="209"/>
      <c r="K1301" s="209"/>
      <c r="L1301" s="209"/>
      <c r="M1301" s="209"/>
      <c r="N1301" s="209"/>
      <c r="O1301" s="209"/>
      <c r="P1301" s="209"/>
      <c r="Q1301" s="209"/>
      <c r="R1301" s="209"/>
      <c r="S1301" s="209"/>
      <c r="T1301" s="209"/>
      <c r="U1301" s="209"/>
      <c r="V1301" s="209"/>
      <c r="W1301" s="209"/>
      <c r="X1301" s="209"/>
      <c r="Y1301" s="209"/>
      <c r="Z1301" s="209"/>
      <c r="AA1301" s="209"/>
      <c r="AB1301" s="209"/>
      <c r="AC1301" s="209"/>
      <c r="AD1301" s="209"/>
      <c r="AE1301" s="209"/>
      <c r="AF1301" s="209"/>
      <c r="AG1301" s="209"/>
      <c r="AH1301" s="209"/>
      <c r="AI1301" s="209"/>
      <c r="AJ1301" s="209"/>
      <c r="AK1301" s="209"/>
    </row>
    <row r="1302">
      <c r="A1302" s="209"/>
      <c r="B1302" s="209"/>
      <c r="C1302" s="209"/>
      <c r="D1302" s="209"/>
      <c r="E1302" s="209"/>
      <c r="F1302" s="209"/>
      <c r="G1302" s="209"/>
      <c r="H1302" s="209"/>
      <c r="I1302" s="209"/>
      <c r="J1302" s="209"/>
      <c r="K1302" s="209"/>
      <c r="L1302" s="209"/>
      <c r="M1302" s="209"/>
      <c r="N1302" s="209"/>
      <c r="O1302" s="209"/>
      <c r="P1302" s="209"/>
      <c r="Q1302" s="209"/>
      <c r="R1302" s="209"/>
      <c r="S1302" s="209"/>
      <c r="T1302" s="209"/>
      <c r="U1302" s="209"/>
      <c r="V1302" s="209"/>
      <c r="W1302" s="209"/>
      <c r="X1302" s="209"/>
      <c r="Y1302" s="209"/>
      <c r="Z1302" s="209"/>
      <c r="AA1302" s="209"/>
      <c r="AB1302" s="209"/>
      <c r="AC1302" s="209"/>
      <c r="AD1302" s="209"/>
      <c r="AE1302" s="209"/>
      <c r="AF1302" s="209"/>
      <c r="AG1302" s="209"/>
      <c r="AH1302" s="209"/>
      <c r="AI1302" s="209"/>
      <c r="AJ1302" s="209"/>
      <c r="AK1302" s="209"/>
    </row>
    <row r="1303">
      <c r="A1303" s="209"/>
      <c r="B1303" s="209"/>
      <c r="C1303" s="209"/>
      <c r="D1303" s="209"/>
      <c r="E1303" s="209"/>
      <c r="F1303" s="209"/>
      <c r="G1303" s="209"/>
      <c r="H1303" s="209"/>
      <c r="I1303" s="209"/>
      <c r="J1303" s="209"/>
      <c r="K1303" s="209"/>
      <c r="L1303" s="209"/>
      <c r="M1303" s="209"/>
      <c r="N1303" s="209"/>
      <c r="O1303" s="209"/>
      <c r="P1303" s="209"/>
      <c r="Q1303" s="209"/>
      <c r="R1303" s="209"/>
      <c r="S1303" s="209"/>
      <c r="T1303" s="209"/>
      <c r="U1303" s="209"/>
      <c r="V1303" s="209"/>
      <c r="W1303" s="209"/>
      <c r="X1303" s="209"/>
      <c r="Y1303" s="209"/>
      <c r="Z1303" s="209"/>
      <c r="AA1303" s="209"/>
      <c r="AB1303" s="209"/>
      <c r="AC1303" s="209"/>
      <c r="AD1303" s="209"/>
      <c r="AE1303" s="209"/>
      <c r="AF1303" s="209"/>
      <c r="AG1303" s="209"/>
      <c r="AH1303" s="209"/>
      <c r="AI1303" s="209"/>
      <c r="AJ1303" s="209"/>
      <c r="AK1303" s="209"/>
    </row>
    <row r="1304">
      <c r="A1304" s="209"/>
      <c r="B1304" s="209"/>
      <c r="C1304" s="209"/>
      <c r="D1304" s="209"/>
      <c r="E1304" s="209"/>
      <c r="F1304" s="209"/>
      <c r="G1304" s="209"/>
      <c r="H1304" s="209"/>
      <c r="I1304" s="209"/>
      <c r="J1304" s="209"/>
      <c r="K1304" s="209"/>
      <c r="L1304" s="209"/>
      <c r="M1304" s="209"/>
      <c r="N1304" s="209"/>
      <c r="O1304" s="209"/>
      <c r="P1304" s="209"/>
      <c r="Q1304" s="209"/>
      <c r="R1304" s="209"/>
      <c r="S1304" s="209"/>
      <c r="T1304" s="209"/>
      <c r="U1304" s="209"/>
      <c r="V1304" s="209"/>
      <c r="W1304" s="209"/>
      <c r="X1304" s="209"/>
      <c r="Y1304" s="209"/>
      <c r="Z1304" s="209"/>
      <c r="AA1304" s="209"/>
      <c r="AB1304" s="209"/>
      <c r="AC1304" s="209"/>
      <c r="AD1304" s="209"/>
      <c r="AE1304" s="209"/>
      <c r="AF1304" s="209"/>
      <c r="AG1304" s="209"/>
      <c r="AH1304" s="209"/>
      <c r="AI1304" s="209"/>
      <c r="AJ1304" s="209"/>
      <c r="AK1304" s="209"/>
    </row>
    <row r="1305">
      <c r="A1305" s="209"/>
      <c r="B1305" s="209"/>
      <c r="C1305" s="209"/>
      <c r="D1305" s="209"/>
      <c r="E1305" s="209"/>
      <c r="F1305" s="209"/>
      <c r="G1305" s="209"/>
      <c r="H1305" s="209"/>
      <c r="I1305" s="209"/>
      <c r="J1305" s="209"/>
      <c r="K1305" s="209"/>
      <c r="L1305" s="209"/>
      <c r="M1305" s="209"/>
      <c r="N1305" s="209"/>
      <c r="O1305" s="209"/>
      <c r="P1305" s="209"/>
      <c r="Q1305" s="209"/>
      <c r="R1305" s="209"/>
      <c r="S1305" s="209"/>
      <c r="T1305" s="209"/>
      <c r="U1305" s="209"/>
      <c r="V1305" s="209"/>
      <c r="W1305" s="209"/>
      <c r="X1305" s="209"/>
      <c r="Y1305" s="209"/>
      <c r="Z1305" s="209"/>
      <c r="AA1305" s="209"/>
      <c r="AB1305" s="209"/>
      <c r="AC1305" s="209"/>
      <c r="AD1305" s="209"/>
      <c r="AE1305" s="209"/>
      <c r="AF1305" s="209"/>
      <c r="AG1305" s="209"/>
      <c r="AH1305" s="209"/>
      <c r="AI1305" s="209"/>
      <c r="AJ1305" s="209"/>
      <c r="AK1305" s="209"/>
    </row>
    <row r="1306">
      <c r="A1306" s="209"/>
      <c r="B1306" s="209"/>
      <c r="C1306" s="209"/>
      <c r="D1306" s="209"/>
      <c r="E1306" s="209"/>
      <c r="F1306" s="209"/>
      <c r="G1306" s="209"/>
      <c r="H1306" s="209"/>
      <c r="I1306" s="209"/>
      <c r="J1306" s="209"/>
      <c r="K1306" s="209"/>
      <c r="L1306" s="209"/>
      <c r="M1306" s="209"/>
      <c r="N1306" s="209"/>
      <c r="O1306" s="209"/>
      <c r="P1306" s="209"/>
      <c r="Q1306" s="209"/>
      <c r="R1306" s="209"/>
      <c r="S1306" s="209"/>
      <c r="T1306" s="209"/>
      <c r="U1306" s="209"/>
      <c r="V1306" s="209"/>
      <c r="W1306" s="209"/>
      <c r="X1306" s="209"/>
      <c r="Y1306" s="209"/>
      <c r="Z1306" s="209"/>
      <c r="AA1306" s="209"/>
      <c r="AB1306" s="209"/>
      <c r="AC1306" s="209"/>
      <c r="AD1306" s="209"/>
      <c r="AE1306" s="209"/>
      <c r="AF1306" s="209"/>
      <c r="AG1306" s="209"/>
      <c r="AH1306" s="209"/>
      <c r="AI1306" s="209"/>
      <c r="AJ1306" s="209"/>
      <c r="AK1306" s="209"/>
    </row>
    <row r="1307">
      <c r="A1307" s="209"/>
      <c r="B1307" s="209"/>
      <c r="C1307" s="209"/>
      <c r="D1307" s="209"/>
      <c r="E1307" s="209"/>
      <c r="F1307" s="209"/>
      <c r="G1307" s="209"/>
      <c r="H1307" s="209"/>
      <c r="I1307" s="209"/>
      <c r="J1307" s="209"/>
      <c r="K1307" s="209"/>
      <c r="L1307" s="209"/>
      <c r="M1307" s="209"/>
      <c r="N1307" s="209"/>
      <c r="O1307" s="209"/>
      <c r="P1307" s="209"/>
      <c r="Q1307" s="209"/>
      <c r="R1307" s="209"/>
      <c r="S1307" s="209"/>
      <c r="T1307" s="209"/>
      <c r="U1307" s="209"/>
      <c r="V1307" s="209"/>
      <c r="W1307" s="209"/>
      <c r="X1307" s="209"/>
      <c r="Y1307" s="209"/>
      <c r="Z1307" s="209"/>
      <c r="AA1307" s="209"/>
      <c r="AB1307" s="209"/>
      <c r="AC1307" s="209"/>
      <c r="AD1307" s="209"/>
      <c r="AE1307" s="209"/>
      <c r="AF1307" s="209"/>
      <c r="AG1307" s="209"/>
      <c r="AH1307" s="209"/>
      <c r="AI1307" s="209"/>
      <c r="AJ1307" s="209"/>
      <c r="AK1307" s="209"/>
    </row>
    <row r="1308">
      <c r="A1308" s="209"/>
      <c r="B1308" s="209"/>
      <c r="C1308" s="209"/>
      <c r="D1308" s="209"/>
      <c r="E1308" s="209"/>
      <c r="F1308" s="209"/>
      <c r="G1308" s="209"/>
      <c r="H1308" s="209"/>
      <c r="I1308" s="209"/>
      <c r="J1308" s="209"/>
      <c r="K1308" s="209"/>
      <c r="L1308" s="209"/>
      <c r="M1308" s="209"/>
      <c r="N1308" s="209"/>
      <c r="O1308" s="209"/>
      <c r="P1308" s="209"/>
      <c r="Q1308" s="209"/>
      <c r="R1308" s="209"/>
      <c r="S1308" s="209"/>
      <c r="T1308" s="209"/>
      <c r="U1308" s="209"/>
      <c r="V1308" s="209"/>
      <c r="W1308" s="209"/>
      <c r="X1308" s="209"/>
      <c r="Y1308" s="209"/>
      <c r="Z1308" s="209"/>
      <c r="AA1308" s="209"/>
      <c r="AB1308" s="209"/>
      <c r="AC1308" s="209"/>
      <c r="AD1308" s="209"/>
      <c r="AE1308" s="209"/>
      <c r="AF1308" s="209"/>
      <c r="AG1308" s="209"/>
      <c r="AH1308" s="209"/>
      <c r="AI1308" s="209"/>
      <c r="AJ1308" s="209"/>
      <c r="AK1308" s="209"/>
    </row>
    <row r="1309">
      <c r="A1309" s="209"/>
      <c r="B1309" s="209"/>
      <c r="C1309" s="209"/>
      <c r="D1309" s="209"/>
      <c r="E1309" s="209"/>
      <c r="F1309" s="209"/>
      <c r="G1309" s="209"/>
      <c r="H1309" s="209"/>
      <c r="I1309" s="209"/>
      <c r="J1309" s="209"/>
      <c r="K1309" s="209"/>
      <c r="L1309" s="209"/>
      <c r="M1309" s="209"/>
      <c r="N1309" s="209"/>
      <c r="O1309" s="209"/>
      <c r="P1309" s="209"/>
      <c r="Q1309" s="209"/>
      <c r="R1309" s="209"/>
      <c r="S1309" s="209"/>
      <c r="T1309" s="209"/>
      <c r="U1309" s="209"/>
      <c r="V1309" s="209"/>
      <c r="W1309" s="209"/>
      <c r="X1309" s="209"/>
      <c r="Y1309" s="209"/>
      <c r="Z1309" s="209"/>
      <c r="AA1309" s="209"/>
      <c r="AB1309" s="209"/>
      <c r="AC1309" s="209"/>
      <c r="AD1309" s="209"/>
      <c r="AE1309" s="209"/>
      <c r="AF1309" s="209"/>
      <c r="AG1309" s="209"/>
      <c r="AH1309" s="209"/>
      <c r="AI1309" s="209"/>
      <c r="AJ1309" s="209"/>
      <c r="AK1309" s="209"/>
    </row>
    <row r="1310">
      <c r="A1310" s="209"/>
      <c r="B1310" s="209"/>
      <c r="C1310" s="209"/>
      <c r="D1310" s="209"/>
      <c r="E1310" s="209"/>
      <c r="F1310" s="209"/>
      <c r="G1310" s="209"/>
      <c r="H1310" s="209"/>
      <c r="I1310" s="209"/>
      <c r="J1310" s="209"/>
      <c r="K1310" s="209"/>
      <c r="L1310" s="209"/>
      <c r="M1310" s="209"/>
      <c r="N1310" s="209"/>
      <c r="O1310" s="209"/>
      <c r="P1310" s="209"/>
      <c r="Q1310" s="209"/>
      <c r="R1310" s="209"/>
      <c r="S1310" s="209"/>
      <c r="T1310" s="209"/>
      <c r="U1310" s="209"/>
      <c r="V1310" s="209"/>
      <c r="W1310" s="209"/>
      <c r="X1310" s="209"/>
      <c r="Y1310" s="209"/>
      <c r="Z1310" s="209"/>
      <c r="AA1310" s="209"/>
      <c r="AB1310" s="209"/>
      <c r="AC1310" s="209"/>
      <c r="AD1310" s="209"/>
      <c r="AE1310" s="209"/>
      <c r="AF1310" s="209"/>
      <c r="AG1310" s="209"/>
      <c r="AH1310" s="209"/>
      <c r="AI1310" s="209"/>
      <c r="AJ1310" s="209"/>
      <c r="AK1310" s="209"/>
    </row>
    <row r="1311">
      <c r="A1311" s="209"/>
      <c r="B1311" s="209"/>
      <c r="C1311" s="209"/>
      <c r="D1311" s="209"/>
      <c r="E1311" s="209"/>
      <c r="F1311" s="209"/>
      <c r="G1311" s="209"/>
      <c r="H1311" s="209"/>
      <c r="I1311" s="209"/>
      <c r="J1311" s="209"/>
      <c r="K1311" s="209"/>
      <c r="L1311" s="209"/>
      <c r="M1311" s="209"/>
      <c r="N1311" s="209"/>
      <c r="O1311" s="209"/>
      <c r="P1311" s="209"/>
      <c r="Q1311" s="209"/>
      <c r="R1311" s="209"/>
      <c r="S1311" s="209"/>
      <c r="T1311" s="209"/>
      <c r="U1311" s="209"/>
      <c r="V1311" s="209"/>
      <c r="W1311" s="209"/>
      <c r="X1311" s="209"/>
      <c r="Y1311" s="209"/>
      <c r="Z1311" s="209"/>
      <c r="AA1311" s="209"/>
      <c r="AB1311" s="209"/>
      <c r="AC1311" s="209"/>
      <c r="AD1311" s="209"/>
      <c r="AE1311" s="209"/>
      <c r="AF1311" s="209"/>
      <c r="AG1311" s="209"/>
      <c r="AH1311" s="209"/>
      <c r="AI1311" s="209"/>
      <c r="AJ1311" s="209"/>
      <c r="AK1311" s="209"/>
    </row>
    <row r="1312">
      <c r="A1312" s="209"/>
      <c r="B1312" s="209"/>
      <c r="C1312" s="209"/>
      <c r="D1312" s="209"/>
      <c r="E1312" s="209"/>
      <c r="F1312" s="209"/>
      <c r="G1312" s="209"/>
      <c r="H1312" s="209"/>
      <c r="I1312" s="209"/>
      <c r="J1312" s="209"/>
      <c r="K1312" s="209"/>
      <c r="L1312" s="209"/>
      <c r="M1312" s="209"/>
      <c r="N1312" s="209"/>
      <c r="O1312" s="209"/>
      <c r="P1312" s="209"/>
      <c r="Q1312" s="209"/>
      <c r="R1312" s="209"/>
      <c r="S1312" s="209"/>
      <c r="T1312" s="209"/>
      <c r="U1312" s="209"/>
      <c r="V1312" s="209"/>
      <c r="W1312" s="209"/>
      <c r="X1312" s="209"/>
      <c r="Y1312" s="209"/>
      <c r="Z1312" s="209"/>
      <c r="AA1312" s="209"/>
      <c r="AB1312" s="209"/>
      <c r="AC1312" s="209"/>
      <c r="AD1312" s="209"/>
      <c r="AE1312" s="209"/>
      <c r="AF1312" s="209"/>
      <c r="AG1312" s="209"/>
      <c r="AH1312" s="209"/>
      <c r="AI1312" s="209"/>
      <c r="AJ1312" s="209"/>
      <c r="AK1312" s="209"/>
    </row>
    <row r="1313">
      <c r="A1313" s="209"/>
      <c r="B1313" s="209"/>
      <c r="C1313" s="209"/>
      <c r="D1313" s="209"/>
      <c r="E1313" s="209"/>
      <c r="F1313" s="209"/>
      <c r="G1313" s="209"/>
      <c r="H1313" s="209"/>
      <c r="I1313" s="209"/>
      <c r="J1313" s="209"/>
      <c r="K1313" s="209"/>
      <c r="L1313" s="209"/>
      <c r="M1313" s="209"/>
      <c r="N1313" s="209"/>
      <c r="O1313" s="209"/>
      <c r="P1313" s="209"/>
      <c r="Q1313" s="209"/>
      <c r="R1313" s="209"/>
      <c r="S1313" s="209"/>
      <c r="T1313" s="209"/>
      <c r="U1313" s="209"/>
      <c r="V1313" s="209"/>
      <c r="W1313" s="209"/>
      <c r="X1313" s="209"/>
      <c r="Y1313" s="209"/>
      <c r="Z1313" s="209"/>
      <c r="AA1313" s="209"/>
      <c r="AB1313" s="209"/>
      <c r="AC1313" s="209"/>
      <c r="AD1313" s="209"/>
      <c r="AE1313" s="209"/>
      <c r="AF1313" s="209"/>
      <c r="AG1313" s="209"/>
      <c r="AH1313" s="209"/>
      <c r="AI1313" s="209"/>
      <c r="AJ1313" s="209"/>
      <c r="AK1313" s="209"/>
    </row>
    <row r="1314">
      <c r="A1314" s="209"/>
      <c r="B1314" s="209"/>
      <c r="C1314" s="209"/>
      <c r="D1314" s="209"/>
      <c r="E1314" s="209"/>
      <c r="F1314" s="209"/>
      <c r="G1314" s="209"/>
      <c r="H1314" s="209"/>
      <c r="I1314" s="209"/>
      <c r="J1314" s="209"/>
      <c r="K1314" s="209"/>
      <c r="L1314" s="209"/>
      <c r="M1314" s="209"/>
      <c r="N1314" s="209"/>
      <c r="O1314" s="209"/>
      <c r="P1314" s="209"/>
      <c r="Q1314" s="209"/>
      <c r="R1314" s="209"/>
      <c r="S1314" s="209"/>
      <c r="T1314" s="209"/>
      <c r="U1314" s="209"/>
      <c r="V1314" s="209"/>
      <c r="W1314" s="209"/>
      <c r="X1314" s="209"/>
      <c r="Y1314" s="209"/>
      <c r="Z1314" s="209"/>
      <c r="AA1314" s="209"/>
      <c r="AB1314" s="209"/>
      <c r="AC1314" s="209"/>
      <c r="AD1314" s="209"/>
      <c r="AE1314" s="209"/>
      <c r="AF1314" s="209"/>
      <c r="AG1314" s="209"/>
      <c r="AH1314" s="209"/>
      <c r="AI1314" s="209"/>
      <c r="AJ1314" s="209"/>
      <c r="AK1314" s="209"/>
    </row>
    <row r="1315">
      <c r="A1315" s="209"/>
      <c r="B1315" s="209"/>
      <c r="C1315" s="209"/>
      <c r="D1315" s="209"/>
      <c r="E1315" s="209"/>
      <c r="F1315" s="209"/>
      <c r="G1315" s="209"/>
      <c r="H1315" s="209"/>
      <c r="I1315" s="209"/>
      <c r="J1315" s="209"/>
      <c r="K1315" s="209"/>
      <c r="L1315" s="209"/>
      <c r="M1315" s="209"/>
      <c r="N1315" s="209"/>
      <c r="O1315" s="209"/>
      <c r="P1315" s="209"/>
      <c r="Q1315" s="209"/>
      <c r="R1315" s="209"/>
      <c r="S1315" s="209"/>
      <c r="T1315" s="209"/>
      <c r="U1315" s="209"/>
      <c r="V1315" s="209"/>
      <c r="W1315" s="209"/>
      <c r="X1315" s="209"/>
      <c r="Y1315" s="209"/>
      <c r="Z1315" s="209"/>
      <c r="AA1315" s="209"/>
      <c r="AB1315" s="209"/>
      <c r="AC1315" s="209"/>
      <c r="AD1315" s="209"/>
      <c r="AE1315" s="209"/>
      <c r="AF1315" s="209"/>
      <c r="AG1315" s="209"/>
      <c r="AH1315" s="209"/>
      <c r="AI1315" s="209"/>
      <c r="AJ1315" s="209"/>
      <c r="AK1315" s="209"/>
    </row>
    <row r="1316">
      <c r="A1316" s="209"/>
      <c r="B1316" s="209"/>
      <c r="C1316" s="209"/>
      <c r="D1316" s="209"/>
      <c r="E1316" s="209"/>
      <c r="F1316" s="209"/>
      <c r="G1316" s="209"/>
      <c r="H1316" s="209"/>
      <c r="I1316" s="209"/>
      <c r="J1316" s="209"/>
      <c r="K1316" s="209"/>
      <c r="L1316" s="209"/>
      <c r="M1316" s="209"/>
      <c r="N1316" s="209"/>
      <c r="O1316" s="209"/>
      <c r="P1316" s="209"/>
      <c r="Q1316" s="209"/>
      <c r="R1316" s="209"/>
      <c r="S1316" s="209"/>
      <c r="T1316" s="209"/>
      <c r="U1316" s="209"/>
      <c r="V1316" s="209"/>
      <c r="W1316" s="209"/>
      <c r="X1316" s="209"/>
      <c r="Y1316" s="209"/>
      <c r="Z1316" s="209"/>
      <c r="AA1316" s="209"/>
      <c r="AB1316" s="209"/>
      <c r="AC1316" s="209"/>
      <c r="AD1316" s="209"/>
      <c r="AE1316" s="209"/>
      <c r="AF1316" s="209"/>
      <c r="AG1316" s="209"/>
      <c r="AH1316" s="209"/>
      <c r="AI1316" s="209"/>
      <c r="AJ1316" s="209"/>
      <c r="AK1316" s="209"/>
    </row>
    <row r="1317">
      <c r="A1317" s="209"/>
      <c r="B1317" s="209"/>
      <c r="C1317" s="209"/>
      <c r="D1317" s="209"/>
      <c r="E1317" s="209"/>
      <c r="F1317" s="209"/>
      <c r="G1317" s="209"/>
      <c r="H1317" s="209"/>
      <c r="I1317" s="209"/>
      <c r="J1317" s="209"/>
      <c r="K1317" s="209"/>
      <c r="L1317" s="209"/>
      <c r="M1317" s="209"/>
      <c r="N1317" s="209"/>
      <c r="O1317" s="209"/>
      <c r="P1317" s="209"/>
      <c r="Q1317" s="209"/>
      <c r="R1317" s="209"/>
      <c r="S1317" s="209"/>
      <c r="T1317" s="209"/>
      <c r="U1317" s="209"/>
      <c r="V1317" s="209"/>
      <c r="W1317" s="209"/>
      <c r="X1317" s="209"/>
      <c r="Y1317" s="209"/>
      <c r="Z1317" s="209"/>
      <c r="AA1317" s="209"/>
      <c r="AB1317" s="209"/>
      <c r="AC1317" s="209"/>
      <c r="AD1317" s="209"/>
      <c r="AE1317" s="209"/>
      <c r="AF1317" s="209"/>
      <c r="AG1317" s="209"/>
      <c r="AH1317" s="209"/>
      <c r="AI1317" s="209"/>
      <c r="AJ1317" s="209"/>
      <c r="AK1317" s="209"/>
    </row>
    <row r="1318">
      <c r="A1318" s="209"/>
      <c r="B1318" s="209"/>
      <c r="C1318" s="209"/>
      <c r="D1318" s="209"/>
      <c r="E1318" s="209"/>
      <c r="F1318" s="209"/>
      <c r="G1318" s="209"/>
      <c r="H1318" s="209"/>
      <c r="I1318" s="209"/>
      <c r="J1318" s="209"/>
      <c r="K1318" s="209"/>
      <c r="L1318" s="209"/>
      <c r="M1318" s="209"/>
      <c r="N1318" s="209"/>
      <c r="O1318" s="209"/>
      <c r="P1318" s="209"/>
      <c r="Q1318" s="209"/>
      <c r="R1318" s="209"/>
      <c r="S1318" s="209"/>
      <c r="T1318" s="209"/>
      <c r="U1318" s="209"/>
      <c r="V1318" s="209"/>
      <c r="W1318" s="209"/>
      <c r="X1318" s="209"/>
      <c r="Y1318" s="209"/>
      <c r="Z1318" s="209"/>
      <c r="AA1318" s="209"/>
      <c r="AB1318" s="209"/>
      <c r="AC1318" s="209"/>
      <c r="AD1318" s="209"/>
      <c r="AE1318" s="209"/>
      <c r="AF1318" s="209"/>
      <c r="AG1318" s="209"/>
      <c r="AH1318" s="209"/>
      <c r="AI1318" s="209"/>
      <c r="AJ1318" s="209"/>
      <c r="AK1318" s="209"/>
    </row>
    <row r="1319">
      <c r="A1319" s="209"/>
      <c r="B1319" s="209"/>
      <c r="C1319" s="209"/>
      <c r="D1319" s="209"/>
      <c r="E1319" s="209"/>
      <c r="F1319" s="209"/>
      <c r="G1319" s="209"/>
      <c r="H1319" s="209"/>
      <c r="I1319" s="209"/>
      <c r="J1319" s="209"/>
      <c r="K1319" s="209"/>
      <c r="L1319" s="209"/>
      <c r="M1319" s="209"/>
      <c r="N1319" s="209"/>
      <c r="O1319" s="209"/>
      <c r="P1319" s="209"/>
      <c r="Q1319" s="209"/>
      <c r="R1319" s="209"/>
      <c r="S1319" s="209"/>
      <c r="T1319" s="209"/>
      <c r="U1319" s="209"/>
      <c r="V1319" s="209"/>
      <c r="W1319" s="209"/>
      <c r="X1319" s="209"/>
      <c r="Y1319" s="209"/>
      <c r="Z1319" s="209"/>
      <c r="AA1319" s="209"/>
      <c r="AB1319" s="209"/>
      <c r="AC1319" s="209"/>
      <c r="AD1319" s="209"/>
      <c r="AE1319" s="209"/>
      <c r="AF1319" s="209"/>
      <c r="AG1319" s="209"/>
      <c r="AH1319" s="209"/>
      <c r="AI1319" s="209"/>
      <c r="AJ1319" s="209"/>
      <c r="AK1319" s="209"/>
    </row>
    <row r="1320">
      <c r="A1320" s="209"/>
      <c r="B1320" s="209"/>
      <c r="C1320" s="209"/>
      <c r="D1320" s="209"/>
      <c r="E1320" s="209"/>
      <c r="F1320" s="209"/>
      <c r="G1320" s="209"/>
      <c r="H1320" s="209"/>
      <c r="I1320" s="209"/>
      <c r="J1320" s="209"/>
      <c r="K1320" s="209"/>
      <c r="L1320" s="209"/>
      <c r="M1320" s="209"/>
      <c r="N1320" s="209"/>
      <c r="O1320" s="209"/>
      <c r="P1320" s="209"/>
      <c r="Q1320" s="209"/>
      <c r="R1320" s="209"/>
      <c r="S1320" s="209"/>
      <c r="T1320" s="209"/>
      <c r="U1320" s="209"/>
      <c r="V1320" s="209"/>
      <c r="W1320" s="209"/>
      <c r="X1320" s="209"/>
      <c r="Y1320" s="209"/>
      <c r="Z1320" s="209"/>
      <c r="AA1320" s="209"/>
      <c r="AB1320" s="209"/>
      <c r="AC1320" s="209"/>
      <c r="AD1320" s="209"/>
      <c r="AE1320" s="209"/>
      <c r="AF1320" s="209"/>
      <c r="AG1320" s="209"/>
      <c r="AH1320" s="209"/>
      <c r="AI1320" s="209"/>
      <c r="AJ1320" s="209"/>
      <c r="AK1320" s="209"/>
    </row>
    <row r="1321">
      <c r="A1321" s="209"/>
      <c r="B1321" s="209"/>
      <c r="C1321" s="209"/>
      <c r="D1321" s="209"/>
      <c r="E1321" s="209"/>
      <c r="F1321" s="209"/>
      <c r="G1321" s="209"/>
      <c r="H1321" s="209"/>
      <c r="I1321" s="209"/>
      <c r="J1321" s="209"/>
      <c r="K1321" s="209"/>
      <c r="L1321" s="209"/>
      <c r="M1321" s="209"/>
      <c r="N1321" s="209"/>
      <c r="O1321" s="209"/>
      <c r="P1321" s="209"/>
      <c r="Q1321" s="209"/>
      <c r="R1321" s="209"/>
      <c r="S1321" s="209"/>
      <c r="T1321" s="209"/>
      <c r="U1321" s="209"/>
      <c r="V1321" s="209"/>
      <c r="W1321" s="209"/>
      <c r="X1321" s="209"/>
      <c r="Y1321" s="209"/>
      <c r="Z1321" s="209"/>
      <c r="AA1321" s="209"/>
      <c r="AB1321" s="209"/>
      <c r="AC1321" s="209"/>
      <c r="AD1321" s="209"/>
      <c r="AE1321" s="209"/>
      <c r="AF1321" s="209"/>
      <c r="AG1321" s="209"/>
      <c r="AH1321" s="209"/>
      <c r="AI1321" s="209"/>
      <c r="AJ1321" s="209"/>
      <c r="AK1321" s="209"/>
    </row>
    <row r="1322">
      <c r="A1322" s="209"/>
      <c r="B1322" s="209"/>
      <c r="C1322" s="209"/>
      <c r="D1322" s="209"/>
      <c r="E1322" s="209"/>
      <c r="F1322" s="209"/>
      <c r="G1322" s="209"/>
      <c r="H1322" s="209"/>
      <c r="I1322" s="209"/>
      <c r="J1322" s="209"/>
      <c r="K1322" s="209"/>
      <c r="L1322" s="209"/>
      <c r="M1322" s="209"/>
      <c r="N1322" s="209"/>
      <c r="O1322" s="209"/>
      <c r="P1322" s="209"/>
      <c r="Q1322" s="209"/>
      <c r="R1322" s="209"/>
      <c r="S1322" s="209"/>
      <c r="T1322" s="209"/>
      <c r="U1322" s="209"/>
      <c r="V1322" s="209"/>
      <c r="W1322" s="209"/>
      <c r="X1322" s="209"/>
      <c r="Y1322" s="209"/>
      <c r="Z1322" s="209"/>
      <c r="AA1322" s="209"/>
      <c r="AB1322" s="209"/>
      <c r="AC1322" s="209"/>
      <c r="AD1322" s="209"/>
      <c r="AE1322" s="209"/>
      <c r="AF1322" s="209"/>
      <c r="AG1322" s="209"/>
      <c r="AH1322" s="209"/>
      <c r="AI1322" s="209"/>
      <c r="AJ1322" s="209"/>
      <c r="AK1322" s="209"/>
    </row>
    <row r="1323">
      <c r="A1323" s="209"/>
      <c r="B1323" s="209"/>
      <c r="C1323" s="209"/>
      <c r="D1323" s="209"/>
      <c r="E1323" s="209"/>
      <c r="F1323" s="209"/>
      <c r="G1323" s="209"/>
      <c r="H1323" s="209"/>
      <c r="I1323" s="209"/>
      <c r="J1323" s="209"/>
      <c r="K1323" s="209"/>
      <c r="L1323" s="209"/>
      <c r="M1323" s="209"/>
      <c r="N1323" s="209"/>
      <c r="O1323" s="209"/>
      <c r="P1323" s="209"/>
      <c r="Q1323" s="209"/>
      <c r="R1323" s="209"/>
      <c r="S1323" s="209"/>
      <c r="T1323" s="209"/>
      <c r="U1323" s="209"/>
      <c r="V1323" s="209"/>
      <c r="W1323" s="209"/>
      <c r="X1323" s="209"/>
      <c r="Y1323" s="209"/>
      <c r="Z1323" s="209"/>
      <c r="AA1323" s="209"/>
      <c r="AB1323" s="209"/>
      <c r="AC1323" s="209"/>
      <c r="AD1323" s="209"/>
      <c r="AE1323" s="209"/>
      <c r="AF1323" s="209"/>
      <c r="AG1323" s="209"/>
      <c r="AH1323" s="209"/>
      <c r="AI1323" s="209"/>
      <c r="AJ1323" s="209"/>
      <c r="AK1323" s="209"/>
    </row>
    <row r="1324">
      <c r="A1324" s="209"/>
      <c r="B1324" s="209"/>
      <c r="C1324" s="209"/>
      <c r="D1324" s="209"/>
      <c r="E1324" s="209"/>
      <c r="F1324" s="209"/>
      <c r="G1324" s="209"/>
      <c r="H1324" s="209"/>
      <c r="I1324" s="209"/>
      <c r="J1324" s="209"/>
      <c r="K1324" s="209"/>
      <c r="L1324" s="209"/>
      <c r="M1324" s="209"/>
      <c r="N1324" s="209"/>
      <c r="O1324" s="209"/>
      <c r="P1324" s="209"/>
      <c r="Q1324" s="209"/>
      <c r="R1324" s="209"/>
      <c r="S1324" s="209"/>
      <c r="T1324" s="209"/>
      <c r="U1324" s="209"/>
      <c r="V1324" s="209"/>
      <c r="W1324" s="209"/>
      <c r="X1324" s="209"/>
      <c r="Y1324" s="209"/>
      <c r="Z1324" s="209"/>
      <c r="AA1324" s="209"/>
      <c r="AB1324" s="209"/>
      <c r="AC1324" s="209"/>
      <c r="AD1324" s="209"/>
      <c r="AE1324" s="209"/>
      <c r="AF1324" s="209"/>
      <c r="AG1324" s="209"/>
      <c r="AH1324" s="209"/>
      <c r="AI1324" s="209"/>
      <c r="AJ1324" s="209"/>
      <c r="AK1324" s="209"/>
    </row>
    <row r="1325">
      <c r="A1325" s="209"/>
      <c r="B1325" s="209"/>
      <c r="C1325" s="209"/>
      <c r="D1325" s="209"/>
      <c r="E1325" s="209"/>
      <c r="F1325" s="209"/>
      <c r="G1325" s="209"/>
      <c r="H1325" s="209"/>
      <c r="I1325" s="209"/>
      <c r="J1325" s="209"/>
      <c r="K1325" s="209"/>
      <c r="L1325" s="209"/>
      <c r="M1325" s="209"/>
      <c r="N1325" s="209"/>
      <c r="O1325" s="209"/>
      <c r="P1325" s="209"/>
      <c r="Q1325" s="209"/>
      <c r="R1325" s="209"/>
      <c r="S1325" s="209"/>
      <c r="T1325" s="209"/>
      <c r="U1325" s="209"/>
      <c r="V1325" s="209"/>
      <c r="W1325" s="209"/>
      <c r="X1325" s="209"/>
      <c r="Y1325" s="209"/>
      <c r="Z1325" s="209"/>
      <c r="AA1325" s="209"/>
      <c r="AB1325" s="209"/>
      <c r="AC1325" s="209"/>
      <c r="AD1325" s="209"/>
      <c r="AE1325" s="209"/>
      <c r="AF1325" s="209"/>
      <c r="AG1325" s="209"/>
      <c r="AH1325" s="209"/>
      <c r="AI1325" s="209"/>
      <c r="AJ1325" s="209"/>
      <c r="AK1325" s="209"/>
    </row>
    <row r="1326">
      <c r="A1326" s="209"/>
      <c r="B1326" s="209"/>
      <c r="C1326" s="209"/>
      <c r="D1326" s="209"/>
      <c r="E1326" s="209"/>
      <c r="F1326" s="209"/>
      <c r="G1326" s="209"/>
      <c r="H1326" s="209"/>
      <c r="I1326" s="209"/>
      <c r="J1326" s="209"/>
      <c r="K1326" s="209"/>
      <c r="L1326" s="209"/>
      <c r="M1326" s="209"/>
      <c r="N1326" s="209"/>
      <c r="O1326" s="209"/>
      <c r="P1326" s="209"/>
      <c r="Q1326" s="209"/>
      <c r="R1326" s="209"/>
      <c r="S1326" s="209"/>
      <c r="T1326" s="209"/>
      <c r="U1326" s="209"/>
      <c r="V1326" s="209"/>
      <c r="W1326" s="209"/>
      <c r="X1326" s="209"/>
      <c r="Y1326" s="209"/>
      <c r="Z1326" s="209"/>
      <c r="AA1326" s="209"/>
      <c r="AB1326" s="209"/>
      <c r="AC1326" s="209"/>
      <c r="AD1326" s="209"/>
      <c r="AE1326" s="209"/>
      <c r="AF1326" s="209"/>
      <c r="AG1326" s="209"/>
      <c r="AH1326" s="209"/>
      <c r="AI1326" s="209"/>
      <c r="AJ1326" s="209"/>
      <c r="AK1326" s="209"/>
    </row>
    <row r="1327">
      <c r="A1327" s="209"/>
      <c r="B1327" s="209"/>
      <c r="C1327" s="209"/>
      <c r="D1327" s="209"/>
      <c r="E1327" s="209"/>
      <c r="F1327" s="209"/>
      <c r="G1327" s="209"/>
      <c r="H1327" s="209"/>
      <c r="I1327" s="209"/>
      <c r="J1327" s="209"/>
      <c r="K1327" s="209"/>
      <c r="L1327" s="209"/>
      <c r="M1327" s="209"/>
      <c r="N1327" s="209"/>
      <c r="O1327" s="209"/>
      <c r="P1327" s="209"/>
      <c r="Q1327" s="209"/>
      <c r="R1327" s="209"/>
      <c r="S1327" s="209"/>
      <c r="T1327" s="209"/>
      <c r="U1327" s="209"/>
      <c r="V1327" s="209"/>
      <c r="W1327" s="209"/>
      <c r="X1327" s="209"/>
      <c r="Y1327" s="209"/>
      <c r="Z1327" s="209"/>
      <c r="AA1327" s="209"/>
      <c r="AB1327" s="209"/>
      <c r="AC1327" s="209"/>
      <c r="AD1327" s="209"/>
      <c r="AE1327" s="209"/>
      <c r="AF1327" s="209"/>
      <c r="AG1327" s="209"/>
      <c r="AH1327" s="209"/>
      <c r="AI1327" s="209"/>
      <c r="AJ1327" s="209"/>
      <c r="AK1327" s="209"/>
    </row>
    <row r="1328">
      <c r="A1328" s="209"/>
      <c r="B1328" s="209"/>
      <c r="C1328" s="209"/>
      <c r="D1328" s="209"/>
      <c r="E1328" s="209"/>
      <c r="F1328" s="209"/>
      <c r="G1328" s="209"/>
      <c r="H1328" s="209"/>
      <c r="I1328" s="209"/>
      <c r="J1328" s="209"/>
      <c r="K1328" s="209"/>
      <c r="L1328" s="209"/>
      <c r="M1328" s="209"/>
      <c r="N1328" s="209"/>
      <c r="O1328" s="209"/>
      <c r="P1328" s="209"/>
      <c r="Q1328" s="209"/>
      <c r="R1328" s="209"/>
      <c r="S1328" s="209"/>
      <c r="T1328" s="209"/>
      <c r="U1328" s="209"/>
      <c r="V1328" s="209"/>
      <c r="W1328" s="209"/>
      <c r="X1328" s="209"/>
      <c r="Y1328" s="209"/>
      <c r="Z1328" s="209"/>
      <c r="AA1328" s="209"/>
      <c r="AB1328" s="209"/>
      <c r="AC1328" s="209"/>
      <c r="AD1328" s="209"/>
      <c r="AE1328" s="209"/>
      <c r="AF1328" s="209"/>
      <c r="AG1328" s="209"/>
      <c r="AH1328" s="209"/>
      <c r="AI1328" s="209"/>
      <c r="AJ1328" s="209"/>
      <c r="AK1328" s="209"/>
    </row>
    <row r="1329">
      <c r="A1329" s="209"/>
      <c r="B1329" s="209"/>
      <c r="C1329" s="209"/>
      <c r="D1329" s="209"/>
      <c r="E1329" s="209"/>
      <c r="F1329" s="209"/>
      <c r="G1329" s="209"/>
      <c r="H1329" s="209"/>
      <c r="I1329" s="209"/>
      <c r="J1329" s="209"/>
      <c r="K1329" s="209"/>
      <c r="L1329" s="209"/>
      <c r="M1329" s="209"/>
      <c r="N1329" s="209"/>
      <c r="O1329" s="209"/>
      <c r="P1329" s="209"/>
      <c r="Q1329" s="209"/>
      <c r="R1329" s="209"/>
      <c r="S1329" s="209"/>
      <c r="T1329" s="209"/>
      <c r="U1329" s="209"/>
      <c r="V1329" s="209"/>
      <c r="W1329" s="209"/>
      <c r="X1329" s="209"/>
      <c r="Y1329" s="209"/>
      <c r="Z1329" s="209"/>
      <c r="AA1329" s="209"/>
      <c r="AB1329" s="209"/>
      <c r="AC1329" s="209"/>
      <c r="AD1329" s="209"/>
      <c r="AE1329" s="209"/>
      <c r="AF1329" s="209"/>
      <c r="AG1329" s="209"/>
      <c r="AH1329" s="209"/>
      <c r="AI1329" s="209"/>
      <c r="AJ1329" s="209"/>
      <c r="AK1329" s="209"/>
    </row>
    <row r="1330">
      <c r="A1330" s="209"/>
      <c r="B1330" s="209"/>
      <c r="C1330" s="209"/>
      <c r="D1330" s="209"/>
      <c r="E1330" s="209"/>
      <c r="F1330" s="209"/>
      <c r="G1330" s="209"/>
      <c r="H1330" s="209"/>
      <c r="I1330" s="209"/>
      <c r="J1330" s="209"/>
      <c r="K1330" s="209"/>
      <c r="L1330" s="209"/>
      <c r="M1330" s="209"/>
      <c r="N1330" s="209"/>
      <c r="O1330" s="209"/>
      <c r="P1330" s="209"/>
      <c r="Q1330" s="209"/>
      <c r="R1330" s="209"/>
      <c r="S1330" s="209"/>
      <c r="T1330" s="209"/>
      <c r="U1330" s="209"/>
      <c r="V1330" s="209"/>
      <c r="W1330" s="209"/>
      <c r="X1330" s="209"/>
      <c r="Y1330" s="209"/>
      <c r="Z1330" s="209"/>
      <c r="AA1330" s="209"/>
      <c r="AB1330" s="209"/>
      <c r="AC1330" s="209"/>
      <c r="AD1330" s="209"/>
      <c r="AE1330" s="209"/>
      <c r="AF1330" s="209"/>
      <c r="AG1330" s="209"/>
      <c r="AH1330" s="209"/>
      <c r="AI1330" s="209"/>
      <c r="AJ1330" s="209"/>
      <c r="AK1330" s="209"/>
    </row>
    <row r="1331">
      <c r="A1331" s="209"/>
      <c r="B1331" s="209"/>
      <c r="C1331" s="209"/>
      <c r="D1331" s="209"/>
      <c r="E1331" s="209"/>
      <c r="F1331" s="209"/>
      <c r="G1331" s="209"/>
      <c r="H1331" s="209"/>
      <c r="I1331" s="209"/>
      <c r="J1331" s="209"/>
      <c r="K1331" s="209"/>
      <c r="L1331" s="209"/>
      <c r="M1331" s="209"/>
      <c r="N1331" s="209"/>
      <c r="O1331" s="209"/>
      <c r="P1331" s="209"/>
      <c r="Q1331" s="209"/>
      <c r="R1331" s="209"/>
      <c r="S1331" s="209"/>
      <c r="T1331" s="209"/>
      <c r="U1331" s="209"/>
      <c r="V1331" s="209"/>
      <c r="W1331" s="209"/>
      <c r="X1331" s="209"/>
      <c r="Y1331" s="209"/>
      <c r="Z1331" s="209"/>
      <c r="AA1331" s="209"/>
      <c r="AB1331" s="209"/>
      <c r="AC1331" s="209"/>
      <c r="AD1331" s="209"/>
      <c r="AE1331" s="209"/>
      <c r="AF1331" s="209"/>
      <c r="AG1331" s="209"/>
      <c r="AH1331" s="209"/>
      <c r="AI1331" s="209"/>
      <c r="AJ1331" s="209"/>
      <c r="AK1331" s="209"/>
    </row>
    <row r="1332">
      <c r="A1332" s="209"/>
      <c r="B1332" s="209"/>
      <c r="C1332" s="209"/>
      <c r="D1332" s="209"/>
      <c r="E1332" s="209"/>
      <c r="F1332" s="209"/>
      <c r="G1332" s="209"/>
      <c r="H1332" s="209"/>
      <c r="I1332" s="209"/>
      <c r="J1332" s="209"/>
      <c r="K1332" s="209"/>
      <c r="L1332" s="209"/>
      <c r="M1332" s="209"/>
      <c r="N1332" s="209"/>
      <c r="O1332" s="209"/>
      <c r="P1332" s="209"/>
      <c r="Q1332" s="209"/>
      <c r="R1332" s="209"/>
      <c r="S1332" s="209"/>
      <c r="T1332" s="209"/>
      <c r="U1332" s="209"/>
      <c r="V1332" s="209"/>
      <c r="W1332" s="209"/>
      <c r="X1332" s="209"/>
      <c r="Y1332" s="209"/>
      <c r="Z1332" s="209"/>
      <c r="AA1332" s="209"/>
      <c r="AB1332" s="209"/>
      <c r="AC1332" s="209"/>
      <c r="AD1332" s="209"/>
      <c r="AE1332" s="209"/>
      <c r="AF1332" s="209"/>
      <c r="AG1332" s="209"/>
      <c r="AH1332" s="209"/>
      <c r="AI1332" s="209"/>
      <c r="AJ1332" s="209"/>
      <c r="AK1332" s="209"/>
    </row>
    <row r="1333">
      <c r="A1333" s="209"/>
      <c r="B1333" s="209"/>
      <c r="C1333" s="209"/>
      <c r="D1333" s="209"/>
      <c r="E1333" s="209"/>
      <c r="F1333" s="209"/>
      <c r="G1333" s="209"/>
      <c r="H1333" s="209"/>
      <c r="I1333" s="209"/>
      <c r="J1333" s="209"/>
      <c r="K1333" s="209"/>
      <c r="L1333" s="209"/>
      <c r="M1333" s="209"/>
      <c r="N1333" s="209"/>
      <c r="O1333" s="209"/>
      <c r="P1333" s="209"/>
      <c r="Q1333" s="209"/>
      <c r="R1333" s="209"/>
      <c r="S1333" s="209"/>
      <c r="T1333" s="209"/>
      <c r="U1333" s="209"/>
      <c r="V1333" s="209"/>
      <c r="W1333" s="209"/>
      <c r="X1333" s="209"/>
      <c r="Y1333" s="209"/>
      <c r="Z1333" s="209"/>
      <c r="AA1333" s="209"/>
      <c r="AB1333" s="209"/>
      <c r="AC1333" s="209"/>
      <c r="AD1333" s="209"/>
      <c r="AE1333" s="209"/>
      <c r="AF1333" s="209"/>
      <c r="AG1333" s="209"/>
      <c r="AH1333" s="209"/>
      <c r="AI1333" s="209"/>
      <c r="AJ1333" s="209"/>
      <c r="AK1333" s="209"/>
    </row>
    <row r="1334">
      <c r="A1334" s="209"/>
      <c r="B1334" s="209"/>
      <c r="C1334" s="209"/>
      <c r="D1334" s="209"/>
      <c r="E1334" s="209"/>
      <c r="F1334" s="209"/>
      <c r="G1334" s="209"/>
      <c r="H1334" s="209"/>
      <c r="I1334" s="209"/>
      <c r="J1334" s="209"/>
      <c r="K1334" s="209"/>
      <c r="L1334" s="209"/>
      <c r="M1334" s="209"/>
      <c r="N1334" s="209"/>
      <c r="O1334" s="209"/>
      <c r="P1334" s="209"/>
      <c r="Q1334" s="209"/>
      <c r="R1334" s="209"/>
      <c r="S1334" s="209"/>
      <c r="T1334" s="209"/>
      <c r="U1334" s="209"/>
      <c r="V1334" s="209"/>
      <c r="W1334" s="209"/>
      <c r="X1334" s="209"/>
      <c r="Y1334" s="209"/>
      <c r="Z1334" s="209"/>
      <c r="AA1334" s="209"/>
      <c r="AB1334" s="209"/>
      <c r="AC1334" s="209"/>
      <c r="AD1334" s="209"/>
      <c r="AE1334" s="209"/>
      <c r="AF1334" s="209"/>
      <c r="AG1334" s="209"/>
      <c r="AH1334" s="209"/>
      <c r="AI1334" s="209"/>
      <c r="AJ1334" s="209"/>
      <c r="AK1334" s="209"/>
    </row>
    <row r="1335">
      <c r="A1335" s="209"/>
      <c r="B1335" s="209"/>
      <c r="C1335" s="209"/>
      <c r="D1335" s="209"/>
      <c r="E1335" s="209"/>
      <c r="F1335" s="209"/>
      <c r="G1335" s="209"/>
      <c r="H1335" s="209"/>
      <c r="I1335" s="209"/>
      <c r="J1335" s="209"/>
      <c r="K1335" s="209"/>
      <c r="L1335" s="209"/>
      <c r="M1335" s="209"/>
      <c r="N1335" s="209"/>
      <c r="O1335" s="209"/>
      <c r="P1335" s="209"/>
      <c r="Q1335" s="209"/>
      <c r="R1335" s="209"/>
      <c r="S1335" s="209"/>
      <c r="T1335" s="209"/>
      <c r="U1335" s="209"/>
      <c r="V1335" s="209"/>
      <c r="W1335" s="209"/>
      <c r="X1335" s="209"/>
      <c r="Y1335" s="209"/>
      <c r="Z1335" s="209"/>
      <c r="AA1335" s="209"/>
      <c r="AB1335" s="209"/>
      <c r="AC1335" s="209"/>
      <c r="AD1335" s="209"/>
      <c r="AE1335" s="209"/>
      <c r="AF1335" s="209"/>
      <c r="AG1335" s="209"/>
      <c r="AH1335" s="209"/>
      <c r="AI1335" s="209"/>
      <c r="AJ1335" s="209"/>
      <c r="AK1335" s="209"/>
    </row>
    <row r="1336">
      <c r="A1336" s="209"/>
      <c r="B1336" s="209"/>
      <c r="C1336" s="209"/>
      <c r="D1336" s="209"/>
      <c r="E1336" s="209"/>
      <c r="F1336" s="209"/>
      <c r="G1336" s="209"/>
      <c r="H1336" s="209"/>
      <c r="I1336" s="209"/>
      <c r="J1336" s="209"/>
      <c r="K1336" s="209"/>
      <c r="L1336" s="209"/>
      <c r="M1336" s="209"/>
      <c r="N1336" s="209"/>
      <c r="O1336" s="209"/>
      <c r="P1336" s="209"/>
      <c r="Q1336" s="209"/>
      <c r="R1336" s="209"/>
      <c r="S1336" s="209"/>
      <c r="T1336" s="209"/>
      <c r="U1336" s="209"/>
      <c r="V1336" s="209"/>
      <c r="W1336" s="209"/>
      <c r="X1336" s="209"/>
      <c r="Y1336" s="209"/>
      <c r="Z1336" s="209"/>
      <c r="AA1336" s="209"/>
      <c r="AB1336" s="209"/>
      <c r="AC1336" s="209"/>
      <c r="AD1336" s="209"/>
      <c r="AE1336" s="209"/>
      <c r="AF1336" s="209"/>
      <c r="AG1336" s="209"/>
      <c r="AH1336" s="209"/>
      <c r="AI1336" s="209"/>
      <c r="AJ1336" s="209"/>
      <c r="AK1336" s="209"/>
    </row>
    <row r="1337">
      <c r="A1337" s="209"/>
      <c r="B1337" s="209"/>
      <c r="C1337" s="209"/>
      <c r="D1337" s="209"/>
      <c r="E1337" s="209"/>
      <c r="F1337" s="209"/>
      <c r="G1337" s="209"/>
      <c r="H1337" s="209"/>
      <c r="I1337" s="209"/>
      <c r="J1337" s="209"/>
      <c r="K1337" s="209"/>
      <c r="L1337" s="209"/>
      <c r="M1337" s="209"/>
      <c r="N1337" s="209"/>
      <c r="O1337" s="209"/>
      <c r="P1337" s="209"/>
      <c r="Q1337" s="209"/>
      <c r="R1337" s="209"/>
      <c r="S1337" s="209"/>
      <c r="T1337" s="209"/>
      <c r="U1337" s="209"/>
      <c r="V1337" s="209"/>
      <c r="W1337" s="209"/>
      <c r="X1337" s="209"/>
      <c r="Y1337" s="209"/>
      <c r="Z1337" s="209"/>
      <c r="AA1337" s="209"/>
      <c r="AB1337" s="209"/>
      <c r="AC1337" s="209"/>
      <c r="AD1337" s="209"/>
      <c r="AE1337" s="209"/>
      <c r="AF1337" s="209"/>
      <c r="AG1337" s="209"/>
      <c r="AH1337" s="209"/>
      <c r="AI1337" s="209"/>
      <c r="AJ1337" s="209"/>
      <c r="AK1337" s="209"/>
    </row>
    <row r="1338">
      <c r="A1338" s="209"/>
      <c r="B1338" s="209"/>
      <c r="C1338" s="209"/>
      <c r="D1338" s="209"/>
      <c r="E1338" s="209"/>
      <c r="F1338" s="209"/>
      <c r="G1338" s="209"/>
      <c r="H1338" s="209"/>
      <c r="I1338" s="209"/>
      <c r="J1338" s="209"/>
      <c r="K1338" s="209"/>
      <c r="L1338" s="209"/>
      <c r="M1338" s="209"/>
      <c r="N1338" s="209"/>
      <c r="O1338" s="209"/>
      <c r="P1338" s="209"/>
      <c r="Q1338" s="209"/>
      <c r="R1338" s="209"/>
      <c r="S1338" s="209"/>
      <c r="T1338" s="209"/>
      <c r="U1338" s="209"/>
      <c r="V1338" s="209"/>
      <c r="W1338" s="209"/>
      <c r="X1338" s="209"/>
      <c r="Y1338" s="209"/>
      <c r="Z1338" s="209"/>
      <c r="AA1338" s="209"/>
      <c r="AB1338" s="209"/>
      <c r="AC1338" s="209"/>
      <c r="AD1338" s="209"/>
      <c r="AE1338" s="209"/>
      <c r="AF1338" s="209"/>
      <c r="AG1338" s="209"/>
      <c r="AH1338" s="209"/>
      <c r="AI1338" s="209"/>
      <c r="AJ1338" s="209"/>
      <c r="AK1338" s="209"/>
    </row>
    <row r="1339">
      <c r="A1339" s="209"/>
      <c r="B1339" s="209"/>
      <c r="C1339" s="209"/>
      <c r="D1339" s="209"/>
      <c r="E1339" s="209"/>
      <c r="F1339" s="209"/>
      <c r="G1339" s="209"/>
      <c r="H1339" s="209"/>
      <c r="I1339" s="209"/>
      <c r="J1339" s="209"/>
      <c r="K1339" s="209"/>
      <c r="L1339" s="209"/>
      <c r="M1339" s="209"/>
      <c r="N1339" s="209"/>
      <c r="O1339" s="209"/>
      <c r="P1339" s="209"/>
      <c r="Q1339" s="209"/>
      <c r="R1339" s="209"/>
      <c r="S1339" s="209"/>
      <c r="T1339" s="209"/>
      <c r="U1339" s="209"/>
      <c r="V1339" s="209"/>
      <c r="W1339" s="209"/>
      <c r="X1339" s="209"/>
      <c r="Y1339" s="209"/>
      <c r="Z1339" s="209"/>
      <c r="AA1339" s="209"/>
      <c r="AB1339" s="209"/>
      <c r="AC1339" s="209"/>
      <c r="AD1339" s="209"/>
      <c r="AE1339" s="209"/>
      <c r="AF1339" s="209"/>
      <c r="AG1339" s="209"/>
      <c r="AH1339" s="209"/>
      <c r="AI1339" s="209"/>
      <c r="AJ1339" s="209"/>
      <c r="AK1339" s="209"/>
    </row>
    <row r="1340">
      <c r="A1340" s="209"/>
      <c r="B1340" s="209"/>
      <c r="C1340" s="209"/>
      <c r="D1340" s="209"/>
      <c r="E1340" s="209"/>
      <c r="F1340" s="209"/>
      <c r="G1340" s="209"/>
      <c r="H1340" s="209"/>
      <c r="I1340" s="209"/>
      <c r="J1340" s="209"/>
      <c r="K1340" s="209"/>
      <c r="L1340" s="209"/>
      <c r="M1340" s="209"/>
      <c r="N1340" s="209"/>
      <c r="O1340" s="209"/>
      <c r="P1340" s="209"/>
      <c r="Q1340" s="209"/>
      <c r="R1340" s="209"/>
      <c r="S1340" s="209"/>
      <c r="T1340" s="209"/>
      <c r="U1340" s="209"/>
      <c r="V1340" s="209"/>
      <c r="W1340" s="209"/>
      <c r="X1340" s="209"/>
      <c r="Y1340" s="209"/>
      <c r="Z1340" s="209"/>
      <c r="AA1340" s="209"/>
      <c r="AB1340" s="209"/>
      <c r="AC1340" s="209"/>
      <c r="AD1340" s="209"/>
      <c r="AE1340" s="209"/>
      <c r="AF1340" s="209"/>
      <c r="AG1340" s="209"/>
      <c r="AH1340" s="209"/>
      <c r="AI1340" s="209"/>
      <c r="AJ1340" s="209"/>
      <c r="AK1340" s="209"/>
    </row>
    <row r="1341">
      <c r="A1341" s="209"/>
      <c r="B1341" s="209"/>
      <c r="C1341" s="209"/>
      <c r="D1341" s="209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209"/>
      <c r="P1341" s="209"/>
      <c r="Q1341" s="209"/>
      <c r="R1341" s="209"/>
      <c r="S1341" s="209"/>
      <c r="T1341" s="209"/>
      <c r="U1341" s="209"/>
      <c r="V1341" s="209"/>
      <c r="W1341" s="209"/>
      <c r="X1341" s="209"/>
      <c r="Y1341" s="209"/>
      <c r="Z1341" s="209"/>
      <c r="AA1341" s="209"/>
      <c r="AB1341" s="209"/>
      <c r="AC1341" s="209"/>
      <c r="AD1341" s="209"/>
      <c r="AE1341" s="209"/>
      <c r="AF1341" s="209"/>
      <c r="AG1341" s="209"/>
      <c r="AH1341" s="209"/>
      <c r="AI1341" s="209"/>
      <c r="AJ1341" s="209"/>
      <c r="AK1341" s="209"/>
    </row>
    <row r="1342">
      <c r="A1342" s="209"/>
      <c r="B1342" s="209"/>
      <c r="C1342" s="209"/>
      <c r="D1342" s="209"/>
      <c r="E1342" s="209"/>
      <c r="F1342" s="209"/>
      <c r="G1342" s="209"/>
      <c r="H1342" s="209"/>
      <c r="I1342" s="209"/>
      <c r="J1342" s="209"/>
      <c r="K1342" s="209"/>
      <c r="L1342" s="209"/>
      <c r="M1342" s="209"/>
      <c r="N1342" s="209"/>
      <c r="O1342" s="209"/>
      <c r="P1342" s="209"/>
      <c r="Q1342" s="209"/>
      <c r="R1342" s="209"/>
      <c r="S1342" s="209"/>
      <c r="T1342" s="209"/>
      <c r="U1342" s="209"/>
      <c r="V1342" s="209"/>
      <c r="W1342" s="209"/>
      <c r="X1342" s="209"/>
      <c r="Y1342" s="209"/>
      <c r="Z1342" s="209"/>
      <c r="AA1342" s="209"/>
      <c r="AB1342" s="209"/>
      <c r="AC1342" s="209"/>
      <c r="AD1342" s="209"/>
      <c r="AE1342" s="209"/>
      <c r="AF1342" s="209"/>
      <c r="AG1342" s="209"/>
      <c r="AH1342" s="209"/>
      <c r="AI1342" s="209"/>
      <c r="AJ1342" s="209"/>
      <c r="AK1342" s="209"/>
    </row>
    <row r="1343">
      <c r="A1343" s="209"/>
      <c r="B1343" s="209"/>
      <c r="C1343" s="209"/>
      <c r="D1343" s="209"/>
      <c r="E1343" s="209"/>
      <c r="F1343" s="209"/>
      <c r="G1343" s="209"/>
      <c r="H1343" s="209"/>
      <c r="I1343" s="209"/>
      <c r="J1343" s="209"/>
      <c r="K1343" s="209"/>
      <c r="L1343" s="209"/>
      <c r="M1343" s="209"/>
      <c r="N1343" s="209"/>
      <c r="O1343" s="209"/>
      <c r="P1343" s="209"/>
      <c r="Q1343" s="209"/>
      <c r="R1343" s="209"/>
      <c r="S1343" s="209"/>
      <c r="T1343" s="209"/>
      <c r="U1343" s="209"/>
      <c r="V1343" s="209"/>
      <c r="W1343" s="209"/>
      <c r="X1343" s="209"/>
      <c r="Y1343" s="209"/>
      <c r="Z1343" s="209"/>
      <c r="AA1343" s="209"/>
      <c r="AB1343" s="209"/>
      <c r="AC1343" s="209"/>
      <c r="AD1343" s="209"/>
      <c r="AE1343" s="209"/>
      <c r="AF1343" s="209"/>
      <c r="AG1343" s="209"/>
      <c r="AH1343" s="209"/>
      <c r="AI1343" s="209"/>
      <c r="AJ1343" s="209"/>
      <c r="AK1343" s="209"/>
    </row>
    <row r="1344">
      <c r="A1344" s="209"/>
      <c r="B1344" s="209"/>
      <c r="C1344" s="209"/>
      <c r="D1344" s="209"/>
      <c r="E1344" s="209"/>
      <c r="F1344" s="209"/>
      <c r="G1344" s="209"/>
      <c r="H1344" s="209"/>
      <c r="I1344" s="209"/>
      <c r="J1344" s="209"/>
      <c r="K1344" s="209"/>
      <c r="L1344" s="209"/>
      <c r="M1344" s="209"/>
      <c r="N1344" s="209"/>
      <c r="O1344" s="209"/>
      <c r="P1344" s="209"/>
      <c r="Q1344" s="209"/>
      <c r="R1344" s="209"/>
      <c r="S1344" s="209"/>
      <c r="T1344" s="209"/>
      <c r="U1344" s="209"/>
      <c r="V1344" s="209"/>
      <c r="W1344" s="209"/>
      <c r="X1344" s="209"/>
      <c r="Y1344" s="209"/>
      <c r="Z1344" s="209"/>
      <c r="AA1344" s="209"/>
      <c r="AB1344" s="209"/>
      <c r="AC1344" s="209"/>
      <c r="AD1344" s="209"/>
      <c r="AE1344" s="209"/>
      <c r="AF1344" s="209"/>
      <c r="AG1344" s="209"/>
      <c r="AH1344" s="209"/>
      <c r="AI1344" s="209"/>
      <c r="AJ1344" s="209"/>
      <c r="AK1344" s="209"/>
    </row>
    <row r="1345">
      <c r="A1345" s="209"/>
      <c r="B1345" s="209"/>
      <c r="C1345" s="209"/>
      <c r="D1345" s="209"/>
      <c r="E1345" s="209"/>
      <c r="F1345" s="209"/>
      <c r="G1345" s="209"/>
      <c r="H1345" s="209"/>
      <c r="I1345" s="209"/>
      <c r="J1345" s="209"/>
      <c r="K1345" s="209"/>
      <c r="L1345" s="209"/>
      <c r="M1345" s="209"/>
      <c r="N1345" s="209"/>
      <c r="O1345" s="209"/>
      <c r="P1345" s="209"/>
      <c r="Q1345" s="209"/>
      <c r="R1345" s="209"/>
      <c r="S1345" s="209"/>
      <c r="T1345" s="209"/>
      <c r="U1345" s="209"/>
      <c r="V1345" s="209"/>
      <c r="W1345" s="209"/>
      <c r="X1345" s="209"/>
      <c r="Y1345" s="209"/>
      <c r="Z1345" s="209"/>
      <c r="AA1345" s="209"/>
      <c r="AB1345" s="209"/>
      <c r="AC1345" s="209"/>
      <c r="AD1345" s="209"/>
      <c r="AE1345" s="209"/>
      <c r="AF1345" s="209"/>
      <c r="AG1345" s="209"/>
      <c r="AH1345" s="209"/>
      <c r="AI1345" s="209"/>
      <c r="AJ1345" s="209"/>
      <c r="AK1345" s="209"/>
    </row>
    <row r="1346">
      <c r="A1346" s="209"/>
      <c r="B1346" s="209"/>
      <c r="C1346" s="209"/>
      <c r="D1346" s="209"/>
      <c r="E1346" s="209"/>
      <c r="F1346" s="209"/>
      <c r="G1346" s="209"/>
      <c r="H1346" s="209"/>
      <c r="I1346" s="209"/>
      <c r="J1346" s="209"/>
      <c r="K1346" s="209"/>
      <c r="L1346" s="209"/>
      <c r="M1346" s="209"/>
      <c r="N1346" s="209"/>
      <c r="O1346" s="209"/>
      <c r="P1346" s="209"/>
      <c r="Q1346" s="209"/>
      <c r="R1346" s="209"/>
      <c r="S1346" s="209"/>
      <c r="T1346" s="209"/>
      <c r="U1346" s="209"/>
      <c r="V1346" s="209"/>
      <c r="W1346" s="209"/>
      <c r="X1346" s="209"/>
      <c r="Y1346" s="209"/>
      <c r="Z1346" s="209"/>
      <c r="AA1346" s="209"/>
      <c r="AB1346" s="209"/>
      <c r="AC1346" s="209"/>
      <c r="AD1346" s="209"/>
      <c r="AE1346" s="209"/>
      <c r="AF1346" s="209"/>
      <c r="AG1346" s="209"/>
      <c r="AH1346" s="209"/>
      <c r="AI1346" s="209"/>
      <c r="AJ1346" s="209"/>
      <c r="AK1346" s="209"/>
    </row>
    <row r="1347">
      <c r="A1347" s="209"/>
      <c r="B1347" s="209"/>
      <c r="C1347" s="209"/>
      <c r="D1347" s="209"/>
      <c r="E1347" s="209"/>
      <c r="F1347" s="209"/>
      <c r="G1347" s="209"/>
      <c r="H1347" s="209"/>
      <c r="I1347" s="209"/>
      <c r="J1347" s="209"/>
      <c r="K1347" s="209"/>
      <c r="L1347" s="209"/>
      <c r="M1347" s="209"/>
      <c r="N1347" s="209"/>
      <c r="O1347" s="209"/>
      <c r="P1347" s="209"/>
      <c r="Q1347" s="209"/>
      <c r="R1347" s="209"/>
      <c r="S1347" s="209"/>
      <c r="T1347" s="209"/>
      <c r="U1347" s="209"/>
      <c r="V1347" s="209"/>
      <c r="W1347" s="209"/>
      <c r="X1347" s="209"/>
      <c r="Y1347" s="209"/>
      <c r="Z1347" s="209"/>
      <c r="AA1347" s="209"/>
      <c r="AB1347" s="209"/>
      <c r="AC1347" s="209"/>
      <c r="AD1347" s="209"/>
      <c r="AE1347" s="209"/>
      <c r="AF1347" s="209"/>
      <c r="AG1347" s="209"/>
      <c r="AH1347" s="209"/>
      <c r="AI1347" s="209"/>
      <c r="AJ1347" s="209"/>
      <c r="AK1347" s="209"/>
    </row>
    <row r="1348">
      <c r="A1348" s="209"/>
      <c r="B1348" s="209"/>
      <c r="C1348" s="209"/>
      <c r="D1348" s="209"/>
      <c r="E1348" s="209"/>
      <c r="F1348" s="209"/>
      <c r="G1348" s="209"/>
      <c r="H1348" s="209"/>
      <c r="I1348" s="209"/>
      <c r="J1348" s="209"/>
      <c r="K1348" s="209"/>
      <c r="L1348" s="209"/>
      <c r="M1348" s="209"/>
      <c r="N1348" s="209"/>
      <c r="O1348" s="209"/>
      <c r="P1348" s="209"/>
      <c r="Q1348" s="209"/>
      <c r="R1348" s="209"/>
      <c r="S1348" s="209"/>
      <c r="T1348" s="209"/>
      <c r="U1348" s="209"/>
      <c r="V1348" s="209"/>
      <c r="W1348" s="209"/>
      <c r="X1348" s="209"/>
      <c r="Y1348" s="209"/>
      <c r="Z1348" s="209"/>
      <c r="AA1348" s="209"/>
      <c r="AB1348" s="209"/>
      <c r="AC1348" s="209"/>
      <c r="AD1348" s="209"/>
      <c r="AE1348" s="209"/>
      <c r="AF1348" s="209"/>
      <c r="AG1348" s="209"/>
      <c r="AH1348" s="209"/>
      <c r="AI1348" s="209"/>
      <c r="AJ1348" s="209"/>
      <c r="AK1348" s="209"/>
    </row>
    <row r="1349">
      <c r="A1349" s="209"/>
      <c r="B1349" s="209"/>
      <c r="C1349" s="209"/>
      <c r="D1349" s="209"/>
      <c r="E1349" s="209"/>
      <c r="F1349" s="209"/>
      <c r="G1349" s="209"/>
      <c r="H1349" s="209"/>
      <c r="I1349" s="209"/>
      <c r="J1349" s="209"/>
      <c r="K1349" s="209"/>
      <c r="L1349" s="209"/>
      <c r="M1349" s="209"/>
      <c r="N1349" s="209"/>
      <c r="O1349" s="209"/>
      <c r="P1349" s="209"/>
      <c r="Q1349" s="209"/>
      <c r="R1349" s="209"/>
      <c r="S1349" s="209"/>
      <c r="T1349" s="209"/>
      <c r="U1349" s="209"/>
      <c r="V1349" s="209"/>
      <c r="W1349" s="209"/>
      <c r="X1349" s="209"/>
      <c r="Y1349" s="209"/>
      <c r="Z1349" s="209"/>
      <c r="AA1349" s="209"/>
      <c r="AB1349" s="209"/>
      <c r="AC1349" s="209"/>
      <c r="AD1349" s="209"/>
      <c r="AE1349" s="209"/>
      <c r="AF1349" s="209"/>
      <c r="AG1349" s="209"/>
      <c r="AH1349" s="209"/>
      <c r="AI1349" s="209"/>
      <c r="AJ1349" s="209"/>
      <c r="AK1349" s="209"/>
    </row>
    <row r="1350">
      <c r="A1350" s="209"/>
      <c r="B1350" s="209"/>
      <c r="C1350" s="209"/>
      <c r="D1350" s="209"/>
      <c r="E1350" s="209"/>
      <c r="F1350" s="209"/>
      <c r="G1350" s="209"/>
      <c r="H1350" s="209"/>
      <c r="I1350" s="209"/>
      <c r="J1350" s="209"/>
      <c r="K1350" s="209"/>
      <c r="L1350" s="209"/>
      <c r="M1350" s="209"/>
      <c r="N1350" s="209"/>
      <c r="O1350" s="209"/>
      <c r="P1350" s="209"/>
      <c r="Q1350" s="209"/>
      <c r="R1350" s="209"/>
      <c r="S1350" s="209"/>
      <c r="T1350" s="209"/>
      <c r="U1350" s="209"/>
      <c r="V1350" s="209"/>
      <c r="W1350" s="209"/>
      <c r="X1350" s="209"/>
      <c r="Y1350" s="209"/>
      <c r="Z1350" s="209"/>
      <c r="AA1350" s="209"/>
      <c r="AB1350" s="209"/>
      <c r="AC1350" s="209"/>
      <c r="AD1350" s="209"/>
      <c r="AE1350" s="209"/>
      <c r="AF1350" s="209"/>
      <c r="AG1350" s="209"/>
      <c r="AH1350" s="209"/>
      <c r="AI1350" s="209"/>
      <c r="AJ1350" s="209"/>
      <c r="AK1350" s="209"/>
    </row>
    <row r="1351">
      <c r="A1351" s="209"/>
      <c r="B1351" s="209"/>
      <c r="C1351" s="209"/>
      <c r="D1351" s="209"/>
      <c r="E1351" s="209"/>
      <c r="F1351" s="209"/>
      <c r="G1351" s="209"/>
      <c r="H1351" s="209"/>
      <c r="I1351" s="209"/>
      <c r="J1351" s="209"/>
      <c r="K1351" s="209"/>
      <c r="L1351" s="209"/>
      <c r="M1351" s="209"/>
      <c r="N1351" s="209"/>
      <c r="O1351" s="209"/>
      <c r="P1351" s="209"/>
      <c r="Q1351" s="209"/>
      <c r="R1351" s="209"/>
      <c r="S1351" s="209"/>
      <c r="T1351" s="209"/>
      <c r="U1351" s="209"/>
      <c r="V1351" s="209"/>
      <c r="W1351" s="209"/>
      <c r="X1351" s="209"/>
      <c r="Y1351" s="209"/>
      <c r="Z1351" s="209"/>
      <c r="AA1351" s="209"/>
      <c r="AB1351" s="209"/>
      <c r="AC1351" s="209"/>
      <c r="AD1351" s="209"/>
      <c r="AE1351" s="209"/>
      <c r="AF1351" s="209"/>
      <c r="AG1351" s="209"/>
      <c r="AH1351" s="209"/>
      <c r="AI1351" s="209"/>
      <c r="AJ1351" s="209"/>
      <c r="AK1351" s="209"/>
    </row>
    <row r="1352">
      <c r="A1352" s="209"/>
      <c r="B1352" s="209"/>
      <c r="C1352" s="209"/>
      <c r="D1352" s="209"/>
      <c r="E1352" s="209"/>
      <c r="F1352" s="209"/>
      <c r="G1352" s="209"/>
      <c r="H1352" s="209"/>
      <c r="I1352" s="209"/>
      <c r="J1352" s="209"/>
      <c r="K1352" s="209"/>
      <c r="L1352" s="209"/>
      <c r="M1352" s="209"/>
      <c r="N1352" s="209"/>
      <c r="O1352" s="209"/>
      <c r="P1352" s="209"/>
      <c r="Q1352" s="209"/>
      <c r="R1352" s="209"/>
      <c r="S1352" s="209"/>
      <c r="T1352" s="209"/>
      <c r="U1352" s="209"/>
      <c r="V1352" s="209"/>
      <c r="W1352" s="209"/>
      <c r="X1352" s="209"/>
      <c r="Y1352" s="209"/>
      <c r="Z1352" s="209"/>
      <c r="AA1352" s="209"/>
      <c r="AB1352" s="209"/>
      <c r="AC1352" s="209"/>
      <c r="AD1352" s="209"/>
      <c r="AE1352" s="209"/>
      <c r="AF1352" s="209"/>
      <c r="AG1352" s="209"/>
      <c r="AH1352" s="209"/>
      <c r="AI1352" s="209"/>
      <c r="AJ1352" s="209"/>
      <c r="AK1352" s="209"/>
    </row>
    <row r="1353">
      <c r="A1353" s="209"/>
      <c r="B1353" s="209"/>
      <c r="C1353" s="209"/>
      <c r="D1353" s="209"/>
      <c r="E1353" s="209"/>
      <c r="F1353" s="209"/>
      <c r="G1353" s="209"/>
      <c r="H1353" s="209"/>
      <c r="I1353" s="209"/>
      <c r="J1353" s="209"/>
      <c r="K1353" s="209"/>
      <c r="L1353" s="209"/>
      <c r="M1353" s="209"/>
      <c r="N1353" s="209"/>
      <c r="O1353" s="209"/>
      <c r="P1353" s="209"/>
      <c r="Q1353" s="209"/>
      <c r="R1353" s="209"/>
      <c r="S1353" s="209"/>
      <c r="T1353" s="209"/>
      <c r="U1353" s="209"/>
      <c r="V1353" s="209"/>
      <c r="W1353" s="209"/>
      <c r="X1353" s="209"/>
      <c r="Y1353" s="209"/>
      <c r="Z1353" s="209"/>
      <c r="AA1353" s="209"/>
      <c r="AB1353" s="209"/>
      <c r="AC1353" s="209"/>
      <c r="AD1353" s="209"/>
      <c r="AE1353" s="209"/>
      <c r="AF1353" s="209"/>
      <c r="AG1353" s="209"/>
      <c r="AH1353" s="209"/>
      <c r="AI1353" s="209"/>
      <c r="AJ1353" s="209"/>
      <c r="AK1353" s="209"/>
    </row>
    <row r="1354">
      <c r="A1354" s="209"/>
      <c r="B1354" s="209"/>
      <c r="C1354" s="209"/>
      <c r="D1354" s="209"/>
      <c r="E1354" s="209"/>
      <c r="F1354" s="209"/>
      <c r="G1354" s="209"/>
      <c r="H1354" s="209"/>
      <c r="I1354" s="209"/>
      <c r="J1354" s="209"/>
      <c r="K1354" s="209"/>
      <c r="L1354" s="209"/>
      <c r="M1354" s="209"/>
      <c r="N1354" s="209"/>
      <c r="O1354" s="209"/>
      <c r="P1354" s="209"/>
      <c r="Q1354" s="209"/>
      <c r="R1354" s="209"/>
      <c r="S1354" s="209"/>
      <c r="T1354" s="209"/>
      <c r="U1354" s="209"/>
      <c r="V1354" s="209"/>
      <c r="W1354" s="209"/>
      <c r="X1354" s="209"/>
      <c r="Y1354" s="209"/>
      <c r="Z1354" s="209"/>
      <c r="AA1354" s="209"/>
      <c r="AB1354" s="209"/>
      <c r="AC1354" s="209"/>
      <c r="AD1354" s="209"/>
      <c r="AE1354" s="209"/>
      <c r="AF1354" s="209"/>
      <c r="AG1354" s="209"/>
      <c r="AH1354" s="209"/>
      <c r="AI1354" s="209"/>
      <c r="AJ1354" s="209"/>
      <c r="AK1354" s="209"/>
    </row>
    <row r="1355">
      <c r="A1355" s="209"/>
      <c r="B1355" s="209"/>
      <c r="C1355" s="209"/>
      <c r="D1355" s="209"/>
      <c r="E1355" s="209"/>
      <c r="F1355" s="209"/>
      <c r="G1355" s="209"/>
      <c r="H1355" s="209"/>
      <c r="I1355" s="209"/>
      <c r="J1355" s="209"/>
      <c r="K1355" s="209"/>
      <c r="L1355" s="209"/>
      <c r="M1355" s="209"/>
      <c r="N1355" s="209"/>
      <c r="O1355" s="209"/>
      <c r="P1355" s="209"/>
      <c r="Q1355" s="209"/>
      <c r="R1355" s="209"/>
      <c r="S1355" s="209"/>
      <c r="T1355" s="209"/>
      <c r="U1355" s="209"/>
      <c r="V1355" s="209"/>
      <c r="W1355" s="209"/>
      <c r="X1355" s="209"/>
      <c r="Y1355" s="209"/>
      <c r="Z1355" s="209"/>
      <c r="AA1355" s="209"/>
      <c r="AB1355" s="209"/>
      <c r="AC1355" s="209"/>
      <c r="AD1355" s="209"/>
      <c r="AE1355" s="209"/>
      <c r="AF1355" s="209"/>
      <c r="AG1355" s="209"/>
      <c r="AH1355" s="209"/>
      <c r="AI1355" s="209"/>
      <c r="AJ1355" s="209"/>
      <c r="AK1355" s="209"/>
    </row>
    <row r="1356">
      <c r="A1356" s="209"/>
      <c r="B1356" s="209"/>
      <c r="C1356" s="209"/>
      <c r="D1356" s="209"/>
      <c r="E1356" s="209"/>
      <c r="F1356" s="209"/>
      <c r="G1356" s="209"/>
      <c r="H1356" s="209"/>
      <c r="I1356" s="209"/>
      <c r="J1356" s="209"/>
      <c r="K1356" s="209"/>
      <c r="L1356" s="209"/>
      <c r="M1356" s="209"/>
      <c r="N1356" s="209"/>
      <c r="O1356" s="209"/>
      <c r="P1356" s="209"/>
      <c r="Q1356" s="209"/>
      <c r="R1356" s="209"/>
      <c r="S1356" s="209"/>
      <c r="T1356" s="209"/>
      <c r="U1356" s="209"/>
      <c r="V1356" s="209"/>
      <c r="W1356" s="209"/>
      <c r="X1356" s="209"/>
      <c r="Y1356" s="209"/>
      <c r="Z1356" s="209"/>
      <c r="AA1356" s="209"/>
      <c r="AB1356" s="209"/>
      <c r="AC1356" s="209"/>
      <c r="AD1356" s="209"/>
      <c r="AE1356" s="209"/>
      <c r="AF1356" s="209"/>
      <c r="AG1356" s="209"/>
      <c r="AH1356" s="209"/>
      <c r="AI1356" s="209"/>
      <c r="AJ1356" s="209"/>
      <c r="AK1356" s="209"/>
    </row>
    <row r="1357">
      <c r="A1357" s="209"/>
      <c r="B1357" s="209"/>
      <c r="C1357" s="209"/>
      <c r="D1357" s="209"/>
      <c r="E1357" s="209"/>
      <c r="F1357" s="209"/>
      <c r="G1357" s="209"/>
      <c r="H1357" s="209"/>
      <c r="I1357" s="209"/>
      <c r="J1357" s="209"/>
      <c r="K1357" s="209"/>
      <c r="L1357" s="209"/>
      <c r="M1357" s="209"/>
      <c r="N1357" s="209"/>
      <c r="O1357" s="209"/>
      <c r="P1357" s="209"/>
      <c r="Q1357" s="209"/>
      <c r="R1357" s="209"/>
      <c r="S1357" s="209"/>
      <c r="T1357" s="209"/>
      <c r="U1357" s="209"/>
      <c r="V1357" s="209"/>
      <c r="W1357" s="209"/>
      <c r="X1357" s="209"/>
      <c r="Y1357" s="209"/>
      <c r="Z1357" s="209"/>
      <c r="AA1357" s="209"/>
      <c r="AB1357" s="209"/>
      <c r="AC1357" s="209"/>
      <c r="AD1357" s="209"/>
      <c r="AE1357" s="209"/>
      <c r="AF1357" s="209"/>
      <c r="AG1357" s="209"/>
      <c r="AH1357" s="209"/>
      <c r="AI1357" s="209"/>
      <c r="AJ1357" s="209"/>
      <c r="AK1357" s="209"/>
    </row>
    <row r="1358">
      <c r="A1358" s="209"/>
      <c r="B1358" s="209"/>
      <c r="C1358" s="209"/>
      <c r="D1358" s="209"/>
      <c r="E1358" s="209"/>
      <c r="F1358" s="209"/>
      <c r="G1358" s="209"/>
      <c r="H1358" s="209"/>
      <c r="I1358" s="209"/>
      <c r="J1358" s="209"/>
      <c r="K1358" s="209"/>
      <c r="L1358" s="209"/>
      <c r="M1358" s="209"/>
      <c r="N1358" s="209"/>
      <c r="O1358" s="209"/>
      <c r="P1358" s="209"/>
      <c r="Q1358" s="209"/>
      <c r="R1358" s="209"/>
      <c r="S1358" s="209"/>
      <c r="T1358" s="209"/>
      <c r="U1358" s="209"/>
      <c r="V1358" s="209"/>
      <c r="W1358" s="209"/>
      <c r="X1358" s="209"/>
      <c r="Y1358" s="209"/>
      <c r="Z1358" s="209"/>
      <c r="AA1358" s="209"/>
      <c r="AB1358" s="209"/>
      <c r="AC1358" s="209"/>
      <c r="AD1358" s="209"/>
      <c r="AE1358" s="209"/>
      <c r="AF1358" s="209"/>
      <c r="AG1358" s="209"/>
      <c r="AH1358" s="209"/>
      <c r="AI1358" s="209"/>
      <c r="AJ1358" s="209"/>
      <c r="AK1358" s="209"/>
    </row>
    <row r="1359">
      <c r="A1359" s="209"/>
      <c r="B1359" s="209"/>
      <c r="C1359" s="209"/>
      <c r="D1359" s="209"/>
      <c r="E1359" s="209"/>
      <c r="F1359" s="209"/>
      <c r="G1359" s="209"/>
      <c r="H1359" s="209"/>
      <c r="I1359" s="209"/>
      <c r="J1359" s="209"/>
      <c r="K1359" s="209"/>
      <c r="L1359" s="209"/>
      <c r="M1359" s="209"/>
      <c r="N1359" s="209"/>
      <c r="O1359" s="209"/>
      <c r="P1359" s="209"/>
      <c r="Q1359" s="209"/>
      <c r="R1359" s="209"/>
      <c r="S1359" s="209"/>
      <c r="T1359" s="209"/>
      <c r="U1359" s="209"/>
      <c r="V1359" s="209"/>
      <c r="W1359" s="209"/>
      <c r="X1359" s="209"/>
      <c r="Y1359" s="209"/>
      <c r="Z1359" s="209"/>
      <c r="AA1359" s="209"/>
      <c r="AB1359" s="209"/>
      <c r="AC1359" s="209"/>
      <c r="AD1359" s="209"/>
      <c r="AE1359" s="209"/>
      <c r="AF1359" s="209"/>
      <c r="AG1359" s="209"/>
      <c r="AH1359" s="209"/>
      <c r="AI1359" s="209"/>
      <c r="AJ1359" s="209"/>
      <c r="AK1359" s="209"/>
    </row>
    <row r="1360">
      <c r="A1360" s="209"/>
      <c r="B1360" s="209"/>
      <c r="C1360" s="209"/>
      <c r="D1360" s="209"/>
      <c r="E1360" s="209"/>
      <c r="F1360" s="209"/>
      <c r="G1360" s="209"/>
      <c r="H1360" s="209"/>
      <c r="I1360" s="209"/>
      <c r="J1360" s="209"/>
      <c r="K1360" s="209"/>
      <c r="L1360" s="209"/>
      <c r="M1360" s="209"/>
      <c r="N1360" s="209"/>
      <c r="O1360" s="209"/>
      <c r="P1360" s="209"/>
      <c r="Q1360" s="209"/>
      <c r="R1360" s="209"/>
      <c r="S1360" s="209"/>
      <c r="T1360" s="209"/>
      <c r="U1360" s="209"/>
      <c r="V1360" s="209"/>
      <c r="W1360" s="209"/>
      <c r="X1360" s="209"/>
      <c r="Y1360" s="209"/>
      <c r="Z1360" s="209"/>
      <c r="AA1360" s="209"/>
      <c r="AB1360" s="209"/>
      <c r="AC1360" s="209"/>
      <c r="AD1360" s="209"/>
      <c r="AE1360" s="209"/>
      <c r="AF1360" s="209"/>
      <c r="AG1360" s="209"/>
      <c r="AH1360" s="209"/>
      <c r="AI1360" s="209"/>
      <c r="AJ1360" s="209"/>
      <c r="AK1360" s="209"/>
    </row>
    <row r="1361">
      <c r="A1361" s="209"/>
      <c r="B1361" s="209"/>
      <c r="C1361" s="209"/>
      <c r="D1361" s="209"/>
      <c r="E1361" s="209"/>
      <c r="F1361" s="209"/>
      <c r="G1361" s="209"/>
      <c r="H1361" s="209"/>
      <c r="I1361" s="209"/>
      <c r="J1361" s="209"/>
      <c r="K1361" s="209"/>
      <c r="L1361" s="209"/>
      <c r="M1361" s="209"/>
      <c r="N1361" s="209"/>
      <c r="O1361" s="209"/>
      <c r="P1361" s="209"/>
      <c r="Q1361" s="209"/>
      <c r="R1361" s="209"/>
      <c r="S1361" s="209"/>
      <c r="T1361" s="209"/>
      <c r="U1361" s="209"/>
      <c r="V1361" s="209"/>
      <c r="W1361" s="209"/>
      <c r="X1361" s="209"/>
      <c r="Y1361" s="209"/>
      <c r="Z1361" s="209"/>
      <c r="AA1361" s="209"/>
      <c r="AB1361" s="209"/>
      <c r="AC1361" s="209"/>
      <c r="AD1361" s="209"/>
      <c r="AE1361" s="209"/>
      <c r="AF1361" s="209"/>
      <c r="AG1361" s="209"/>
      <c r="AH1361" s="209"/>
      <c r="AI1361" s="209"/>
      <c r="AJ1361" s="209"/>
      <c r="AK1361" s="209"/>
    </row>
    <row r="1362">
      <c r="A1362" s="209"/>
      <c r="B1362" s="209"/>
      <c r="C1362" s="209"/>
      <c r="D1362" s="209"/>
      <c r="E1362" s="209"/>
      <c r="F1362" s="209"/>
      <c r="G1362" s="209"/>
      <c r="H1362" s="209"/>
      <c r="I1362" s="209"/>
      <c r="J1362" s="209"/>
      <c r="K1362" s="209"/>
      <c r="L1362" s="209"/>
      <c r="M1362" s="209"/>
      <c r="N1362" s="209"/>
      <c r="O1362" s="209"/>
      <c r="P1362" s="209"/>
      <c r="Q1362" s="209"/>
      <c r="R1362" s="209"/>
      <c r="S1362" s="209"/>
      <c r="T1362" s="209"/>
      <c r="U1362" s="209"/>
      <c r="V1362" s="209"/>
      <c r="W1362" s="209"/>
      <c r="X1362" s="209"/>
      <c r="Y1362" s="209"/>
      <c r="Z1362" s="209"/>
      <c r="AA1362" s="209"/>
      <c r="AB1362" s="209"/>
      <c r="AC1362" s="209"/>
      <c r="AD1362" s="209"/>
      <c r="AE1362" s="209"/>
      <c r="AF1362" s="209"/>
      <c r="AG1362" s="209"/>
      <c r="AH1362" s="209"/>
      <c r="AI1362" s="209"/>
      <c r="AJ1362" s="209"/>
      <c r="AK1362" s="209"/>
    </row>
    <row r="1363">
      <c r="A1363" s="209"/>
      <c r="B1363" s="209"/>
      <c r="C1363" s="209"/>
      <c r="D1363" s="209"/>
      <c r="E1363" s="209"/>
      <c r="F1363" s="209"/>
      <c r="G1363" s="209"/>
      <c r="H1363" s="209"/>
      <c r="I1363" s="209"/>
      <c r="J1363" s="209"/>
      <c r="K1363" s="209"/>
      <c r="L1363" s="209"/>
      <c r="M1363" s="209"/>
      <c r="N1363" s="209"/>
      <c r="O1363" s="209"/>
      <c r="P1363" s="209"/>
      <c r="Q1363" s="209"/>
      <c r="R1363" s="209"/>
      <c r="S1363" s="209"/>
      <c r="T1363" s="209"/>
      <c r="U1363" s="209"/>
      <c r="V1363" s="209"/>
      <c r="W1363" s="209"/>
      <c r="X1363" s="209"/>
      <c r="Y1363" s="209"/>
      <c r="Z1363" s="209"/>
      <c r="AA1363" s="209"/>
      <c r="AB1363" s="209"/>
      <c r="AC1363" s="209"/>
      <c r="AD1363" s="209"/>
      <c r="AE1363" s="209"/>
      <c r="AF1363" s="209"/>
      <c r="AG1363" s="209"/>
      <c r="AH1363" s="209"/>
      <c r="AI1363" s="209"/>
      <c r="AJ1363" s="209"/>
      <c r="AK1363" s="209"/>
    </row>
    <row r="1364">
      <c r="A1364" s="209"/>
      <c r="B1364" s="209"/>
      <c r="C1364" s="209"/>
      <c r="D1364" s="209"/>
      <c r="E1364" s="209"/>
      <c r="F1364" s="209"/>
      <c r="G1364" s="209"/>
      <c r="H1364" s="209"/>
      <c r="I1364" s="209"/>
      <c r="J1364" s="209"/>
      <c r="K1364" s="209"/>
      <c r="L1364" s="209"/>
      <c r="M1364" s="209"/>
      <c r="N1364" s="209"/>
      <c r="O1364" s="209"/>
      <c r="P1364" s="209"/>
      <c r="Q1364" s="209"/>
      <c r="R1364" s="209"/>
      <c r="S1364" s="209"/>
      <c r="T1364" s="209"/>
      <c r="U1364" s="209"/>
      <c r="V1364" s="209"/>
      <c r="W1364" s="209"/>
      <c r="X1364" s="209"/>
      <c r="Y1364" s="209"/>
      <c r="Z1364" s="209"/>
      <c r="AA1364" s="209"/>
      <c r="AB1364" s="209"/>
      <c r="AC1364" s="209"/>
      <c r="AD1364" s="209"/>
      <c r="AE1364" s="209"/>
      <c r="AF1364" s="209"/>
      <c r="AG1364" s="209"/>
      <c r="AH1364" s="209"/>
      <c r="AI1364" s="209"/>
      <c r="AJ1364" s="209"/>
      <c r="AK1364" s="209"/>
    </row>
    <row r="1365">
      <c r="A1365" s="209"/>
      <c r="B1365" s="209"/>
      <c r="C1365" s="209"/>
      <c r="D1365" s="209"/>
      <c r="E1365" s="209"/>
      <c r="F1365" s="209"/>
      <c r="G1365" s="209"/>
      <c r="H1365" s="209"/>
      <c r="I1365" s="209"/>
      <c r="J1365" s="209"/>
      <c r="K1365" s="209"/>
      <c r="L1365" s="209"/>
      <c r="M1365" s="209"/>
      <c r="N1365" s="209"/>
      <c r="O1365" s="209"/>
      <c r="P1365" s="209"/>
      <c r="Q1365" s="209"/>
      <c r="R1365" s="209"/>
      <c r="S1365" s="209"/>
      <c r="T1365" s="209"/>
      <c r="U1365" s="209"/>
      <c r="V1365" s="209"/>
      <c r="W1365" s="209"/>
      <c r="X1365" s="209"/>
      <c r="Y1365" s="209"/>
      <c r="Z1365" s="209"/>
      <c r="AA1365" s="209"/>
      <c r="AB1365" s="209"/>
      <c r="AC1365" s="209"/>
      <c r="AD1365" s="209"/>
      <c r="AE1365" s="209"/>
      <c r="AF1365" s="209"/>
      <c r="AG1365" s="209"/>
      <c r="AH1365" s="209"/>
      <c r="AI1365" s="209"/>
      <c r="AJ1365" s="209"/>
      <c r="AK1365" s="209"/>
    </row>
    <row r="1366">
      <c r="A1366" s="209"/>
      <c r="B1366" s="209"/>
      <c r="C1366" s="209"/>
      <c r="D1366" s="209"/>
      <c r="E1366" s="209"/>
      <c r="F1366" s="209"/>
      <c r="G1366" s="209"/>
      <c r="H1366" s="209"/>
      <c r="I1366" s="209"/>
      <c r="J1366" s="209"/>
      <c r="K1366" s="209"/>
      <c r="L1366" s="209"/>
      <c r="M1366" s="209"/>
      <c r="N1366" s="209"/>
      <c r="O1366" s="209"/>
      <c r="P1366" s="209"/>
      <c r="Q1366" s="209"/>
      <c r="R1366" s="209"/>
      <c r="S1366" s="209"/>
      <c r="T1366" s="209"/>
      <c r="U1366" s="209"/>
      <c r="V1366" s="209"/>
      <c r="W1366" s="209"/>
      <c r="X1366" s="209"/>
      <c r="Y1366" s="209"/>
      <c r="Z1366" s="209"/>
      <c r="AA1366" s="209"/>
      <c r="AB1366" s="209"/>
      <c r="AC1366" s="209"/>
      <c r="AD1366" s="209"/>
      <c r="AE1366" s="209"/>
      <c r="AF1366" s="209"/>
      <c r="AG1366" s="209"/>
      <c r="AH1366" s="209"/>
      <c r="AI1366" s="209"/>
      <c r="AJ1366" s="209"/>
      <c r="AK1366" s="209"/>
    </row>
    <row r="1367">
      <c r="A1367" s="209"/>
      <c r="B1367" s="209"/>
      <c r="C1367" s="209"/>
      <c r="D1367" s="209"/>
      <c r="E1367" s="209"/>
      <c r="F1367" s="209"/>
      <c r="G1367" s="209"/>
      <c r="H1367" s="209"/>
      <c r="I1367" s="209"/>
      <c r="J1367" s="209"/>
      <c r="K1367" s="209"/>
      <c r="L1367" s="209"/>
      <c r="M1367" s="209"/>
      <c r="N1367" s="209"/>
      <c r="O1367" s="209"/>
      <c r="P1367" s="209"/>
      <c r="Q1367" s="209"/>
      <c r="R1367" s="209"/>
      <c r="S1367" s="209"/>
      <c r="T1367" s="209"/>
      <c r="U1367" s="209"/>
      <c r="V1367" s="209"/>
      <c r="W1367" s="209"/>
      <c r="X1367" s="209"/>
      <c r="Y1367" s="209"/>
      <c r="Z1367" s="209"/>
      <c r="AA1367" s="209"/>
      <c r="AB1367" s="209"/>
      <c r="AC1367" s="209"/>
      <c r="AD1367" s="209"/>
      <c r="AE1367" s="209"/>
      <c r="AF1367" s="209"/>
      <c r="AG1367" s="209"/>
      <c r="AH1367" s="209"/>
      <c r="AI1367" s="209"/>
      <c r="AJ1367" s="209"/>
      <c r="AK1367" s="209"/>
    </row>
    <row r="1368">
      <c r="A1368" s="209"/>
      <c r="B1368" s="209"/>
      <c r="C1368" s="209"/>
      <c r="D1368" s="209"/>
      <c r="E1368" s="209"/>
      <c r="F1368" s="209"/>
      <c r="G1368" s="209"/>
      <c r="H1368" s="209"/>
      <c r="I1368" s="209"/>
      <c r="J1368" s="209"/>
      <c r="K1368" s="209"/>
      <c r="L1368" s="209"/>
      <c r="M1368" s="209"/>
      <c r="N1368" s="209"/>
      <c r="O1368" s="209"/>
      <c r="P1368" s="209"/>
      <c r="Q1368" s="209"/>
      <c r="R1368" s="209"/>
      <c r="S1368" s="209"/>
      <c r="T1368" s="209"/>
      <c r="U1368" s="209"/>
      <c r="V1368" s="209"/>
      <c r="W1368" s="209"/>
      <c r="X1368" s="209"/>
      <c r="Y1368" s="209"/>
      <c r="Z1368" s="209"/>
      <c r="AA1368" s="209"/>
      <c r="AB1368" s="209"/>
      <c r="AC1368" s="209"/>
      <c r="AD1368" s="209"/>
      <c r="AE1368" s="209"/>
      <c r="AF1368" s="209"/>
      <c r="AG1368" s="209"/>
      <c r="AH1368" s="209"/>
      <c r="AI1368" s="209"/>
      <c r="AJ1368" s="209"/>
      <c r="AK1368" s="209"/>
    </row>
    <row r="1369">
      <c r="A1369" s="209"/>
      <c r="B1369" s="209"/>
      <c r="C1369" s="209"/>
      <c r="D1369" s="209"/>
      <c r="E1369" s="209"/>
      <c r="F1369" s="209"/>
      <c r="G1369" s="209"/>
      <c r="H1369" s="209"/>
      <c r="I1369" s="209"/>
      <c r="J1369" s="209"/>
      <c r="K1369" s="209"/>
      <c r="L1369" s="209"/>
      <c r="M1369" s="209"/>
      <c r="N1369" s="209"/>
      <c r="O1369" s="209"/>
      <c r="P1369" s="209"/>
      <c r="Q1369" s="209"/>
      <c r="R1369" s="209"/>
      <c r="S1369" s="209"/>
      <c r="T1369" s="209"/>
      <c r="U1369" s="209"/>
      <c r="V1369" s="209"/>
      <c r="W1369" s="209"/>
      <c r="X1369" s="209"/>
      <c r="Y1369" s="209"/>
      <c r="Z1369" s="209"/>
      <c r="AA1369" s="209"/>
      <c r="AB1369" s="209"/>
      <c r="AC1369" s="209"/>
      <c r="AD1369" s="209"/>
      <c r="AE1369" s="209"/>
      <c r="AF1369" s="209"/>
      <c r="AG1369" s="209"/>
      <c r="AH1369" s="209"/>
      <c r="AI1369" s="209"/>
      <c r="AJ1369" s="209"/>
      <c r="AK1369" s="209"/>
    </row>
    <row r="1370">
      <c r="A1370" s="209"/>
      <c r="B1370" s="209"/>
      <c r="C1370" s="209"/>
      <c r="D1370" s="209"/>
      <c r="E1370" s="209"/>
      <c r="F1370" s="209"/>
      <c r="G1370" s="209"/>
      <c r="H1370" s="209"/>
      <c r="I1370" s="209"/>
      <c r="J1370" s="209"/>
      <c r="K1370" s="209"/>
      <c r="L1370" s="209"/>
      <c r="M1370" s="209"/>
      <c r="N1370" s="209"/>
      <c r="O1370" s="209"/>
      <c r="P1370" s="209"/>
      <c r="Q1370" s="209"/>
      <c r="R1370" s="209"/>
      <c r="S1370" s="209"/>
      <c r="T1370" s="209"/>
      <c r="U1370" s="209"/>
      <c r="V1370" s="209"/>
      <c r="W1370" s="209"/>
      <c r="X1370" s="209"/>
      <c r="Y1370" s="209"/>
      <c r="Z1370" s="209"/>
      <c r="AA1370" s="209"/>
      <c r="AB1370" s="209"/>
      <c r="AC1370" s="209"/>
      <c r="AD1370" s="209"/>
      <c r="AE1370" s="209"/>
      <c r="AF1370" s="209"/>
      <c r="AG1370" s="209"/>
      <c r="AH1370" s="209"/>
      <c r="AI1370" s="209"/>
      <c r="AJ1370" s="209"/>
      <c r="AK1370" s="209"/>
    </row>
    <row r="1371">
      <c r="A1371" s="209"/>
      <c r="B1371" s="209"/>
      <c r="C1371" s="209"/>
      <c r="D1371" s="209"/>
      <c r="E1371" s="209"/>
      <c r="F1371" s="209"/>
      <c r="G1371" s="209"/>
      <c r="H1371" s="209"/>
      <c r="I1371" s="209"/>
      <c r="J1371" s="209"/>
      <c r="K1371" s="209"/>
      <c r="L1371" s="209"/>
      <c r="M1371" s="209"/>
      <c r="N1371" s="209"/>
      <c r="O1371" s="209"/>
      <c r="P1371" s="209"/>
      <c r="Q1371" s="209"/>
      <c r="R1371" s="209"/>
      <c r="S1371" s="209"/>
      <c r="T1371" s="209"/>
      <c r="U1371" s="209"/>
      <c r="V1371" s="209"/>
      <c r="W1371" s="209"/>
      <c r="X1371" s="209"/>
      <c r="Y1371" s="209"/>
      <c r="Z1371" s="209"/>
      <c r="AA1371" s="209"/>
      <c r="AB1371" s="209"/>
      <c r="AC1371" s="209"/>
      <c r="AD1371" s="209"/>
      <c r="AE1371" s="209"/>
      <c r="AF1371" s="209"/>
      <c r="AG1371" s="209"/>
      <c r="AH1371" s="209"/>
      <c r="AI1371" s="209"/>
      <c r="AJ1371" s="209"/>
      <c r="AK1371" s="209"/>
    </row>
    <row r="1372">
      <c r="A1372" s="209"/>
      <c r="B1372" s="209"/>
      <c r="C1372" s="209"/>
      <c r="D1372" s="209"/>
      <c r="E1372" s="209"/>
      <c r="F1372" s="209"/>
      <c r="G1372" s="209"/>
      <c r="H1372" s="209"/>
      <c r="I1372" s="209"/>
      <c r="J1372" s="209"/>
      <c r="K1372" s="209"/>
      <c r="L1372" s="209"/>
      <c r="M1372" s="209"/>
      <c r="N1372" s="209"/>
      <c r="O1372" s="209"/>
      <c r="P1372" s="209"/>
      <c r="Q1372" s="209"/>
      <c r="R1372" s="209"/>
      <c r="S1372" s="209"/>
      <c r="T1372" s="209"/>
      <c r="U1372" s="209"/>
      <c r="V1372" s="209"/>
      <c r="W1372" s="209"/>
      <c r="X1372" s="209"/>
      <c r="Y1372" s="209"/>
      <c r="Z1372" s="209"/>
      <c r="AA1372" s="209"/>
      <c r="AB1372" s="209"/>
      <c r="AC1372" s="209"/>
      <c r="AD1372" s="209"/>
      <c r="AE1372" s="209"/>
      <c r="AF1372" s="209"/>
      <c r="AG1372" s="209"/>
      <c r="AH1372" s="209"/>
      <c r="AI1372" s="209"/>
      <c r="AJ1372" s="209"/>
      <c r="AK1372" s="209"/>
    </row>
    <row r="1373">
      <c r="A1373" s="209"/>
      <c r="B1373" s="209"/>
      <c r="C1373" s="209"/>
      <c r="D1373" s="209"/>
      <c r="E1373" s="209"/>
      <c r="F1373" s="209"/>
      <c r="G1373" s="209"/>
      <c r="H1373" s="209"/>
      <c r="I1373" s="209"/>
      <c r="J1373" s="209"/>
      <c r="K1373" s="209"/>
      <c r="L1373" s="209"/>
      <c r="M1373" s="209"/>
      <c r="N1373" s="209"/>
      <c r="O1373" s="209"/>
      <c r="P1373" s="209"/>
      <c r="Q1373" s="209"/>
      <c r="R1373" s="209"/>
      <c r="S1373" s="209"/>
      <c r="T1373" s="209"/>
      <c r="U1373" s="209"/>
      <c r="V1373" s="209"/>
      <c r="W1373" s="209"/>
      <c r="X1373" s="209"/>
      <c r="Y1373" s="209"/>
      <c r="Z1373" s="209"/>
      <c r="AA1373" s="209"/>
      <c r="AB1373" s="209"/>
      <c r="AC1373" s="209"/>
      <c r="AD1373" s="209"/>
      <c r="AE1373" s="209"/>
      <c r="AF1373" s="209"/>
      <c r="AG1373" s="209"/>
      <c r="AH1373" s="209"/>
      <c r="AI1373" s="209"/>
      <c r="AJ1373" s="209"/>
      <c r="AK1373" s="209"/>
    </row>
    <row r="1374">
      <c r="A1374" s="209"/>
      <c r="B1374" s="209"/>
      <c r="C1374" s="209"/>
      <c r="D1374" s="209"/>
      <c r="E1374" s="209"/>
      <c r="F1374" s="209"/>
      <c r="G1374" s="209"/>
      <c r="H1374" s="209"/>
      <c r="I1374" s="209"/>
      <c r="J1374" s="209"/>
      <c r="K1374" s="209"/>
      <c r="L1374" s="209"/>
      <c r="M1374" s="209"/>
      <c r="N1374" s="209"/>
      <c r="O1374" s="209"/>
      <c r="P1374" s="209"/>
      <c r="Q1374" s="209"/>
      <c r="R1374" s="209"/>
      <c r="S1374" s="209"/>
      <c r="T1374" s="209"/>
      <c r="U1374" s="209"/>
      <c r="V1374" s="209"/>
      <c r="W1374" s="209"/>
      <c r="X1374" s="209"/>
      <c r="Y1374" s="209"/>
      <c r="Z1374" s="209"/>
      <c r="AA1374" s="209"/>
      <c r="AB1374" s="209"/>
      <c r="AC1374" s="209"/>
      <c r="AD1374" s="209"/>
      <c r="AE1374" s="209"/>
      <c r="AF1374" s="209"/>
      <c r="AG1374" s="209"/>
      <c r="AH1374" s="209"/>
      <c r="AI1374" s="209"/>
      <c r="AJ1374" s="209"/>
      <c r="AK1374" s="209"/>
    </row>
    <row r="1375">
      <c r="A1375" s="209"/>
      <c r="B1375" s="209"/>
      <c r="C1375" s="209"/>
      <c r="D1375" s="209"/>
      <c r="E1375" s="209"/>
      <c r="F1375" s="209"/>
      <c r="G1375" s="209"/>
      <c r="H1375" s="209"/>
      <c r="I1375" s="209"/>
      <c r="J1375" s="209"/>
      <c r="K1375" s="209"/>
      <c r="L1375" s="209"/>
      <c r="M1375" s="209"/>
      <c r="N1375" s="209"/>
      <c r="O1375" s="209"/>
      <c r="P1375" s="209"/>
      <c r="Q1375" s="209"/>
      <c r="R1375" s="209"/>
      <c r="S1375" s="209"/>
      <c r="T1375" s="209"/>
      <c r="U1375" s="209"/>
      <c r="V1375" s="209"/>
      <c r="W1375" s="209"/>
      <c r="X1375" s="209"/>
      <c r="Y1375" s="209"/>
      <c r="Z1375" s="209"/>
      <c r="AA1375" s="209"/>
      <c r="AB1375" s="209"/>
      <c r="AC1375" s="209"/>
      <c r="AD1375" s="209"/>
      <c r="AE1375" s="209"/>
      <c r="AF1375" s="209"/>
      <c r="AG1375" s="209"/>
      <c r="AH1375" s="209"/>
      <c r="AI1375" s="209"/>
      <c r="AJ1375" s="209"/>
      <c r="AK1375" s="209"/>
    </row>
    <row r="1376">
      <c r="A1376" s="209"/>
      <c r="B1376" s="209"/>
      <c r="C1376" s="209"/>
      <c r="D1376" s="209"/>
      <c r="E1376" s="209"/>
      <c r="F1376" s="209"/>
      <c r="G1376" s="209"/>
      <c r="H1376" s="209"/>
      <c r="I1376" s="209"/>
      <c r="J1376" s="209"/>
      <c r="K1376" s="209"/>
      <c r="L1376" s="209"/>
      <c r="M1376" s="209"/>
      <c r="N1376" s="209"/>
      <c r="O1376" s="209"/>
      <c r="P1376" s="209"/>
      <c r="Q1376" s="209"/>
      <c r="R1376" s="209"/>
      <c r="S1376" s="209"/>
      <c r="T1376" s="209"/>
      <c r="U1376" s="209"/>
      <c r="V1376" s="209"/>
      <c r="W1376" s="209"/>
      <c r="X1376" s="209"/>
      <c r="Y1376" s="209"/>
      <c r="Z1376" s="209"/>
      <c r="AA1376" s="209"/>
      <c r="AB1376" s="209"/>
      <c r="AC1376" s="209"/>
      <c r="AD1376" s="209"/>
      <c r="AE1376" s="209"/>
      <c r="AF1376" s="209"/>
      <c r="AG1376" s="209"/>
      <c r="AH1376" s="209"/>
      <c r="AI1376" s="209"/>
      <c r="AJ1376" s="209"/>
      <c r="AK1376" s="209"/>
    </row>
    <row r="1377">
      <c r="A1377" s="209"/>
      <c r="B1377" s="209"/>
      <c r="C1377" s="209"/>
      <c r="D1377" s="209"/>
      <c r="E1377" s="209"/>
      <c r="F1377" s="209"/>
      <c r="G1377" s="209"/>
      <c r="H1377" s="209"/>
      <c r="I1377" s="209"/>
      <c r="J1377" s="209"/>
      <c r="K1377" s="209"/>
      <c r="L1377" s="209"/>
      <c r="M1377" s="209"/>
      <c r="N1377" s="209"/>
      <c r="O1377" s="209"/>
      <c r="P1377" s="209"/>
      <c r="Q1377" s="209"/>
      <c r="R1377" s="209"/>
      <c r="S1377" s="209"/>
      <c r="T1377" s="209"/>
      <c r="U1377" s="209"/>
      <c r="V1377" s="209"/>
      <c r="W1377" s="209"/>
      <c r="X1377" s="209"/>
      <c r="Y1377" s="209"/>
      <c r="Z1377" s="209"/>
      <c r="AA1377" s="209"/>
      <c r="AB1377" s="209"/>
      <c r="AC1377" s="209"/>
      <c r="AD1377" s="209"/>
      <c r="AE1377" s="209"/>
      <c r="AF1377" s="209"/>
      <c r="AG1377" s="209"/>
      <c r="AH1377" s="209"/>
      <c r="AI1377" s="209"/>
      <c r="AJ1377" s="209"/>
      <c r="AK1377" s="209"/>
    </row>
    <row r="1378">
      <c r="A1378" s="209"/>
      <c r="B1378" s="209"/>
      <c r="C1378" s="209"/>
      <c r="D1378" s="209"/>
      <c r="E1378" s="209"/>
      <c r="F1378" s="209"/>
      <c r="G1378" s="209"/>
      <c r="H1378" s="209"/>
      <c r="I1378" s="209"/>
      <c r="J1378" s="209"/>
      <c r="K1378" s="209"/>
      <c r="L1378" s="209"/>
      <c r="M1378" s="209"/>
      <c r="N1378" s="209"/>
      <c r="O1378" s="209"/>
      <c r="P1378" s="209"/>
      <c r="Q1378" s="209"/>
      <c r="R1378" s="209"/>
      <c r="S1378" s="209"/>
      <c r="T1378" s="209"/>
      <c r="U1378" s="209"/>
      <c r="V1378" s="209"/>
      <c r="W1378" s="209"/>
      <c r="X1378" s="209"/>
      <c r="Y1378" s="209"/>
      <c r="Z1378" s="209"/>
      <c r="AA1378" s="209"/>
      <c r="AB1378" s="209"/>
      <c r="AC1378" s="209"/>
      <c r="AD1378" s="209"/>
      <c r="AE1378" s="209"/>
      <c r="AF1378" s="209"/>
      <c r="AG1378" s="209"/>
      <c r="AH1378" s="209"/>
      <c r="AI1378" s="209"/>
      <c r="AJ1378" s="209"/>
      <c r="AK1378" s="209"/>
    </row>
    <row r="1379">
      <c r="A1379" s="209"/>
      <c r="B1379" s="209"/>
      <c r="C1379" s="209"/>
      <c r="D1379" s="209"/>
      <c r="E1379" s="209"/>
      <c r="F1379" s="209"/>
      <c r="G1379" s="209"/>
      <c r="H1379" s="209"/>
      <c r="I1379" s="209"/>
      <c r="J1379" s="209"/>
      <c r="K1379" s="209"/>
      <c r="L1379" s="209"/>
      <c r="M1379" s="209"/>
      <c r="N1379" s="209"/>
      <c r="O1379" s="209"/>
      <c r="P1379" s="209"/>
      <c r="Q1379" s="209"/>
      <c r="R1379" s="209"/>
      <c r="S1379" s="209"/>
      <c r="T1379" s="209"/>
      <c r="U1379" s="209"/>
      <c r="V1379" s="209"/>
      <c r="W1379" s="209"/>
      <c r="X1379" s="209"/>
      <c r="Y1379" s="209"/>
      <c r="Z1379" s="209"/>
      <c r="AA1379" s="209"/>
      <c r="AB1379" s="209"/>
      <c r="AC1379" s="209"/>
      <c r="AD1379" s="209"/>
      <c r="AE1379" s="209"/>
      <c r="AF1379" s="209"/>
      <c r="AG1379" s="209"/>
      <c r="AH1379" s="209"/>
      <c r="AI1379" s="209"/>
      <c r="AJ1379" s="209"/>
      <c r="AK1379" s="209"/>
    </row>
    <row r="1380">
      <c r="A1380" s="209"/>
      <c r="B1380" s="209"/>
      <c r="C1380" s="209"/>
      <c r="D1380" s="209"/>
      <c r="E1380" s="209"/>
      <c r="F1380" s="209"/>
      <c r="G1380" s="209"/>
      <c r="H1380" s="209"/>
      <c r="I1380" s="209"/>
      <c r="J1380" s="209"/>
      <c r="K1380" s="209"/>
      <c r="L1380" s="209"/>
      <c r="M1380" s="209"/>
      <c r="N1380" s="209"/>
      <c r="O1380" s="209"/>
      <c r="P1380" s="209"/>
      <c r="Q1380" s="209"/>
      <c r="R1380" s="209"/>
      <c r="S1380" s="209"/>
      <c r="T1380" s="209"/>
      <c r="U1380" s="209"/>
      <c r="V1380" s="209"/>
      <c r="W1380" s="209"/>
      <c r="X1380" s="209"/>
      <c r="Y1380" s="209"/>
      <c r="Z1380" s="209"/>
      <c r="AA1380" s="209"/>
      <c r="AB1380" s="209"/>
      <c r="AC1380" s="209"/>
      <c r="AD1380" s="209"/>
      <c r="AE1380" s="209"/>
      <c r="AF1380" s="209"/>
      <c r="AG1380" s="209"/>
      <c r="AH1380" s="209"/>
      <c r="AI1380" s="209"/>
      <c r="AJ1380" s="209"/>
      <c r="AK1380" s="209"/>
    </row>
    <row r="1381">
      <c r="A1381" s="209"/>
      <c r="B1381" s="209"/>
      <c r="C1381" s="209"/>
      <c r="D1381" s="209"/>
      <c r="E1381" s="209"/>
      <c r="F1381" s="209"/>
      <c r="G1381" s="209"/>
      <c r="H1381" s="209"/>
      <c r="I1381" s="209"/>
      <c r="J1381" s="209"/>
      <c r="K1381" s="209"/>
      <c r="L1381" s="209"/>
      <c r="M1381" s="209"/>
      <c r="N1381" s="209"/>
      <c r="O1381" s="209"/>
      <c r="P1381" s="209"/>
      <c r="Q1381" s="209"/>
      <c r="R1381" s="209"/>
      <c r="S1381" s="209"/>
      <c r="T1381" s="209"/>
      <c r="U1381" s="209"/>
      <c r="V1381" s="209"/>
      <c r="W1381" s="209"/>
      <c r="X1381" s="209"/>
      <c r="Y1381" s="209"/>
      <c r="Z1381" s="209"/>
      <c r="AA1381" s="209"/>
      <c r="AB1381" s="209"/>
      <c r="AC1381" s="209"/>
      <c r="AD1381" s="209"/>
      <c r="AE1381" s="209"/>
      <c r="AF1381" s="209"/>
      <c r="AG1381" s="209"/>
      <c r="AH1381" s="209"/>
      <c r="AI1381" s="209"/>
      <c r="AJ1381" s="209"/>
      <c r="AK1381" s="209"/>
    </row>
    <row r="1382">
      <c r="A1382" s="209"/>
      <c r="B1382" s="209"/>
      <c r="C1382" s="209"/>
      <c r="D1382" s="209"/>
      <c r="E1382" s="209"/>
      <c r="F1382" s="209"/>
      <c r="G1382" s="209"/>
      <c r="H1382" s="209"/>
      <c r="I1382" s="209"/>
      <c r="J1382" s="209"/>
      <c r="K1382" s="209"/>
      <c r="L1382" s="209"/>
      <c r="M1382" s="209"/>
      <c r="N1382" s="209"/>
      <c r="O1382" s="209"/>
      <c r="P1382" s="209"/>
      <c r="Q1382" s="209"/>
      <c r="R1382" s="209"/>
      <c r="S1382" s="209"/>
      <c r="T1382" s="209"/>
      <c r="U1382" s="209"/>
      <c r="V1382" s="209"/>
      <c r="W1382" s="209"/>
      <c r="X1382" s="209"/>
      <c r="Y1382" s="209"/>
      <c r="Z1382" s="209"/>
      <c r="AA1382" s="209"/>
      <c r="AB1382" s="209"/>
      <c r="AC1382" s="209"/>
      <c r="AD1382" s="209"/>
      <c r="AE1382" s="209"/>
      <c r="AF1382" s="209"/>
      <c r="AG1382" s="209"/>
      <c r="AH1382" s="209"/>
      <c r="AI1382" s="209"/>
      <c r="AJ1382" s="209"/>
      <c r="AK1382" s="209"/>
    </row>
    <row r="1383">
      <c r="A1383" s="209"/>
      <c r="B1383" s="209"/>
      <c r="C1383" s="209"/>
      <c r="D1383" s="209"/>
      <c r="E1383" s="209"/>
      <c r="F1383" s="209"/>
      <c r="G1383" s="209"/>
      <c r="H1383" s="209"/>
      <c r="I1383" s="209"/>
      <c r="J1383" s="209"/>
      <c r="K1383" s="209"/>
      <c r="L1383" s="209"/>
      <c r="M1383" s="209"/>
      <c r="N1383" s="209"/>
      <c r="O1383" s="209"/>
      <c r="P1383" s="209"/>
      <c r="Q1383" s="209"/>
      <c r="R1383" s="209"/>
      <c r="S1383" s="209"/>
      <c r="T1383" s="209"/>
      <c r="U1383" s="209"/>
      <c r="V1383" s="209"/>
      <c r="W1383" s="209"/>
      <c r="X1383" s="209"/>
      <c r="Y1383" s="209"/>
      <c r="Z1383" s="209"/>
      <c r="AA1383" s="209"/>
      <c r="AB1383" s="209"/>
      <c r="AC1383" s="209"/>
      <c r="AD1383" s="209"/>
      <c r="AE1383" s="209"/>
      <c r="AF1383" s="209"/>
      <c r="AG1383" s="209"/>
      <c r="AH1383" s="209"/>
      <c r="AI1383" s="209"/>
      <c r="AJ1383" s="209"/>
      <c r="AK1383" s="209"/>
    </row>
    <row r="1384">
      <c r="A1384" s="209"/>
      <c r="B1384" s="209"/>
      <c r="C1384" s="209"/>
      <c r="D1384" s="209"/>
      <c r="E1384" s="209"/>
      <c r="F1384" s="209"/>
      <c r="G1384" s="209"/>
      <c r="H1384" s="209"/>
      <c r="I1384" s="209"/>
      <c r="J1384" s="209"/>
      <c r="K1384" s="209"/>
      <c r="L1384" s="209"/>
      <c r="M1384" s="209"/>
      <c r="N1384" s="209"/>
      <c r="O1384" s="209"/>
      <c r="P1384" s="209"/>
      <c r="Q1384" s="209"/>
      <c r="R1384" s="209"/>
      <c r="S1384" s="209"/>
      <c r="T1384" s="209"/>
      <c r="U1384" s="209"/>
      <c r="V1384" s="209"/>
      <c r="W1384" s="209"/>
      <c r="X1384" s="209"/>
      <c r="Y1384" s="209"/>
      <c r="Z1384" s="209"/>
      <c r="AA1384" s="209"/>
      <c r="AB1384" s="209"/>
      <c r="AC1384" s="209"/>
      <c r="AD1384" s="209"/>
      <c r="AE1384" s="209"/>
      <c r="AF1384" s="209"/>
      <c r="AG1384" s="209"/>
      <c r="AH1384" s="209"/>
      <c r="AI1384" s="209"/>
      <c r="AJ1384" s="209"/>
      <c r="AK1384" s="209"/>
    </row>
    <row r="1385">
      <c r="A1385" s="209"/>
      <c r="B1385" s="209"/>
      <c r="C1385" s="209"/>
      <c r="D1385" s="209"/>
      <c r="E1385" s="209"/>
      <c r="F1385" s="209"/>
      <c r="G1385" s="209"/>
      <c r="H1385" s="209"/>
      <c r="I1385" s="209"/>
      <c r="J1385" s="209"/>
      <c r="K1385" s="209"/>
      <c r="L1385" s="209"/>
      <c r="M1385" s="209"/>
      <c r="N1385" s="209"/>
      <c r="O1385" s="209"/>
      <c r="P1385" s="209"/>
      <c r="Q1385" s="209"/>
      <c r="R1385" s="209"/>
      <c r="S1385" s="209"/>
      <c r="T1385" s="209"/>
      <c r="U1385" s="209"/>
      <c r="V1385" s="209"/>
      <c r="W1385" s="209"/>
      <c r="X1385" s="209"/>
      <c r="Y1385" s="209"/>
      <c r="Z1385" s="209"/>
      <c r="AA1385" s="209"/>
      <c r="AB1385" s="209"/>
      <c r="AC1385" s="209"/>
      <c r="AD1385" s="209"/>
      <c r="AE1385" s="209"/>
      <c r="AF1385" s="209"/>
      <c r="AG1385" s="209"/>
      <c r="AH1385" s="209"/>
      <c r="AI1385" s="209"/>
      <c r="AJ1385" s="209"/>
      <c r="AK1385" s="209"/>
    </row>
    <row r="1386">
      <c r="A1386" s="209"/>
      <c r="B1386" s="209"/>
      <c r="C1386" s="209"/>
      <c r="D1386" s="209"/>
      <c r="E1386" s="209"/>
      <c r="F1386" s="209"/>
      <c r="G1386" s="209"/>
      <c r="H1386" s="209"/>
      <c r="I1386" s="209"/>
      <c r="J1386" s="209"/>
      <c r="K1386" s="209"/>
      <c r="L1386" s="209"/>
      <c r="M1386" s="209"/>
      <c r="N1386" s="209"/>
      <c r="O1386" s="209"/>
      <c r="P1386" s="209"/>
      <c r="Q1386" s="209"/>
      <c r="R1386" s="209"/>
      <c r="S1386" s="209"/>
      <c r="T1386" s="209"/>
      <c r="U1386" s="209"/>
      <c r="V1386" s="209"/>
      <c r="W1386" s="209"/>
      <c r="X1386" s="209"/>
      <c r="Y1386" s="209"/>
      <c r="Z1386" s="209"/>
      <c r="AA1386" s="209"/>
      <c r="AB1386" s="209"/>
      <c r="AC1386" s="209"/>
      <c r="AD1386" s="209"/>
      <c r="AE1386" s="209"/>
      <c r="AF1386" s="209"/>
      <c r="AG1386" s="209"/>
      <c r="AH1386" s="209"/>
      <c r="AI1386" s="209"/>
      <c r="AJ1386" s="209"/>
      <c r="AK1386" s="209"/>
    </row>
    <row r="1387">
      <c r="A1387" s="209"/>
      <c r="B1387" s="209"/>
      <c r="C1387" s="209"/>
      <c r="D1387" s="209"/>
      <c r="E1387" s="209"/>
      <c r="F1387" s="209"/>
      <c r="G1387" s="209"/>
      <c r="H1387" s="209"/>
      <c r="I1387" s="209"/>
      <c r="J1387" s="209"/>
      <c r="K1387" s="209"/>
      <c r="L1387" s="209"/>
      <c r="M1387" s="209"/>
      <c r="N1387" s="209"/>
      <c r="O1387" s="209"/>
      <c r="P1387" s="209"/>
      <c r="Q1387" s="209"/>
      <c r="R1387" s="209"/>
      <c r="S1387" s="209"/>
      <c r="T1387" s="209"/>
      <c r="U1387" s="209"/>
      <c r="V1387" s="209"/>
      <c r="W1387" s="209"/>
      <c r="X1387" s="209"/>
      <c r="Y1387" s="209"/>
      <c r="Z1387" s="209"/>
      <c r="AA1387" s="209"/>
      <c r="AB1387" s="209"/>
      <c r="AC1387" s="209"/>
      <c r="AD1387" s="209"/>
      <c r="AE1387" s="209"/>
      <c r="AF1387" s="209"/>
      <c r="AG1387" s="209"/>
      <c r="AH1387" s="209"/>
      <c r="AI1387" s="209"/>
      <c r="AJ1387" s="209"/>
      <c r="AK1387" s="209"/>
    </row>
    <row r="1388">
      <c r="A1388" s="209"/>
      <c r="B1388" s="209"/>
      <c r="C1388" s="209"/>
      <c r="D1388" s="209"/>
      <c r="E1388" s="209"/>
      <c r="F1388" s="209"/>
      <c r="G1388" s="209"/>
      <c r="H1388" s="209"/>
      <c r="I1388" s="209"/>
      <c r="J1388" s="209"/>
      <c r="K1388" s="209"/>
      <c r="L1388" s="209"/>
      <c r="M1388" s="209"/>
      <c r="N1388" s="209"/>
      <c r="O1388" s="209"/>
      <c r="P1388" s="209"/>
      <c r="Q1388" s="209"/>
      <c r="R1388" s="209"/>
      <c r="S1388" s="209"/>
      <c r="T1388" s="209"/>
      <c r="U1388" s="209"/>
      <c r="V1388" s="209"/>
      <c r="W1388" s="209"/>
      <c r="X1388" s="209"/>
      <c r="Y1388" s="209"/>
      <c r="Z1388" s="209"/>
      <c r="AA1388" s="209"/>
      <c r="AB1388" s="209"/>
      <c r="AC1388" s="209"/>
      <c r="AD1388" s="209"/>
      <c r="AE1388" s="209"/>
      <c r="AF1388" s="209"/>
      <c r="AG1388" s="209"/>
      <c r="AH1388" s="209"/>
      <c r="AI1388" s="209"/>
      <c r="AJ1388" s="209"/>
      <c r="AK1388" s="209"/>
    </row>
    <row r="1389">
      <c r="A1389" s="209"/>
      <c r="B1389" s="209"/>
      <c r="C1389" s="209"/>
      <c r="D1389" s="209"/>
      <c r="E1389" s="209"/>
      <c r="F1389" s="209"/>
      <c r="G1389" s="209"/>
      <c r="H1389" s="209"/>
      <c r="I1389" s="209"/>
      <c r="J1389" s="209"/>
      <c r="K1389" s="209"/>
      <c r="L1389" s="209"/>
      <c r="M1389" s="209"/>
      <c r="N1389" s="209"/>
      <c r="O1389" s="209"/>
      <c r="P1389" s="209"/>
      <c r="Q1389" s="209"/>
      <c r="R1389" s="209"/>
      <c r="S1389" s="209"/>
      <c r="T1389" s="209"/>
      <c r="U1389" s="209"/>
      <c r="V1389" s="209"/>
      <c r="W1389" s="209"/>
      <c r="X1389" s="209"/>
      <c r="Y1389" s="209"/>
      <c r="Z1389" s="209"/>
      <c r="AA1389" s="209"/>
      <c r="AB1389" s="209"/>
      <c r="AC1389" s="209"/>
      <c r="AD1389" s="209"/>
      <c r="AE1389" s="209"/>
      <c r="AF1389" s="209"/>
      <c r="AG1389" s="209"/>
      <c r="AH1389" s="209"/>
      <c r="AI1389" s="209"/>
      <c r="AJ1389" s="209"/>
      <c r="AK1389" s="209"/>
    </row>
    <row r="1390">
      <c r="A1390" s="209"/>
      <c r="B1390" s="209"/>
      <c r="C1390" s="209"/>
      <c r="D1390" s="209"/>
      <c r="E1390" s="209"/>
      <c r="F1390" s="209"/>
      <c r="G1390" s="209"/>
      <c r="H1390" s="209"/>
      <c r="I1390" s="209"/>
      <c r="J1390" s="209"/>
      <c r="K1390" s="209"/>
      <c r="L1390" s="209"/>
      <c r="M1390" s="209"/>
      <c r="N1390" s="209"/>
      <c r="O1390" s="209"/>
      <c r="P1390" s="209"/>
      <c r="Q1390" s="209"/>
      <c r="R1390" s="209"/>
      <c r="S1390" s="209"/>
      <c r="T1390" s="209"/>
      <c r="U1390" s="209"/>
      <c r="V1390" s="209"/>
      <c r="W1390" s="209"/>
      <c r="X1390" s="209"/>
      <c r="Y1390" s="209"/>
      <c r="Z1390" s="209"/>
      <c r="AA1390" s="209"/>
      <c r="AB1390" s="209"/>
      <c r="AC1390" s="209"/>
      <c r="AD1390" s="209"/>
      <c r="AE1390" s="209"/>
      <c r="AF1390" s="209"/>
      <c r="AG1390" s="209"/>
      <c r="AH1390" s="209"/>
      <c r="AI1390" s="209"/>
      <c r="AJ1390" s="209"/>
      <c r="AK1390" s="209"/>
    </row>
    <row r="1391">
      <c r="A1391" s="209"/>
      <c r="B1391" s="209"/>
      <c r="C1391" s="209"/>
      <c r="D1391" s="209"/>
      <c r="E1391" s="209"/>
      <c r="F1391" s="209"/>
      <c r="G1391" s="209"/>
      <c r="H1391" s="209"/>
      <c r="I1391" s="209"/>
      <c r="J1391" s="209"/>
      <c r="K1391" s="209"/>
      <c r="L1391" s="209"/>
      <c r="M1391" s="209"/>
      <c r="N1391" s="209"/>
      <c r="O1391" s="209"/>
      <c r="P1391" s="209"/>
      <c r="Q1391" s="209"/>
      <c r="R1391" s="209"/>
      <c r="S1391" s="209"/>
      <c r="T1391" s="209"/>
      <c r="U1391" s="209"/>
      <c r="V1391" s="209"/>
      <c r="W1391" s="209"/>
      <c r="X1391" s="209"/>
      <c r="Y1391" s="209"/>
      <c r="Z1391" s="209"/>
      <c r="AA1391" s="209"/>
      <c r="AB1391" s="209"/>
      <c r="AC1391" s="209"/>
      <c r="AD1391" s="209"/>
      <c r="AE1391" s="209"/>
      <c r="AF1391" s="209"/>
      <c r="AG1391" s="209"/>
      <c r="AH1391" s="209"/>
      <c r="AI1391" s="209"/>
      <c r="AJ1391" s="209"/>
      <c r="AK1391" s="209"/>
    </row>
    <row r="1392">
      <c r="A1392" s="209"/>
      <c r="B1392" s="209"/>
      <c r="C1392" s="209"/>
      <c r="D1392" s="209"/>
      <c r="E1392" s="209"/>
      <c r="F1392" s="209"/>
      <c r="G1392" s="209"/>
      <c r="H1392" s="209"/>
      <c r="I1392" s="209"/>
      <c r="J1392" s="209"/>
      <c r="K1392" s="209"/>
      <c r="L1392" s="209"/>
      <c r="M1392" s="209"/>
      <c r="N1392" s="209"/>
      <c r="O1392" s="209"/>
      <c r="P1392" s="209"/>
      <c r="Q1392" s="209"/>
      <c r="R1392" s="209"/>
      <c r="S1392" s="209"/>
      <c r="T1392" s="209"/>
      <c r="U1392" s="209"/>
      <c r="V1392" s="209"/>
      <c r="W1392" s="209"/>
      <c r="X1392" s="209"/>
      <c r="Y1392" s="209"/>
      <c r="Z1392" s="209"/>
      <c r="AA1392" s="209"/>
      <c r="AB1392" s="209"/>
      <c r="AC1392" s="209"/>
      <c r="AD1392" s="209"/>
      <c r="AE1392" s="209"/>
      <c r="AF1392" s="209"/>
      <c r="AG1392" s="209"/>
      <c r="AH1392" s="209"/>
      <c r="AI1392" s="209"/>
      <c r="AJ1392" s="209"/>
      <c r="AK1392" s="209"/>
    </row>
    <row r="1393">
      <c r="A1393" s="209"/>
      <c r="B1393" s="209"/>
      <c r="C1393" s="209"/>
      <c r="D1393" s="209"/>
      <c r="E1393" s="209"/>
      <c r="F1393" s="209"/>
      <c r="G1393" s="209"/>
      <c r="H1393" s="209"/>
      <c r="I1393" s="209"/>
      <c r="J1393" s="209"/>
      <c r="K1393" s="209"/>
      <c r="L1393" s="209"/>
      <c r="M1393" s="209"/>
      <c r="N1393" s="209"/>
      <c r="O1393" s="209"/>
      <c r="P1393" s="209"/>
      <c r="Q1393" s="209"/>
      <c r="R1393" s="209"/>
      <c r="S1393" s="209"/>
      <c r="T1393" s="209"/>
      <c r="U1393" s="209"/>
      <c r="V1393" s="209"/>
      <c r="W1393" s="209"/>
      <c r="X1393" s="209"/>
      <c r="Y1393" s="209"/>
      <c r="Z1393" s="209"/>
      <c r="AA1393" s="209"/>
      <c r="AB1393" s="209"/>
      <c r="AC1393" s="209"/>
      <c r="AD1393" s="209"/>
      <c r="AE1393" s="209"/>
      <c r="AF1393" s="209"/>
      <c r="AG1393" s="209"/>
      <c r="AH1393" s="209"/>
      <c r="AI1393" s="209"/>
      <c r="AJ1393" s="209"/>
      <c r="AK1393" s="209"/>
    </row>
    <row r="1394">
      <c r="A1394" s="209"/>
      <c r="B1394" s="209"/>
      <c r="C1394" s="209"/>
      <c r="D1394" s="209"/>
      <c r="E1394" s="209"/>
      <c r="F1394" s="209"/>
      <c r="G1394" s="209"/>
      <c r="H1394" s="209"/>
      <c r="I1394" s="209"/>
      <c r="J1394" s="209"/>
      <c r="K1394" s="209"/>
      <c r="L1394" s="209"/>
      <c r="M1394" s="209"/>
      <c r="N1394" s="209"/>
      <c r="O1394" s="209"/>
      <c r="P1394" s="209"/>
      <c r="Q1394" s="209"/>
      <c r="R1394" s="209"/>
      <c r="S1394" s="209"/>
      <c r="T1394" s="209"/>
      <c r="U1394" s="209"/>
      <c r="V1394" s="209"/>
      <c r="W1394" s="209"/>
      <c r="X1394" s="209"/>
      <c r="Y1394" s="209"/>
      <c r="Z1394" s="209"/>
      <c r="AA1394" s="209"/>
      <c r="AB1394" s="209"/>
      <c r="AC1394" s="209"/>
      <c r="AD1394" s="209"/>
      <c r="AE1394" s="209"/>
      <c r="AF1394" s="209"/>
      <c r="AG1394" s="209"/>
      <c r="AH1394" s="209"/>
      <c r="AI1394" s="209"/>
      <c r="AJ1394" s="209"/>
      <c r="AK1394" s="209"/>
    </row>
    <row r="1395">
      <c r="A1395" s="209"/>
      <c r="B1395" s="209"/>
      <c r="C1395" s="209"/>
      <c r="D1395" s="209"/>
      <c r="E1395" s="209"/>
      <c r="F1395" s="209"/>
      <c r="G1395" s="209"/>
      <c r="H1395" s="209"/>
      <c r="I1395" s="209"/>
      <c r="J1395" s="209"/>
      <c r="K1395" s="209"/>
      <c r="L1395" s="209"/>
      <c r="M1395" s="209"/>
      <c r="N1395" s="209"/>
      <c r="O1395" s="209"/>
      <c r="P1395" s="209"/>
      <c r="Q1395" s="209"/>
      <c r="R1395" s="209"/>
      <c r="S1395" s="209"/>
      <c r="T1395" s="209"/>
      <c r="U1395" s="209"/>
      <c r="V1395" s="209"/>
      <c r="W1395" s="209"/>
      <c r="X1395" s="209"/>
      <c r="Y1395" s="209"/>
      <c r="Z1395" s="209"/>
      <c r="AA1395" s="209"/>
      <c r="AB1395" s="209"/>
      <c r="AC1395" s="209"/>
      <c r="AD1395" s="209"/>
      <c r="AE1395" s="209"/>
      <c r="AF1395" s="209"/>
      <c r="AG1395" s="209"/>
      <c r="AH1395" s="209"/>
      <c r="AI1395" s="209"/>
      <c r="AJ1395" s="209"/>
      <c r="AK1395" s="209"/>
    </row>
    <row r="1396">
      <c r="A1396" s="209"/>
      <c r="B1396" s="209"/>
      <c r="C1396" s="209"/>
      <c r="D1396" s="209"/>
      <c r="E1396" s="209"/>
      <c r="F1396" s="209"/>
      <c r="G1396" s="209"/>
      <c r="H1396" s="209"/>
      <c r="I1396" s="209"/>
      <c r="J1396" s="209"/>
      <c r="K1396" s="209"/>
      <c r="L1396" s="209"/>
      <c r="M1396" s="209"/>
      <c r="N1396" s="209"/>
      <c r="O1396" s="209"/>
      <c r="P1396" s="209"/>
      <c r="Q1396" s="209"/>
      <c r="R1396" s="209"/>
      <c r="S1396" s="209"/>
      <c r="T1396" s="209"/>
      <c r="U1396" s="209"/>
      <c r="V1396" s="209"/>
      <c r="W1396" s="209"/>
      <c r="X1396" s="209"/>
      <c r="Y1396" s="209"/>
      <c r="Z1396" s="209"/>
      <c r="AA1396" s="209"/>
      <c r="AB1396" s="209"/>
      <c r="AC1396" s="209"/>
      <c r="AD1396" s="209"/>
      <c r="AE1396" s="209"/>
      <c r="AF1396" s="209"/>
      <c r="AG1396" s="209"/>
      <c r="AH1396" s="209"/>
      <c r="AI1396" s="209"/>
      <c r="AJ1396" s="209"/>
      <c r="AK1396" s="209"/>
    </row>
    <row r="1397">
      <c r="A1397" s="209"/>
      <c r="B1397" s="209"/>
      <c r="C1397" s="209"/>
      <c r="D1397" s="209"/>
      <c r="E1397" s="209"/>
      <c r="F1397" s="209"/>
      <c r="G1397" s="209"/>
      <c r="H1397" s="209"/>
      <c r="I1397" s="209"/>
      <c r="J1397" s="209"/>
      <c r="K1397" s="209"/>
      <c r="L1397" s="209"/>
      <c r="M1397" s="209"/>
      <c r="N1397" s="209"/>
      <c r="O1397" s="209"/>
      <c r="P1397" s="209"/>
      <c r="Q1397" s="209"/>
      <c r="R1397" s="209"/>
      <c r="S1397" s="209"/>
      <c r="T1397" s="209"/>
      <c r="U1397" s="209"/>
      <c r="V1397" s="209"/>
      <c r="W1397" s="209"/>
      <c r="X1397" s="209"/>
      <c r="Y1397" s="209"/>
      <c r="Z1397" s="209"/>
      <c r="AA1397" s="209"/>
      <c r="AB1397" s="209"/>
      <c r="AC1397" s="209"/>
      <c r="AD1397" s="209"/>
      <c r="AE1397" s="209"/>
      <c r="AF1397" s="209"/>
      <c r="AG1397" s="209"/>
      <c r="AH1397" s="209"/>
      <c r="AI1397" s="209"/>
      <c r="AJ1397" s="209"/>
      <c r="AK1397" s="209"/>
    </row>
    <row r="1398">
      <c r="A1398" s="209"/>
      <c r="B1398" s="209"/>
      <c r="C1398" s="209"/>
      <c r="D1398" s="209"/>
      <c r="E1398" s="209"/>
      <c r="F1398" s="209"/>
      <c r="G1398" s="209"/>
      <c r="H1398" s="209"/>
      <c r="I1398" s="209"/>
      <c r="J1398" s="209"/>
      <c r="K1398" s="209"/>
      <c r="L1398" s="209"/>
      <c r="M1398" s="209"/>
      <c r="N1398" s="209"/>
      <c r="O1398" s="209"/>
      <c r="P1398" s="209"/>
      <c r="Q1398" s="209"/>
      <c r="R1398" s="209"/>
      <c r="S1398" s="209"/>
      <c r="T1398" s="209"/>
      <c r="U1398" s="209"/>
      <c r="V1398" s="209"/>
      <c r="W1398" s="209"/>
      <c r="X1398" s="209"/>
      <c r="Y1398" s="209"/>
      <c r="Z1398" s="209"/>
      <c r="AA1398" s="209"/>
      <c r="AB1398" s="209"/>
      <c r="AC1398" s="209"/>
      <c r="AD1398" s="209"/>
      <c r="AE1398" s="209"/>
      <c r="AF1398" s="209"/>
      <c r="AG1398" s="209"/>
      <c r="AH1398" s="209"/>
      <c r="AI1398" s="209"/>
      <c r="AJ1398" s="209"/>
      <c r="AK1398" s="209"/>
    </row>
    <row r="1399">
      <c r="A1399" s="209"/>
      <c r="B1399" s="209"/>
      <c r="C1399" s="209"/>
      <c r="D1399" s="209"/>
      <c r="E1399" s="209"/>
      <c r="F1399" s="209"/>
      <c r="G1399" s="209"/>
      <c r="H1399" s="209"/>
      <c r="I1399" s="209"/>
      <c r="J1399" s="209"/>
      <c r="K1399" s="209"/>
      <c r="L1399" s="209"/>
      <c r="M1399" s="209"/>
      <c r="N1399" s="209"/>
      <c r="O1399" s="209"/>
      <c r="P1399" s="209"/>
      <c r="Q1399" s="209"/>
      <c r="R1399" s="209"/>
      <c r="S1399" s="209"/>
      <c r="T1399" s="209"/>
      <c r="U1399" s="209"/>
      <c r="V1399" s="209"/>
      <c r="W1399" s="209"/>
      <c r="X1399" s="209"/>
      <c r="Y1399" s="209"/>
      <c r="Z1399" s="209"/>
      <c r="AA1399" s="209"/>
      <c r="AB1399" s="209"/>
      <c r="AC1399" s="209"/>
      <c r="AD1399" s="209"/>
      <c r="AE1399" s="209"/>
      <c r="AF1399" s="209"/>
      <c r="AG1399" s="209"/>
      <c r="AH1399" s="209"/>
      <c r="AI1399" s="209"/>
      <c r="AJ1399" s="209"/>
      <c r="AK1399" s="209"/>
    </row>
    <row r="1400">
      <c r="A1400" s="209"/>
      <c r="B1400" s="209"/>
      <c r="C1400" s="209"/>
      <c r="D1400" s="209"/>
      <c r="E1400" s="209"/>
      <c r="F1400" s="209"/>
      <c r="G1400" s="209"/>
      <c r="H1400" s="209"/>
      <c r="I1400" s="209"/>
      <c r="J1400" s="209"/>
      <c r="K1400" s="209"/>
      <c r="L1400" s="209"/>
      <c r="M1400" s="209"/>
      <c r="N1400" s="209"/>
      <c r="O1400" s="209"/>
      <c r="P1400" s="209"/>
      <c r="Q1400" s="209"/>
      <c r="R1400" s="209"/>
      <c r="S1400" s="209"/>
      <c r="T1400" s="209"/>
      <c r="U1400" s="209"/>
      <c r="V1400" s="209"/>
      <c r="W1400" s="209"/>
      <c r="X1400" s="209"/>
      <c r="Y1400" s="209"/>
      <c r="Z1400" s="209"/>
      <c r="AA1400" s="209"/>
      <c r="AB1400" s="209"/>
      <c r="AC1400" s="209"/>
      <c r="AD1400" s="209"/>
      <c r="AE1400" s="209"/>
      <c r="AF1400" s="209"/>
      <c r="AG1400" s="209"/>
      <c r="AH1400" s="209"/>
      <c r="AI1400" s="209"/>
      <c r="AJ1400" s="209"/>
      <c r="AK1400" s="209"/>
    </row>
    <row r="1401">
      <c r="A1401" s="209"/>
      <c r="B1401" s="209"/>
      <c r="C1401" s="209"/>
      <c r="D1401" s="209"/>
      <c r="E1401" s="209"/>
      <c r="F1401" s="209"/>
      <c r="G1401" s="209"/>
      <c r="H1401" s="209"/>
      <c r="I1401" s="209"/>
      <c r="J1401" s="209"/>
      <c r="K1401" s="209"/>
      <c r="L1401" s="209"/>
      <c r="M1401" s="209"/>
      <c r="N1401" s="209"/>
      <c r="O1401" s="209"/>
      <c r="P1401" s="209"/>
      <c r="Q1401" s="209"/>
      <c r="R1401" s="209"/>
      <c r="S1401" s="209"/>
      <c r="T1401" s="209"/>
      <c r="U1401" s="209"/>
      <c r="V1401" s="209"/>
      <c r="W1401" s="209"/>
      <c r="X1401" s="209"/>
      <c r="Y1401" s="209"/>
      <c r="Z1401" s="209"/>
      <c r="AA1401" s="209"/>
      <c r="AB1401" s="209"/>
      <c r="AC1401" s="209"/>
      <c r="AD1401" s="209"/>
      <c r="AE1401" s="209"/>
      <c r="AF1401" s="209"/>
      <c r="AG1401" s="209"/>
      <c r="AH1401" s="209"/>
      <c r="AI1401" s="209"/>
      <c r="AJ1401" s="209"/>
      <c r="AK1401" s="209"/>
    </row>
    <row r="1402">
      <c r="A1402" s="209"/>
      <c r="B1402" s="209"/>
      <c r="C1402" s="209"/>
      <c r="D1402" s="209"/>
      <c r="E1402" s="209"/>
      <c r="F1402" s="209"/>
      <c r="G1402" s="209"/>
      <c r="H1402" s="209"/>
      <c r="I1402" s="209"/>
      <c r="J1402" s="209"/>
      <c r="K1402" s="209"/>
      <c r="L1402" s="209"/>
      <c r="M1402" s="209"/>
      <c r="N1402" s="209"/>
      <c r="O1402" s="209"/>
      <c r="P1402" s="209"/>
      <c r="Q1402" s="209"/>
      <c r="R1402" s="209"/>
      <c r="S1402" s="209"/>
      <c r="T1402" s="209"/>
      <c r="U1402" s="209"/>
      <c r="V1402" s="209"/>
      <c r="W1402" s="209"/>
      <c r="X1402" s="209"/>
      <c r="Y1402" s="209"/>
      <c r="Z1402" s="209"/>
      <c r="AA1402" s="209"/>
      <c r="AB1402" s="209"/>
      <c r="AC1402" s="209"/>
      <c r="AD1402" s="209"/>
      <c r="AE1402" s="209"/>
      <c r="AF1402" s="209"/>
      <c r="AG1402" s="209"/>
      <c r="AH1402" s="209"/>
      <c r="AI1402" s="209"/>
      <c r="AJ1402" s="209"/>
      <c r="AK1402" s="209"/>
    </row>
    <row r="1403">
      <c r="A1403" s="209"/>
      <c r="B1403" s="209"/>
      <c r="C1403" s="209"/>
      <c r="D1403" s="209"/>
      <c r="E1403" s="209"/>
      <c r="F1403" s="209"/>
      <c r="G1403" s="209"/>
      <c r="H1403" s="209"/>
      <c r="I1403" s="209"/>
      <c r="J1403" s="209"/>
      <c r="K1403" s="209"/>
      <c r="L1403" s="209"/>
      <c r="M1403" s="209"/>
      <c r="N1403" s="209"/>
      <c r="O1403" s="209"/>
      <c r="P1403" s="209"/>
      <c r="Q1403" s="209"/>
      <c r="R1403" s="209"/>
      <c r="S1403" s="209"/>
      <c r="T1403" s="209"/>
      <c r="U1403" s="209"/>
      <c r="V1403" s="209"/>
      <c r="W1403" s="209"/>
      <c r="X1403" s="209"/>
      <c r="Y1403" s="209"/>
      <c r="Z1403" s="209"/>
      <c r="AA1403" s="209"/>
      <c r="AB1403" s="209"/>
      <c r="AC1403" s="209"/>
      <c r="AD1403" s="209"/>
      <c r="AE1403" s="209"/>
      <c r="AF1403" s="209"/>
      <c r="AG1403" s="209"/>
      <c r="AH1403" s="209"/>
      <c r="AI1403" s="209"/>
      <c r="AJ1403" s="209"/>
      <c r="AK1403" s="209"/>
    </row>
    <row r="1404">
      <c r="A1404" s="209"/>
      <c r="B1404" s="209"/>
      <c r="C1404" s="209"/>
      <c r="D1404" s="209"/>
      <c r="E1404" s="209"/>
      <c r="F1404" s="209"/>
      <c r="G1404" s="209"/>
      <c r="H1404" s="209"/>
      <c r="I1404" s="209"/>
      <c r="J1404" s="209"/>
      <c r="K1404" s="209"/>
      <c r="L1404" s="209"/>
      <c r="M1404" s="209"/>
      <c r="N1404" s="209"/>
      <c r="O1404" s="209"/>
      <c r="P1404" s="209"/>
      <c r="Q1404" s="209"/>
      <c r="R1404" s="209"/>
      <c r="S1404" s="209"/>
      <c r="T1404" s="209"/>
      <c r="U1404" s="209"/>
      <c r="V1404" s="209"/>
      <c r="W1404" s="209"/>
      <c r="X1404" s="209"/>
      <c r="Y1404" s="209"/>
      <c r="Z1404" s="209"/>
      <c r="AA1404" s="209"/>
      <c r="AB1404" s="209"/>
      <c r="AC1404" s="209"/>
      <c r="AD1404" s="209"/>
      <c r="AE1404" s="209"/>
      <c r="AF1404" s="209"/>
      <c r="AG1404" s="209"/>
      <c r="AH1404" s="209"/>
      <c r="AI1404" s="209"/>
      <c r="AJ1404" s="209"/>
      <c r="AK1404" s="209"/>
    </row>
    <row r="1405">
      <c r="A1405" s="209"/>
      <c r="B1405" s="209"/>
      <c r="C1405" s="209"/>
      <c r="D1405" s="209"/>
      <c r="E1405" s="209"/>
      <c r="F1405" s="209"/>
      <c r="G1405" s="209"/>
      <c r="H1405" s="209"/>
      <c r="I1405" s="209"/>
      <c r="J1405" s="209"/>
      <c r="K1405" s="209"/>
      <c r="L1405" s="209"/>
      <c r="M1405" s="209"/>
      <c r="N1405" s="209"/>
      <c r="O1405" s="209"/>
      <c r="P1405" s="209"/>
      <c r="Q1405" s="209"/>
      <c r="R1405" s="209"/>
      <c r="S1405" s="209"/>
      <c r="T1405" s="209"/>
      <c r="U1405" s="209"/>
      <c r="V1405" s="209"/>
      <c r="W1405" s="209"/>
      <c r="X1405" s="209"/>
      <c r="Y1405" s="209"/>
      <c r="Z1405" s="209"/>
      <c r="AA1405" s="209"/>
      <c r="AB1405" s="209"/>
      <c r="AC1405" s="209"/>
      <c r="AD1405" s="209"/>
      <c r="AE1405" s="209"/>
      <c r="AF1405" s="209"/>
      <c r="AG1405" s="209"/>
      <c r="AH1405" s="209"/>
      <c r="AI1405" s="209"/>
      <c r="AJ1405" s="209"/>
      <c r="AK1405" s="209"/>
    </row>
    <row r="1406">
      <c r="A1406" s="209"/>
      <c r="B1406" s="209"/>
      <c r="C1406" s="209"/>
      <c r="D1406" s="209"/>
      <c r="E1406" s="209"/>
      <c r="F1406" s="209"/>
      <c r="G1406" s="209"/>
      <c r="H1406" s="209"/>
      <c r="I1406" s="209"/>
      <c r="J1406" s="209"/>
      <c r="K1406" s="209"/>
      <c r="L1406" s="209"/>
      <c r="M1406" s="209"/>
      <c r="N1406" s="209"/>
      <c r="O1406" s="209"/>
      <c r="P1406" s="209"/>
      <c r="Q1406" s="209"/>
      <c r="R1406" s="209"/>
      <c r="S1406" s="209"/>
      <c r="T1406" s="209"/>
      <c r="U1406" s="209"/>
      <c r="V1406" s="209"/>
      <c r="W1406" s="209"/>
      <c r="X1406" s="209"/>
      <c r="Y1406" s="209"/>
      <c r="Z1406" s="209"/>
      <c r="AA1406" s="209"/>
      <c r="AB1406" s="209"/>
      <c r="AC1406" s="209"/>
      <c r="AD1406" s="209"/>
      <c r="AE1406" s="209"/>
      <c r="AF1406" s="209"/>
      <c r="AG1406" s="209"/>
      <c r="AH1406" s="209"/>
      <c r="AI1406" s="209"/>
      <c r="AJ1406" s="209"/>
      <c r="AK1406" s="209"/>
    </row>
    <row r="1407">
      <c r="A1407" s="209"/>
      <c r="B1407" s="209"/>
      <c r="C1407" s="209"/>
      <c r="D1407" s="209"/>
      <c r="E1407" s="209"/>
      <c r="F1407" s="209"/>
      <c r="G1407" s="209"/>
      <c r="H1407" s="209"/>
      <c r="I1407" s="209"/>
      <c r="J1407" s="209"/>
      <c r="K1407" s="209"/>
      <c r="L1407" s="209"/>
      <c r="M1407" s="209"/>
      <c r="N1407" s="209"/>
      <c r="O1407" s="209"/>
      <c r="P1407" s="209"/>
      <c r="Q1407" s="209"/>
      <c r="R1407" s="209"/>
      <c r="S1407" s="209"/>
      <c r="T1407" s="209"/>
      <c r="U1407" s="209"/>
      <c r="V1407" s="209"/>
      <c r="W1407" s="209"/>
      <c r="X1407" s="209"/>
      <c r="Y1407" s="209"/>
      <c r="Z1407" s="209"/>
      <c r="AA1407" s="209"/>
      <c r="AB1407" s="209"/>
      <c r="AC1407" s="209"/>
      <c r="AD1407" s="209"/>
      <c r="AE1407" s="209"/>
      <c r="AF1407" s="209"/>
      <c r="AG1407" s="209"/>
      <c r="AH1407" s="209"/>
      <c r="AI1407" s="209"/>
      <c r="AJ1407" s="209"/>
      <c r="AK1407" s="209"/>
    </row>
    <row r="1408">
      <c r="A1408" s="209"/>
      <c r="B1408" s="209"/>
      <c r="C1408" s="209"/>
      <c r="D1408" s="209"/>
      <c r="E1408" s="209"/>
      <c r="F1408" s="209"/>
      <c r="G1408" s="209"/>
      <c r="H1408" s="209"/>
      <c r="I1408" s="209"/>
      <c r="J1408" s="209"/>
      <c r="K1408" s="209"/>
      <c r="L1408" s="209"/>
      <c r="M1408" s="209"/>
      <c r="N1408" s="209"/>
      <c r="O1408" s="209"/>
      <c r="P1408" s="209"/>
      <c r="Q1408" s="209"/>
      <c r="R1408" s="209"/>
      <c r="S1408" s="209"/>
      <c r="T1408" s="209"/>
      <c r="U1408" s="209"/>
      <c r="V1408" s="209"/>
      <c r="W1408" s="209"/>
      <c r="X1408" s="209"/>
      <c r="Y1408" s="209"/>
      <c r="Z1408" s="209"/>
      <c r="AA1408" s="209"/>
      <c r="AB1408" s="209"/>
      <c r="AC1408" s="209"/>
      <c r="AD1408" s="209"/>
      <c r="AE1408" s="209"/>
      <c r="AF1408" s="209"/>
      <c r="AG1408" s="209"/>
      <c r="AH1408" s="209"/>
      <c r="AI1408" s="209"/>
      <c r="AJ1408" s="209"/>
      <c r="AK1408" s="209"/>
    </row>
    <row r="1409">
      <c r="A1409" s="209"/>
      <c r="B1409" s="209"/>
      <c r="C1409" s="209"/>
      <c r="D1409" s="209"/>
      <c r="E1409" s="209"/>
      <c r="F1409" s="209"/>
      <c r="G1409" s="209"/>
      <c r="H1409" s="209"/>
      <c r="I1409" s="209"/>
      <c r="J1409" s="209"/>
      <c r="K1409" s="209"/>
      <c r="L1409" s="209"/>
      <c r="M1409" s="209"/>
      <c r="N1409" s="209"/>
      <c r="O1409" s="209"/>
      <c r="P1409" s="209"/>
      <c r="Q1409" s="209"/>
      <c r="R1409" s="209"/>
      <c r="S1409" s="209"/>
      <c r="T1409" s="209"/>
      <c r="U1409" s="209"/>
      <c r="V1409" s="209"/>
      <c r="W1409" s="209"/>
      <c r="X1409" s="209"/>
      <c r="Y1409" s="209"/>
      <c r="Z1409" s="209"/>
      <c r="AA1409" s="209"/>
      <c r="AB1409" s="209"/>
      <c r="AC1409" s="209"/>
      <c r="AD1409" s="209"/>
      <c r="AE1409" s="209"/>
      <c r="AF1409" s="209"/>
      <c r="AG1409" s="209"/>
      <c r="AH1409" s="209"/>
      <c r="AI1409" s="209"/>
      <c r="AJ1409" s="209"/>
      <c r="AK1409" s="209"/>
    </row>
    <row r="1410">
      <c r="A1410" s="209"/>
      <c r="B1410" s="209"/>
      <c r="C1410" s="209"/>
      <c r="D1410" s="209"/>
      <c r="E1410" s="209"/>
      <c r="F1410" s="209"/>
      <c r="G1410" s="209"/>
      <c r="H1410" s="209"/>
      <c r="I1410" s="209"/>
      <c r="J1410" s="209"/>
      <c r="K1410" s="209"/>
      <c r="L1410" s="209"/>
      <c r="M1410" s="209"/>
      <c r="N1410" s="209"/>
      <c r="O1410" s="209"/>
      <c r="P1410" s="209"/>
      <c r="Q1410" s="209"/>
      <c r="R1410" s="209"/>
      <c r="S1410" s="209"/>
      <c r="T1410" s="209"/>
      <c r="U1410" s="209"/>
      <c r="V1410" s="209"/>
      <c r="W1410" s="209"/>
      <c r="X1410" s="209"/>
      <c r="Y1410" s="209"/>
      <c r="Z1410" s="209"/>
      <c r="AA1410" s="209"/>
      <c r="AB1410" s="209"/>
      <c r="AC1410" s="209"/>
      <c r="AD1410" s="209"/>
      <c r="AE1410" s="209"/>
      <c r="AF1410" s="209"/>
      <c r="AG1410" s="209"/>
      <c r="AH1410" s="209"/>
      <c r="AI1410" s="209"/>
      <c r="AJ1410" s="209"/>
      <c r="AK1410" s="209"/>
    </row>
    <row r="1411">
      <c r="A1411" s="209"/>
      <c r="B1411" s="209"/>
      <c r="C1411" s="209"/>
      <c r="D1411" s="209"/>
      <c r="E1411" s="209"/>
      <c r="F1411" s="209"/>
      <c r="G1411" s="209"/>
      <c r="H1411" s="209"/>
      <c r="I1411" s="209"/>
      <c r="J1411" s="209"/>
      <c r="K1411" s="209"/>
      <c r="L1411" s="209"/>
      <c r="M1411" s="209"/>
      <c r="N1411" s="209"/>
      <c r="O1411" s="209"/>
      <c r="P1411" s="209"/>
      <c r="Q1411" s="209"/>
      <c r="R1411" s="209"/>
      <c r="S1411" s="209"/>
      <c r="T1411" s="209"/>
      <c r="U1411" s="209"/>
      <c r="V1411" s="209"/>
      <c r="W1411" s="209"/>
      <c r="X1411" s="209"/>
      <c r="Y1411" s="209"/>
      <c r="Z1411" s="209"/>
      <c r="AA1411" s="209"/>
      <c r="AB1411" s="209"/>
      <c r="AC1411" s="209"/>
      <c r="AD1411" s="209"/>
      <c r="AE1411" s="209"/>
      <c r="AF1411" s="209"/>
      <c r="AG1411" s="209"/>
      <c r="AH1411" s="209"/>
      <c r="AI1411" s="209"/>
      <c r="AJ1411" s="209"/>
      <c r="AK1411" s="209"/>
    </row>
    <row r="1412">
      <c r="A1412" s="209"/>
      <c r="B1412" s="209"/>
      <c r="C1412" s="209"/>
      <c r="D1412" s="209"/>
      <c r="E1412" s="209"/>
      <c r="F1412" s="209"/>
      <c r="G1412" s="209"/>
      <c r="H1412" s="209"/>
      <c r="I1412" s="209"/>
      <c r="J1412" s="209"/>
      <c r="K1412" s="209"/>
      <c r="L1412" s="209"/>
      <c r="M1412" s="209"/>
      <c r="N1412" s="209"/>
      <c r="O1412" s="209"/>
      <c r="P1412" s="209"/>
      <c r="Q1412" s="209"/>
      <c r="R1412" s="209"/>
      <c r="S1412" s="209"/>
      <c r="T1412" s="209"/>
      <c r="U1412" s="209"/>
      <c r="V1412" s="209"/>
      <c r="W1412" s="209"/>
      <c r="X1412" s="209"/>
      <c r="Y1412" s="209"/>
      <c r="Z1412" s="209"/>
      <c r="AA1412" s="209"/>
      <c r="AB1412" s="209"/>
      <c r="AC1412" s="209"/>
      <c r="AD1412" s="209"/>
      <c r="AE1412" s="209"/>
      <c r="AF1412" s="209"/>
      <c r="AG1412" s="209"/>
      <c r="AH1412" s="209"/>
      <c r="AI1412" s="209"/>
      <c r="AJ1412" s="209"/>
      <c r="AK1412" s="209"/>
    </row>
    <row r="1413">
      <c r="A1413" s="209"/>
      <c r="B1413" s="209"/>
      <c r="C1413" s="209"/>
      <c r="D1413" s="209"/>
      <c r="E1413" s="209"/>
      <c r="F1413" s="209"/>
      <c r="G1413" s="209"/>
      <c r="H1413" s="209"/>
      <c r="I1413" s="209"/>
      <c r="J1413" s="209"/>
      <c r="K1413" s="209"/>
      <c r="L1413" s="209"/>
      <c r="M1413" s="209"/>
      <c r="N1413" s="209"/>
      <c r="O1413" s="209"/>
      <c r="P1413" s="209"/>
      <c r="Q1413" s="209"/>
      <c r="R1413" s="209"/>
      <c r="S1413" s="209"/>
      <c r="T1413" s="209"/>
      <c r="U1413" s="209"/>
      <c r="V1413" s="209"/>
      <c r="W1413" s="209"/>
      <c r="X1413" s="209"/>
      <c r="Y1413" s="209"/>
      <c r="Z1413" s="209"/>
      <c r="AA1413" s="209"/>
      <c r="AB1413" s="209"/>
      <c r="AC1413" s="209"/>
      <c r="AD1413" s="209"/>
      <c r="AE1413" s="209"/>
      <c r="AF1413" s="209"/>
      <c r="AG1413" s="209"/>
      <c r="AH1413" s="209"/>
      <c r="AI1413" s="209"/>
      <c r="AJ1413" s="209"/>
      <c r="AK1413" s="209"/>
    </row>
    <row r="1414">
      <c r="A1414" s="209"/>
      <c r="B1414" s="209"/>
      <c r="C1414" s="209"/>
      <c r="D1414" s="209"/>
      <c r="E1414" s="209"/>
      <c r="F1414" s="209"/>
      <c r="G1414" s="209"/>
      <c r="H1414" s="209"/>
      <c r="I1414" s="209"/>
      <c r="J1414" s="209"/>
      <c r="K1414" s="209"/>
      <c r="L1414" s="209"/>
      <c r="M1414" s="209"/>
      <c r="N1414" s="209"/>
      <c r="O1414" s="209"/>
      <c r="P1414" s="209"/>
      <c r="Q1414" s="209"/>
      <c r="R1414" s="209"/>
      <c r="S1414" s="209"/>
      <c r="T1414" s="209"/>
      <c r="U1414" s="209"/>
      <c r="V1414" s="209"/>
      <c r="W1414" s="209"/>
      <c r="X1414" s="209"/>
      <c r="Y1414" s="209"/>
      <c r="Z1414" s="209"/>
      <c r="AA1414" s="209"/>
      <c r="AB1414" s="209"/>
      <c r="AC1414" s="209"/>
      <c r="AD1414" s="209"/>
      <c r="AE1414" s="209"/>
      <c r="AF1414" s="209"/>
      <c r="AG1414" s="209"/>
      <c r="AH1414" s="209"/>
      <c r="AI1414" s="209"/>
      <c r="AJ1414" s="209"/>
      <c r="AK1414" s="209"/>
    </row>
    <row r="1415">
      <c r="A1415" s="209"/>
      <c r="B1415" s="209"/>
      <c r="C1415" s="209"/>
      <c r="D1415" s="209"/>
      <c r="E1415" s="209"/>
      <c r="F1415" s="209"/>
      <c r="G1415" s="209"/>
      <c r="H1415" s="209"/>
      <c r="I1415" s="209"/>
      <c r="J1415" s="209"/>
      <c r="K1415" s="209"/>
      <c r="L1415" s="209"/>
      <c r="M1415" s="209"/>
      <c r="N1415" s="209"/>
      <c r="O1415" s="209"/>
      <c r="P1415" s="209"/>
      <c r="Q1415" s="209"/>
      <c r="R1415" s="209"/>
      <c r="S1415" s="209"/>
      <c r="T1415" s="209"/>
      <c r="U1415" s="209"/>
      <c r="V1415" s="209"/>
      <c r="W1415" s="209"/>
      <c r="X1415" s="209"/>
      <c r="Y1415" s="209"/>
      <c r="Z1415" s="209"/>
      <c r="AA1415" s="209"/>
      <c r="AB1415" s="209"/>
      <c r="AC1415" s="209"/>
      <c r="AD1415" s="209"/>
      <c r="AE1415" s="209"/>
      <c r="AF1415" s="209"/>
      <c r="AG1415" s="209"/>
      <c r="AH1415" s="209"/>
      <c r="AI1415" s="209"/>
      <c r="AJ1415" s="209"/>
      <c r="AK1415" s="209"/>
    </row>
    <row r="1416">
      <c r="A1416" s="209"/>
      <c r="B1416" s="209"/>
      <c r="C1416" s="209"/>
      <c r="D1416" s="209"/>
      <c r="E1416" s="209"/>
      <c r="F1416" s="209"/>
      <c r="G1416" s="209"/>
      <c r="H1416" s="209"/>
      <c r="I1416" s="209"/>
      <c r="J1416" s="209"/>
      <c r="K1416" s="209"/>
      <c r="L1416" s="209"/>
      <c r="M1416" s="209"/>
      <c r="N1416" s="209"/>
      <c r="O1416" s="209"/>
      <c r="P1416" s="209"/>
      <c r="Q1416" s="209"/>
      <c r="R1416" s="209"/>
      <c r="S1416" s="209"/>
      <c r="T1416" s="209"/>
      <c r="U1416" s="209"/>
      <c r="V1416" s="209"/>
      <c r="W1416" s="209"/>
      <c r="X1416" s="209"/>
      <c r="Y1416" s="209"/>
      <c r="Z1416" s="209"/>
      <c r="AA1416" s="209"/>
      <c r="AB1416" s="209"/>
      <c r="AC1416" s="209"/>
      <c r="AD1416" s="209"/>
      <c r="AE1416" s="209"/>
      <c r="AF1416" s="209"/>
      <c r="AG1416" s="209"/>
      <c r="AH1416" s="209"/>
      <c r="AI1416" s="209"/>
      <c r="AJ1416" s="209"/>
      <c r="AK1416" s="209"/>
    </row>
    <row r="1417">
      <c r="A1417" s="209"/>
      <c r="B1417" s="209"/>
      <c r="C1417" s="209"/>
      <c r="D1417" s="209"/>
      <c r="E1417" s="209"/>
      <c r="F1417" s="209"/>
      <c r="G1417" s="209"/>
      <c r="H1417" s="209"/>
      <c r="I1417" s="209"/>
      <c r="J1417" s="209"/>
      <c r="K1417" s="209"/>
      <c r="L1417" s="209"/>
      <c r="M1417" s="209"/>
      <c r="N1417" s="209"/>
      <c r="O1417" s="209"/>
      <c r="P1417" s="209"/>
      <c r="Q1417" s="209"/>
      <c r="R1417" s="209"/>
      <c r="S1417" s="209"/>
      <c r="T1417" s="209"/>
      <c r="U1417" s="209"/>
      <c r="V1417" s="209"/>
      <c r="W1417" s="209"/>
      <c r="X1417" s="209"/>
      <c r="Y1417" s="209"/>
      <c r="Z1417" s="209"/>
      <c r="AA1417" s="209"/>
      <c r="AB1417" s="209"/>
      <c r="AC1417" s="209"/>
      <c r="AD1417" s="209"/>
      <c r="AE1417" s="209"/>
      <c r="AF1417" s="209"/>
      <c r="AG1417" s="209"/>
      <c r="AH1417" s="209"/>
      <c r="AI1417" s="209"/>
      <c r="AJ1417" s="209"/>
      <c r="AK1417" s="209"/>
    </row>
    <row r="1418">
      <c r="A1418" s="209"/>
      <c r="B1418" s="209"/>
      <c r="C1418" s="209"/>
      <c r="D1418" s="209"/>
      <c r="E1418" s="209"/>
      <c r="F1418" s="209"/>
      <c r="G1418" s="209"/>
      <c r="H1418" s="209"/>
      <c r="I1418" s="209"/>
      <c r="J1418" s="209"/>
      <c r="K1418" s="209"/>
      <c r="L1418" s="209"/>
      <c r="M1418" s="209"/>
      <c r="N1418" s="209"/>
      <c r="O1418" s="209"/>
      <c r="P1418" s="209"/>
      <c r="Q1418" s="209"/>
      <c r="R1418" s="209"/>
      <c r="S1418" s="209"/>
      <c r="T1418" s="209"/>
      <c r="U1418" s="209"/>
      <c r="V1418" s="209"/>
      <c r="W1418" s="209"/>
      <c r="X1418" s="209"/>
      <c r="Y1418" s="209"/>
      <c r="Z1418" s="209"/>
      <c r="AA1418" s="209"/>
      <c r="AB1418" s="209"/>
      <c r="AC1418" s="209"/>
      <c r="AD1418" s="209"/>
      <c r="AE1418" s="209"/>
      <c r="AF1418" s="209"/>
      <c r="AG1418" s="209"/>
      <c r="AH1418" s="209"/>
      <c r="AI1418" s="209"/>
      <c r="AJ1418" s="209"/>
      <c r="AK1418" s="209"/>
    </row>
    <row r="1419">
      <c r="A1419" s="209"/>
      <c r="B1419" s="209"/>
      <c r="C1419" s="209"/>
      <c r="D1419" s="209"/>
      <c r="E1419" s="209"/>
      <c r="F1419" s="209"/>
      <c r="G1419" s="209"/>
      <c r="H1419" s="209"/>
      <c r="I1419" s="209"/>
      <c r="J1419" s="209"/>
      <c r="K1419" s="209"/>
      <c r="L1419" s="209"/>
      <c r="M1419" s="209"/>
      <c r="N1419" s="209"/>
      <c r="O1419" s="209"/>
      <c r="P1419" s="209"/>
      <c r="Q1419" s="209"/>
      <c r="R1419" s="209"/>
      <c r="S1419" s="209"/>
      <c r="T1419" s="209"/>
      <c r="U1419" s="209"/>
      <c r="V1419" s="209"/>
      <c r="W1419" s="209"/>
      <c r="X1419" s="209"/>
      <c r="Y1419" s="209"/>
      <c r="Z1419" s="209"/>
      <c r="AA1419" s="209"/>
      <c r="AB1419" s="209"/>
      <c r="AC1419" s="209"/>
      <c r="AD1419" s="209"/>
      <c r="AE1419" s="209"/>
      <c r="AF1419" s="209"/>
      <c r="AG1419" s="209"/>
      <c r="AH1419" s="209"/>
      <c r="AI1419" s="209"/>
      <c r="AJ1419" s="209"/>
      <c r="AK1419" s="209"/>
    </row>
    <row r="1420">
      <c r="A1420" s="209"/>
      <c r="B1420" s="209"/>
      <c r="C1420" s="209"/>
      <c r="D1420" s="209"/>
      <c r="E1420" s="209"/>
      <c r="F1420" s="209"/>
      <c r="G1420" s="209"/>
      <c r="H1420" s="209"/>
      <c r="I1420" s="209"/>
      <c r="J1420" s="209"/>
      <c r="K1420" s="209"/>
      <c r="L1420" s="209"/>
      <c r="M1420" s="209"/>
      <c r="N1420" s="209"/>
      <c r="O1420" s="209"/>
      <c r="P1420" s="209"/>
      <c r="Q1420" s="209"/>
      <c r="R1420" s="209"/>
      <c r="S1420" s="209"/>
      <c r="T1420" s="209"/>
      <c r="U1420" s="209"/>
      <c r="V1420" s="209"/>
      <c r="W1420" s="209"/>
      <c r="X1420" s="209"/>
      <c r="Y1420" s="209"/>
      <c r="Z1420" s="209"/>
      <c r="AA1420" s="209"/>
      <c r="AB1420" s="209"/>
      <c r="AC1420" s="209"/>
      <c r="AD1420" s="209"/>
      <c r="AE1420" s="209"/>
      <c r="AF1420" s="209"/>
      <c r="AG1420" s="209"/>
      <c r="AH1420" s="209"/>
      <c r="AI1420" s="209"/>
      <c r="AJ1420" s="209"/>
      <c r="AK1420" s="209"/>
    </row>
    <row r="1421">
      <c r="A1421" s="209"/>
      <c r="B1421" s="209"/>
      <c r="C1421" s="209"/>
      <c r="D1421" s="209"/>
      <c r="E1421" s="209"/>
      <c r="F1421" s="209"/>
      <c r="G1421" s="209"/>
      <c r="H1421" s="209"/>
      <c r="I1421" s="209"/>
      <c r="J1421" s="209"/>
      <c r="K1421" s="209"/>
      <c r="L1421" s="209"/>
      <c r="M1421" s="209"/>
      <c r="N1421" s="209"/>
      <c r="O1421" s="209"/>
      <c r="P1421" s="209"/>
      <c r="Q1421" s="209"/>
      <c r="R1421" s="209"/>
      <c r="S1421" s="209"/>
      <c r="T1421" s="209"/>
      <c r="U1421" s="209"/>
      <c r="V1421" s="209"/>
      <c r="W1421" s="209"/>
      <c r="X1421" s="209"/>
      <c r="Y1421" s="209"/>
      <c r="Z1421" s="209"/>
      <c r="AA1421" s="209"/>
      <c r="AB1421" s="209"/>
      <c r="AC1421" s="209"/>
      <c r="AD1421" s="209"/>
      <c r="AE1421" s="209"/>
      <c r="AF1421" s="209"/>
      <c r="AG1421" s="209"/>
      <c r="AH1421" s="209"/>
      <c r="AI1421" s="209"/>
      <c r="AJ1421" s="209"/>
      <c r="AK1421" s="209"/>
    </row>
    <row r="1422">
      <c r="A1422" s="209"/>
      <c r="B1422" s="209"/>
      <c r="C1422" s="209"/>
      <c r="D1422" s="209"/>
      <c r="E1422" s="209"/>
      <c r="F1422" s="209"/>
      <c r="G1422" s="209"/>
      <c r="H1422" s="209"/>
      <c r="I1422" s="209"/>
      <c r="J1422" s="209"/>
      <c r="K1422" s="209"/>
      <c r="L1422" s="209"/>
      <c r="M1422" s="209"/>
      <c r="N1422" s="209"/>
      <c r="O1422" s="209"/>
      <c r="P1422" s="209"/>
      <c r="Q1422" s="209"/>
      <c r="R1422" s="209"/>
      <c r="S1422" s="209"/>
      <c r="T1422" s="209"/>
      <c r="U1422" s="209"/>
      <c r="V1422" s="209"/>
      <c r="W1422" s="209"/>
      <c r="X1422" s="209"/>
      <c r="Y1422" s="209"/>
      <c r="Z1422" s="209"/>
      <c r="AA1422" s="209"/>
      <c r="AB1422" s="209"/>
      <c r="AC1422" s="209"/>
      <c r="AD1422" s="209"/>
      <c r="AE1422" s="209"/>
      <c r="AF1422" s="209"/>
      <c r="AG1422" s="209"/>
      <c r="AH1422" s="209"/>
      <c r="AI1422" s="209"/>
      <c r="AJ1422" s="209"/>
      <c r="AK1422" s="209"/>
    </row>
    <row r="1423">
      <c r="A1423" s="209"/>
      <c r="B1423" s="209"/>
      <c r="C1423" s="209"/>
      <c r="D1423" s="209"/>
      <c r="E1423" s="209"/>
      <c r="F1423" s="209"/>
      <c r="G1423" s="209"/>
      <c r="H1423" s="209"/>
      <c r="I1423" s="209"/>
      <c r="J1423" s="209"/>
      <c r="K1423" s="209"/>
      <c r="L1423" s="209"/>
      <c r="M1423" s="209"/>
      <c r="N1423" s="209"/>
      <c r="O1423" s="209"/>
      <c r="P1423" s="209"/>
      <c r="Q1423" s="209"/>
      <c r="R1423" s="209"/>
      <c r="S1423" s="209"/>
      <c r="T1423" s="209"/>
      <c r="U1423" s="209"/>
      <c r="V1423" s="209"/>
      <c r="W1423" s="209"/>
      <c r="X1423" s="209"/>
      <c r="Y1423" s="209"/>
      <c r="Z1423" s="209"/>
      <c r="AA1423" s="209"/>
      <c r="AB1423" s="209"/>
      <c r="AC1423" s="209"/>
      <c r="AD1423" s="209"/>
      <c r="AE1423" s="209"/>
      <c r="AF1423" s="209"/>
      <c r="AG1423" s="209"/>
      <c r="AH1423" s="209"/>
      <c r="AI1423" s="209"/>
      <c r="AJ1423" s="209"/>
      <c r="AK1423" s="209"/>
    </row>
    <row r="1424">
      <c r="A1424" s="209"/>
      <c r="B1424" s="209"/>
      <c r="C1424" s="209"/>
      <c r="D1424" s="209"/>
      <c r="E1424" s="209"/>
      <c r="F1424" s="209"/>
      <c r="G1424" s="209"/>
      <c r="H1424" s="209"/>
      <c r="I1424" s="209"/>
      <c r="J1424" s="209"/>
      <c r="K1424" s="209"/>
      <c r="L1424" s="209"/>
      <c r="M1424" s="209"/>
      <c r="N1424" s="209"/>
      <c r="O1424" s="209"/>
      <c r="P1424" s="209"/>
      <c r="Q1424" s="209"/>
      <c r="R1424" s="209"/>
      <c r="S1424" s="209"/>
      <c r="T1424" s="209"/>
      <c r="U1424" s="209"/>
      <c r="V1424" s="209"/>
      <c r="W1424" s="209"/>
      <c r="X1424" s="209"/>
      <c r="Y1424" s="209"/>
      <c r="Z1424" s="209"/>
      <c r="AA1424" s="209"/>
      <c r="AB1424" s="209"/>
      <c r="AC1424" s="209"/>
      <c r="AD1424" s="209"/>
      <c r="AE1424" s="209"/>
      <c r="AF1424" s="209"/>
      <c r="AG1424" s="209"/>
      <c r="AH1424" s="209"/>
      <c r="AI1424" s="209"/>
      <c r="AJ1424" s="209"/>
      <c r="AK1424" s="209"/>
    </row>
    <row r="1425">
      <c r="A1425" s="209"/>
      <c r="B1425" s="209"/>
      <c r="C1425" s="209"/>
      <c r="D1425" s="209"/>
      <c r="E1425" s="209"/>
      <c r="F1425" s="209"/>
      <c r="G1425" s="209"/>
      <c r="H1425" s="209"/>
      <c r="I1425" s="209"/>
      <c r="J1425" s="209"/>
      <c r="K1425" s="209"/>
      <c r="L1425" s="209"/>
      <c r="M1425" s="209"/>
      <c r="N1425" s="209"/>
      <c r="O1425" s="209"/>
      <c r="P1425" s="209"/>
      <c r="Q1425" s="209"/>
      <c r="R1425" s="209"/>
      <c r="S1425" s="209"/>
      <c r="T1425" s="209"/>
      <c r="U1425" s="209"/>
      <c r="V1425" s="209"/>
      <c r="W1425" s="209"/>
      <c r="X1425" s="209"/>
      <c r="Y1425" s="209"/>
      <c r="Z1425" s="209"/>
      <c r="AA1425" s="209"/>
      <c r="AB1425" s="209"/>
      <c r="AC1425" s="209"/>
      <c r="AD1425" s="209"/>
      <c r="AE1425" s="209"/>
      <c r="AF1425" s="209"/>
      <c r="AG1425" s="209"/>
      <c r="AH1425" s="209"/>
      <c r="AI1425" s="209"/>
      <c r="AJ1425" s="209"/>
      <c r="AK1425" s="209"/>
    </row>
    <row r="1426">
      <c r="A1426" s="209"/>
      <c r="B1426" s="209"/>
      <c r="C1426" s="209"/>
      <c r="D1426" s="209"/>
      <c r="E1426" s="209"/>
      <c r="F1426" s="209"/>
      <c r="G1426" s="209"/>
      <c r="H1426" s="209"/>
      <c r="I1426" s="209"/>
      <c r="J1426" s="209"/>
      <c r="K1426" s="209"/>
      <c r="L1426" s="209"/>
      <c r="M1426" s="209"/>
      <c r="N1426" s="209"/>
      <c r="O1426" s="209"/>
      <c r="P1426" s="209"/>
      <c r="Q1426" s="209"/>
      <c r="R1426" s="209"/>
      <c r="S1426" s="209"/>
      <c r="T1426" s="209"/>
      <c r="U1426" s="209"/>
      <c r="V1426" s="209"/>
      <c r="W1426" s="209"/>
      <c r="X1426" s="209"/>
      <c r="Y1426" s="209"/>
      <c r="Z1426" s="209"/>
      <c r="AA1426" s="209"/>
      <c r="AB1426" s="209"/>
      <c r="AC1426" s="209"/>
      <c r="AD1426" s="209"/>
      <c r="AE1426" s="209"/>
      <c r="AF1426" s="209"/>
      <c r="AG1426" s="209"/>
      <c r="AH1426" s="209"/>
      <c r="AI1426" s="209"/>
      <c r="AJ1426" s="209"/>
      <c r="AK1426" s="209"/>
    </row>
    <row r="1427">
      <c r="A1427" s="209"/>
      <c r="B1427" s="209"/>
      <c r="C1427" s="209"/>
      <c r="D1427" s="209"/>
      <c r="E1427" s="209"/>
      <c r="F1427" s="209"/>
      <c r="G1427" s="209"/>
      <c r="H1427" s="209"/>
      <c r="I1427" s="209"/>
      <c r="J1427" s="209"/>
      <c r="K1427" s="209"/>
      <c r="L1427" s="209"/>
      <c r="M1427" s="209"/>
      <c r="N1427" s="209"/>
      <c r="O1427" s="209"/>
      <c r="P1427" s="209"/>
      <c r="Q1427" s="209"/>
      <c r="R1427" s="209"/>
      <c r="S1427" s="209"/>
      <c r="T1427" s="209"/>
      <c r="U1427" s="209"/>
      <c r="V1427" s="209"/>
      <c r="W1427" s="209"/>
      <c r="X1427" s="209"/>
      <c r="Y1427" s="209"/>
      <c r="Z1427" s="209"/>
      <c r="AA1427" s="209"/>
      <c r="AB1427" s="209"/>
      <c r="AC1427" s="209"/>
      <c r="AD1427" s="209"/>
      <c r="AE1427" s="209"/>
      <c r="AF1427" s="209"/>
      <c r="AG1427" s="209"/>
      <c r="AH1427" s="209"/>
      <c r="AI1427" s="209"/>
      <c r="AJ1427" s="209"/>
      <c r="AK1427" s="209"/>
    </row>
    <row r="1428">
      <c r="A1428" s="209"/>
      <c r="B1428" s="209"/>
      <c r="C1428" s="209"/>
      <c r="D1428" s="209"/>
      <c r="E1428" s="209"/>
      <c r="F1428" s="209"/>
      <c r="G1428" s="209"/>
      <c r="H1428" s="209"/>
      <c r="I1428" s="209"/>
      <c r="J1428" s="209"/>
      <c r="K1428" s="209"/>
      <c r="L1428" s="209"/>
      <c r="M1428" s="209"/>
      <c r="N1428" s="209"/>
      <c r="O1428" s="209"/>
      <c r="P1428" s="209"/>
      <c r="Q1428" s="209"/>
      <c r="R1428" s="209"/>
      <c r="S1428" s="209"/>
      <c r="T1428" s="209"/>
      <c r="U1428" s="209"/>
      <c r="V1428" s="209"/>
      <c r="W1428" s="209"/>
      <c r="X1428" s="209"/>
      <c r="Y1428" s="209"/>
      <c r="Z1428" s="209"/>
      <c r="AA1428" s="209"/>
      <c r="AB1428" s="209"/>
      <c r="AC1428" s="209"/>
      <c r="AD1428" s="209"/>
      <c r="AE1428" s="209"/>
      <c r="AF1428" s="209"/>
      <c r="AG1428" s="209"/>
      <c r="AH1428" s="209"/>
      <c r="AI1428" s="209"/>
      <c r="AJ1428" s="209"/>
      <c r="AK1428" s="209"/>
    </row>
    <row r="1429">
      <c r="A1429" s="209"/>
      <c r="B1429" s="209"/>
      <c r="C1429" s="209"/>
      <c r="D1429" s="209"/>
      <c r="E1429" s="209"/>
      <c r="F1429" s="209"/>
      <c r="G1429" s="209"/>
      <c r="H1429" s="209"/>
      <c r="I1429" s="209"/>
      <c r="J1429" s="209"/>
      <c r="K1429" s="209"/>
      <c r="L1429" s="209"/>
      <c r="M1429" s="209"/>
      <c r="N1429" s="209"/>
      <c r="O1429" s="209"/>
      <c r="P1429" s="209"/>
      <c r="Q1429" s="209"/>
      <c r="R1429" s="209"/>
      <c r="S1429" s="209"/>
      <c r="T1429" s="209"/>
      <c r="U1429" s="209"/>
      <c r="V1429" s="209"/>
      <c r="W1429" s="209"/>
      <c r="X1429" s="209"/>
      <c r="Y1429" s="209"/>
      <c r="Z1429" s="209"/>
      <c r="AA1429" s="209"/>
      <c r="AB1429" s="209"/>
      <c r="AC1429" s="209"/>
      <c r="AD1429" s="209"/>
      <c r="AE1429" s="209"/>
      <c r="AF1429" s="209"/>
      <c r="AG1429" s="209"/>
      <c r="AH1429" s="209"/>
      <c r="AI1429" s="209"/>
      <c r="AJ1429" s="209"/>
      <c r="AK1429" s="209"/>
    </row>
    <row r="1430">
      <c r="A1430" s="209"/>
      <c r="B1430" s="209"/>
      <c r="C1430" s="209"/>
      <c r="D1430" s="209"/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209"/>
      <c r="P1430" s="209"/>
      <c r="Q1430" s="209"/>
      <c r="R1430" s="209"/>
      <c r="S1430" s="209"/>
      <c r="T1430" s="209"/>
      <c r="U1430" s="209"/>
      <c r="V1430" s="209"/>
      <c r="W1430" s="209"/>
      <c r="X1430" s="209"/>
      <c r="Y1430" s="209"/>
      <c r="Z1430" s="209"/>
      <c r="AA1430" s="209"/>
      <c r="AB1430" s="209"/>
      <c r="AC1430" s="209"/>
      <c r="AD1430" s="209"/>
      <c r="AE1430" s="209"/>
      <c r="AF1430" s="209"/>
      <c r="AG1430" s="209"/>
      <c r="AH1430" s="209"/>
      <c r="AI1430" s="209"/>
      <c r="AJ1430" s="209"/>
      <c r="AK1430" s="209"/>
    </row>
    <row r="1431">
      <c r="A1431" s="209"/>
      <c r="B1431" s="209"/>
      <c r="C1431" s="209"/>
      <c r="D1431" s="209"/>
      <c r="E1431" s="209"/>
      <c r="F1431" s="209"/>
      <c r="G1431" s="209"/>
      <c r="H1431" s="209"/>
      <c r="I1431" s="209"/>
      <c r="J1431" s="209"/>
      <c r="K1431" s="209"/>
      <c r="L1431" s="209"/>
      <c r="M1431" s="209"/>
      <c r="N1431" s="209"/>
      <c r="O1431" s="209"/>
      <c r="P1431" s="209"/>
      <c r="Q1431" s="209"/>
      <c r="R1431" s="209"/>
      <c r="S1431" s="209"/>
      <c r="T1431" s="209"/>
      <c r="U1431" s="209"/>
      <c r="V1431" s="209"/>
      <c r="W1431" s="209"/>
      <c r="X1431" s="209"/>
      <c r="Y1431" s="209"/>
      <c r="Z1431" s="209"/>
      <c r="AA1431" s="209"/>
      <c r="AB1431" s="209"/>
      <c r="AC1431" s="209"/>
      <c r="AD1431" s="209"/>
      <c r="AE1431" s="209"/>
      <c r="AF1431" s="209"/>
      <c r="AG1431" s="209"/>
      <c r="AH1431" s="209"/>
      <c r="AI1431" s="209"/>
      <c r="AJ1431" s="209"/>
      <c r="AK1431" s="209"/>
    </row>
    <row r="1432">
      <c r="A1432" s="209"/>
      <c r="B1432" s="209"/>
      <c r="C1432" s="209"/>
      <c r="D1432" s="209"/>
      <c r="E1432" s="209"/>
      <c r="F1432" s="209"/>
      <c r="G1432" s="209"/>
      <c r="H1432" s="209"/>
      <c r="I1432" s="209"/>
      <c r="J1432" s="209"/>
      <c r="K1432" s="209"/>
      <c r="L1432" s="209"/>
      <c r="M1432" s="209"/>
      <c r="N1432" s="209"/>
      <c r="O1432" s="209"/>
      <c r="P1432" s="209"/>
      <c r="Q1432" s="209"/>
      <c r="R1432" s="209"/>
      <c r="S1432" s="209"/>
      <c r="T1432" s="209"/>
      <c r="U1432" s="209"/>
      <c r="V1432" s="209"/>
      <c r="W1432" s="209"/>
      <c r="X1432" s="209"/>
      <c r="Y1432" s="209"/>
      <c r="Z1432" s="209"/>
      <c r="AA1432" s="209"/>
      <c r="AB1432" s="209"/>
      <c r="AC1432" s="209"/>
      <c r="AD1432" s="209"/>
      <c r="AE1432" s="209"/>
      <c r="AF1432" s="209"/>
      <c r="AG1432" s="209"/>
      <c r="AH1432" s="209"/>
      <c r="AI1432" s="209"/>
      <c r="AJ1432" s="209"/>
      <c r="AK1432" s="209"/>
    </row>
    <row r="1433">
      <c r="A1433" s="209"/>
      <c r="B1433" s="209"/>
      <c r="C1433" s="209"/>
      <c r="D1433" s="209"/>
      <c r="E1433" s="209"/>
      <c r="F1433" s="209"/>
      <c r="G1433" s="209"/>
      <c r="H1433" s="209"/>
      <c r="I1433" s="209"/>
      <c r="J1433" s="209"/>
      <c r="K1433" s="209"/>
      <c r="L1433" s="209"/>
      <c r="M1433" s="209"/>
      <c r="N1433" s="209"/>
      <c r="O1433" s="209"/>
      <c r="P1433" s="209"/>
      <c r="Q1433" s="209"/>
      <c r="R1433" s="209"/>
      <c r="S1433" s="209"/>
      <c r="T1433" s="209"/>
      <c r="U1433" s="209"/>
      <c r="V1433" s="209"/>
      <c r="W1433" s="209"/>
      <c r="X1433" s="209"/>
      <c r="Y1433" s="209"/>
      <c r="Z1433" s="209"/>
      <c r="AA1433" s="209"/>
      <c r="AB1433" s="209"/>
      <c r="AC1433" s="209"/>
      <c r="AD1433" s="209"/>
      <c r="AE1433" s="209"/>
      <c r="AF1433" s="209"/>
      <c r="AG1433" s="209"/>
      <c r="AH1433" s="209"/>
      <c r="AI1433" s="209"/>
      <c r="AJ1433" s="209"/>
      <c r="AK1433" s="209"/>
    </row>
    <row r="1434">
      <c r="A1434" s="209"/>
      <c r="B1434" s="209"/>
      <c r="C1434" s="209"/>
      <c r="D1434" s="209"/>
      <c r="E1434" s="209"/>
      <c r="F1434" s="209"/>
      <c r="G1434" s="209"/>
      <c r="H1434" s="209"/>
      <c r="I1434" s="209"/>
      <c r="J1434" s="209"/>
      <c r="K1434" s="209"/>
      <c r="L1434" s="209"/>
      <c r="M1434" s="209"/>
      <c r="N1434" s="209"/>
      <c r="O1434" s="209"/>
      <c r="P1434" s="209"/>
      <c r="Q1434" s="209"/>
      <c r="R1434" s="209"/>
      <c r="S1434" s="209"/>
      <c r="T1434" s="209"/>
      <c r="U1434" s="209"/>
      <c r="V1434" s="209"/>
      <c r="W1434" s="209"/>
      <c r="X1434" s="209"/>
      <c r="Y1434" s="209"/>
      <c r="Z1434" s="209"/>
      <c r="AA1434" s="209"/>
      <c r="AB1434" s="209"/>
      <c r="AC1434" s="209"/>
      <c r="AD1434" s="209"/>
      <c r="AE1434" s="209"/>
      <c r="AF1434" s="209"/>
      <c r="AG1434" s="209"/>
      <c r="AH1434" s="209"/>
      <c r="AI1434" s="209"/>
      <c r="AJ1434" s="209"/>
      <c r="AK1434" s="209"/>
    </row>
    <row r="1435">
      <c r="A1435" s="209"/>
      <c r="B1435" s="209"/>
      <c r="C1435" s="209"/>
      <c r="D1435" s="209"/>
      <c r="E1435" s="209"/>
      <c r="F1435" s="209"/>
      <c r="G1435" s="209"/>
      <c r="H1435" s="209"/>
      <c r="I1435" s="209"/>
      <c r="J1435" s="209"/>
      <c r="K1435" s="209"/>
      <c r="L1435" s="209"/>
      <c r="M1435" s="209"/>
      <c r="N1435" s="209"/>
      <c r="O1435" s="209"/>
      <c r="P1435" s="209"/>
      <c r="Q1435" s="209"/>
      <c r="R1435" s="209"/>
      <c r="S1435" s="209"/>
      <c r="T1435" s="209"/>
      <c r="U1435" s="209"/>
      <c r="V1435" s="209"/>
      <c r="W1435" s="209"/>
      <c r="X1435" s="209"/>
      <c r="Y1435" s="209"/>
      <c r="Z1435" s="209"/>
      <c r="AA1435" s="209"/>
      <c r="AB1435" s="209"/>
      <c r="AC1435" s="209"/>
      <c r="AD1435" s="209"/>
      <c r="AE1435" s="209"/>
      <c r="AF1435" s="209"/>
      <c r="AG1435" s="209"/>
      <c r="AH1435" s="209"/>
      <c r="AI1435" s="209"/>
      <c r="AJ1435" s="209"/>
      <c r="AK1435" s="209"/>
    </row>
    <row r="1436">
      <c r="A1436" s="209"/>
      <c r="B1436" s="209"/>
      <c r="C1436" s="209"/>
      <c r="D1436" s="209"/>
      <c r="E1436" s="209"/>
      <c r="F1436" s="209"/>
      <c r="G1436" s="209"/>
      <c r="H1436" s="209"/>
      <c r="I1436" s="209"/>
      <c r="J1436" s="209"/>
      <c r="K1436" s="209"/>
      <c r="L1436" s="209"/>
      <c r="M1436" s="209"/>
      <c r="N1436" s="209"/>
      <c r="O1436" s="209"/>
      <c r="P1436" s="209"/>
      <c r="Q1436" s="209"/>
      <c r="R1436" s="209"/>
      <c r="S1436" s="209"/>
      <c r="T1436" s="209"/>
      <c r="U1436" s="209"/>
      <c r="V1436" s="209"/>
      <c r="W1436" s="209"/>
      <c r="X1436" s="209"/>
      <c r="Y1436" s="209"/>
      <c r="Z1436" s="209"/>
      <c r="AA1436" s="209"/>
      <c r="AB1436" s="209"/>
      <c r="AC1436" s="209"/>
      <c r="AD1436" s="209"/>
      <c r="AE1436" s="209"/>
      <c r="AF1436" s="209"/>
      <c r="AG1436" s="209"/>
      <c r="AH1436" s="209"/>
      <c r="AI1436" s="209"/>
      <c r="AJ1436" s="209"/>
      <c r="AK1436" s="209"/>
    </row>
    <row r="1437">
      <c r="A1437" s="209"/>
      <c r="B1437" s="209"/>
      <c r="C1437" s="209"/>
      <c r="D1437" s="209"/>
      <c r="E1437" s="209"/>
      <c r="F1437" s="209"/>
      <c r="G1437" s="209"/>
      <c r="H1437" s="209"/>
      <c r="I1437" s="209"/>
      <c r="J1437" s="209"/>
      <c r="K1437" s="209"/>
      <c r="L1437" s="209"/>
      <c r="M1437" s="209"/>
      <c r="N1437" s="209"/>
      <c r="O1437" s="209"/>
      <c r="P1437" s="209"/>
      <c r="Q1437" s="209"/>
      <c r="R1437" s="209"/>
      <c r="S1437" s="209"/>
      <c r="T1437" s="209"/>
      <c r="U1437" s="209"/>
      <c r="V1437" s="209"/>
      <c r="W1437" s="209"/>
      <c r="X1437" s="209"/>
      <c r="Y1437" s="209"/>
      <c r="Z1437" s="209"/>
      <c r="AA1437" s="209"/>
      <c r="AB1437" s="209"/>
      <c r="AC1437" s="209"/>
      <c r="AD1437" s="209"/>
      <c r="AE1437" s="209"/>
      <c r="AF1437" s="209"/>
      <c r="AG1437" s="209"/>
      <c r="AH1437" s="209"/>
      <c r="AI1437" s="209"/>
      <c r="AJ1437" s="209"/>
      <c r="AK1437" s="209"/>
    </row>
    <row r="1438">
      <c r="A1438" s="209"/>
      <c r="B1438" s="209"/>
      <c r="C1438" s="209"/>
      <c r="D1438" s="209"/>
      <c r="E1438" s="209"/>
      <c r="F1438" s="209"/>
      <c r="G1438" s="209"/>
      <c r="H1438" s="209"/>
      <c r="I1438" s="209"/>
      <c r="J1438" s="209"/>
      <c r="K1438" s="209"/>
      <c r="L1438" s="209"/>
      <c r="M1438" s="209"/>
      <c r="N1438" s="209"/>
      <c r="O1438" s="209"/>
      <c r="P1438" s="209"/>
      <c r="Q1438" s="209"/>
      <c r="R1438" s="209"/>
      <c r="S1438" s="209"/>
      <c r="T1438" s="209"/>
      <c r="U1438" s="209"/>
      <c r="V1438" s="209"/>
      <c r="W1438" s="209"/>
      <c r="X1438" s="209"/>
      <c r="Y1438" s="209"/>
      <c r="Z1438" s="209"/>
      <c r="AA1438" s="209"/>
      <c r="AB1438" s="209"/>
      <c r="AC1438" s="209"/>
      <c r="AD1438" s="209"/>
      <c r="AE1438" s="209"/>
      <c r="AF1438" s="209"/>
      <c r="AG1438" s="209"/>
      <c r="AH1438" s="209"/>
      <c r="AI1438" s="209"/>
      <c r="AJ1438" s="209"/>
      <c r="AK1438" s="209"/>
    </row>
    <row r="1439">
      <c r="A1439" s="209"/>
      <c r="B1439" s="209"/>
      <c r="C1439" s="209"/>
      <c r="D1439" s="209"/>
      <c r="E1439" s="209"/>
      <c r="F1439" s="209"/>
      <c r="G1439" s="209"/>
      <c r="H1439" s="209"/>
      <c r="I1439" s="209"/>
      <c r="J1439" s="209"/>
      <c r="K1439" s="209"/>
      <c r="L1439" s="209"/>
      <c r="M1439" s="209"/>
      <c r="N1439" s="209"/>
      <c r="O1439" s="209"/>
      <c r="P1439" s="209"/>
      <c r="Q1439" s="209"/>
      <c r="R1439" s="209"/>
      <c r="S1439" s="209"/>
      <c r="T1439" s="209"/>
      <c r="U1439" s="209"/>
      <c r="V1439" s="209"/>
      <c r="W1439" s="209"/>
      <c r="X1439" s="209"/>
      <c r="Y1439" s="209"/>
      <c r="Z1439" s="209"/>
      <c r="AA1439" s="209"/>
      <c r="AB1439" s="209"/>
      <c r="AC1439" s="209"/>
      <c r="AD1439" s="209"/>
      <c r="AE1439" s="209"/>
      <c r="AF1439" s="209"/>
      <c r="AG1439" s="209"/>
      <c r="AH1439" s="209"/>
      <c r="AI1439" s="209"/>
      <c r="AJ1439" s="209"/>
      <c r="AK1439" s="209"/>
    </row>
    <row r="1440">
      <c r="A1440" s="209"/>
      <c r="B1440" s="209"/>
      <c r="C1440" s="209"/>
      <c r="D1440" s="209"/>
      <c r="E1440" s="209"/>
      <c r="F1440" s="209"/>
      <c r="G1440" s="209"/>
      <c r="H1440" s="209"/>
      <c r="I1440" s="209"/>
      <c r="J1440" s="209"/>
      <c r="K1440" s="209"/>
      <c r="L1440" s="209"/>
      <c r="M1440" s="209"/>
      <c r="N1440" s="209"/>
      <c r="O1440" s="209"/>
      <c r="P1440" s="209"/>
      <c r="Q1440" s="209"/>
      <c r="R1440" s="209"/>
      <c r="S1440" s="209"/>
      <c r="T1440" s="209"/>
      <c r="U1440" s="209"/>
      <c r="V1440" s="209"/>
      <c r="W1440" s="209"/>
      <c r="X1440" s="209"/>
      <c r="Y1440" s="209"/>
      <c r="Z1440" s="209"/>
      <c r="AA1440" s="209"/>
      <c r="AB1440" s="209"/>
      <c r="AC1440" s="209"/>
      <c r="AD1440" s="209"/>
      <c r="AE1440" s="209"/>
      <c r="AF1440" s="209"/>
      <c r="AG1440" s="209"/>
      <c r="AH1440" s="209"/>
      <c r="AI1440" s="209"/>
      <c r="AJ1440" s="209"/>
      <c r="AK1440" s="209"/>
    </row>
    <row r="1441">
      <c r="A1441" s="209"/>
      <c r="B1441" s="209"/>
      <c r="C1441" s="209"/>
      <c r="D1441" s="209"/>
      <c r="E1441" s="209"/>
      <c r="F1441" s="209"/>
      <c r="G1441" s="209"/>
      <c r="H1441" s="209"/>
      <c r="I1441" s="209"/>
      <c r="J1441" s="209"/>
      <c r="K1441" s="209"/>
      <c r="L1441" s="209"/>
      <c r="M1441" s="209"/>
      <c r="N1441" s="209"/>
      <c r="O1441" s="209"/>
      <c r="P1441" s="209"/>
      <c r="Q1441" s="209"/>
      <c r="R1441" s="209"/>
      <c r="S1441" s="209"/>
      <c r="T1441" s="209"/>
      <c r="U1441" s="209"/>
      <c r="V1441" s="209"/>
      <c r="W1441" s="209"/>
      <c r="X1441" s="209"/>
      <c r="Y1441" s="209"/>
      <c r="Z1441" s="209"/>
      <c r="AA1441" s="209"/>
      <c r="AB1441" s="209"/>
      <c r="AC1441" s="209"/>
      <c r="AD1441" s="209"/>
      <c r="AE1441" s="209"/>
      <c r="AF1441" s="209"/>
      <c r="AG1441" s="209"/>
      <c r="AH1441" s="209"/>
      <c r="AI1441" s="209"/>
      <c r="AJ1441" s="209"/>
      <c r="AK1441" s="209"/>
    </row>
    <row r="1442">
      <c r="A1442" s="209"/>
      <c r="B1442" s="209"/>
      <c r="C1442" s="209"/>
      <c r="D1442" s="209"/>
      <c r="E1442" s="209"/>
      <c r="F1442" s="209"/>
      <c r="G1442" s="209"/>
      <c r="H1442" s="209"/>
      <c r="I1442" s="209"/>
      <c r="J1442" s="209"/>
      <c r="K1442" s="209"/>
      <c r="L1442" s="209"/>
      <c r="M1442" s="209"/>
      <c r="N1442" s="209"/>
      <c r="O1442" s="209"/>
      <c r="P1442" s="209"/>
      <c r="Q1442" s="209"/>
      <c r="R1442" s="209"/>
      <c r="S1442" s="209"/>
      <c r="T1442" s="209"/>
      <c r="U1442" s="209"/>
      <c r="V1442" s="209"/>
      <c r="W1442" s="209"/>
      <c r="X1442" s="209"/>
      <c r="Y1442" s="209"/>
      <c r="Z1442" s="209"/>
      <c r="AA1442" s="209"/>
      <c r="AB1442" s="209"/>
      <c r="AC1442" s="209"/>
      <c r="AD1442" s="209"/>
      <c r="AE1442" s="209"/>
      <c r="AF1442" s="209"/>
      <c r="AG1442" s="209"/>
      <c r="AH1442" s="209"/>
      <c r="AI1442" s="209"/>
      <c r="AJ1442" s="209"/>
      <c r="AK1442" s="209"/>
    </row>
    <row r="1443">
      <c r="A1443" s="209"/>
      <c r="B1443" s="209"/>
      <c r="C1443" s="209"/>
      <c r="D1443" s="209"/>
      <c r="E1443" s="209"/>
      <c r="F1443" s="209"/>
      <c r="G1443" s="209"/>
      <c r="H1443" s="209"/>
      <c r="I1443" s="209"/>
      <c r="J1443" s="209"/>
      <c r="K1443" s="209"/>
      <c r="L1443" s="209"/>
      <c r="M1443" s="209"/>
      <c r="N1443" s="209"/>
      <c r="O1443" s="209"/>
      <c r="P1443" s="209"/>
      <c r="Q1443" s="209"/>
      <c r="R1443" s="209"/>
      <c r="S1443" s="209"/>
      <c r="T1443" s="209"/>
      <c r="U1443" s="209"/>
      <c r="V1443" s="209"/>
      <c r="W1443" s="209"/>
      <c r="X1443" s="209"/>
      <c r="Y1443" s="209"/>
      <c r="Z1443" s="209"/>
      <c r="AA1443" s="209"/>
      <c r="AB1443" s="209"/>
      <c r="AC1443" s="209"/>
      <c r="AD1443" s="209"/>
      <c r="AE1443" s="209"/>
      <c r="AF1443" s="209"/>
      <c r="AG1443" s="209"/>
      <c r="AH1443" s="209"/>
      <c r="AI1443" s="209"/>
      <c r="AJ1443" s="209"/>
      <c r="AK1443" s="209"/>
    </row>
    <row r="1444">
      <c r="A1444" s="209"/>
      <c r="B1444" s="209"/>
      <c r="C1444" s="209"/>
      <c r="D1444" s="209"/>
      <c r="E1444" s="209"/>
      <c r="F1444" s="209"/>
      <c r="G1444" s="209"/>
      <c r="H1444" s="209"/>
      <c r="I1444" s="209"/>
      <c r="J1444" s="209"/>
      <c r="K1444" s="209"/>
      <c r="L1444" s="209"/>
      <c r="M1444" s="209"/>
      <c r="N1444" s="209"/>
      <c r="O1444" s="209"/>
      <c r="P1444" s="209"/>
      <c r="Q1444" s="209"/>
      <c r="R1444" s="209"/>
      <c r="S1444" s="209"/>
      <c r="T1444" s="209"/>
      <c r="U1444" s="209"/>
      <c r="V1444" s="209"/>
      <c r="W1444" s="209"/>
      <c r="X1444" s="209"/>
      <c r="Y1444" s="209"/>
      <c r="Z1444" s="209"/>
      <c r="AA1444" s="209"/>
      <c r="AB1444" s="209"/>
      <c r="AC1444" s="209"/>
      <c r="AD1444" s="209"/>
      <c r="AE1444" s="209"/>
      <c r="AF1444" s="209"/>
      <c r="AG1444" s="209"/>
      <c r="AH1444" s="209"/>
      <c r="AI1444" s="209"/>
      <c r="AJ1444" s="209"/>
      <c r="AK1444" s="209"/>
    </row>
    <row r="1445">
      <c r="A1445" s="209"/>
      <c r="B1445" s="209"/>
      <c r="C1445" s="209"/>
      <c r="D1445" s="209"/>
      <c r="E1445" s="209"/>
      <c r="F1445" s="209"/>
      <c r="G1445" s="209"/>
      <c r="H1445" s="209"/>
      <c r="I1445" s="209"/>
      <c r="J1445" s="209"/>
      <c r="K1445" s="209"/>
      <c r="L1445" s="209"/>
      <c r="M1445" s="209"/>
      <c r="N1445" s="209"/>
      <c r="O1445" s="209"/>
      <c r="P1445" s="209"/>
      <c r="Q1445" s="209"/>
      <c r="R1445" s="209"/>
      <c r="S1445" s="209"/>
      <c r="T1445" s="209"/>
      <c r="U1445" s="209"/>
      <c r="V1445" s="209"/>
      <c r="W1445" s="209"/>
      <c r="X1445" s="209"/>
      <c r="Y1445" s="209"/>
      <c r="Z1445" s="209"/>
      <c r="AA1445" s="209"/>
      <c r="AB1445" s="209"/>
      <c r="AC1445" s="209"/>
      <c r="AD1445" s="209"/>
      <c r="AE1445" s="209"/>
      <c r="AF1445" s="209"/>
      <c r="AG1445" s="209"/>
      <c r="AH1445" s="209"/>
      <c r="AI1445" s="209"/>
      <c r="AJ1445" s="209"/>
      <c r="AK1445" s="209"/>
    </row>
    <row r="1446">
      <c r="A1446" s="209"/>
      <c r="B1446" s="209"/>
      <c r="C1446" s="209"/>
      <c r="D1446" s="209"/>
      <c r="E1446" s="209"/>
      <c r="F1446" s="209"/>
      <c r="G1446" s="209"/>
      <c r="H1446" s="209"/>
      <c r="I1446" s="209"/>
      <c r="J1446" s="209"/>
      <c r="K1446" s="209"/>
      <c r="L1446" s="209"/>
      <c r="M1446" s="209"/>
      <c r="N1446" s="209"/>
      <c r="O1446" s="209"/>
      <c r="P1446" s="209"/>
      <c r="Q1446" s="209"/>
      <c r="R1446" s="209"/>
      <c r="S1446" s="209"/>
      <c r="T1446" s="209"/>
      <c r="U1446" s="209"/>
      <c r="V1446" s="209"/>
      <c r="W1446" s="209"/>
      <c r="X1446" s="209"/>
      <c r="Y1446" s="209"/>
      <c r="Z1446" s="209"/>
      <c r="AA1446" s="209"/>
      <c r="AB1446" s="209"/>
      <c r="AC1446" s="209"/>
      <c r="AD1446" s="209"/>
      <c r="AE1446" s="209"/>
      <c r="AF1446" s="209"/>
      <c r="AG1446" s="209"/>
      <c r="AH1446" s="209"/>
      <c r="AI1446" s="209"/>
      <c r="AJ1446" s="209"/>
      <c r="AK1446" s="209"/>
    </row>
    <row r="1447">
      <c r="A1447" s="209"/>
      <c r="B1447" s="209"/>
      <c r="C1447" s="209"/>
      <c r="D1447" s="209"/>
      <c r="E1447" s="209"/>
      <c r="F1447" s="209"/>
      <c r="G1447" s="209"/>
      <c r="H1447" s="209"/>
      <c r="I1447" s="209"/>
      <c r="J1447" s="209"/>
      <c r="K1447" s="209"/>
      <c r="L1447" s="209"/>
      <c r="M1447" s="209"/>
      <c r="N1447" s="209"/>
      <c r="O1447" s="209"/>
      <c r="P1447" s="209"/>
      <c r="Q1447" s="209"/>
      <c r="R1447" s="209"/>
      <c r="S1447" s="209"/>
      <c r="T1447" s="209"/>
      <c r="U1447" s="209"/>
      <c r="V1447" s="209"/>
      <c r="W1447" s="209"/>
      <c r="X1447" s="209"/>
      <c r="Y1447" s="209"/>
      <c r="Z1447" s="209"/>
      <c r="AA1447" s="209"/>
      <c r="AB1447" s="209"/>
      <c r="AC1447" s="209"/>
      <c r="AD1447" s="209"/>
      <c r="AE1447" s="209"/>
      <c r="AF1447" s="209"/>
      <c r="AG1447" s="209"/>
      <c r="AH1447" s="209"/>
      <c r="AI1447" s="209"/>
      <c r="AJ1447" s="209"/>
      <c r="AK1447" s="209"/>
    </row>
    <row r="1448">
      <c r="A1448" s="209"/>
      <c r="B1448" s="209"/>
      <c r="C1448" s="209"/>
      <c r="D1448" s="209"/>
      <c r="E1448" s="209"/>
      <c r="F1448" s="209"/>
      <c r="G1448" s="209"/>
      <c r="H1448" s="209"/>
      <c r="I1448" s="209"/>
      <c r="J1448" s="209"/>
      <c r="K1448" s="209"/>
      <c r="L1448" s="209"/>
      <c r="M1448" s="209"/>
      <c r="N1448" s="209"/>
      <c r="O1448" s="209"/>
      <c r="P1448" s="209"/>
      <c r="Q1448" s="209"/>
      <c r="R1448" s="209"/>
      <c r="S1448" s="209"/>
      <c r="T1448" s="209"/>
      <c r="U1448" s="209"/>
      <c r="V1448" s="209"/>
      <c r="W1448" s="209"/>
      <c r="X1448" s="209"/>
      <c r="Y1448" s="209"/>
      <c r="Z1448" s="209"/>
      <c r="AA1448" s="209"/>
      <c r="AB1448" s="209"/>
      <c r="AC1448" s="209"/>
      <c r="AD1448" s="209"/>
      <c r="AE1448" s="209"/>
      <c r="AF1448" s="209"/>
      <c r="AG1448" s="209"/>
      <c r="AH1448" s="209"/>
      <c r="AI1448" s="209"/>
      <c r="AJ1448" s="209"/>
      <c r="AK1448" s="209"/>
    </row>
    <row r="1449">
      <c r="A1449" s="209"/>
      <c r="B1449" s="209"/>
      <c r="C1449" s="209"/>
      <c r="D1449" s="209"/>
      <c r="E1449" s="209"/>
      <c r="F1449" s="209"/>
      <c r="G1449" s="209"/>
      <c r="H1449" s="209"/>
      <c r="I1449" s="209"/>
      <c r="J1449" s="209"/>
      <c r="K1449" s="209"/>
      <c r="L1449" s="209"/>
      <c r="M1449" s="209"/>
      <c r="N1449" s="209"/>
      <c r="O1449" s="209"/>
      <c r="P1449" s="209"/>
      <c r="Q1449" s="209"/>
      <c r="R1449" s="209"/>
      <c r="S1449" s="209"/>
      <c r="T1449" s="209"/>
      <c r="U1449" s="209"/>
      <c r="V1449" s="209"/>
      <c r="W1449" s="209"/>
      <c r="X1449" s="209"/>
      <c r="Y1449" s="209"/>
      <c r="Z1449" s="209"/>
      <c r="AA1449" s="209"/>
      <c r="AB1449" s="209"/>
      <c r="AC1449" s="209"/>
      <c r="AD1449" s="209"/>
      <c r="AE1449" s="209"/>
      <c r="AF1449" s="209"/>
      <c r="AG1449" s="209"/>
      <c r="AH1449" s="209"/>
      <c r="AI1449" s="209"/>
      <c r="AJ1449" s="209"/>
      <c r="AK1449" s="209"/>
    </row>
    <row r="1450">
      <c r="A1450" s="209"/>
      <c r="B1450" s="209"/>
      <c r="C1450" s="209"/>
      <c r="D1450" s="209"/>
      <c r="E1450" s="209"/>
      <c r="F1450" s="209"/>
      <c r="G1450" s="209"/>
      <c r="H1450" s="209"/>
      <c r="I1450" s="209"/>
      <c r="J1450" s="209"/>
      <c r="K1450" s="209"/>
      <c r="L1450" s="209"/>
      <c r="M1450" s="209"/>
      <c r="N1450" s="209"/>
      <c r="O1450" s="209"/>
      <c r="P1450" s="209"/>
      <c r="Q1450" s="209"/>
      <c r="R1450" s="209"/>
      <c r="S1450" s="209"/>
      <c r="T1450" s="209"/>
      <c r="U1450" s="209"/>
      <c r="V1450" s="209"/>
      <c r="W1450" s="209"/>
      <c r="X1450" s="209"/>
      <c r="Y1450" s="209"/>
      <c r="Z1450" s="209"/>
      <c r="AA1450" s="209"/>
      <c r="AB1450" s="209"/>
      <c r="AC1450" s="209"/>
      <c r="AD1450" s="209"/>
      <c r="AE1450" s="209"/>
      <c r="AF1450" s="209"/>
      <c r="AG1450" s="209"/>
      <c r="AH1450" s="209"/>
      <c r="AI1450" s="209"/>
      <c r="AJ1450" s="209"/>
      <c r="AK1450" s="209"/>
    </row>
    <row r="1451">
      <c r="A1451" s="209"/>
      <c r="B1451" s="209"/>
      <c r="C1451" s="209"/>
      <c r="D1451" s="209"/>
      <c r="E1451" s="209"/>
      <c r="F1451" s="209"/>
      <c r="G1451" s="209"/>
      <c r="H1451" s="209"/>
      <c r="I1451" s="209"/>
      <c r="J1451" s="209"/>
      <c r="K1451" s="209"/>
      <c r="L1451" s="209"/>
      <c r="M1451" s="209"/>
      <c r="N1451" s="209"/>
      <c r="O1451" s="209"/>
      <c r="P1451" s="209"/>
      <c r="Q1451" s="209"/>
      <c r="R1451" s="209"/>
      <c r="S1451" s="209"/>
      <c r="T1451" s="209"/>
      <c r="U1451" s="209"/>
      <c r="V1451" s="209"/>
      <c r="W1451" s="209"/>
      <c r="X1451" s="209"/>
      <c r="Y1451" s="209"/>
      <c r="Z1451" s="209"/>
      <c r="AA1451" s="209"/>
      <c r="AB1451" s="209"/>
      <c r="AC1451" s="209"/>
      <c r="AD1451" s="209"/>
      <c r="AE1451" s="209"/>
      <c r="AF1451" s="209"/>
      <c r="AG1451" s="209"/>
      <c r="AH1451" s="209"/>
      <c r="AI1451" s="209"/>
      <c r="AJ1451" s="209"/>
      <c r="AK1451" s="209"/>
    </row>
    <row r="1452">
      <c r="A1452" s="209"/>
      <c r="B1452" s="209"/>
      <c r="C1452" s="209"/>
      <c r="D1452" s="209"/>
      <c r="E1452" s="209"/>
      <c r="F1452" s="209"/>
      <c r="G1452" s="209"/>
      <c r="H1452" s="209"/>
      <c r="I1452" s="209"/>
      <c r="J1452" s="209"/>
      <c r="K1452" s="209"/>
      <c r="L1452" s="209"/>
      <c r="M1452" s="209"/>
      <c r="N1452" s="209"/>
      <c r="O1452" s="209"/>
      <c r="P1452" s="209"/>
      <c r="Q1452" s="209"/>
      <c r="R1452" s="209"/>
      <c r="S1452" s="209"/>
      <c r="T1452" s="209"/>
      <c r="U1452" s="209"/>
      <c r="V1452" s="209"/>
      <c r="W1452" s="209"/>
      <c r="X1452" s="209"/>
      <c r="Y1452" s="209"/>
      <c r="Z1452" s="209"/>
      <c r="AA1452" s="209"/>
      <c r="AB1452" s="209"/>
      <c r="AC1452" s="209"/>
      <c r="AD1452" s="209"/>
      <c r="AE1452" s="209"/>
      <c r="AF1452" s="209"/>
      <c r="AG1452" s="209"/>
      <c r="AH1452" s="209"/>
      <c r="AI1452" s="209"/>
      <c r="AJ1452" s="209"/>
      <c r="AK1452" s="209"/>
    </row>
    <row r="1453">
      <c r="A1453" s="209"/>
      <c r="B1453" s="209"/>
      <c r="C1453" s="209"/>
      <c r="D1453" s="209"/>
      <c r="E1453" s="209"/>
      <c r="F1453" s="209"/>
      <c r="G1453" s="209"/>
      <c r="H1453" s="209"/>
      <c r="I1453" s="209"/>
      <c r="J1453" s="209"/>
      <c r="K1453" s="209"/>
      <c r="L1453" s="209"/>
      <c r="M1453" s="209"/>
      <c r="N1453" s="209"/>
      <c r="O1453" s="209"/>
      <c r="P1453" s="209"/>
      <c r="Q1453" s="209"/>
      <c r="R1453" s="209"/>
      <c r="S1453" s="209"/>
      <c r="T1453" s="209"/>
      <c r="U1453" s="209"/>
      <c r="V1453" s="209"/>
      <c r="W1453" s="209"/>
      <c r="X1453" s="209"/>
      <c r="Y1453" s="209"/>
      <c r="Z1453" s="209"/>
      <c r="AA1453" s="209"/>
      <c r="AB1453" s="209"/>
      <c r="AC1453" s="209"/>
      <c r="AD1453" s="209"/>
      <c r="AE1453" s="209"/>
      <c r="AF1453" s="209"/>
      <c r="AG1453" s="209"/>
      <c r="AH1453" s="209"/>
      <c r="AI1453" s="209"/>
      <c r="AJ1453" s="209"/>
      <c r="AK1453" s="209"/>
    </row>
    <row r="1454">
      <c r="A1454" s="209"/>
      <c r="B1454" s="209"/>
      <c r="C1454" s="209"/>
      <c r="D1454" s="209"/>
      <c r="E1454" s="209"/>
      <c r="F1454" s="209"/>
      <c r="G1454" s="209"/>
      <c r="H1454" s="209"/>
      <c r="I1454" s="209"/>
      <c r="J1454" s="209"/>
      <c r="K1454" s="209"/>
      <c r="L1454" s="209"/>
      <c r="M1454" s="209"/>
      <c r="N1454" s="209"/>
      <c r="O1454" s="209"/>
      <c r="P1454" s="209"/>
      <c r="Q1454" s="209"/>
      <c r="R1454" s="209"/>
      <c r="S1454" s="209"/>
      <c r="T1454" s="209"/>
      <c r="U1454" s="209"/>
      <c r="V1454" s="209"/>
      <c r="W1454" s="209"/>
      <c r="X1454" s="209"/>
      <c r="Y1454" s="209"/>
      <c r="Z1454" s="209"/>
      <c r="AA1454" s="209"/>
      <c r="AB1454" s="209"/>
      <c r="AC1454" s="209"/>
      <c r="AD1454" s="209"/>
      <c r="AE1454" s="209"/>
      <c r="AF1454" s="209"/>
      <c r="AG1454" s="209"/>
      <c r="AH1454" s="209"/>
      <c r="AI1454" s="209"/>
      <c r="AJ1454" s="209"/>
      <c r="AK1454" s="209"/>
    </row>
    <row r="1455">
      <c r="A1455" s="209"/>
      <c r="B1455" s="209"/>
      <c r="C1455" s="209"/>
      <c r="D1455" s="209"/>
      <c r="E1455" s="209"/>
      <c r="F1455" s="209"/>
      <c r="G1455" s="209"/>
      <c r="H1455" s="209"/>
      <c r="I1455" s="209"/>
      <c r="J1455" s="209"/>
      <c r="K1455" s="209"/>
      <c r="L1455" s="209"/>
      <c r="M1455" s="209"/>
      <c r="N1455" s="209"/>
      <c r="O1455" s="209"/>
      <c r="P1455" s="209"/>
      <c r="Q1455" s="209"/>
      <c r="R1455" s="209"/>
      <c r="S1455" s="209"/>
      <c r="T1455" s="209"/>
      <c r="U1455" s="209"/>
      <c r="V1455" s="209"/>
      <c r="W1455" s="209"/>
      <c r="X1455" s="209"/>
      <c r="Y1455" s="209"/>
      <c r="Z1455" s="209"/>
      <c r="AA1455" s="209"/>
      <c r="AB1455" s="209"/>
      <c r="AC1455" s="209"/>
      <c r="AD1455" s="209"/>
      <c r="AE1455" s="209"/>
      <c r="AF1455" s="209"/>
      <c r="AG1455" s="209"/>
      <c r="AH1455" s="209"/>
      <c r="AI1455" s="209"/>
      <c r="AJ1455" s="209"/>
      <c r="AK1455" s="209"/>
    </row>
    <row r="1456">
      <c r="A1456" s="209"/>
      <c r="B1456" s="209"/>
      <c r="C1456" s="209"/>
      <c r="D1456" s="209"/>
      <c r="E1456" s="209"/>
      <c r="F1456" s="209"/>
      <c r="G1456" s="209"/>
      <c r="H1456" s="209"/>
      <c r="I1456" s="209"/>
      <c r="J1456" s="209"/>
      <c r="K1456" s="209"/>
      <c r="L1456" s="209"/>
      <c r="M1456" s="209"/>
      <c r="N1456" s="209"/>
      <c r="O1456" s="209"/>
      <c r="P1456" s="209"/>
      <c r="Q1456" s="209"/>
      <c r="R1456" s="209"/>
      <c r="S1456" s="209"/>
      <c r="T1456" s="209"/>
      <c r="U1456" s="209"/>
      <c r="V1456" s="209"/>
      <c r="W1456" s="209"/>
      <c r="X1456" s="209"/>
      <c r="Y1456" s="209"/>
      <c r="Z1456" s="209"/>
      <c r="AA1456" s="209"/>
      <c r="AB1456" s="209"/>
      <c r="AC1456" s="209"/>
      <c r="AD1456" s="209"/>
      <c r="AE1456" s="209"/>
      <c r="AF1456" s="209"/>
      <c r="AG1456" s="209"/>
      <c r="AH1456" s="209"/>
      <c r="AI1456" s="209"/>
      <c r="AJ1456" s="209"/>
      <c r="AK1456" s="209"/>
    </row>
    <row r="1457">
      <c r="A1457" s="209"/>
      <c r="B1457" s="209"/>
      <c r="C1457" s="209"/>
      <c r="D1457" s="209"/>
      <c r="E1457" s="209"/>
      <c r="F1457" s="209"/>
      <c r="G1457" s="209"/>
      <c r="H1457" s="209"/>
      <c r="I1457" s="209"/>
      <c r="J1457" s="209"/>
      <c r="K1457" s="209"/>
      <c r="L1457" s="209"/>
      <c r="M1457" s="209"/>
      <c r="N1457" s="209"/>
      <c r="O1457" s="209"/>
      <c r="P1457" s="209"/>
      <c r="Q1457" s="209"/>
      <c r="R1457" s="209"/>
      <c r="S1457" s="209"/>
      <c r="T1457" s="209"/>
      <c r="U1457" s="209"/>
      <c r="V1457" s="209"/>
      <c r="W1457" s="209"/>
      <c r="X1457" s="209"/>
      <c r="Y1457" s="209"/>
      <c r="Z1457" s="209"/>
      <c r="AA1457" s="209"/>
      <c r="AB1457" s="209"/>
      <c r="AC1457" s="209"/>
      <c r="AD1457" s="209"/>
      <c r="AE1457" s="209"/>
      <c r="AF1457" s="209"/>
      <c r="AG1457" s="209"/>
      <c r="AH1457" s="209"/>
      <c r="AI1457" s="209"/>
      <c r="AJ1457" s="209"/>
      <c r="AK1457" s="209"/>
    </row>
    <row r="1458">
      <c r="A1458" s="209"/>
      <c r="B1458" s="209"/>
      <c r="C1458" s="209"/>
      <c r="D1458" s="209"/>
      <c r="E1458" s="209"/>
      <c r="F1458" s="209"/>
      <c r="G1458" s="209"/>
      <c r="H1458" s="209"/>
      <c r="I1458" s="209"/>
      <c r="J1458" s="209"/>
      <c r="K1458" s="209"/>
      <c r="L1458" s="209"/>
      <c r="M1458" s="209"/>
      <c r="N1458" s="209"/>
      <c r="O1458" s="209"/>
      <c r="P1458" s="209"/>
      <c r="Q1458" s="209"/>
      <c r="R1458" s="209"/>
      <c r="S1458" s="209"/>
      <c r="T1458" s="209"/>
      <c r="U1458" s="209"/>
      <c r="V1458" s="209"/>
      <c r="W1458" s="209"/>
      <c r="X1458" s="209"/>
      <c r="Y1458" s="209"/>
      <c r="Z1458" s="209"/>
      <c r="AA1458" s="209"/>
      <c r="AB1458" s="209"/>
      <c r="AC1458" s="209"/>
      <c r="AD1458" s="209"/>
      <c r="AE1458" s="209"/>
      <c r="AF1458" s="209"/>
      <c r="AG1458" s="209"/>
      <c r="AH1458" s="209"/>
      <c r="AI1458" s="209"/>
      <c r="AJ1458" s="209"/>
      <c r="AK1458" s="209"/>
    </row>
    <row r="1459">
      <c r="A1459" s="209"/>
      <c r="B1459" s="209"/>
      <c r="C1459" s="209"/>
      <c r="D1459" s="209"/>
      <c r="E1459" s="209"/>
      <c r="F1459" s="209"/>
      <c r="G1459" s="209"/>
      <c r="H1459" s="209"/>
      <c r="I1459" s="209"/>
      <c r="J1459" s="209"/>
      <c r="K1459" s="209"/>
      <c r="L1459" s="209"/>
      <c r="M1459" s="209"/>
      <c r="N1459" s="209"/>
      <c r="O1459" s="209"/>
      <c r="P1459" s="209"/>
      <c r="Q1459" s="209"/>
      <c r="R1459" s="209"/>
      <c r="S1459" s="209"/>
      <c r="T1459" s="209"/>
      <c r="U1459" s="209"/>
      <c r="V1459" s="209"/>
      <c r="W1459" s="209"/>
      <c r="X1459" s="209"/>
      <c r="Y1459" s="209"/>
      <c r="Z1459" s="209"/>
      <c r="AA1459" s="209"/>
      <c r="AB1459" s="209"/>
      <c r="AC1459" s="209"/>
      <c r="AD1459" s="209"/>
      <c r="AE1459" s="209"/>
      <c r="AF1459" s="209"/>
      <c r="AG1459" s="209"/>
      <c r="AH1459" s="209"/>
      <c r="AI1459" s="209"/>
      <c r="AJ1459" s="209"/>
      <c r="AK1459" s="209"/>
    </row>
    <row r="1460">
      <c r="A1460" s="209"/>
      <c r="B1460" s="209"/>
      <c r="C1460" s="209"/>
      <c r="D1460" s="209"/>
      <c r="E1460" s="209"/>
      <c r="F1460" s="209"/>
      <c r="G1460" s="209"/>
      <c r="H1460" s="209"/>
      <c r="I1460" s="209"/>
      <c r="J1460" s="209"/>
      <c r="K1460" s="209"/>
      <c r="L1460" s="209"/>
      <c r="M1460" s="209"/>
      <c r="N1460" s="209"/>
      <c r="O1460" s="209"/>
      <c r="P1460" s="209"/>
      <c r="Q1460" s="209"/>
      <c r="R1460" s="209"/>
      <c r="S1460" s="209"/>
      <c r="T1460" s="209"/>
      <c r="U1460" s="209"/>
      <c r="V1460" s="209"/>
      <c r="W1460" s="209"/>
      <c r="X1460" s="209"/>
      <c r="Y1460" s="209"/>
      <c r="Z1460" s="209"/>
      <c r="AA1460" s="209"/>
      <c r="AB1460" s="209"/>
      <c r="AC1460" s="209"/>
      <c r="AD1460" s="209"/>
      <c r="AE1460" s="209"/>
      <c r="AF1460" s="209"/>
      <c r="AG1460" s="209"/>
      <c r="AH1460" s="209"/>
      <c r="AI1460" s="209"/>
      <c r="AJ1460" s="209"/>
      <c r="AK1460" s="209"/>
    </row>
    <row r="1461">
      <c r="A1461" s="209"/>
      <c r="B1461" s="209"/>
      <c r="C1461" s="209"/>
      <c r="D1461" s="209"/>
      <c r="E1461" s="209"/>
      <c r="F1461" s="209"/>
      <c r="G1461" s="209"/>
      <c r="H1461" s="209"/>
      <c r="I1461" s="209"/>
      <c r="J1461" s="209"/>
      <c r="K1461" s="209"/>
      <c r="L1461" s="209"/>
      <c r="M1461" s="209"/>
      <c r="N1461" s="209"/>
      <c r="O1461" s="209"/>
      <c r="P1461" s="209"/>
      <c r="Q1461" s="209"/>
      <c r="R1461" s="209"/>
      <c r="S1461" s="209"/>
      <c r="T1461" s="209"/>
      <c r="U1461" s="209"/>
      <c r="V1461" s="209"/>
      <c r="W1461" s="209"/>
      <c r="X1461" s="209"/>
      <c r="Y1461" s="209"/>
      <c r="Z1461" s="209"/>
      <c r="AA1461" s="209"/>
      <c r="AB1461" s="209"/>
      <c r="AC1461" s="209"/>
      <c r="AD1461" s="209"/>
      <c r="AE1461" s="209"/>
      <c r="AF1461" s="209"/>
      <c r="AG1461" s="209"/>
      <c r="AH1461" s="209"/>
      <c r="AI1461" s="209"/>
      <c r="AJ1461" s="209"/>
      <c r="AK1461" s="209"/>
    </row>
    <row r="1462">
      <c r="A1462" s="209"/>
      <c r="B1462" s="209"/>
      <c r="C1462" s="209"/>
      <c r="D1462" s="209"/>
      <c r="E1462" s="209"/>
      <c r="F1462" s="209"/>
      <c r="G1462" s="209"/>
      <c r="H1462" s="209"/>
      <c r="I1462" s="209"/>
      <c r="J1462" s="209"/>
      <c r="K1462" s="209"/>
      <c r="L1462" s="209"/>
      <c r="M1462" s="209"/>
      <c r="N1462" s="209"/>
      <c r="O1462" s="209"/>
      <c r="P1462" s="209"/>
      <c r="Q1462" s="209"/>
      <c r="R1462" s="209"/>
      <c r="S1462" s="209"/>
      <c r="T1462" s="209"/>
      <c r="U1462" s="209"/>
      <c r="V1462" s="209"/>
      <c r="W1462" s="209"/>
      <c r="X1462" s="209"/>
      <c r="Y1462" s="209"/>
      <c r="Z1462" s="209"/>
      <c r="AA1462" s="209"/>
      <c r="AB1462" s="209"/>
      <c r="AC1462" s="209"/>
      <c r="AD1462" s="209"/>
      <c r="AE1462" s="209"/>
      <c r="AF1462" s="209"/>
      <c r="AG1462" s="209"/>
      <c r="AH1462" s="209"/>
      <c r="AI1462" s="209"/>
      <c r="AJ1462" s="209"/>
      <c r="AK1462" s="209"/>
    </row>
    <row r="1463">
      <c r="A1463" s="209"/>
      <c r="B1463" s="209"/>
      <c r="C1463" s="209"/>
      <c r="D1463" s="209"/>
      <c r="E1463" s="209"/>
      <c r="F1463" s="209"/>
      <c r="G1463" s="209"/>
      <c r="H1463" s="209"/>
      <c r="I1463" s="209"/>
      <c r="J1463" s="209"/>
      <c r="K1463" s="209"/>
      <c r="L1463" s="209"/>
      <c r="M1463" s="209"/>
      <c r="N1463" s="209"/>
      <c r="O1463" s="209"/>
      <c r="P1463" s="209"/>
      <c r="Q1463" s="209"/>
      <c r="R1463" s="209"/>
      <c r="S1463" s="209"/>
      <c r="T1463" s="209"/>
      <c r="U1463" s="209"/>
      <c r="V1463" s="209"/>
      <c r="W1463" s="209"/>
      <c r="X1463" s="209"/>
      <c r="Y1463" s="209"/>
      <c r="Z1463" s="209"/>
      <c r="AA1463" s="209"/>
      <c r="AB1463" s="209"/>
      <c r="AC1463" s="209"/>
      <c r="AD1463" s="209"/>
      <c r="AE1463" s="209"/>
      <c r="AF1463" s="209"/>
      <c r="AG1463" s="209"/>
      <c r="AH1463" s="209"/>
      <c r="AI1463" s="209"/>
      <c r="AJ1463" s="209"/>
      <c r="AK1463" s="209"/>
    </row>
    <row r="1464">
      <c r="A1464" s="209"/>
      <c r="B1464" s="209"/>
      <c r="C1464" s="209"/>
      <c r="D1464" s="209"/>
      <c r="E1464" s="209"/>
      <c r="F1464" s="209"/>
      <c r="G1464" s="209"/>
      <c r="H1464" s="209"/>
      <c r="I1464" s="209"/>
      <c r="J1464" s="209"/>
      <c r="K1464" s="209"/>
      <c r="L1464" s="209"/>
      <c r="M1464" s="209"/>
      <c r="N1464" s="209"/>
      <c r="O1464" s="209"/>
      <c r="P1464" s="209"/>
      <c r="Q1464" s="209"/>
      <c r="R1464" s="209"/>
      <c r="S1464" s="209"/>
      <c r="T1464" s="209"/>
      <c r="U1464" s="209"/>
      <c r="V1464" s="209"/>
      <c r="W1464" s="209"/>
      <c r="X1464" s="209"/>
      <c r="Y1464" s="209"/>
      <c r="Z1464" s="209"/>
      <c r="AA1464" s="209"/>
      <c r="AB1464" s="209"/>
      <c r="AC1464" s="209"/>
      <c r="AD1464" s="209"/>
      <c r="AE1464" s="209"/>
      <c r="AF1464" s="209"/>
      <c r="AG1464" s="209"/>
      <c r="AH1464" s="209"/>
      <c r="AI1464" s="209"/>
      <c r="AJ1464" s="209"/>
      <c r="AK1464" s="209"/>
    </row>
    <row r="1465">
      <c r="A1465" s="209"/>
      <c r="B1465" s="209"/>
      <c r="C1465" s="209"/>
      <c r="D1465" s="209"/>
      <c r="E1465" s="209"/>
      <c r="F1465" s="209"/>
      <c r="G1465" s="209"/>
      <c r="H1465" s="209"/>
      <c r="I1465" s="209"/>
      <c r="J1465" s="209"/>
      <c r="K1465" s="209"/>
      <c r="L1465" s="209"/>
      <c r="M1465" s="209"/>
      <c r="N1465" s="209"/>
      <c r="O1465" s="209"/>
      <c r="P1465" s="209"/>
      <c r="Q1465" s="209"/>
      <c r="R1465" s="209"/>
      <c r="S1465" s="209"/>
      <c r="T1465" s="209"/>
      <c r="U1465" s="209"/>
      <c r="V1465" s="209"/>
      <c r="W1465" s="209"/>
      <c r="X1465" s="209"/>
      <c r="Y1465" s="209"/>
      <c r="Z1465" s="209"/>
      <c r="AA1465" s="209"/>
      <c r="AB1465" s="209"/>
      <c r="AC1465" s="209"/>
      <c r="AD1465" s="209"/>
      <c r="AE1465" s="209"/>
      <c r="AF1465" s="209"/>
      <c r="AG1465" s="209"/>
      <c r="AH1465" s="209"/>
      <c r="AI1465" s="209"/>
      <c r="AJ1465" s="209"/>
      <c r="AK1465" s="209"/>
    </row>
    <row r="1466">
      <c r="A1466" s="209"/>
      <c r="B1466" s="209"/>
      <c r="C1466" s="209"/>
      <c r="D1466" s="209"/>
      <c r="E1466" s="209"/>
      <c r="F1466" s="209"/>
      <c r="G1466" s="209"/>
      <c r="H1466" s="209"/>
      <c r="I1466" s="209"/>
      <c r="J1466" s="209"/>
      <c r="K1466" s="209"/>
      <c r="L1466" s="209"/>
      <c r="M1466" s="209"/>
      <c r="N1466" s="209"/>
      <c r="O1466" s="209"/>
      <c r="P1466" s="209"/>
      <c r="Q1466" s="209"/>
      <c r="R1466" s="209"/>
      <c r="S1466" s="209"/>
      <c r="T1466" s="209"/>
      <c r="U1466" s="209"/>
      <c r="V1466" s="209"/>
      <c r="W1466" s="209"/>
      <c r="X1466" s="209"/>
      <c r="Y1466" s="209"/>
      <c r="Z1466" s="209"/>
      <c r="AA1466" s="209"/>
      <c r="AB1466" s="209"/>
      <c r="AC1466" s="209"/>
      <c r="AD1466" s="209"/>
      <c r="AE1466" s="209"/>
      <c r="AF1466" s="209"/>
      <c r="AG1466" s="209"/>
      <c r="AH1466" s="209"/>
      <c r="AI1466" s="209"/>
      <c r="AJ1466" s="209"/>
      <c r="AK1466" s="209"/>
    </row>
    <row r="1467">
      <c r="A1467" s="209"/>
      <c r="B1467" s="209"/>
      <c r="C1467" s="209"/>
      <c r="D1467" s="209"/>
      <c r="E1467" s="209"/>
      <c r="F1467" s="209"/>
      <c r="G1467" s="209"/>
      <c r="H1467" s="209"/>
      <c r="I1467" s="209"/>
      <c r="J1467" s="209"/>
      <c r="K1467" s="209"/>
      <c r="L1467" s="209"/>
      <c r="M1467" s="209"/>
      <c r="N1467" s="209"/>
      <c r="O1467" s="209"/>
      <c r="P1467" s="209"/>
      <c r="Q1467" s="209"/>
      <c r="R1467" s="209"/>
      <c r="S1467" s="209"/>
      <c r="T1467" s="209"/>
      <c r="U1467" s="209"/>
      <c r="V1467" s="209"/>
      <c r="W1467" s="209"/>
      <c r="X1467" s="209"/>
      <c r="Y1467" s="209"/>
      <c r="Z1467" s="209"/>
      <c r="AA1467" s="209"/>
      <c r="AB1467" s="209"/>
      <c r="AC1467" s="209"/>
      <c r="AD1467" s="209"/>
      <c r="AE1467" s="209"/>
      <c r="AF1467" s="209"/>
      <c r="AG1467" s="209"/>
      <c r="AH1467" s="209"/>
      <c r="AI1467" s="209"/>
      <c r="AJ1467" s="209"/>
      <c r="AK1467" s="209"/>
    </row>
    <row r="1468">
      <c r="A1468" s="209"/>
      <c r="B1468" s="209"/>
      <c r="C1468" s="209"/>
      <c r="D1468" s="209"/>
      <c r="E1468" s="209"/>
      <c r="F1468" s="209"/>
      <c r="G1468" s="209"/>
      <c r="H1468" s="209"/>
      <c r="I1468" s="209"/>
      <c r="J1468" s="209"/>
      <c r="K1468" s="209"/>
      <c r="L1468" s="209"/>
      <c r="M1468" s="209"/>
      <c r="N1468" s="209"/>
      <c r="O1468" s="209"/>
      <c r="P1468" s="209"/>
      <c r="Q1468" s="209"/>
      <c r="R1468" s="209"/>
      <c r="S1468" s="209"/>
      <c r="T1468" s="209"/>
      <c r="U1468" s="209"/>
      <c r="V1468" s="209"/>
      <c r="W1468" s="209"/>
      <c r="X1468" s="209"/>
      <c r="Y1468" s="209"/>
      <c r="Z1468" s="209"/>
      <c r="AA1468" s="209"/>
      <c r="AB1468" s="209"/>
      <c r="AC1468" s="209"/>
      <c r="AD1468" s="209"/>
      <c r="AE1468" s="209"/>
      <c r="AF1468" s="209"/>
      <c r="AG1468" s="209"/>
      <c r="AH1468" s="209"/>
      <c r="AI1468" s="209"/>
      <c r="AJ1468" s="209"/>
      <c r="AK1468" s="209"/>
    </row>
    <row r="1469">
      <c r="A1469" s="209"/>
      <c r="B1469" s="209"/>
      <c r="C1469" s="209"/>
      <c r="D1469" s="209"/>
      <c r="E1469" s="209"/>
      <c r="F1469" s="209"/>
      <c r="G1469" s="209"/>
      <c r="H1469" s="209"/>
      <c r="I1469" s="209"/>
      <c r="J1469" s="209"/>
      <c r="K1469" s="209"/>
      <c r="L1469" s="209"/>
      <c r="M1469" s="209"/>
      <c r="N1469" s="209"/>
      <c r="O1469" s="209"/>
      <c r="P1469" s="209"/>
      <c r="Q1469" s="209"/>
      <c r="R1469" s="209"/>
      <c r="S1469" s="209"/>
      <c r="T1469" s="209"/>
      <c r="U1469" s="209"/>
      <c r="V1469" s="209"/>
      <c r="W1469" s="209"/>
      <c r="X1469" s="209"/>
      <c r="Y1469" s="209"/>
      <c r="Z1469" s="209"/>
      <c r="AA1469" s="209"/>
      <c r="AB1469" s="209"/>
      <c r="AC1469" s="209"/>
      <c r="AD1469" s="209"/>
      <c r="AE1469" s="209"/>
      <c r="AF1469" s="209"/>
      <c r="AG1469" s="209"/>
      <c r="AH1469" s="209"/>
      <c r="AI1469" s="209"/>
      <c r="AJ1469" s="209"/>
      <c r="AK1469" s="209"/>
    </row>
    <row r="1470">
      <c r="A1470" s="209"/>
      <c r="B1470" s="209"/>
      <c r="C1470" s="209"/>
      <c r="D1470" s="209"/>
      <c r="E1470" s="209"/>
      <c r="F1470" s="209"/>
      <c r="G1470" s="209"/>
      <c r="H1470" s="209"/>
      <c r="I1470" s="209"/>
      <c r="J1470" s="209"/>
      <c r="K1470" s="209"/>
      <c r="L1470" s="209"/>
      <c r="M1470" s="209"/>
      <c r="N1470" s="209"/>
      <c r="O1470" s="209"/>
      <c r="P1470" s="209"/>
      <c r="Q1470" s="209"/>
      <c r="R1470" s="209"/>
      <c r="S1470" s="209"/>
      <c r="T1470" s="209"/>
      <c r="U1470" s="209"/>
      <c r="V1470" s="209"/>
      <c r="W1470" s="209"/>
      <c r="X1470" s="209"/>
      <c r="Y1470" s="209"/>
      <c r="Z1470" s="209"/>
      <c r="AA1470" s="209"/>
      <c r="AB1470" s="209"/>
      <c r="AC1470" s="209"/>
      <c r="AD1470" s="209"/>
      <c r="AE1470" s="209"/>
      <c r="AF1470" s="209"/>
      <c r="AG1470" s="209"/>
      <c r="AH1470" s="209"/>
      <c r="AI1470" s="209"/>
      <c r="AJ1470" s="209"/>
      <c r="AK1470" s="209"/>
    </row>
    <row r="1471">
      <c r="A1471" s="209"/>
      <c r="B1471" s="209"/>
      <c r="C1471" s="209"/>
      <c r="D1471" s="209"/>
      <c r="E1471" s="209"/>
      <c r="F1471" s="209"/>
      <c r="G1471" s="209"/>
      <c r="H1471" s="209"/>
      <c r="I1471" s="209"/>
      <c r="J1471" s="209"/>
      <c r="K1471" s="209"/>
      <c r="L1471" s="209"/>
      <c r="M1471" s="209"/>
      <c r="N1471" s="209"/>
      <c r="O1471" s="209"/>
      <c r="P1471" s="209"/>
      <c r="Q1471" s="209"/>
      <c r="R1471" s="209"/>
      <c r="S1471" s="209"/>
      <c r="T1471" s="209"/>
      <c r="U1471" s="209"/>
      <c r="V1471" s="209"/>
      <c r="W1471" s="209"/>
      <c r="X1471" s="209"/>
      <c r="Y1471" s="209"/>
      <c r="Z1471" s="209"/>
      <c r="AA1471" s="209"/>
      <c r="AB1471" s="209"/>
      <c r="AC1471" s="209"/>
      <c r="AD1471" s="209"/>
      <c r="AE1471" s="209"/>
      <c r="AF1471" s="209"/>
      <c r="AG1471" s="209"/>
      <c r="AH1471" s="209"/>
      <c r="AI1471" s="209"/>
      <c r="AJ1471" s="209"/>
      <c r="AK1471" s="209"/>
    </row>
    <row r="1472">
      <c r="A1472" s="209"/>
      <c r="B1472" s="209"/>
      <c r="C1472" s="209"/>
      <c r="D1472" s="209"/>
      <c r="E1472" s="209"/>
      <c r="F1472" s="209"/>
      <c r="G1472" s="209"/>
      <c r="H1472" s="209"/>
      <c r="I1472" s="209"/>
      <c r="J1472" s="209"/>
      <c r="K1472" s="209"/>
      <c r="L1472" s="209"/>
      <c r="M1472" s="209"/>
      <c r="N1472" s="209"/>
      <c r="O1472" s="209"/>
      <c r="P1472" s="209"/>
      <c r="Q1472" s="209"/>
      <c r="R1472" s="209"/>
      <c r="S1472" s="209"/>
      <c r="T1472" s="209"/>
      <c r="U1472" s="209"/>
      <c r="V1472" s="209"/>
      <c r="W1472" s="209"/>
      <c r="X1472" s="209"/>
      <c r="Y1472" s="209"/>
      <c r="Z1472" s="209"/>
      <c r="AA1472" s="209"/>
      <c r="AB1472" s="209"/>
      <c r="AC1472" s="209"/>
      <c r="AD1472" s="209"/>
      <c r="AE1472" s="209"/>
      <c r="AF1472" s="209"/>
      <c r="AG1472" s="209"/>
      <c r="AH1472" s="209"/>
      <c r="AI1472" s="209"/>
      <c r="AJ1472" s="209"/>
      <c r="AK1472" s="209"/>
    </row>
    <row r="1473">
      <c r="A1473" s="209"/>
      <c r="B1473" s="209"/>
      <c r="C1473" s="209"/>
      <c r="D1473" s="209"/>
      <c r="E1473" s="209"/>
      <c r="F1473" s="209"/>
      <c r="G1473" s="209"/>
      <c r="H1473" s="209"/>
      <c r="I1473" s="209"/>
      <c r="J1473" s="209"/>
      <c r="K1473" s="209"/>
      <c r="L1473" s="209"/>
      <c r="M1473" s="209"/>
      <c r="N1473" s="209"/>
      <c r="O1473" s="209"/>
      <c r="P1473" s="209"/>
      <c r="Q1473" s="209"/>
      <c r="R1473" s="209"/>
      <c r="S1473" s="209"/>
      <c r="T1473" s="209"/>
      <c r="U1473" s="209"/>
      <c r="V1473" s="209"/>
      <c r="W1473" s="209"/>
      <c r="X1473" s="209"/>
      <c r="Y1473" s="209"/>
      <c r="Z1473" s="209"/>
      <c r="AA1473" s="209"/>
      <c r="AB1473" s="209"/>
      <c r="AC1473" s="209"/>
      <c r="AD1473" s="209"/>
      <c r="AE1473" s="209"/>
      <c r="AF1473" s="209"/>
      <c r="AG1473" s="209"/>
      <c r="AH1473" s="209"/>
      <c r="AI1473" s="209"/>
      <c r="AJ1473" s="209"/>
      <c r="AK1473" s="209"/>
    </row>
    <row r="1474">
      <c r="A1474" s="209"/>
      <c r="B1474" s="209"/>
      <c r="C1474" s="209"/>
      <c r="D1474" s="209"/>
      <c r="E1474" s="209"/>
      <c r="F1474" s="209"/>
      <c r="G1474" s="209"/>
      <c r="H1474" s="209"/>
      <c r="I1474" s="209"/>
      <c r="J1474" s="209"/>
      <c r="K1474" s="209"/>
      <c r="L1474" s="209"/>
      <c r="M1474" s="209"/>
      <c r="N1474" s="209"/>
      <c r="O1474" s="209"/>
      <c r="P1474" s="209"/>
      <c r="Q1474" s="209"/>
      <c r="R1474" s="209"/>
      <c r="S1474" s="209"/>
      <c r="T1474" s="209"/>
      <c r="U1474" s="209"/>
      <c r="V1474" s="209"/>
      <c r="W1474" s="209"/>
      <c r="X1474" s="209"/>
      <c r="Y1474" s="209"/>
      <c r="Z1474" s="209"/>
      <c r="AA1474" s="209"/>
      <c r="AB1474" s="209"/>
      <c r="AC1474" s="209"/>
      <c r="AD1474" s="209"/>
      <c r="AE1474" s="209"/>
      <c r="AF1474" s="209"/>
      <c r="AG1474" s="209"/>
      <c r="AH1474" s="209"/>
      <c r="AI1474" s="209"/>
      <c r="AJ1474" s="209"/>
      <c r="AK1474" s="209"/>
    </row>
    <row r="1475">
      <c r="A1475" s="209"/>
      <c r="B1475" s="209"/>
      <c r="C1475" s="209"/>
      <c r="D1475" s="209"/>
      <c r="E1475" s="209"/>
      <c r="F1475" s="209"/>
      <c r="G1475" s="209"/>
      <c r="H1475" s="209"/>
      <c r="I1475" s="209"/>
      <c r="J1475" s="209"/>
      <c r="K1475" s="209"/>
      <c r="L1475" s="209"/>
      <c r="M1475" s="209"/>
      <c r="N1475" s="209"/>
      <c r="O1475" s="209"/>
      <c r="P1475" s="209"/>
      <c r="Q1475" s="209"/>
      <c r="R1475" s="209"/>
      <c r="S1475" s="209"/>
      <c r="T1475" s="209"/>
      <c r="U1475" s="209"/>
      <c r="V1475" s="209"/>
      <c r="W1475" s="209"/>
      <c r="X1475" s="209"/>
      <c r="Y1475" s="209"/>
      <c r="Z1475" s="209"/>
      <c r="AA1475" s="209"/>
      <c r="AB1475" s="209"/>
      <c r="AC1475" s="209"/>
      <c r="AD1475" s="209"/>
      <c r="AE1475" s="209"/>
      <c r="AF1475" s="209"/>
      <c r="AG1475" s="209"/>
      <c r="AH1475" s="209"/>
      <c r="AI1475" s="209"/>
      <c r="AJ1475" s="209"/>
      <c r="AK1475" s="209"/>
    </row>
    <row r="1476">
      <c r="A1476" s="209"/>
      <c r="B1476" s="209"/>
      <c r="C1476" s="209"/>
      <c r="D1476" s="209"/>
      <c r="E1476" s="209"/>
      <c r="F1476" s="209"/>
      <c r="G1476" s="209"/>
      <c r="H1476" s="209"/>
      <c r="I1476" s="209"/>
      <c r="J1476" s="209"/>
      <c r="K1476" s="209"/>
      <c r="L1476" s="209"/>
      <c r="M1476" s="209"/>
      <c r="N1476" s="209"/>
      <c r="O1476" s="209"/>
      <c r="P1476" s="209"/>
      <c r="Q1476" s="209"/>
      <c r="R1476" s="209"/>
      <c r="S1476" s="209"/>
      <c r="T1476" s="209"/>
      <c r="U1476" s="209"/>
      <c r="V1476" s="209"/>
      <c r="W1476" s="209"/>
      <c r="X1476" s="209"/>
      <c r="Y1476" s="209"/>
      <c r="Z1476" s="209"/>
      <c r="AA1476" s="209"/>
      <c r="AB1476" s="209"/>
      <c r="AC1476" s="209"/>
      <c r="AD1476" s="209"/>
      <c r="AE1476" s="209"/>
      <c r="AF1476" s="209"/>
      <c r="AG1476" s="209"/>
      <c r="AH1476" s="209"/>
      <c r="AI1476" s="209"/>
      <c r="AJ1476" s="209"/>
      <c r="AK1476" s="209"/>
    </row>
    <row r="1477">
      <c r="A1477" s="209"/>
      <c r="B1477" s="209"/>
      <c r="C1477" s="209"/>
      <c r="D1477" s="209"/>
      <c r="E1477" s="209"/>
      <c r="F1477" s="209"/>
      <c r="G1477" s="209"/>
      <c r="H1477" s="209"/>
      <c r="I1477" s="209"/>
      <c r="J1477" s="209"/>
      <c r="K1477" s="209"/>
      <c r="L1477" s="209"/>
      <c r="M1477" s="209"/>
      <c r="N1477" s="209"/>
      <c r="O1477" s="209"/>
      <c r="P1477" s="209"/>
      <c r="Q1477" s="209"/>
      <c r="R1477" s="209"/>
      <c r="S1477" s="209"/>
      <c r="T1477" s="209"/>
      <c r="U1477" s="209"/>
      <c r="V1477" s="209"/>
      <c r="W1477" s="209"/>
      <c r="X1477" s="209"/>
      <c r="Y1477" s="209"/>
      <c r="Z1477" s="209"/>
      <c r="AA1477" s="209"/>
      <c r="AB1477" s="209"/>
      <c r="AC1477" s="209"/>
      <c r="AD1477" s="209"/>
      <c r="AE1477" s="209"/>
      <c r="AF1477" s="209"/>
      <c r="AG1477" s="209"/>
      <c r="AH1477" s="209"/>
      <c r="AI1477" s="209"/>
      <c r="AJ1477" s="209"/>
      <c r="AK1477" s="209"/>
    </row>
    <row r="1478">
      <c r="A1478" s="209"/>
      <c r="B1478" s="209"/>
      <c r="C1478" s="209"/>
      <c r="D1478" s="209"/>
      <c r="E1478" s="209"/>
      <c r="F1478" s="209"/>
      <c r="G1478" s="209"/>
      <c r="H1478" s="209"/>
      <c r="I1478" s="209"/>
      <c r="J1478" s="209"/>
      <c r="K1478" s="209"/>
      <c r="L1478" s="209"/>
      <c r="M1478" s="209"/>
      <c r="N1478" s="209"/>
      <c r="O1478" s="209"/>
      <c r="P1478" s="209"/>
      <c r="Q1478" s="209"/>
      <c r="R1478" s="209"/>
      <c r="S1478" s="209"/>
      <c r="T1478" s="209"/>
      <c r="U1478" s="209"/>
      <c r="V1478" s="209"/>
      <c r="W1478" s="209"/>
      <c r="X1478" s="209"/>
      <c r="Y1478" s="209"/>
      <c r="Z1478" s="209"/>
      <c r="AA1478" s="209"/>
      <c r="AB1478" s="209"/>
      <c r="AC1478" s="209"/>
      <c r="AD1478" s="209"/>
      <c r="AE1478" s="209"/>
      <c r="AF1478" s="209"/>
      <c r="AG1478" s="209"/>
      <c r="AH1478" s="209"/>
      <c r="AI1478" s="209"/>
      <c r="AJ1478" s="209"/>
      <c r="AK1478" s="209"/>
    </row>
    <row r="1479">
      <c r="A1479" s="209"/>
      <c r="B1479" s="209"/>
      <c r="C1479" s="209"/>
      <c r="D1479" s="209"/>
      <c r="E1479" s="209"/>
      <c r="F1479" s="209"/>
      <c r="G1479" s="209"/>
      <c r="H1479" s="209"/>
      <c r="I1479" s="209"/>
      <c r="J1479" s="209"/>
      <c r="K1479" s="209"/>
      <c r="L1479" s="209"/>
      <c r="M1479" s="209"/>
      <c r="N1479" s="209"/>
      <c r="O1479" s="209"/>
      <c r="P1479" s="209"/>
      <c r="Q1479" s="209"/>
      <c r="R1479" s="209"/>
      <c r="S1479" s="209"/>
      <c r="T1479" s="209"/>
      <c r="U1479" s="209"/>
      <c r="V1479" s="209"/>
      <c r="W1479" s="209"/>
      <c r="X1479" s="209"/>
      <c r="Y1479" s="209"/>
      <c r="Z1479" s="209"/>
      <c r="AA1479" s="209"/>
      <c r="AB1479" s="209"/>
      <c r="AC1479" s="209"/>
      <c r="AD1479" s="209"/>
      <c r="AE1479" s="209"/>
      <c r="AF1479" s="209"/>
      <c r="AG1479" s="209"/>
      <c r="AH1479" s="209"/>
      <c r="AI1479" s="209"/>
      <c r="AJ1479" s="209"/>
      <c r="AK1479" s="209"/>
    </row>
    <row r="1480">
      <c r="A1480" s="209"/>
      <c r="B1480" s="209"/>
      <c r="C1480" s="209"/>
      <c r="D1480" s="209"/>
      <c r="E1480" s="209"/>
      <c r="F1480" s="209"/>
      <c r="G1480" s="209"/>
      <c r="H1480" s="209"/>
      <c r="I1480" s="209"/>
      <c r="J1480" s="209"/>
      <c r="K1480" s="209"/>
      <c r="L1480" s="209"/>
      <c r="M1480" s="209"/>
      <c r="N1480" s="209"/>
      <c r="O1480" s="209"/>
      <c r="P1480" s="209"/>
      <c r="Q1480" s="209"/>
      <c r="R1480" s="209"/>
      <c r="S1480" s="209"/>
      <c r="T1480" s="209"/>
      <c r="U1480" s="209"/>
      <c r="V1480" s="209"/>
      <c r="W1480" s="209"/>
      <c r="X1480" s="209"/>
      <c r="Y1480" s="209"/>
      <c r="Z1480" s="209"/>
      <c r="AA1480" s="209"/>
      <c r="AB1480" s="209"/>
      <c r="AC1480" s="209"/>
      <c r="AD1480" s="209"/>
      <c r="AE1480" s="209"/>
      <c r="AF1480" s="209"/>
      <c r="AG1480" s="209"/>
      <c r="AH1480" s="209"/>
      <c r="AI1480" s="209"/>
      <c r="AJ1480" s="209"/>
      <c r="AK1480" s="209"/>
    </row>
    <row r="1481">
      <c r="A1481" s="209"/>
      <c r="B1481" s="209"/>
      <c r="C1481" s="209"/>
      <c r="D1481" s="209"/>
      <c r="E1481" s="209"/>
      <c r="F1481" s="209"/>
      <c r="G1481" s="209"/>
      <c r="H1481" s="209"/>
      <c r="I1481" s="209"/>
      <c r="J1481" s="209"/>
      <c r="K1481" s="209"/>
      <c r="L1481" s="209"/>
      <c r="M1481" s="209"/>
      <c r="N1481" s="209"/>
      <c r="O1481" s="209"/>
      <c r="P1481" s="209"/>
      <c r="Q1481" s="209"/>
      <c r="R1481" s="209"/>
      <c r="S1481" s="209"/>
      <c r="T1481" s="209"/>
      <c r="U1481" s="209"/>
      <c r="V1481" s="209"/>
      <c r="W1481" s="209"/>
      <c r="X1481" s="209"/>
      <c r="Y1481" s="209"/>
      <c r="Z1481" s="209"/>
      <c r="AA1481" s="209"/>
      <c r="AB1481" s="209"/>
      <c r="AC1481" s="209"/>
      <c r="AD1481" s="209"/>
      <c r="AE1481" s="209"/>
      <c r="AF1481" s="209"/>
      <c r="AG1481" s="209"/>
      <c r="AH1481" s="209"/>
      <c r="AI1481" s="209"/>
      <c r="AJ1481" s="209"/>
      <c r="AK1481" s="209"/>
    </row>
    <row r="1482">
      <c r="A1482" s="209"/>
      <c r="B1482" s="209"/>
      <c r="C1482" s="209"/>
      <c r="D1482" s="209"/>
      <c r="E1482" s="209"/>
      <c r="F1482" s="209"/>
      <c r="G1482" s="209"/>
      <c r="H1482" s="209"/>
      <c r="I1482" s="209"/>
      <c r="J1482" s="209"/>
      <c r="K1482" s="209"/>
      <c r="L1482" s="209"/>
      <c r="M1482" s="209"/>
      <c r="N1482" s="209"/>
      <c r="O1482" s="209"/>
      <c r="P1482" s="209"/>
      <c r="Q1482" s="209"/>
      <c r="R1482" s="209"/>
      <c r="S1482" s="209"/>
      <c r="T1482" s="209"/>
      <c r="U1482" s="209"/>
      <c r="V1482" s="209"/>
      <c r="W1482" s="209"/>
      <c r="X1482" s="209"/>
      <c r="Y1482" s="209"/>
      <c r="Z1482" s="209"/>
      <c r="AA1482" s="209"/>
      <c r="AB1482" s="209"/>
      <c r="AC1482" s="209"/>
      <c r="AD1482" s="209"/>
      <c r="AE1482" s="209"/>
      <c r="AF1482" s="209"/>
      <c r="AG1482" s="209"/>
      <c r="AH1482" s="209"/>
      <c r="AI1482" s="209"/>
      <c r="AJ1482" s="209"/>
      <c r="AK1482" s="209"/>
    </row>
    <row r="1483">
      <c r="A1483" s="209"/>
      <c r="B1483" s="209"/>
      <c r="C1483" s="209"/>
      <c r="D1483" s="209"/>
      <c r="E1483" s="209"/>
      <c r="F1483" s="209"/>
      <c r="G1483" s="209"/>
      <c r="H1483" s="209"/>
      <c r="I1483" s="209"/>
      <c r="J1483" s="209"/>
      <c r="K1483" s="209"/>
      <c r="L1483" s="209"/>
      <c r="M1483" s="209"/>
      <c r="N1483" s="209"/>
      <c r="O1483" s="209"/>
      <c r="P1483" s="209"/>
      <c r="Q1483" s="209"/>
      <c r="R1483" s="209"/>
      <c r="S1483" s="209"/>
      <c r="T1483" s="209"/>
      <c r="U1483" s="209"/>
      <c r="V1483" s="209"/>
      <c r="W1483" s="209"/>
      <c r="X1483" s="209"/>
      <c r="Y1483" s="209"/>
      <c r="Z1483" s="209"/>
      <c r="AA1483" s="209"/>
      <c r="AB1483" s="209"/>
      <c r="AC1483" s="209"/>
      <c r="AD1483" s="209"/>
      <c r="AE1483" s="209"/>
      <c r="AF1483" s="209"/>
      <c r="AG1483" s="209"/>
      <c r="AH1483" s="209"/>
      <c r="AI1483" s="209"/>
      <c r="AJ1483" s="209"/>
      <c r="AK1483" s="209"/>
    </row>
    <row r="1484">
      <c r="A1484" s="209"/>
      <c r="B1484" s="209"/>
      <c r="C1484" s="209"/>
      <c r="D1484" s="209"/>
      <c r="E1484" s="209"/>
      <c r="F1484" s="209"/>
      <c r="G1484" s="209"/>
      <c r="H1484" s="209"/>
      <c r="I1484" s="209"/>
      <c r="J1484" s="209"/>
      <c r="K1484" s="209"/>
      <c r="L1484" s="209"/>
      <c r="M1484" s="209"/>
      <c r="N1484" s="209"/>
      <c r="O1484" s="209"/>
      <c r="P1484" s="209"/>
      <c r="Q1484" s="209"/>
      <c r="R1484" s="209"/>
      <c r="S1484" s="209"/>
      <c r="T1484" s="209"/>
      <c r="U1484" s="209"/>
      <c r="V1484" s="209"/>
      <c r="W1484" s="209"/>
      <c r="X1484" s="209"/>
      <c r="Y1484" s="209"/>
      <c r="Z1484" s="209"/>
      <c r="AA1484" s="209"/>
      <c r="AB1484" s="209"/>
      <c r="AC1484" s="209"/>
      <c r="AD1484" s="209"/>
      <c r="AE1484" s="209"/>
      <c r="AF1484" s="209"/>
      <c r="AG1484" s="209"/>
      <c r="AH1484" s="209"/>
      <c r="AI1484" s="209"/>
      <c r="AJ1484" s="209"/>
      <c r="AK1484" s="209"/>
    </row>
    <row r="1485">
      <c r="A1485" s="209"/>
      <c r="B1485" s="209"/>
      <c r="C1485" s="209"/>
      <c r="D1485" s="209"/>
      <c r="E1485" s="209"/>
      <c r="F1485" s="209"/>
      <c r="G1485" s="209"/>
      <c r="H1485" s="209"/>
      <c r="I1485" s="209"/>
      <c r="J1485" s="209"/>
      <c r="K1485" s="209"/>
      <c r="L1485" s="209"/>
      <c r="M1485" s="209"/>
      <c r="N1485" s="209"/>
      <c r="O1485" s="209"/>
      <c r="P1485" s="209"/>
      <c r="Q1485" s="209"/>
      <c r="R1485" s="209"/>
      <c r="S1485" s="209"/>
      <c r="T1485" s="209"/>
      <c r="U1485" s="209"/>
      <c r="V1485" s="209"/>
      <c r="W1485" s="209"/>
      <c r="X1485" s="209"/>
      <c r="Y1485" s="209"/>
      <c r="Z1485" s="209"/>
      <c r="AA1485" s="209"/>
      <c r="AB1485" s="209"/>
      <c r="AC1485" s="209"/>
      <c r="AD1485" s="209"/>
      <c r="AE1485" s="209"/>
      <c r="AF1485" s="209"/>
      <c r="AG1485" s="209"/>
      <c r="AH1485" s="209"/>
      <c r="AI1485" s="209"/>
      <c r="AJ1485" s="209"/>
      <c r="AK1485" s="209"/>
    </row>
    <row r="1486">
      <c r="A1486" s="209"/>
      <c r="B1486" s="209"/>
      <c r="C1486" s="209"/>
      <c r="D1486" s="209"/>
      <c r="E1486" s="209"/>
      <c r="F1486" s="209"/>
      <c r="G1486" s="209"/>
      <c r="H1486" s="209"/>
      <c r="I1486" s="209"/>
      <c r="J1486" s="209"/>
      <c r="K1486" s="209"/>
      <c r="L1486" s="209"/>
      <c r="M1486" s="209"/>
      <c r="N1486" s="209"/>
      <c r="O1486" s="209"/>
      <c r="P1486" s="209"/>
      <c r="Q1486" s="209"/>
      <c r="R1486" s="209"/>
      <c r="S1486" s="209"/>
      <c r="T1486" s="209"/>
      <c r="U1486" s="209"/>
      <c r="V1486" s="209"/>
      <c r="W1486" s="209"/>
      <c r="X1486" s="209"/>
      <c r="Y1486" s="209"/>
      <c r="Z1486" s="209"/>
      <c r="AA1486" s="209"/>
      <c r="AB1486" s="209"/>
      <c r="AC1486" s="209"/>
      <c r="AD1486" s="209"/>
      <c r="AE1486" s="209"/>
      <c r="AF1486" s="209"/>
      <c r="AG1486" s="209"/>
      <c r="AH1486" s="209"/>
      <c r="AI1486" s="209"/>
      <c r="AJ1486" s="209"/>
      <c r="AK1486" s="209"/>
    </row>
    <row r="1487">
      <c r="A1487" s="209"/>
      <c r="B1487" s="209"/>
      <c r="C1487" s="209"/>
      <c r="D1487" s="209"/>
      <c r="E1487" s="209"/>
      <c r="F1487" s="209"/>
      <c r="G1487" s="209"/>
      <c r="H1487" s="209"/>
      <c r="I1487" s="209"/>
      <c r="J1487" s="209"/>
      <c r="K1487" s="209"/>
      <c r="L1487" s="209"/>
      <c r="M1487" s="209"/>
      <c r="N1487" s="209"/>
      <c r="O1487" s="209"/>
      <c r="P1487" s="209"/>
      <c r="Q1487" s="209"/>
      <c r="R1487" s="209"/>
      <c r="S1487" s="209"/>
      <c r="T1487" s="209"/>
      <c r="U1487" s="209"/>
      <c r="V1487" s="209"/>
      <c r="W1487" s="209"/>
      <c r="X1487" s="209"/>
      <c r="Y1487" s="209"/>
      <c r="Z1487" s="209"/>
      <c r="AA1487" s="209"/>
      <c r="AB1487" s="209"/>
      <c r="AC1487" s="209"/>
      <c r="AD1487" s="209"/>
      <c r="AE1487" s="209"/>
      <c r="AF1487" s="209"/>
      <c r="AG1487" s="209"/>
      <c r="AH1487" s="209"/>
      <c r="AI1487" s="209"/>
      <c r="AJ1487" s="209"/>
      <c r="AK1487" s="209"/>
    </row>
    <row r="1488">
      <c r="A1488" s="209"/>
      <c r="B1488" s="209"/>
      <c r="C1488" s="209"/>
      <c r="D1488" s="209"/>
      <c r="E1488" s="209"/>
      <c r="F1488" s="209"/>
      <c r="G1488" s="209"/>
      <c r="H1488" s="209"/>
      <c r="I1488" s="209"/>
      <c r="J1488" s="209"/>
      <c r="K1488" s="209"/>
      <c r="L1488" s="209"/>
      <c r="M1488" s="209"/>
      <c r="N1488" s="209"/>
      <c r="O1488" s="209"/>
      <c r="P1488" s="209"/>
      <c r="Q1488" s="209"/>
      <c r="R1488" s="209"/>
      <c r="S1488" s="209"/>
      <c r="T1488" s="209"/>
      <c r="U1488" s="209"/>
      <c r="V1488" s="209"/>
      <c r="W1488" s="209"/>
      <c r="X1488" s="209"/>
      <c r="Y1488" s="209"/>
      <c r="Z1488" s="209"/>
      <c r="AA1488" s="209"/>
      <c r="AB1488" s="209"/>
      <c r="AC1488" s="209"/>
      <c r="AD1488" s="209"/>
      <c r="AE1488" s="209"/>
      <c r="AF1488" s="209"/>
      <c r="AG1488" s="209"/>
      <c r="AH1488" s="209"/>
      <c r="AI1488" s="209"/>
      <c r="AJ1488" s="209"/>
      <c r="AK1488" s="209"/>
    </row>
    <row r="1489">
      <c r="A1489" s="209"/>
      <c r="B1489" s="209"/>
      <c r="C1489" s="209"/>
      <c r="D1489" s="209"/>
      <c r="E1489" s="209"/>
      <c r="F1489" s="209"/>
      <c r="G1489" s="209"/>
      <c r="H1489" s="209"/>
      <c r="I1489" s="209"/>
      <c r="J1489" s="209"/>
      <c r="K1489" s="209"/>
      <c r="L1489" s="209"/>
      <c r="M1489" s="209"/>
      <c r="N1489" s="209"/>
      <c r="O1489" s="209"/>
      <c r="P1489" s="209"/>
      <c r="Q1489" s="209"/>
      <c r="R1489" s="209"/>
      <c r="S1489" s="209"/>
      <c r="T1489" s="209"/>
      <c r="U1489" s="209"/>
      <c r="V1489" s="209"/>
      <c r="W1489" s="209"/>
      <c r="X1489" s="209"/>
      <c r="Y1489" s="209"/>
      <c r="Z1489" s="209"/>
      <c r="AA1489" s="209"/>
      <c r="AB1489" s="209"/>
      <c r="AC1489" s="209"/>
      <c r="AD1489" s="209"/>
      <c r="AE1489" s="209"/>
      <c r="AF1489" s="209"/>
      <c r="AG1489" s="209"/>
      <c r="AH1489" s="209"/>
      <c r="AI1489" s="209"/>
      <c r="AJ1489" s="209"/>
      <c r="AK1489" s="209"/>
    </row>
    <row r="1490">
      <c r="A1490" s="209"/>
      <c r="B1490" s="209"/>
      <c r="C1490" s="209"/>
      <c r="D1490" s="209"/>
      <c r="E1490" s="209"/>
      <c r="F1490" s="209"/>
      <c r="G1490" s="209"/>
      <c r="H1490" s="209"/>
      <c r="I1490" s="209"/>
      <c r="J1490" s="209"/>
      <c r="K1490" s="209"/>
      <c r="L1490" s="209"/>
      <c r="M1490" s="209"/>
      <c r="N1490" s="209"/>
      <c r="O1490" s="209"/>
      <c r="P1490" s="209"/>
      <c r="Q1490" s="209"/>
      <c r="R1490" s="209"/>
      <c r="S1490" s="209"/>
      <c r="T1490" s="209"/>
      <c r="U1490" s="209"/>
      <c r="V1490" s="209"/>
      <c r="W1490" s="209"/>
      <c r="X1490" s="209"/>
      <c r="Y1490" s="209"/>
      <c r="Z1490" s="209"/>
      <c r="AA1490" s="209"/>
      <c r="AB1490" s="209"/>
      <c r="AC1490" s="209"/>
      <c r="AD1490" s="209"/>
      <c r="AE1490" s="209"/>
      <c r="AF1490" s="209"/>
      <c r="AG1490" s="209"/>
      <c r="AH1490" s="209"/>
      <c r="AI1490" s="209"/>
      <c r="AJ1490" s="209"/>
      <c r="AK1490" s="209"/>
    </row>
    <row r="1491">
      <c r="A1491" s="209"/>
      <c r="B1491" s="209"/>
      <c r="C1491" s="209"/>
      <c r="D1491" s="209"/>
      <c r="E1491" s="209"/>
      <c r="F1491" s="209"/>
      <c r="G1491" s="209"/>
      <c r="H1491" s="209"/>
      <c r="I1491" s="209"/>
      <c r="J1491" s="209"/>
      <c r="K1491" s="209"/>
      <c r="L1491" s="209"/>
      <c r="M1491" s="209"/>
      <c r="N1491" s="209"/>
      <c r="O1491" s="209"/>
      <c r="P1491" s="209"/>
      <c r="Q1491" s="209"/>
      <c r="R1491" s="209"/>
      <c r="S1491" s="209"/>
      <c r="T1491" s="209"/>
      <c r="U1491" s="209"/>
      <c r="V1491" s="209"/>
      <c r="W1491" s="209"/>
      <c r="X1491" s="209"/>
      <c r="Y1491" s="209"/>
      <c r="Z1491" s="209"/>
      <c r="AA1491" s="209"/>
      <c r="AB1491" s="209"/>
      <c r="AC1491" s="209"/>
      <c r="AD1491" s="209"/>
      <c r="AE1491" s="209"/>
      <c r="AF1491" s="209"/>
      <c r="AG1491" s="209"/>
      <c r="AH1491" s="209"/>
      <c r="AI1491" s="209"/>
      <c r="AJ1491" s="209"/>
      <c r="AK1491" s="209"/>
    </row>
    <row r="1492">
      <c r="A1492" s="209"/>
      <c r="B1492" s="209"/>
      <c r="C1492" s="209"/>
      <c r="D1492" s="209"/>
      <c r="E1492" s="209"/>
      <c r="F1492" s="209"/>
      <c r="G1492" s="209"/>
      <c r="H1492" s="209"/>
      <c r="I1492" s="209"/>
      <c r="J1492" s="209"/>
      <c r="K1492" s="209"/>
      <c r="L1492" s="209"/>
      <c r="M1492" s="209"/>
      <c r="N1492" s="209"/>
      <c r="O1492" s="209"/>
      <c r="P1492" s="209"/>
      <c r="Q1492" s="209"/>
      <c r="R1492" s="209"/>
      <c r="S1492" s="209"/>
      <c r="T1492" s="209"/>
      <c r="U1492" s="209"/>
      <c r="V1492" s="209"/>
      <c r="W1492" s="209"/>
      <c r="X1492" s="209"/>
      <c r="Y1492" s="209"/>
      <c r="Z1492" s="209"/>
      <c r="AA1492" s="209"/>
      <c r="AB1492" s="209"/>
      <c r="AC1492" s="209"/>
      <c r="AD1492" s="209"/>
      <c r="AE1492" s="209"/>
      <c r="AF1492" s="209"/>
      <c r="AG1492" s="209"/>
      <c r="AH1492" s="209"/>
      <c r="AI1492" s="209"/>
      <c r="AJ1492" s="209"/>
      <c r="AK1492" s="209"/>
    </row>
    <row r="1493">
      <c r="A1493" s="209"/>
      <c r="B1493" s="209"/>
      <c r="C1493" s="209"/>
      <c r="D1493" s="209"/>
      <c r="E1493" s="209"/>
      <c r="F1493" s="209"/>
      <c r="G1493" s="209"/>
      <c r="H1493" s="209"/>
      <c r="I1493" s="209"/>
      <c r="J1493" s="209"/>
      <c r="K1493" s="209"/>
      <c r="L1493" s="209"/>
      <c r="M1493" s="209"/>
      <c r="N1493" s="209"/>
      <c r="O1493" s="209"/>
      <c r="P1493" s="209"/>
      <c r="Q1493" s="209"/>
      <c r="R1493" s="209"/>
      <c r="S1493" s="209"/>
      <c r="T1493" s="209"/>
      <c r="U1493" s="209"/>
      <c r="V1493" s="209"/>
      <c r="W1493" s="209"/>
      <c r="X1493" s="209"/>
      <c r="Y1493" s="209"/>
      <c r="Z1493" s="209"/>
      <c r="AA1493" s="209"/>
      <c r="AB1493" s="209"/>
      <c r="AC1493" s="209"/>
      <c r="AD1493" s="209"/>
      <c r="AE1493" s="209"/>
      <c r="AF1493" s="209"/>
      <c r="AG1493" s="209"/>
      <c r="AH1493" s="209"/>
      <c r="AI1493" s="209"/>
      <c r="AJ1493" s="209"/>
      <c r="AK1493" s="209"/>
    </row>
    <row r="1494">
      <c r="A1494" s="209"/>
      <c r="B1494" s="209"/>
      <c r="C1494" s="209"/>
      <c r="D1494" s="209"/>
      <c r="E1494" s="209"/>
      <c r="F1494" s="209"/>
      <c r="G1494" s="209"/>
      <c r="H1494" s="209"/>
      <c r="I1494" s="209"/>
      <c r="J1494" s="209"/>
      <c r="K1494" s="209"/>
      <c r="L1494" s="209"/>
      <c r="M1494" s="209"/>
      <c r="N1494" s="209"/>
      <c r="O1494" s="209"/>
      <c r="P1494" s="209"/>
      <c r="Q1494" s="209"/>
      <c r="R1494" s="209"/>
      <c r="S1494" s="209"/>
      <c r="T1494" s="209"/>
      <c r="U1494" s="209"/>
      <c r="V1494" s="209"/>
      <c r="W1494" s="209"/>
      <c r="X1494" s="209"/>
      <c r="Y1494" s="209"/>
      <c r="Z1494" s="209"/>
      <c r="AA1494" s="209"/>
      <c r="AB1494" s="209"/>
      <c r="AC1494" s="209"/>
      <c r="AD1494" s="209"/>
      <c r="AE1494" s="209"/>
      <c r="AF1494" s="209"/>
      <c r="AG1494" s="209"/>
      <c r="AH1494" s="209"/>
      <c r="AI1494" s="209"/>
      <c r="AJ1494" s="209"/>
      <c r="AK1494" s="209"/>
    </row>
    <row r="1495">
      <c r="A1495" s="209"/>
      <c r="B1495" s="209"/>
      <c r="C1495" s="209"/>
      <c r="D1495" s="209"/>
      <c r="E1495" s="209"/>
      <c r="F1495" s="209"/>
      <c r="G1495" s="209"/>
      <c r="H1495" s="209"/>
      <c r="I1495" s="209"/>
      <c r="J1495" s="209"/>
      <c r="K1495" s="209"/>
      <c r="L1495" s="209"/>
      <c r="M1495" s="209"/>
      <c r="N1495" s="209"/>
      <c r="O1495" s="209"/>
      <c r="P1495" s="209"/>
      <c r="Q1495" s="209"/>
      <c r="R1495" s="209"/>
      <c r="S1495" s="209"/>
      <c r="T1495" s="209"/>
      <c r="U1495" s="209"/>
      <c r="V1495" s="209"/>
      <c r="W1495" s="209"/>
      <c r="X1495" s="209"/>
      <c r="Y1495" s="209"/>
      <c r="Z1495" s="209"/>
      <c r="AA1495" s="209"/>
      <c r="AB1495" s="209"/>
      <c r="AC1495" s="209"/>
      <c r="AD1495" s="209"/>
      <c r="AE1495" s="209"/>
      <c r="AF1495" s="209"/>
      <c r="AG1495" s="209"/>
      <c r="AH1495" s="209"/>
      <c r="AI1495" s="209"/>
      <c r="AJ1495" s="209"/>
      <c r="AK1495" s="209"/>
    </row>
    <row r="1496">
      <c r="A1496" s="209"/>
      <c r="B1496" s="209"/>
      <c r="C1496" s="209"/>
      <c r="D1496" s="209"/>
      <c r="E1496" s="209"/>
      <c r="F1496" s="209"/>
      <c r="G1496" s="209"/>
      <c r="H1496" s="209"/>
      <c r="I1496" s="209"/>
      <c r="J1496" s="209"/>
      <c r="K1496" s="209"/>
      <c r="L1496" s="209"/>
      <c r="M1496" s="209"/>
      <c r="N1496" s="209"/>
      <c r="O1496" s="209"/>
      <c r="P1496" s="209"/>
      <c r="Q1496" s="209"/>
      <c r="R1496" s="209"/>
      <c r="S1496" s="209"/>
      <c r="T1496" s="209"/>
      <c r="U1496" s="209"/>
      <c r="V1496" s="209"/>
      <c r="W1496" s="209"/>
      <c r="X1496" s="209"/>
      <c r="Y1496" s="209"/>
      <c r="Z1496" s="209"/>
      <c r="AA1496" s="209"/>
      <c r="AB1496" s="209"/>
      <c r="AC1496" s="209"/>
      <c r="AD1496" s="209"/>
      <c r="AE1496" s="209"/>
      <c r="AF1496" s="209"/>
      <c r="AG1496" s="209"/>
      <c r="AH1496" s="209"/>
      <c r="AI1496" s="209"/>
      <c r="AJ1496" s="209"/>
      <c r="AK1496" s="209"/>
    </row>
    <row r="1497">
      <c r="A1497" s="209"/>
      <c r="B1497" s="209"/>
      <c r="C1497" s="209"/>
      <c r="D1497" s="209"/>
      <c r="E1497" s="209"/>
      <c r="F1497" s="209"/>
      <c r="G1497" s="209"/>
      <c r="H1497" s="209"/>
      <c r="I1497" s="209"/>
      <c r="J1497" s="209"/>
      <c r="K1497" s="209"/>
      <c r="L1497" s="209"/>
      <c r="M1497" s="209"/>
      <c r="N1497" s="209"/>
      <c r="O1497" s="209"/>
      <c r="P1497" s="209"/>
      <c r="Q1497" s="209"/>
      <c r="R1497" s="209"/>
      <c r="S1497" s="209"/>
      <c r="T1497" s="209"/>
      <c r="U1497" s="209"/>
      <c r="V1497" s="209"/>
      <c r="W1497" s="209"/>
      <c r="X1497" s="209"/>
      <c r="Y1497" s="209"/>
      <c r="Z1497" s="209"/>
      <c r="AA1497" s="209"/>
      <c r="AB1497" s="209"/>
      <c r="AC1497" s="209"/>
      <c r="AD1497" s="209"/>
      <c r="AE1497" s="209"/>
      <c r="AF1497" s="209"/>
      <c r="AG1497" s="209"/>
      <c r="AH1497" s="209"/>
      <c r="AI1497" s="209"/>
      <c r="AJ1497" s="209"/>
      <c r="AK1497" s="209"/>
    </row>
    <row r="1498">
      <c r="A1498" s="209"/>
      <c r="B1498" s="209"/>
      <c r="C1498" s="209"/>
      <c r="D1498" s="209"/>
      <c r="E1498" s="209"/>
      <c r="F1498" s="209"/>
      <c r="G1498" s="209"/>
      <c r="H1498" s="209"/>
      <c r="I1498" s="209"/>
      <c r="J1498" s="209"/>
      <c r="K1498" s="209"/>
      <c r="L1498" s="209"/>
      <c r="M1498" s="209"/>
      <c r="N1498" s="209"/>
      <c r="O1498" s="209"/>
      <c r="P1498" s="209"/>
      <c r="Q1498" s="209"/>
      <c r="R1498" s="209"/>
      <c r="S1498" s="209"/>
      <c r="T1498" s="209"/>
      <c r="U1498" s="209"/>
      <c r="V1498" s="209"/>
      <c r="W1498" s="209"/>
      <c r="X1498" s="209"/>
      <c r="Y1498" s="209"/>
      <c r="Z1498" s="209"/>
      <c r="AA1498" s="209"/>
      <c r="AB1498" s="209"/>
      <c r="AC1498" s="209"/>
      <c r="AD1498" s="209"/>
      <c r="AE1498" s="209"/>
      <c r="AF1498" s="209"/>
      <c r="AG1498" s="209"/>
      <c r="AH1498" s="209"/>
      <c r="AI1498" s="209"/>
      <c r="AJ1498" s="209"/>
      <c r="AK1498" s="209"/>
    </row>
    <row r="1499">
      <c r="A1499" s="209"/>
      <c r="B1499" s="209"/>
      <c r="C1499" s="209"/>
      <c r="D1499" s="209"/>
      <c r="E1499" s="209"/>
      <c r="F1499" s="209"/>
      <c r="G1499" s="209"/>
      <c r="H1499" s="209"/>
      <c r="I1499" s="209"/>
      <c r="J1499" s="209"/>
      <c r="K1499" s="209"/>
      <c r="L1499" s="209"/>
      <c r="M1499" s="209"/>
      <c r="N1499" s="209"/>
      <c r="O1499" s="209"/>
      <c r="P1499" s="209"/>
      <c r="Q1499" s="209"/>
      <c r="R1499" s="209"/>
      <c r="S1499" s="209"/>
      <c r="T1499" s="209"/>
      <c r="U1499" s="209"/>
      <c r="V1499" s="209"/>
      <c r="W1499" s="209"/>
      <c r="X1499" s="209"/>
      <c r="Y1499" s="209"/>
      <c r="Z1499" s="209"/>
      <c r="AA1499" s="209"/>
      <c r="AB1499" s="209"/>
      <c r="AC1499" s="209"/>
      <c r="AD1499" s="209"/>
      <c r="AE1499" s="209"/>
      <c r="AF1499" s="209"/>
      <c r="AG1499" s="209"/>
      <c r="AH1499" s="209"/>
      <c r="AI1499" s="209"/>
      <c r="AJ1499" s="209"/>
      <c r="AK1499" s="209"/>
    </row>
    <row r="1500">
      <c r="A1500" s="209"/>
      <c r="B1500" s="209"/>
      <c r="C1500" s="209"/>
      <c r="D1500" s="209"/>
      <c r="E1500" s="209"/>
      <c r="F1500" s="209"/>
      <c r="G1500" s="209"/>
      <c r="H1500" s="209"/>
      <c r="I1500" s="209"/>
      <c r="J1500" s="209"/>
      <c r="K1500" s="209"/>
      <c r="L1500" s="209"/>
      <c r="M1500" s="209"/>
      <c r="N1500" s="209"/>
      <c r="O1500" s="209"/>
      <c r="P1500" s="209"/>
      <c r="Q1500" s="209"/>
      <c r="R1500" s="209"/>
      <c r="S1500" s="209"/>
      <c r="T1500" s="209"/>
      <c r="U1500" s="209"/>
      <c r="V1500" s="209"/>
      <c r="W1500" s="209"/>
      <c r="X1500" s="209"/>
      <c r="Y1500" s="209"/>
      <c r="Z1500" s="209"/>
      <c r="AA1500" s="209"/>
      <c r="AB1500" s="209"/>
      <c r="AC1500" s="209"/>
      <c r="AD1500" s="209"/>
      <c r="AE1500" s="209"/>
      <c r="AF1500" s="209"/>
      <c r="AG1500" s="209"/>
      <c r="AH1500" s="209"/>
      <c r="AI1500" s="209"/>
      <c r="AJ1500" s="209"/>
      <c r="AK1500" s="209"/>
    </row>
    <row r="1501">
      <c r="A1501" s="209"/>
      <c r="B1501" s="209"/>
      <c r="C1501" s="209"/>
      <c r="D1501" s="209"/>
      <c r="E1501" s="209"/>
      <c r="F1501" s="209"/>
      <c r="G1501" s="209"/>
      <c r="H1501" s="209"/>
      <c r="I1501" s="209"/>
      <c r="J1501" s="209"/>
      <c r="K1501" s="209"/>
      <c r="L1501" s="209"/>
      <c r="M1501" s="209"/>
      <c r="N1501" s="209"/>
      <c r="O1501" s="209"/>
      <c r="P1501" s="209"/>
      <c r="Q1501" s="209"/>
      <c r="R1501" s="209"/>
      <c r="S1501" s="209"/>
      <c r="T1501" s="209"/>
      <c r="U1501" s="209"/>
      <c r="V1501" s="209"/>
      <c r="W1501" s="209"/>
      <c r="X1501" s="209"/>
      <c r="Y1501" s="209"/>
      <c r="Z1501" s="209"/>
      <c r="AA1501" s="209"/>
      <c r="AB1501" s="209"/>
      <c r="AC1501" s="209"/>
      <c r="AD1501" s="209"/>
      <c r="AE1501" s="209"/>
      <c r="AF1501" s="209"/>
      <c r="AG1501" s="209"/>
      <c r="AH1501" s="209"/>
      <c r="AI1501" s="209"/>
      <c r="AJ1501" s="209"/>
      <c r="AK1501" s="209"/>
    </row>
    <row r="1502">
      <c r="A1502" s="209"/>
      <c r="B1502" s="209"/>
      <c r="C1502" s="209"/>
      <c r="D1502" s="209"/>
      <c r="E1502" s="209"/>
      <c r="F1502" s="209"/>
      <c r="G1502" s="209"/>
      <c r="H1502" s="209"/>
      <c r="I1502" s="209"/>
      <c r="J1502" s="209"/>
      <c r="K1502" s="209"/>
      <c r="L1502" s="209"/>
      <c r="M1502" s="209"/>
      <c r="N1502" s="209"/>
      <c r="O1502" s="209"/>
      <c r="P1502" s="209"/>
      <c r="Q1502" s="209"/>
      <c r="R1502" s="209"/>
      <c r="S1502" s="209"/>
      <c r="T1502" s="209"/>
      <c r="U1502" s="209"/>
      <c r="V1502" s="209"/>
      <c r="W1502" s="209"/>
      <c r="X1502" s="209"/>
      <c r="Y1502" s="209"/>
      <c r="Z1502" s="209"/>
      <c r="AA1502" s="209"/>
      <c r="AB1502" s="209"/>
      <c r="AC1502" s="209"/>
      <c r="AD1502" s="209"/>
      <c r="AE1502" s="209"/>
      <c r="AF1502" s="209"/>
      <c r="AG1502" s="209"/>
      <c r="AH1502" s="209"/>
      <c r="AI1502" s="209"/>
      <c r="AJ1502" s="209"/>
      <c r="AK1502" s="209"/>
    </row>
    <row r="1503">
      <c r="A1503" s="209"/>
      <c r="B1503" s="209"/>
      <c r="C1503" s="209"/>
      <c r="D1503" s="209"/>
      <c r="E1503" s="209"/>
      <c r="F1503" s="209"/>
      <c r="G1503" s="209"/>
      <c r="H1503" s="209"/>
      <c r="I1503" s="209"/>
      <c r="J1503" s="209"/>
      <c r="K1503" s="209"/>
      <c r="L1503" s="209"/>
      <c r="M1503" s="209"/>
      <c r="N1503" s="209"/>
      <c r="O1503" s="209"/>
      <c r="P1503" s="209"/>
      <c r="Q1503" s="209"/>
      <c r="R1503" s="209"/>
      <c r="S1503" s="209"/>
      <c r="T1503" s="209"/>
      <c r="U1503" s="209"/>
      <c r="V1503" s="209"/>
      <c r="W1503" s="209"/>
      <c r="X1503" s="209"/>
      <c r="Y1503" s="209"/>
      <c r="Z1503" s="209"/>
      <c r="AA1503" s="209"/>
      <c r="AB1503" s="209"/>
      <c r="AC1503" s="209"/>
      <c r="AD1503" s="209"/>
      <c r="AE1503" s="209"/>
      <c r="AF1503" s="209"/>
      <c r="AG1503" s="209"/>
      <c r="AH1503" s="209"/>
      <c r="AI1503" s="209"/>
      <c r="AJ1503" s="209"/>
      <c r="AK1503" s="209"/>
    </row>
    <row r="1504">
      <c r="A1504" s="209"/>
      <c r="B1504" s="209"/>
      <c r="C1504" s="209"/>
      <c r="D1504" s="209"/>
      <c r="E1504" s="209"/>
      <c r="F1504" s="209"/>
      <c r="G1504" s="209"/>
      <c r="H1504" s="209"/>
      <c r="I1504" s="209"/>
      <c r="J1504" s="209"/>
      <c r="K1504" s="209"/>
      <c r="L1504" s="209"/>
      <c r="M1504" s="209"/>
      <c r="N1504" s="209"/>
      <c r="O1504" s="209"/>
      <c r="P1504" s="209"/>
      <c r="Q1504" s="209"/>
      <c r="R1504" s="209"/>
      <c r="S1504" s="209"/>
      <c r="T1504" s="209"/>
      <c r="U1504" s="209"/>
      <c r="V1504" s="209"/>
      <c r="W1504" s="209"/>
      <c r="X1504" s="209"/>
      <c r="Y1504" s="209"/>
      <c r="Z1504" s="209"/>
      <c r="AA1504" s="209"/>
      <c r="AB1504" s="209"/>
      <c r="AC1504" s="209"/>
      <c r="AD1504" s="209"/>
      <c r="AE1504" s="209"/>
      <c r="AF1504" s="209"/>
      <c r="AG1504" s="209"/>
      <c r="AH1504" s="209"/>
      <c r="AI1504" s="209"/>
      <c r="AJ1504" s="209"/>
      <c r="AK1504" s="209"/>
    </row>
    <row r="1505">
      <c r="A1505" s="209"/>
      <c r="B1505" s="209"/>
      <c r="C1505" s="209"/>
      <c r="D1505" s="209"/>
      <c r="E1505" s="209"/>
      <c r="F1505" s="209"/>
      <c r="G1505" s="209"/>
      <c r="H1505" s="209"/>
      <c r="I1505" s="209"/>
      <c r="J1505" s="209"/>
      <c r="K1505" s="209"/>
      <c r="L1505" s="209"/>
      <c r="M1505" s="209"/>
      <c r="N1505" s="209"/>
      <c r="O1505" s="209"/>
      <c r="P1505" s="209"/>
      <c r="Q1505" s="209"/>
      <c r="R1505" s="209"/>
      <c r="S1505" s="209"/>
      <c r="T1505" s="209"/>
      <c r="U1505" s="209"/>
      <c r="V1505" s="209"/>
      <c r="W1505" s="209"/>
      <c r="X1505" s="209"/>
      <c r="Y1505" s="209"/>
      <c r="Z1505" s="209"/>
      <c r="AA1505" s="209"/>
      <c r="AB1505" s="209"/>
      <c r="AC1505" s="209"/>
      <c r="AD1505" s="209"/>
      <c r="AE1505" s="209"/>
      <c r="AF1505" s="209"/>
      <c r="AG1505" s="209"/>
      <c r="AH1505" s="209"/>
      <c r="AI1505" s="209"/>
      <c r="AJ1505" s="209"/>
      <c r="AK1505" s="209"/>
    </row>
    <row r="1506">
      <c r="A1506" s="209"/>
      <c r="B1506" s="209"/>
      <c r="C1506" s="209"/>
      <c r="D1506" s="209"/>
      <c r="E1506" s="209"/>
      <c r="F1506" s="209"/>
      <c r="G1506" s="209"/>
      <c r="H1506" s="209"/>
      <c r="I1506" s="209"/>
      <c r="J1506" s="209"/>
      <c r="K1506" s="209"/>
      <c r="L1506" s="209"/>
      <c r="M1506" s="209"/>
      <c r="N1506" s="209"/>
      <c r="O1506" s="209"/>
      <c r="P1506" s="209"/>
      <c r="Q1506" s="209"/>
      <c r="R1506" s="209"/>
      <c r="S1506" s="209"/>
      <c r="T1506" s="209"/>
      <c r="U1506" s="209"/>
      <c r="V1506" s="209"/>
      <c r="W1506" s="209"/>
      <c r="X1506" s="209"/>
      <c r="Y1506" s="209"/>
      <c r="Z1506" s="209"/>
      <c r="AA1506" s="209"/>
      <c r="AB1506" s="209"/>
      <c r="AC1506" s="209"/>
      <c r="AD1506" s="209"/>
      <c r="AE1506" s="209"/>
      <c r="AF1506" s="209"/>
      <c r="AG1506" s="209"/>
      <c r="AH1506" s="209"/>
      <c r="AI1506" s="209"/>
      <c r="AJ1506" s="209"/>
      <c r="AK1506" s="209"/>
    </row>
    <row r="1507">
      <c r="A1507" s="209"/>
      <c r="B1507" s="209"/>
      <c r="C1507" s="209"/>
      <c r="D1507" s="209"/>
      <c r="E1507" s="209"/>
      <c r="F1507" s="209"/>
      <c r="G1507" s="209"/>
      <c r="H1507" s="209"/>
      <c r="I1507" s="209"/>
      <c r="J1507" s="209"/>
      <c r="K1507" s="209"/>
      <c r="L1507" s="209"/>
      <c r="M1507" s="209"/>
      <c r="N1507" s="209"/>
      <c r="O1507" s="209"/>
      <c r="P1507" s="209"/>
      <c r="Q1507" s="209"/>
      <c r="R1507" s="209"/>
      <c r="S1507" s="209"/>
      <c r="T1507" s="209"/>
      <c r="U1507" s="209"/>
      <c r="V1507" s="209"/>
      <c r="W1507" s="209"/>
      <c r="X1507" s="209"/>
      <c r="Y1507" s="209"/>
      <c r="Z1507" s="209"/>
      <c r="AA1507" s="209"/>
      <c r="AB1507" s="209"/>
      <c r="AC1507" s="209"/>
      <c r="AD1507" s="209"/>
      <c r="AE1507" s="209"/>
      <c r="AF1507" s="209"/>
      <c r="AG1507" s="209"/>
      <c r="AH1507" s="209"/>
      <c r="AI1507" s="209"/>
      <c r="AJ1507" s="209"/>
      <c r="AK1507" s="209"/>
    </row>
    <row r="1508">
      <c r="A1508" s="209"/>
      <c r="B1508" s="209"/>
      <c r="C1508" s="209"/>
      <c r="D1508" s="209"/>
      <c r="E1508" s="209"/>
      <c r="F1508" s="209"/>
      <c r="G1508" s="209"/>
      <c r="H1508" s="209"/>
      <c r="I1508" s="209"/>
      <c r="J1508" s="209"/>
      <c r="K1508" s="209"/>
      <c r="L1508" s="209"/>
      <c r="M1508" s="209"/>
      <c r="N1508" s="209"/>
      <c r="O1508" s="209"/>
      <c r="P1508" s="209"/>
      <c r="Q1508" s="209"/>
      <c r="R1508" s="209"/>
      <c r="S1508" s="209"/>
      <c r="T1508" s="209"/>
      <c r="U1508" s="209"/>
      <c r="V1508" s="209"/>
      <c r="W1508" s="209"/>
      <c r="X1508" s="209"/>
      <c r="Y1508" s="209"/>
      <c r="Z1508" s="209"/>
      <c r="AA1508" s="209"/>
      <c r="AB1508" s="209"/>
      <c r="AC1508" s="209"/>
      <c r="AD1508" s="209"/>
      <c r="AE1508" s="209"/>
      <c r="AF1508" s="209"/>
      <c r="AG1508" s="209"/>
      <c r="AH1508" s="209"/>
      <c r="AI1508" s="209"/>
      <c r="AJ1508" s="209"/>
      <c r="AK1508" s="209"/>
    </row>
    <row r="1509">
      <c r="A1509" s="209"/>
      <c r="B1509" s="209"/>
      <c r="C1509" s="209"/>
      <c r="D1509" s="209"/>
      <c r="E1509" s="209"/>
      <c r="F1509" s="209"/>
      <c r="G1509" s="209"/>
      <c r="H1509" s="209"/>
      <c r="I1509" s="209"/>
      <c r="J1509" s="209"/>
      <c r="K1509" s="209"/>
      <c r="L1509" s="209"/>
      <c r="M1509" s="209"/>
      <c r="N1509" s="209"/>
      <c r="O1509" s="209"/>
      <c r="P1509" s="209"/>
      <c r="Q1509" s="209"/>
      <c r="R1509" s="209"/>
      <c r="S1509" s="209"/>
      <c r="T1509" s="209"/>
      <c r="U1509" s="209"/>
      <c r="V1509" s="209"/>
      <c r="W1509" s="209"/>
      <c r="X1509" s="209"/>
      <c r="Y1509" s="209"/>
      <c r="Z1509" s="209"/>
      <c r="AA1509" s="209"/>
      <c r="AB1509" s="209"/>
      <c r="AC1509" s="209"/>
      <c r="AD1509" s="209"/>
      <c r="AE1509" s="209"/>
      <c r="AF1509" s="209"/>
      <c r="AG1509" s="209"/>
      <c r="AH1509" s="209"/>
      <c r="AI1509" s="209"/>
      <c r="AJ1509" s="209"/>
      <c r="AK1509" s="209"/>
    </row>
    <row r="1510">
      <c r="A1510" s="209"/>
      <c r="B1510" s="209"/>
      <c r="C1510" s="209"/>
      <c r="D1510" s="209"/>
      <c r="E1510" s="209"/>
      <c r="F1510" s="209"/>
      <c r="G1510" s="209"/>
      <c r="H1510" s="209"/>
      <c r="I1510" s="209"/>
      <c r="J1510" s="209"/>
      <c r="K1510" s="209"/>
      <c r="L1510" s="209"/>
      <c r="M1510" s="209"/>
      <c r="N1510" s="209"/>
      <c r="O1510" s="209"/>
      <c r="P1510" s="209"/>
      <c r="Q1510" s="209"/>
      <c r="R1510" s="209"/>
      <c r="S1510" s="209"/>
      <c r="T1510" s="209"/>
      <c r="U1510" s="209"/>
      <c r="V1510" s="209"/>
      <c r="W1510" s="209"/>
      <c r="X1510" s="209"/>
      <c r="Y1510" s="209"/>
      <c r="Z1510" s="209"/>
      <c r="AA1510" s="209"/>
      <c r="AB1510" s="209"/>
      <c r="AC1510" s="209"/>
      <c r="AD1510" s="209"/>
      <c r="AE1510" s="209"/>
      <c r="AF1510" s="209"/>
      <c r="AG1510" s="209"/>
      <c r="AH1510" s="209"/>
      <c r="AI1510" s="209"/>
      <c r="AJ1510" s="209"/>
      <c r="AK1510" s="209"/>
    </row>
    <row r="1511">
      <c r="A1511" s="209"/>
      <c r="B1511" s="209"/>
      <c r="C1511" s="209"/>
      <c r="D1511" s="209"/>
      <c r="E1511" s="209"/>
      <c r="F1511" s="209"/>
      <c r="G1511" s="209"/>
      <c r="H1511" s="209"/>
      <c r="I1511" s="209"/>
      <c r="J1511" s="209"/>
      <c r="K1511" s="209"/>
      <c r="L1511" s="209"/>
      <c r="M1511" s="209"/>
      <c r="N1511" s="209"/>
      <c r="O1511" s="209"/>
      <c r="P1511" s="209"/>
      <c r="Q1511" s="209"/>
      <c r="R1511" s="209"/>
      <c r="S1511" s="209"/>
      <c r="T1511" s="209"/>
      <c r="U1511" s="209"/>
      <c r="V1511" s="209"/>
      <c r="W1511" s="209"/>
      <c r="X1511" s="209"/>
      <c r="Y1511" s="209"/>
      <c r="Z1511" s="209"/>
      <c r="AA1511" s="209"/>
      <c r="AB1511" s="209"/>
      <c r="AC1511" s="209"/>
      <c r="AD1511" s="209"/>
      <c r="AE1511" s="209"/>
      <c r="AF1511" s="209"/>
      <c r="AG1511" s="209"/>
      <c r="AH1511" s="209"/>
      <c r="AI1511" s="209"/>
      <c r="AJ1511" s="209"/>
      <c r="AK1511" s="209"/>
    </row>
    <row r="1512">
      <c r="A1512" s="209"/>
      <c r="B1512" s="209"/>
      <c r="C1512" s="209"/>
      <c r="D1512" s="209"/>
      <c r="E1512" s="209"/>
      <c r="F1512" s="209"/>
      <c r="G1512" s="209"/>
      <c r="H1512" s="209"/>
      <c r="I1512" s="209"/>
      <c r="J1512" s="209"/>
      <c r="K1512" s="209"/>
      <c r="L1512" s="209"/>
      <c r="M1512" s="209"/>
      <c r="N1512" s="209"/>
      <c r="O1512" s="209"/>
      <c r="P1512" s="209"/>
      <c r="Q1512" s="209"/>
      <c r="R1512" s="209"/>
      <c r="S1512" s="209"/>
      <c r="T1512" s="209"/>
      <c r="U1512" s="209"/>
      <c r="V1512" s="209"/>
      <c r="W1512" s="209"/>
      <c r="X1512" s="209"/>
      <c r="Y1512" s="209"/>
      <c r="Z1512" s="209"/>
      <c r="AA1512" s="209"/>
      <c r="AB1512" s="209"/>
      <c r="AC1512" s="209"/>
      <c r="AD1512" s="209"/>
      <c r="AE1512" s="209"/>
      <c r="AF1512" s="209"/>
      <c r="AG1512" s="209"/>
      <c r="AH1512" s="209"/>
      <c r="AI1512" s="209"/>
      <c r="AJ1512" s="209"/>
      <c r="AK1512" s="209"/>
    </row>
    <row r="1513">
      <c r="A1513" s="209"/>
      <c r="B1513" s="209"/>
      <c r="C1513" s="209"/>
      <c r="D1513" s="209"/>
      <c r="E1513" s="209"/>
      <c r="F1513" s="209"/>
      <c r="G1513" s="209"/>
      <c r="H1513" s="209"/>
      <c r="I1513" s="209"/>
      <c r="J1513" s="209"/>
      <c r="K1513" s="209"/>
      <c r="L1513" s="209"/>
      <c r="M1513" s="209"/>
      <c r="N1513" s="209"/>
      <c r="O1513" s="209"/>
      <c r="P1513" s="209"/>
      <c r="Q1513" s="209"/>
      <c r="R1513" s="209"/>
      <c r="S1513" s="209"/>
      <c r="T1513" s="209"/>
      <c r="U1513" s="209"/>
      <c r="V1513" s="209"/>
      <c r="W1513" s="209"/>
      <c r="X1513" s="209"/>
      <c r="Y1513" s="209"/>
      <c r="Z1513" s="209"/>
      <c r="AA1513" s="209"/>
      <c r="AB1513" s="209"/>
      <c r="AC1513" s="209"/>
      <c r="AD1513" s="209"/>
      <c r="AE1513" s="209"/>
      <c r="AF1513" s="209"/>
      <c r="AG1513" s="209"/>
      <c r="AH1513" s="209"/>
      <c r="AI1513" s="209"/>
      <c r="AJ1513" s="209"/>
      <c r="AK1513" s="209"/>
    </row>
    <row r="1514">
      <c r="A1514" s="209"/>
      <c r="B1514" s="209"/>
      <c r="C1514" s="209"/>
      <c r="D1514" s="209"/>
      <c r="E1514" s="209"/>
      <c r="F1514" s="209"/>
      <c r="G1514" s="209"/>
      <c r="H1514" s="209"/>
      <c r="I1514" s="209"/>
      <c r="J1514" s="209"/>
      <c r="K1514" s="209"/>
      <c r="L1514" s="209"/>
      <c r="M1514" s="209"/>
      <c r="N1514" s="209"/>
      <c r="O1514" s="209"/>
      <c r="P1514" s="209"/>
      <c r="Q1514" s="209"/>
      <c r="R1514" s="209"/>
      <c r="S1514" s="209"/>
      <c r="T1514" s="209"/>
      <c r="U1514" s="209"/>
      <c r="V1514" s="209"/>
      <c r="W1514" s="209"/>
      <c r="X1514" s="209"/>
      <c r="Y1514" s="209"/>
      <c r="Z1514" s="209"/>
      <c r="AA1514" s="209"/>
      <c r="AB1514" s="209"/>
      <c r="AC1514" s="209"/>
      <c r="AD1514" s="209"/>
      <c r="AE1514" s="209"/>
      <c r="AF1514" s="209"/>
      <c r="AG1514" s="209"/>
      <c r="AH1514" s="209"/>
      <c r="AI1514" s="209"/>
      <c r="AJ1514" s="209"/>
      <c r="AK1514" s="209"/>
    </row>
    <row r="1515">
      <c r="A1515" s="209"/>
      <c r="B1515" s="209"/>
      <c r="C1515" s="209"/>
      <c r="D1515" s="209"/>
      <c r="E1515" s="209"/>
      <c r="F1515" s="209"/>
      <c r="G1515" s="209"/>
      <c r="H1515" s="209"/>
      <c r="I1515" s="209"/>
      <c r="J1515" s="209"/>
      <c r="K1515" s="209"/>
      <c r="L1515" s="209"/>
      <c r="M1515" s="209"/>
      <c r="N1515" s="209"/>
      <c r="O1515" s="209"/>
      <c r="P1515" s="209"/>
      <c r="Q1515" s="209"/>
      <c r="R1515" s="209"/>
      <c r="S1515" s="209"/>
      <c r="T1515" s="209"/>
      <c r="U1515" s="209"/>
      <c r="V1515" s="209"/>
      <c r="W1515" s="209"/>
      <c r="X1515" s="209"/>
      <c r="Y1515" s="209"/>
      <c r="Z1515" s="209"/>
      <c r="AA1515" s="209"/>
      <c r="AB1515" s="209"/>
      <c r="AC1515" s="209"/>
      <c r="AD1515" s="209"/>
      <c r="AE1515" s="209"/>
      <c r="AF1515" s="209"/>
      <c r="AG1515" s="209"/>
      <c r="AH1515" s="209"/>
      <c r="AI1515" s="209"/>
      <c r="AJ1515" s="209"/>
      <c r="AK1515" s="209"/>
    </row>
    <row r="1516">
      <c r="A1516" s="209"/>
      <c r="B1516" s="209"/>
      <c r="C1516" s="209"/>
      <c r="D1516" s="209"/>
      <c r="E1516" s="209"/>
      <c r="F1516" s="209"/>
      <c r="G1516" s="209"/>
      <c r="H1516" s="209"/>
      <c r="I1516" s="209"/>
      <c r="J1516" s="209"/>
      <c r="K1516" s="209"/>
      <c r="L1516" s="209"/>
      <c r="M1516" s="209"/>
      <c r="N1516" s="209"/>
      <c r="O1516" s="209"/>
      <c r="P1516" s="209"/>
      <c r="Q1516" s="209"/>
      <c r="R1516" s="209"/>
      <c r="S1516" s="209"/>
      <c r="T1516" s="209"/>
      <c r="U1516" s="209"/>
      <c r="V1516" s="209"/>
      <c r="W1516" s="209"/>
      <c r="X1516" s="209"/>
      <c r="Y1516" s="209"/>
      <c r="Z1516" s="209"/>
      <c r="AA1516" s="209"/>
      <c r="AB1516" s="209"/>
      <c r="AC1516" s="209"/>
      <c r="AD1516" s="209"/>
      <c r="AE1516" s="209"/>
      <c r="AF1516" s="209"/>
      <c r="AG1516" s="209"/>
      <c r="AH1516" s="209"/>
      <c r="AI1516" s="209"/>
      <c r="AJ1516" s="209"/>
      <c r="AK1516" s="209"/>
    </row>
    <row r="1517">
      <c r="A1517" s="209"/>
      <c r="B1517" s="209"/>
      <c r="C1517" s="209"/>
      <c r="D1517" s="209"/>
      <c r="E1517" s="209"/>
      <c r="F1517" s="209"/>
      <c r="G1517" s="209"/>
      <c r="H1517" s="209"/>
      <c r="I1517" s="209"/>
      <c r="J1517" s="209"/>
      <c r="K1517" s="209"/>
      <c r="L1517" s="209"/>
      <c r="M1517" s="209"/>
      <c r="N1517" s="209"/>
      <c r="O1517" s="209"/>
      <c r="P1517" s="209"/>
      <c r="Q1517" s="209"/>
      <c r="R1517" s="209"/>
      <c r="S1517" s="209"/>
      <c r="T1517" s="209"/>
      <c r="U1517" s="209"/>
      <c r="V1517" s="209"/>
      <c r="W1517" s="209"/>
      <c r="X1517" s="209"/>
      <c r="Y1517" s="209"/>
      <c r="Z1517" s="209"/>
      <c r="AA1517" s="209"/>
      <c r="AB1517" s="209"/>
      <c r="AC1517" s="209"/>
      <c r="AD1517" s="209"/>
      <c r="AE1517" s="209"/>
      <c r="AF1517" s="209"/>
      <c r="AG1517" s="209"/>
      <c r="AH1517" s="209"/>
      <c r="AI1517" s="209"/>
      <c r="AJ1517" s="209"/>
      <c r="AK1517" s="209"/>
    </row>
    <row r="1518">
      <c r="A1518" s="209"/>
      <c r="B1518" s="209"/>
      <c r="C1518" s="209"/>
      <c r="D1518" s="209"/>
      <c r="E1518" s="209"/>
      <c r="F1518" s="209"/>
      <c r="G1518" s="209"/>
      <c r="H1518" s="209"/>
      <c r="I1518" s="209"/>
      <c r="J1518" s="209"/>
      <c r="K1518" s="209"/>
      <c r="L1518" s="209"/>
      <c r="M1518" s="209"/>
      <c r="N1518" s="209"/>
      <c r="O1518" s="209"/>
      <c r="P1518" s="209"/>
      <c r="Q1518" s="209"/>
      <c r="R1518" s="209"/>
      <c r="S1518" s="209"/>
      <c r="T1518" s="209"/>
      <c r="U1518" s="209"/>
      <c r="V1518" s="209"/>
      <c r="W1518" s="209"/>
      <c r="X1518" s="209"/>
      <c r="Y1518" s="209"/>
      <c r="Z1518" s="209"/>
      <c r="AA1518" s="209"/>
      <c r="AB1518" s="209"/>
      <c r="AC1518" s="209"/>
      <c r="AD1518" s="209"/>
      <c r="AE1518" s="209"/>
      <c r="AF1518" s="209"/>
      <c r="AG1518" s="209"/>
      <c r="AH1518" s="209"/>
      <c r="AI1518" s="209"/>
      <c r="AJ1518" s="209"/>
      <c r="AK1518" s="209"/>
    </row>
    <row r="1519">
      <c r="A1519" s="209"/>
      <c r="B1519" s="209"/>
      <c r="C1519" s="209"/>
      <c r="D1519" s="209"/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209"/>
      <c r="P1519" s="209"/>
      <c r="Q1519" s="209"/>
      <c r="R1519" s="209"/>
      <c r="S1519" s="209"/>
      <c r="T1519" s="209"/>
      <c r="U1519" s="209"/>
      <c r="V1519" s="209"/>
      <c r="W1519" s="209"/>
      <c r="X1519" s="209"/>
      <c r="Y1519" s="209"/>
      <c r="Z1519" s="209"/>
      <c r="AA1519" s="209"/>
      <c r="AB1519" s="209"/>
      <c r="AC1519" s="209"/>
      <c r="AD1519" s="209"/>
      <c r="AE1519" s="209"/>
      <c r="AF1519" s="209"/>
      <c r="AG1519" s="209"/>
      <c r="AH1519" s="209"/>
      <c r="AI1519" s="209"/>
      <c r="AJ1519" s="209"/>
      <c r="AK1519" s="209"/>
    </row>
    <row r="1520">
      <c r="A1520" s="209"/>
      <c r="B1520" s="209"/>
      <c r="C1520" s="209"/>
      <c r="D1520" s="209"/>
      <c r="E1520" s="209"/>
      <c r="F1520" s="209"/>
      <c r="G1520" s="209"/>
      <c r="H1520" s="209"/>
      <c r="I1520" s="209"/>
      <c r="J1520" s="209"/>
      <c r="K1520" s="209"/>
      <c r="L1520" s="209"/>
      <c r="M1520" s="209"/>
      <c r="N1520" s="209"/>
      <c r="O1520" s="209"/>
      <c r="P1520" s="209"/>
      <c r="Q1520" s="209"/>
      <c r="R1520" s="209"/>
      <c r="S1520" s="209"/>
      <c r="T1520" s="209"/>
      <c r="U1520" s="209"/>
      <c r="V1520" s="209"/>
      <c r="W1520" s="209"/>
      <c r="X1520" s="209"/>
      <c r="Y1520" s="209"/>
      <c r="Z1520" s="209"/>
      <c r="AA1520" s="209"/>
      <c r="AB1520" s="209"/>
      <c r="AC1520" s="209"/>
      <c r="AD1520" s="209"/>
      <c r="AE1520" s="209"/>
      <c r="AF1520" s="209"/>
      <c r="AG1520" s="209"/>
      <c r="AH1520" s="209"/>
      <c r="AI1520" s="209"/>
      <c r="AJ1520" s="209"/>
      <c r="AK1520" s="209"/>
    </row>
    <row r="1521">
      <c r="A1521" s="209"/>
      <c r="B1521" s="209"/>
      <c r="C1521" s="209"/>
      <c r="D1521" s="209"/>
      <c r="E1521" s="209"/>
      <c r="F1521" s="209"/>
      <c r="G1521" s="209"/>
      <c r="H1521" s="209"/>
      <c r="I1521" s="209"/>
      <c r="J1521" s="209"/>
      <c r="K1521" s="209"/>
      <c r="L1521" s="209"/>
      <c r="M1521" s="209"/>
      <c r="N1521" s="209"/>
      <c r="O1521" s="209"/>
      <c r="P1521" s="209"/>
      <c r="Q1521" s="209"/>
      <c r="R1521" s="209"/>
      <c r="S1521" s="209"/>
      <c r="T1521" s="209"/>
      <c r="U1521" s="209"/>
      <c r="V1521" s="209"/>
      <c r="W1521" s="209"/>
      <c r="X1521" s="209"/>
      <c r="Y1521" s="209"/>
      <c r="Z1521" s="209"/>
      <c r="AA1521" s="209"/>
      <c r="AB1521" s="209"/>
      <c r="AC1521" s="209"/>
      <c r="AD1521" s="209"/>
      <c r="AE1521" s="209"/>
      <c r="AF1521" s="209"/>
      <c r="AG1521" s="209"/>
      <c r="AH1521" s="209"/>
      <c r="AI1521" s="209"/>
      <c r="AJ1521" s="209"/>
      <c r="AK1521" s="209"/>
    </row>
    <row r="1522">
      <c r="A1522" s="209"/>
      <c r="B1522" s="209"/>
      <c r="C1522" s="209"/>
      <c r="D1522" s="209"/>
      <c r="E1522" s="209"/>
      <c r="F1522" s="209"/>
      <c r="G1522" s="209"/>
      <c r="H1522" s="209"/>
      <c r="I1522" s="209"/>
      <c r="J1522" s="209"/>
      <c r="K1522" s="209"/>
      <c r="L1522" s="209"/>
      <c r="M1522" s="209"/>
      <c r="N1522" s="209"/>
      <c r="O1522" s="209"/>
      <c r="P1522" s="209"/>
      <c r="Q1522" s="209"/>
      <c r="R1522" s="209"/>
      <c r="S1522" s="209"/>
      <c r="T1522" s="209"/>
      <c r="U1522" s="209"/>
      <c r="V1522" s="209"/>
      <c r="W1522" s="209"/>
      <c r="X1522" s="209"/>
      <c r="Y1522" s="209"/>
      <c r="Z1522" s="209"/>
      <c r="AA1522" s="209"/>
      <c r="AB1522" s="209"/>
      <c r="AC1522" s="209"/>
      <c r="AD1522" s="209"/>
      <c r="AE1522" s="209"/>
      <c r="AF1522" s="209"/>
      <c r="AG1522" s="209"/>
      <c r="AH1522" s="209"/>
      <c r="AI1522" s="209"/>
      <c r="AJ1522" s="209"/>
      <c r="AK1522" s="209"/>
    </row>
    <row r="1523">
      <c r="A1523" s="209"/>
      <c r="B1523" s="209"/>
      <c r="C1523" s="209"/>
      <c r="D1523" s="209"/>
      <c r="E1523" s="209"/>
      <c r="F1523" s="209"/>
      <c r="G1523" s="209"/>
      <c r="H1523" s="209"/>
      <c r="I1523" s="209"/>
      <c r="J1523" s="209"/>
      <c r="K1523" s="209"/>
      <c r="L1523" s="209"/>
      <c r="M1523" s="209"/>
      <c r="N1523" s="209"/>
      <c r="O1523" s="209"/>
      <c r="P1523" s="209"/>
      <c r="Q1523" s="209"/>
      <c r="R1523" s="209"/>
      <c r="S1523" s="209"/>
      <c r="T1523" s="209"/>
      <c r="U1523" s="209"/>
      <c r="V1523" s="209"/>
      <c r="W1523" s="209"/>
      <c r="X1523" s="209"/>
      <c r="Y1523" s="209"/>
      <c r="Z1523" s="209"/>
      <c r="AA1523" s="209"/>
      <c r="AB1523" s="209"/>
      <c r="AC1523" s="209"/>
      <c r="AD1523" s="209"/>
      <c r="AE1523" s="209"/>
      <c r="AF1523" s="209"/>
      <c r="AG1523" s="209"/>
      <c r="AH1523" s="209"/>
      <c r="AI1523" s="209"/>
      <c r="AJ1523" s="209"/>
      <c r="AK1523" s="209"/>
    </row>
    <row r="1524">
      <c r="A1524" s="209"/>
      <c r="B1524" s="209"/>
      <c r="C1524" s="209"/>
      <c r="D1524" s="209"/>
      <c r="E1524" s="209"/>
      <c r="F1524" s="209"/>
      <c r="G1524" s="209"/>
      <c r="H1524" s="209"/>
      <c r="I1524" s="209"/>
      <c r="J1524" s="209"/>
      <c r="K1524" s="209"/>
      <c r="L1524" s="209"/>
      <c r="M1524" s="209"/>
      <c r="N1524" s="209"/>
      <c r="O1524" s="209"/>
      <c r="P1524" s="209"/>
      <c r="Q1524" s="209"/>
      <c r="R1524" s="209"/>
      <c r="S1524" s="209"/>
      <c r="T1524" s="209"/>
      <c r="U1524" s="209"/>
      <c r="V1524" s="209"/>
      <c r="W1524" s="209"/>
      <c r="X1524" s="209"/>
      <c r="Y1524" s="209"/>
      <c r="Z1524" s="209"/>
      <c r="AA1524" s="209"/>
      <c r="AB1524" s="209"/>
      <c r="AC1524" s="209"/>
      <c r="AD1524" s="209"/>
      <c r="AE1524" s="209"/>
      <c r="AF1524" s="209"/>
      <c r="AG1524" s="209"/>
      <c r="AH1524" s="209"/>
      <c r="AI1524" s="209"/>
      <c r="AJ1524" s="209"/>
      <c r="AK1524" s="209"/>
    </row>
    <row r="1525">
      <c r="A1525" s="209"/>
      <c r="B1525" s="209"/>
      <c r="C1525" s="209"/>
      <c r="D1525" s="209"/>
      <c r="E1525" s="209"/>
      <c r="F1525" s="209"/>
      <c r="G1525" s="209"/>
      <c r="H1525" s="209"/>
      <c r="I1525" s="209"/>
      <c r="J1525" s="209"/>
      <c r="K1525" s="209"/>
      <c r="L1525" s="209"/>
      <c r="M1525" s="209"/>
      <c r="N1525" s="209"/>
      <c r="O1525" s="209"/>
      <c r="P1525" s="209"/>
      <c r="Q1525" s="209"/>
      <c r="R1525" s="209"/>
      <c r="S1525" s="209"/>
      <c r="T1525" s="209"/>
      <c r="U1525" s="209"/>
      <c r="V1525" s="209"/>
      <c r="W1525" s="209"/>
      <c r="X1525" s="209"/>
      <c r="Y1525" s="209"/>
      <c r="Z1525" s="209"/>
      <c r="AA1525" s="209"/>
      <c r="AB1525" s="209"/>
      <c r="AC1525" s="209"/>
      <c r="AD1525" s="209"/>
      <c r="AE1525" s="209"/>
      <c r="AF1525" s="209"/>
      <c r="AG1525" s="209"/>
      <c r="AH1525" s="209"/>
      <c r="AI1525" s="209"/>
      <c r="AJ1525" s="209"/>
      <c r="AK1525" s="209"/>
    </row>
    <row r="1526">
      <c r="A1526" s="209"/>
      <c r="B1526" s="209"/>
      <c r="C1526" s="209"/>
      <c r="D1526" s="209"/>
      <c r="E1526" s="209"/>
      <c r="F1526" s="209"/>
      <c r="G1526" s="209"/>
      <c r="H1526" s="209"/>
      <c r="I1526" s="209"/>
      <c r="J1526" s="209"/>
      <c r="K1526" s="209"/>
      <c r="L1526" s="209"/>
      <c r="M1526" s="209"/>
      <c r="N1526" s="209"/>
      <c r="O1526" s="209"/>
      <c r="P1526" s="209"/>
      <c r="Q1526" s="209"/>
      <c r="R1526" s="209"/>
      <c r="S1526" s="209"/>
      <c r="T1526" s="209"/>
      <c r="U1526" s="209"/>
      <c r="V1526" s="209"/>
      <c r="W1526" s="209"/>
      <c r="X1526" s="209"/>
      <c r="Y1526" s="209"/>
      <c r="Z1526" s="209"/>
      <c r="AA1526" s="209"/>
      <c r="AB1526" s="209"/>
      <c r="AC1526" s="209"/>
      <c r="AD1526" s="209"/>
      <c r="AE1526" s="209"/>
      <c r="AF1526" s="209"/>
      <c r="AG1526" s="209"/>
      <c r="AH1526" s="209"/>
      <c r="AI1526" s="209"/>
      <c r="AJ1526" s="209"/>
      <c r="AK1526" s="209"/>
    </row>
    <row r="1527">
      <c r="A1527" s="209"/>
      <c r="B1527" s="209"/>
      <c r="C1527" s="209"/>
      <c r="D1527" s="209"/>
      <c r="E1527" s="209"/>
      <c r="F1527" s="209"/>
      <c r="G1527" s="209"/>
      <c r="H1527" s="209"/>
      <c r="I1527" s="209"/>
      <c r="J1527" s="209"/>
      <c r="K1527" s="209"/>
      <c r="L1527" s="209"/>
      <c r="M1527" s="209"/>
      <c r="N1527" s="209"/>
      <c r="O1527" s="209"/>
      <c r="P1527" s="209"/>
      <c r="Q1527" s="209"/>
      <c r="R1527" s="209"/>
      <c r="S1527" s="209"/>
      <c r="T1527" s="209"/>
      <c r="U1527" s="209"/>
      <c r="V1527" s="209"/>
      <c r="W1527" s="209"/>
      <c r="X1527" s="209"/>
      <c r="Y1527" s="209"/>
      <c r="Z1527" s="209"/>
      <c r="AA1527" s="209"/>
      <c r="AB1527" s="209"/>
      <c r="AC1527" s="209"/>
      <c r="AD1527" s="209"/>
      <c r="AE1527" s="209"/>
      <c r="AF1527" s="209"/>
      <c r="AG1527" s="209"/>
      <c r="AH1527" s="209"/>
      <c r="AI1527" s="209"/>
      <c r="AJ1527" s="209"/>
      <c r="AK1527" s="209"/>
    </row>
    <row r="1528">
      <c r="A1528" s="209"/>
      <c r="B1528" s="209"/>
      <c r="C1528" s="209"/>
      <c r="D1528" s="209"/>
      <c r="E1528" s="209"/>
      <c r="F1528" s="209"/>
      <c r="G1528" s="209"/>
      <c r="H1528" s="209"/>
      <c r="I1528" s="209"/>
      <c r="J1528" s="209"/>
      <c r="K1528" s="209"/>
      <c r="L1528" s="209"/>
      <c r="M1528" s="209"/>
      <c r="N1528" s="209"/>
      <c r="O1528" s="209"/>
      <c r="P1528" s="209"/>
      <c r="Q1528" s="209"/>
      <c r="R1528" s="209"/>
      <c r="S1528" s="209"/>
      <c r="T1528" s="209"/>
      <c r="U1528" s="209"/>
      <c r="V1528" s="209"/>
      <c r="W1528" s="209"/>
      <c r="X1528" s="209"/>
      <c r="Y1528" s="209"/>
      <c r="Z1528" s="209"/>
      <c r="AA1528" s="209"/>
      <c r="AB1528" s="209"/>
      <c r="AC1528" s="209"/>
      <c r="AD1528" s="209"/>
      <c r="AE1528" s="209"/>
      <c r="AF1528" s="209"/>
      <c r="AG1528" s="209"/>
      <c r="AH1528" s="209"/>
      <c r="AI1528" s="209"/>
      <c r="AJ1528" s="209"/>
      <c r="AK1528" s="209"/>
    </row>
    <row r="1529">
      <c r="A1529" s="209"/>
      <c r="B1529" s="209"/>
      <c r="C1529" s="209"/>
      <c r="D1529" s="209"/>
      <c r="E1529" s="209"/>
      <c r="F1529" s="209"/>
      <c r="G1529" s="209"/>
      <c r="H1529" s="209"/>
      <c r="I1529" s="209"/>
      <c r="J1529" s="209"/>
      <c r="K1529" s="209"/>
      <c r="L1529" s="209"/>
      <c r="M1529" s="209"/>
      <c r="N1529" s="209"/>
      <c r="O1529" s="209"/>
      <c r="P1529" s="209"/>
      <c r="Q1529" s="209"/>
      <c r="R1529" s="209"/>
      <c r="S1529" s="209"/>
      <c r="T1529" s="209"/>
      <c r="U1529" s="209"/>
      <c r="V1529" s="209"/>
      <c r="W1529" s="209"/>
      <c r="X1529" s="209"/>
      <c r="Y1529" s="209"/>
      <c r="Z1529" s="209"/>
      <c r="AA1529" s="209"/>
      <c r="AB1529" s="209"/>
      <c r="AC1529" s="209"/>
      <c r="AD1529" s="209"/>
      <c r="AE1529" s="209"/>
      <c r="AF1529" s="209"/>
      <c r="AG1529" s="209"/>
      <c r="AH1529" s="209"/>
      <c r="AI1529" s="209"/>
      <c r="AJ1529" s="209"/>
      <c r="AK1529" s="209"/>
    </row>
    <row r="1530">
      <c r="A1530" s="209"/>
      <c r="B1530" s="209"/>
      <c r="C1530" s="209"/>
      <c r="D1530" s="209"/>
      <c r="E1530" s="209"/>
      <c r="F1530" s="209"/>
      <c r="G1530" s="209"/>
      <c r="H1530" s="209"/>
      <c r="I1530" s="209"/>
      <c r="J1530" s="209"/>
      <c r="K1530" s="209"/>
      <c r="L1530" s="209"/>
      <c r="M1530" s="209"/>
      <c r="N1530" s="209"/>
      <c r="O1530" s="209"/>
      <c r="P1530" s="209"/>
      <c r="Q1530" s="209"/>
      <c r="R1530" s="209"/>
      <c r="S1530" s="209"/>
      <c r="T1530" s="209"/>
      <c r="U1530" s="209"/>
      <c r="V1530" s="209"/>
      <c r="W1530" s="209"/>
      <c r="X1530" s="209"/>
      <c r="Y1530" s="209"/>
      <c r="Z1530" s="209"/>
      <c r="AA1530" s="209"/>
      <c r="AB1530" s="209"/>
      <c r="AC1530" s="209"/>
      <c r="AD1530" s="209"/>
      <c r="AE1530" s="209"/>
      <c r="AF1530" s="209"/>
      <c r="AG1530" s="209"/>
      <c r="AH1530" s="209"/>
      <c r="AI1530" s="209"/>
      <c r="AJ1530" s="209"/>
      <c r="AK1530" s="209"/>
    </row>
    <row r="1531">
      <c r="A1531" s="209"/>
      <c r="B1531" s="209"/>
      <c r="C1531" s="209"/>
      <c r="D1531" s="209"/>
      <c r="E1531" s="209"/>
      <c r="F1531" s="209"/>
      <c r="G1531" s="209"/>
      <c r="H1531" s="209"/>
      <c r="I1531" s="209"/>
      <c r="J1531" s="209"/>
      <c r="K1531" s="209"/>
      <c r="L1531" s="209"/>
      <c r="M1531" s="209"/>
      <c r="N1531" s="209"/>
      <c r="O1531" s="209"/>
      <c r="P1531" s="209"/>
      <c r="Q1531" s="209"/>
      <c r="R1531" s="209"/>
      <c r="S1531" s="209"/>
      <c r="T1531" s="209"/>
      <c r="U1531" s="209"/>
      <c r="V1531" s="209"/>
      <c r="W1531" s="209"/>
      <c r="X1531" s="209"/>
      <c r="Y1531" s="209"/>
      <c r="Z1531" s="209"/>
      <c r="AA1531" s="209"/>
      <c r="AB1531" s="209"/>
      <c r="AC1531" s="209"/>
      <c r="AD1531" s="209"/>
      <c r="AE1531" s="209"/>
      <c r="AF1531" s="209"/>
      <c r="AG1531" s="209"/>
      <c r="AH1531" s="209"/>
      <c r="AI1531" s="209"/>
      <c r="AJ1531" s="209"/>
      <c r="AK1531" s="209"/>
    </row>
    <row r="1532">
      <c r="A1532" s="209"/>
      <c r="B1532" s="209"/>
      <c r="C1532" s="209"/>
      <c r="D1532" s="209"/>
      <c r="E1532" s="209"/>
      <c r="F1532" s="209"/>
      <c r="G1532" s="209"/>
      <c r="H1532" s="209"/>
      <c r="I1532" s="209"/>
      <c r="J1532" s="209"/>
      <c r="K1532" s="209"/>
      <c r="L1532" s="209"/>
      <c r="M1532" s="209"/>
      <c r="N1532" s="209"/>
      <c r="O1532" s="209"/>
      <c r="P1532" s="209"/>
      <c r="Q1532" s="209"/>
      <c r="R1532" s="209"/>
      <c r="S1532" s="209"/>
      <c r="T1532" s="209"/>
      <c r="U1532" s="209"/>
      <c r="V1532" s="209"/>
      <c r="W1532" s="209"/>
      <c r="X1532" s="209"/>
      <c r="Y1532" s="209"/>
      <c r="Z1532" s="209"/>
      <c r="AA1532" s="209"/>
      <c r="AB1532" s="209"/>
      <c r="AC1532" s="209"/>
      <c r="AD1532" s="209"/>
      <c r="AE1532" s="209"/>
      <c r="AF1532" s="209"/>
      <c r="AG1532" s="209"/>
      <c r="AH1532" s="209"/>
      <c r="AI1532" s="209"/>
      <c r="AJ1532" s="209"/>
      <c r="AK1532" s="209"/>
    </row>
    <row r="1533">
      <c r="A1533" s="209"/>
      <c r="B1533" s="209"/>
      <c r="C1533" s="209"/>
      <c r="D1533" s="209"/>
      <c r="E1533" s="209"/>
      <c r="F1533" s="209"/>
      <c r="G1533" s="209"/>
      <c r="H1533" s="209"/>
      <c r="I1533" s="209"/>
      <c r="J1533" s="209"/>
      <c r="K1533" s="209"/>
      <c r="L1533" s="209"/>
      <c r="M1533" s="209"/>
      <c r="N1533" s="209"/>
      <c r="O1533" s="209"/>
      <c r="P1533" s="209"/>
      <c r="Q1533" s="209"/>
      <c r="R1533" s="209"/>
      <c r="S1533" s="209"/>
      <c r="T1533" s="209"/>
      <c r="U1533" s="209"/>
      <c r="V1533" s="209"/>
      <c r="W1533" s="209"/>
      <c r="X1533" s="209"/>
      <c r="Y1533" s="209"/>
      <c r="Z1533" s="209"/>
      <c r="AA1533" s="209"/>
      <c r="AB1533" s="209"/>
      <c r="AC1533" s="209"/>
      <c r="AD1533" s="209"/>
      <c r="AE1533" s="209"/>
      <c r="AF1533" s="209"/>
      <c r="AG1533" s="209"/>
      <c r="AH1533" s="209"/>
      <c r="AI1533" s="209"/>
      <c r="AJ1533" s="209"/>
      <c r="AK1533" s="209"/>
    </row>
    <row r="1534">
      <c r="A1534" s="209"/>
      <c r="B1534" s="209"/>
      <c r="C1534" s="209"/>
      <c r="D1534" s="209"/>
      <c r="E1534" s="209"/>
      <c r="F1534" s="209"/>
      <c r="G1534" s="209"/>
      <c r="H1534" s="209"/>
      <c r="I1534" s="209"/>
      <c r="J1534" s="209"/>
      <c r="K1534" s="209"/>
      <c r="L1534" s="209"/>
      <c r="M1534" s="209"/>
      <c r="N1534" s="209"/>
      <c r="O1534" s="209"/>
      <c r="P1534" s="209"/>
      <c r="Q1534" s="209"/>
      <c r="R1534" s="209"/>
      <c r="S1534" s="209"/>
      <c r="T1534" s="209"/>
      <c r="U1534" s="209"/>
      <c r="V1534" s="209"/>
      <c r="W1534" s="209"/>
      <c r="X1534" s="209"/>
      <c r="Y1534" s="209"/>
      <c r="Z1534" s="209"/>
      <c r="AA1534" s="209"/>
      <c r="AB1534" s="209"/>
      <c r="AC1534" s="209"/>
      <c r="AD1534" s="209"/>
      <c r="AE1534" s="209"/>
      <c r="AF1534" s="209"/>
      <c r="AG1534" s="209"/>
      <c r="AH1534" s="209"/>
      <c r="AI1534" s="209"/>
      <c r="AJ1534" s="209"/>
      <c r="AK1534" s="209"/>
    </row>
    <row r="1535">
      <c r="A1535" s="209"/>
      <c r="B1535" s="209"/>
      <c r="C1535" s="209"/>
      <c r="D1535" s="209"/>
      <c r="E1535" s="209"/>
      <c r="F1535" s="209"/>
      <c r="G1535" s="209"/>
      <c r="H1535" s="209"/>
      <c r="I1535" s="209"/>
      <c r="J1535" s="209"/>
      <c r="K1535" s="209"/>
      <c r="L1535" s="209"/>
      <c r="M1535" s="209"/>
      <c r="N1535" s="209"/>
      <c r="O1535" s="209"/>
      <c r="P1535" s="209"/>
      <c r="Q1535" s="209"/>
      <c r="R1535" s="209"/>
      <c r="S1535" s="209"/>
      <c r="T1535" s="209"/>
      <c r="U1535" s="209"/>
      <c r="V1535" s="209"/>
      <c r="W1535" s="209"/>
      <c r="X1535" s="209"/>
      <c r="Y1535" s="209"/>
      <c r="Z1535" s="209"/>
      <c r="AA1535" s="209"/>
      <c r="AB1535" s="209"/>
      <c r="AC1535" s="209"/>
      <c r="AD1535" s="209"/>
      <c r="AE1535" s="209"/>
      <c r="AF1535" s="209"/>
      <c r="AG1535" s="209"/>
      <c r="AH1535" s="209"/>
      <c r="AI1535" s="209"/>
      <c r="AJ1535" s="209"/>
      <c r="AK1535" s="209"/>
    </row>
    <row r="1536">
      <c r="A1536" s="209"/>
      <c r="B1536" s="209"/>
      <c r="C1536" s="209"/>
      <c r="D1536" s="209"/>
      <c r="E1536" s="209"/>
      <c r="F1536" s="209"/>
      <c r="G1536" s="209"/>
      <c r="H1536" s="209"/>
      <c r="I1536" s="209"/>
      <c r="J1536" s="209"/>
      <c r="K1536" s="209"/>
      <c r="L1536" s="209"/>
      <c r="M1536" s="209"/>
      <c r="N1536" s="209"/>
      <c r="O1536" s="209"/>
      <c r="P1536" s="209"/>
      <c r="Q1536" s="209"/>
      <c r="R1536" s="209"/>
      <c r="S1536" s="209"/>
      <c r="T1536" s="209"/>
      <c r="U1536" s="209"/>
      <c r="V1536" s="209"/>
      <c r="W1536" s="209"/>
      <c r="X1536" s="209"/>
      <c r="Y1536" s="209"/>
      <c r="Z1536" s="209"/>
      <c r="AA1536" s="209"/>
      <c r="AB1536" s="209"/>
      <c r="AC1536" s="209"/>
      <c r="AD1536" s="209"/>
      <c r="AE1536" s="209"/>
      <c r="AF1536" s="209"/>
      <c r="AG1536" s="209"/>
      <c r="AH1536" s="209"/>
      <c r="AI1536" s="209"/>
      <c r="AJ1536" s="209"/>
      <c r="AK1536" s="209"/>
    </row>
    <row r="1537">
      <c r="A1537" s="209"/>
      <c r="B1537" s="209"/>
      <c r="C1537" s="209"/>
      <c r="D1537" s="209"/>
      <c r="E1537" s="209"/>
      <c r="F1537" s="209"/>
      <c r="G1537" s="209"/>
      <c r="H1537" s="209"/>
      <c r="I1537" s="209"/>
      <c r="J1537" s="209"/>
      <c r="K1537" s="209"/>
      <c r="L1537" s="209"/>
      <c r="M1537" s="209"/>
      <c r="N1537" s="209"/>
      <c r="O1537" s="209"/>
      <c r="P1537" s="209"/>
      <c r="Q1537" s="209"/>
      <c r="R1537" s="209"/>
      <c r="S1537" s="209"/>
      <c r="T1537" s="209"/>
      <c r="U1537" s="209"/>
      <c r="V1537" s="209"/>
      <c r="W1537" s="209"/>
      <c r="X1537" s="209"/>
      <c r="Y1537" s="209"/>
      <c r="Z1537" s="209"/>
      <c r="AA1537" s="209"/>
      <c r="AB1537" s="209"/>
      <c r="AC1537" s="209"/>
      <c r="AD1537" s="209"/>
      <c r="AE1537" s="209"/>
      <c r="AF1537" s="209"/>
      <c r="AG1537" s="209"/>
      <c r="AH1537" s="209"/>
      <c r="AI1537" s="209"/>
      <c r="AJ1537" s="209"/>
      <c r="AK1537" s="209"/>
    </row>
    <row r="1538">
      <c r="A1538" s="209"/>
      <c r="B1538" s="209"/>
      <c r="C1538" s="209"/>
      <c r="D1538" s="209"/>
      <c r="E1538" s="209"/>
      <c r="F1538" s="209"/>
      <c r="G1538" s="209"/>
      <c r="H1538" s="209"/>
      <c r="I1538" s="209"/>
      <c r="J1538" s="209"/>
      <c r="K1538" s="209"/>
      <c r="L1538" s="209"/>
      <c r="M1538" s="209"/>
      <c r="N1538" s="209"/>
      <c r="O1538" s="209"/>
      <c r="P1538" s="209"/>
      <c r="Q1538" s="209"/>
      <c r="R1538" s="209"/>
      <c r="S1538" s="209"/>
      <c r="T1538" s="209"/>
      <c r="U1538" s="209"/>
      <c r="V1538" s="209"/>
      <c r="W1538" s="209"/>
      <c r="X1538" s="209"/>
      <c r="Y1538" s="209"/>
      <c r="Z1538" s="209"/>
      <c r="AA1538" s="209"/>
      <c r="AB1538" s="209"/>
      <c r="AC1538" s="209"/>
      <c r="AD1538" s="209"/>
      <c r="AE1538" s="209"/>
      <c r="AF1538" s="209"/>
      <c r="AG1538" s="209"/>
      <c r="AH1538" s="209"/>
      <c r="AI1538" s="209"/>
      <c r="AJ1538" s="209"/>
      <c r="AK1538" s="209"/>
    </row>
    <row r="1539">
      <c r="A1539" s="209"/>
      <c r="B1539" s="209"/>
      <c r="C1539" s="209"/>
      <c r="D1539" s="209"/>
      <c r="E1539" s="209"/>
      <c r="F1539" s="209"/>
      <c r="G1539" s="209"/>
      <c r="H1539" s="209"/>
      <c r="I1539" s="209"/>
      <c r="J1539" s="209"/>
      <c r="K1539" s="209"/>
      <c r="L1539" s="209"/>
      <c r="M1539" s="209"/>
      <c r="N1539" s="209"/>
      <c r="O1539" s="209"/>
      <c r="P1539" s="209"/>
      <c r="Q1539" s="209"/>
      <c r="R1539" s="209"/>
      <c r="S1539" s="209"/>
      <c r="T1539" s="209"/>
      <c r="U1539" s="209"/>
      <c r="V1539" s="209"/>
      <c r="W1539" s="209"/>
      <c r="X1539" s="209"/>
      <c r="Y1539" s="209"/>
      <c r="Z1539" s="209"/>
      <c r="AA1539" s="209"/>
      <c r="AB1539" s="209"/>
      <c r="AC1539" s="209"/>
      <c r="AD1539" s="209"/>
      <c r="AE1539" s="209"/>
      <c r="AF1539" s="209"/>
      <c r="AG1539" s="209"/>
      <c r="AH1539" s="209"/>
      <c r="AI1539" s="209"/>
      <c r="AJ1539" s="209"/>
      <c r="AK1539" s="209"/>
    </row>
    <row r="1540">
      <c r="A1540" s="209"/>
      <c r="B1540" s="209"/>
      <c r="C1540" s="209"/>
      <c r="D1540" s="209"/>
      <c r="E1540" s="209"/>
      <c r="F1540" s="209"/>
      <c r="G1540" s="209"/>
      <c r="H1540" s="209"/>
      <c r="I1540" s="209"/>
      <c r="J1540" s="209"/>
      <c r="K1540" s="209"/>
      <c r="L1540" s="209"/>
      <c r="M1540" s="209"/>
      <c r="N1540" s="209"/>
      <c r="O1540" s="209"/>
      <c r="P1540" s="209"/>
      <c r="Q1540" s="209"/>
      <c r="R1540" s="209"/>
      <c r="S1540" s="209"/>
      <c r="T1540" s="209"/>
      <c r="U1540" s="209"/>
      <c r="V1540" s="209"/>
      <c r="W1540" s="209"/>
      <c r="X1540" s="209"/>
      <c r="Y1540" s="209"/>
      <c r="Z1540" s="209"/>
      <c r="AA1540" s="209"/>
      <c r="AB1540" s="209"/>
      <c r="AC1540" s="209"/>
      <c r="AD1540" s="209"/>
      <c r="AE1540" s="209"/>
      <c r="AF1540" s="209"/>
      <c r="AG1540" s="209"/>
      <c r="AH1540" s="209"/>
      <c r="AI1540" s="209"/>
      <c r="AJ1540" s="209"/>
      <c r="AK1540" s="209"/>
    </row>
    <row r="1541">
      <c r="A1541" s="209"/>
      <c r="B1541" s="209"/>
      <c r="C1541" s="209"/>
      <c r="D1541" s="209"/>
      <c r="E1541" s="209"/>
      <c r="F1541" s="209"/>
      <c r="G1541" s="209"/>
      <c r="H1541" s="209"/>
      <c r="I1541" s="209"/>
      <c r="J1541" s="209"/>
      <c r="K1541" s="209"/>
      <c r="L1541" s="209"/>
      <c r="M1541" s="209"/>
      <c r="N1541" s="209"/>
      <c r="O1541" s="209"/>
      <c r="P1541" s="209"/>
      <c r="Q1541" s="209"/>
      <c r="R1541" s="209"/>
      <c r="S1541" s="209"/>
      <c r="T1541" s="209"/>
      <c r="U1541" s="209"/>
      <c r="V1541" s="209"/>
      <c r="W1541" s="209"/>
      <c r="X1541" s="209"/>
      <c r="Y1541" s="209"/>
      <c r="Z1541" s="209"/>
      <c r="AA1541" s="209"/>
      <c r="AB1541" s="209"/>
      <c r="AC1541" s="209"/>
      <c r="AD1541" s="209"/>
      <c r="AE1541" s="209"/>
      <c r="AF1541" s="209"/>
      <c r="AG1541" s="209"/>
      <c r="AH1541" s="209"/>
      <c r="AI1541" s="209"/>
      <c r="AJ1541" s="209"/>
      <c r="AK1541" s="209"/>
    </row>
    <row r="1542">
      <c r="A1542" s="209"/>
      <c r="B1542" s="209"/>
      <c r="C1542" s="209"/>
      <c r="D1542" s="209"/>
      <c r="E1542" s="209"/>
      <c r="F1542" s="209"/>
      <c r="G1542" s="209"/>
      <c r="H1542" s="209"/>
      <c r="I1542" s="209"/>
      <c r="J1542" s="209"/>
      <c r="K1542" s="209"/>
      <c r="L1542" s="209"/>
      <c r="M1542" s="209"/>
      <c r="N1542" s="209"/>
      <c r="O1542" s="209"/>
      <c r="P1542" s="209"/>
      <c r="Q1542" s="209"/>
      <c r="R1542" s="209"/>
      <c r="S1542" s="209"/>
      <c r="T1542" s="209"/>
      <c r="U1542" s="209"/>
      <c r="V1542" s="209"/>
      <c r="W1542" s="209"/>
      <c r="X1542" s="209"/>
      <c r="Y1542" s="209"/>
      <c r="Z1542" s="209"/>
      <c r="AA1542" s="209"/>
      <c r="AB1542" s="209"/>
      <c r="AC1542" s="209"/>
      <c r="AD1542" s="209"/>
      <c r="AE1542" s="209"/>
      <c r="AF1542" s="209"/>
      <c r="AG1542" s="209"/>
      <c r="AH1542" s="209"/>
      <c r="AI1542" s="209"/>
      <c r="AJ1542" s="209"/>
      <c r="AK1542" s="209"/>
    </row>
    <row r="1543">
      <c r="A1543" s="209"/>
      <c r="B1543" s="209"/>
      <c r="C1543" s="209"/>
      <c r="D1543" s="209"/>
      <c r="E1543" s="209"/>
      <c r="F1543" s="209"/>
      <c r="G1543" s="209"/>
      <c r="H1543" s="209"/>
      <c r="I1543" s="209"/>
      <c r="J1543" s="209"/>
      <c r="K1543" s="209"/>
      <c r="L1543" s="209"/>
      <c r="M1543" s="209"/>
      <c r="N1543" s="209"/>
      <c r="O1543" s="209"/>
      <c r="P1543" s="209"/>
      <c r="Q1543" s="209"/>
      <c r="R1543" s="209"/>
      <c r="S1543" s="209"/>
      <c r="T1543" s="209"/>
      <c r="U1543" s="209"/>
      <c r="V1543" s="209"/>
      <c r="W1543" s="209"/>
      <c r="X1543" s="209"/>
      <c r="Y1543" s="209"/>
      <c r="Z1543" s="209"/>
      <c r="AA1543" s="209"/>
      <c r="AB1543" s="209"/>
      <c r="AC1543" s="209"/>
      <c r="AD1543" s="209"/>
      <c r="AE1543" s="209"/>
      <c r="AF1543" s="209"/>
      <c r="AG1543" s="209"/>
      <c r="AH1543" s="209"/>
      <c r="AI1543" s="209"/>
      <c r="AJ1543" s="209"/>
      <c r="AK1543" s="209"/>
    </row>
    <row r="1544">
      <c r="A1544" s="209"/>
      <c r="B1544" s="209"/>
      <c r="C1544" s="209"/>
      <c r="D1544" s="209"/>
      <c r="E1544" s="209"/>
      <c r="F1544" s="209"/>
      <c r="G1544" s="209"/>
      <c r="H1544" s="209"/>
      <c r="I1544" s="209"/>
      <c r="J1544" s="209"/>
      <c r="K1544" s="209"/>
      <c r="L1544" s="209"/>
      <c r="M1544" s="209"/>
      <c r="N1544" s="209"/>
      <c r="O1544" s="209"/>
      <c r="P1544" s="209"/>
      <c r="Q1544" s="209"/>
      <c r="R1544" s="209"/>
      <c r="S1544" s="209"/>
      <c r="T1544" s="209"/>
      <c r="U1544" s="209"/>
      <c r="V1544" s="209"/>
      <c r="W1544" s="209"/>
      <c r="X1544" s="209"/>
      <c r="Y1544" s="209"/>
      <c r="Z1544" s="209"/>
      <c r="AA1544" s="209"/>
      <c r="AB1544" s="209"/>
      <c r="AC1544" s="209"/>
      <c r="AD1544" s="209"/>
      <c r="AE1544" s="209"/>
      <c r="AF1544" s="209"/>
      <c r="AG1544" s="209"/>
      <c r="AH1544" s="209"/>
      <c r="AI1544" s="209"/>
      <c r="AJ1544" s="209"/>
      <c r="AK1544" s="209"/>
    </row>
    <row r="1545">
      <c r="A1545" s="209"/>
      <c r="B1545" s="209"/>
      <c r="C1545" s="209"/>
      <c r="D1545" s="209"/>
      <c r="E1545" s="209"/>
      <c r="F1545" s="209"/>
      <c r="G1545" s="209"/>
      <c r="H1545" s="209"/>
      <c r="I1545" s="209"/>
      <c r="J1545" s="209"/>
      <c r="K1545" s="209"/>
      <c r="L1545" s="209"/>
      <c r="M1545" s="209"/>
      <c r="N1545" s="209"/>
      <c r="O1545" s="209"/>
      <c r="P1545" s="209"/>
      <c r="Q1545" s="209"/>
      <c r="R1545" s="209"/>
      <c r="S1545" s="209"/>
      <c r="T1545" s="209"/>
      <c r="U1545" s="209"/>
      <c r="V1545" s="209"/>
      <c r="W1545" s="209"/>
      <c r="X1545" s="209"/>
      <c r="Y1545" s="209"/>
      <c r="Z1545" s="209"/>
      <c r="AA1545" s="209"/>
      <c r="AB1545" s="209"/>
      <c r="AC1545" s="209"/>
      <c r="AD1545" s="209"/>
      <c r="AE1545" s="209"/>
      <c r="AF1545" s="209"/>
      <c r="AG1545" s="209"/>
      <c r="AH1545" s="209"/>
      <c r="AI1545" s="209"/>
      <c r="AJ1545" s="209"/>
      <c r="AK1545" s="209"/>
    </row>
    <row r="1546">
      <c r="A1546" s="209"/>
      <c r="B1546" s="209"/>
      <c r="C1546" s="209"/>
      <c r="D1546" s="209"/>
      <c r="E1546" s="209"/>
      <c r="F1546" s="209"/>
      <c r="G1546" s="209"/>
      <c r="H1546" s="209"/>
      <c r="I1546" s="209"/>
      <c r="J1546" s="209"/>
      <c r="K1546" s="209"/>
      <c r="L1546" s="209"/>
      <c r="M1546" s="209"/>
      <c r="N1546" s="209"/>
      <c r="O1546" s="209"/>
      <c r="P1546" s="209"/>
      <c r="Q1546" s="209"/>
      <c r="R1546" s="209"/>
      <c r="S1546" s="209"/>
      <c r="T1546" s="209"/>
      <c r="U1546" s="209"/>
      <c r="V1546" s="209"/>
      <c r="W1546" s="209"/>
      <c r="X1546" s="209"/>
      <c r="Y1546" s="209"/>
      <c r="Z1546" s="209"/>
      <c r="AA1546" s="209"/>
      <c r="AB1546" s="209"/>
      <c r="AC1546" s="209"/>
      <c r="AD1546" s="209"/>
      <c r="AE1546" s="209"/>
      <c r="AF1546" s="209"/>
      <c r="AG1546" s="209"/>
      <c r="AH1546" s="209"/>
      <c r="AI1546" s="209"/>
      <c r="AJ1546" s="209"/>
      <c r="AK1546" s="209"/>
    </row>
    <row r="1547">
      <c r="A1547" s="209"/>
      <c r="B1547" s="209"/>
      <c r="C1547" s="209"/>
      <c r="D1547" s="209"/>
      <c r="E1547" s="209"/>
      <c r="F1547" s="209"/>
      <c r="G1547" s="209"/>
      <c r="H1547" s="209"/>
      <c r="I1547" s="209"/>
      <c r="J1547" s="209"/>
      <c r="K1547" s="209"/>
      <c r="L1547" s="209"/>
      <c r="M1547" s="209"/>
      <c r="N1547" s="209"/>
      <c r="O1547" s="209"/>
      <c r="P1547" s="209"/>
      <c r="Q1547" s="209"/>
      <c r="R1547" s="209"/>
      <c r="S1547" s="209"/>
      <c r="T1547" s="209"/>
      <c r="U1547" s="209"/>
      <c r="V1547" s="209"/>
      <c r="W1547" s="209"/>
      <c r="X1547" s="209"/>
      <c r="Y1547" s="209"/>
      <c r="Z1547" s="209"/>
      <c r="AA1547" s="209"/>
      <c r="AB1547" s="209"/>
      <c r="AC1547" s="209"/>
      <c r="AD1547" s="209"/>
      <c r="AE1547" s="209"/>
      <c r="AF1547" s="209"/>
      <c r="AG1547" s="209"/>
      <c r="AH1547" s="209"/>
      <c r="AI1547" s="209"/>
      <c r="AJ1547" s="209"/>
      <c r="AK1547" s="209"/>
    </row>
    <row r="1548">
      <c r="A1548" s="209"/>
      <c r="B1548" s="209"/>
      <c r="C1548" s="209"/>
      <c r="D1548" s="209"/>
      <c r="E1548" s="209"/>
      <c r="F1548" s="209"/>
      <c r="G1548" s="209"/>
      <c r="H1548" s="209"/>
      <c r="I1548" s="209"/>
      <c r="J1548" s="209"/>
      <c r="K1548" s="209"/>
      <c r="L1548" s="209"/>
      <c r="M1548" s="209"/>
      <c r="N1548" s="209"/>
      <c r="O1548" s="209"/>
      <c r="P1548" s="209"/>
      <c r="Q1548" s="209"/>
      <c r="R1548" s="209"/>
      <c r="S1548" s="209"/>
      <c r="T1548" s="209"/>
      <c r="U1548" s="209"/>
      <c r="V1548" s="209"/>
      <c r="W1548" s="209"/>
      <c r="X1548" s="209"/>
      <c r="Y1548" s="209"/>
      <c r="Z1548" s="209"/>
      <c r="AA1548" s="209"/>
      <c r="AB1548" s="209"/>
      <c r="AC1548" s="209"/>
      <c r="AD1548" s="209"/>
      <c r="AE1548" s="209"/>
      <c r="AF1548" s="209"/>
      <c r="AG1548" s="209"/>
      <c r="AH1548" s="209"/>
      <c r="AI1548" s="209"/>
      <c r="AJ1548" s="209"/>
      <c r="AK1548" s="209"/>
    </row>
    <row r="1549">
      <c r="A1549" s="209"/>
      <c r="B1549" s="209"/>
      <c r="C1549" s="209"/>
      <c r="D1549" s="209"/>
      <c r="E1549" s="209"/>
      <c r="F1549" s="209"/>
      <c r="G1549" s="209"/>
      <c r="H1549" s="209"/>
      <c r="I1549" s="209"/>
      <c r="J1549" s="209"/>
      <c r="K1549" s="209"/>
      <c r="L1549" s="209"/>
      <c r="M1549" s="209"/>
      <c r="N1549" s="209"/>
      <c r="O1549" s="209"/>
      <c r="P1549" s="209"/>
      <c r="Q1549" s="209"/>
      <c r="R1549" s="209"/>
      <c r="S1549" s="209"/>
      <c r="T1549" s="209"/>
      <c r="U1549" s="209"/>
      <c r="V1549" s="209"/>
      <c r="W1549" s="209"/>
      <c r="X1549" s="209"/>
      <c r="Y1549" s="209"/>
      <c r="Z1549" s="209"/>
      <c r="AA1549" s="209"/>
      <c r="AB1549" s="209"/>
      <c r="AC1549" s="209"/>
      <c r="AD1549" s="209"/>
      <c r="AE1549" s="209"/>
      <c r="AF1549" s="209"/>
      <c r="AG1549" s="209"/>
      <c r="AH1549" s="209"/>
      <c r="AI1549" s="209"/>
      <c r="AJ1549" s="209"/>
      <c r="AK1549" s="209"/>
    </row>
    <row r="1550">
      <c r="A1550" s="209"/>
      <c r="B1550" s="209"/>
      <c r="C1550" s="209"/>
      <c r="D1550" s="209"/>
      <c r="E1550" s="209"/>
      <c r="F1550" s="209"/>
      <c r="G1550" s="209"/>
      <c r="H1550" s="209"/>
      <c r="I1550" s="209"/>
      <c r="J1550" s="209"/>
      <c r="K1550" s="209"/>
      <c r="L1550" s="209"/>
      <c r="M1550" s="209"/>
      <c r="N1550" s="209"/>
      <c r="O1550" s="209"/>
      <c r="P1550" s="209"/>
      <c r="Q1550" s="209"/>
      <c r="R1550" s="209"/>
      <c r="S1550" s="209"/>
      <c r="T1550" s="209"/>
      <c r="U1550" s="209"/>
      <c r="V1550" s="209"/>
      <c r="W1550" s="209"/>
      <c r="X1550" s="209"/>
      <c r="Y1550" s="209"/>
      <c r="Z1550" s="209"/>
      <c r="AA1550" s="209"/>
      <c r="AB1550" s="209"/>
      <c r="AC1550" s="209"/>
      <c r="AD1550" s="209"/>
      <c r="AE1550" s="209"/>
      <c r="AF1550" s="209"/>
      <c r="AG1550" s="209"/>
      <c r="AH1550" s="209"/>
      <c r="AI1550" s="209"/>
      <c r="AJ1550" s="209"/>
      <c r="AK1550" s="209"/>
    </row>
    <row r="1551">
      <c r="A1551" s="209"/>
      <c r="B1551" s="209"/>
      <c r="C1551" s="209"/>
      <c r="D1551" s="209"/>
      <c r="E1551" s="209"/>
      <c r="F1551" s="209"/>
      <c r="G1551" s="209"/>
      <c r="H1551" s="209"/>
      <c r="I1551" s="209"/>
      <c r="J1551" s="209"/>
      <c r="K1551" s="209"/>
      <c r="L1551" s="209"/>
      <c r="M1551" s="209"/>
      <c r="N1551" s="209"/>
      <c r="O1551" s="209"/>
      <c r="P1551" s="209"/>
      <c r="Q1551" s="209"/>
      <c r="R1551" s="209"/>
      <c r="S1551" s="209"/>
      <c r="T1551" s="209"/>
      <c r="U1551" s="209"/>
      <c r="V1551" s="209"/>
      <c r="W1551" s="209"/>
      <c r="X1551" s="209"/>
      <c r="Y1551" s="209"/>
      <c r="Z1551" s="209"/>
      <c r="AA1551" s="209"/>
      <c r="AB1551" s="209"/>
      <c r="AC1551" s="209"/>
      <c r="AD1551" s="209"/>
      <c r="AE1551" s="209"/>
      <c r="AF1551" s="209"/>
      <c r="AG1551" s="209"/>
      <c r="AH1551" s="209"/>
      <c r="AI1551" s="209"/>
      <c r="AJ1551" s="209"/>
      <c r="AK1551" s="209"/>
    </row>
    <row r="1552">
      <c r="A1552" s="209"/>
      <c r="B1552" s="209"/>
      <c r="C1552" s="209"/>
      <c r="D1552" s="209"/>
      <c r="E1552" s="209"/>
      <c r="F1552" s="209"/>
      <c r="G1552" s="209"/>
      <c r="H1552" s="209"/>
      <c r="I1552" s="209"/>
      <c r="J1552" s="209"/>
      <c r="K1552" s="209"/>
      <c r="L1552" s="209"/>
      <c r="M1552" s="209"/>
      <c r="N1552" s="209"/>
      <c r="O1552" s="209"/>
      <c r="P1552" s="209"/>
      <c r="Q1552" s="209"/>
      <c r="R1552" s="209"/>
      <c r="S1552" s="209"/>
      <c r="T1552" s="209"/>
      <c r="U1552" s="209"/>
      <c r="V1552" s="209"/>
      <c r="W1552" s="209"/>
      <c r="X1552" s="209"/>
      <c r="Y1552" s="209"/>
      <c r="Z1552" s="209"/>
      <c r="AA1552" s="209"/>
      <c r="AB1552" s="209"/>
      <c r="AC1552" s="209"/>
      <c r="AD1552" s="209"/>
      <c r="AE1552" s="209"/>
      <c r="AF1552" s="209"/>
      <c r="AG1552" s="209"/>
      <c r="AH1552" s="209"/>
      <c r="AI1552" s="209"/>
      <c r="AJ1552" s="209"/>
      <c r="AK1552" s="209"/>
    </row>
    <row r="1553">
      <c r="A1553" s="209"/>
      <c r="B1553" s="209"/>
      <c r="C1553" s="209"/>
      <c r="D1553" s="209"/>
      <c r="E1553" s="209"/>
      <c r="F1553" s="209"/>
      <c r="G1553" s="209"/>
      <c r="H1553" s="209"/>
      <c r="I1553" s="209"/>
      <c r="J1553" s="209"/>
      <c r="K1553" s="209"/>
      <c r="L1553" s="209"/>
      <c r="M1553" s="209"/>
      <c r="N1553" s="209"/>
      <c r="O1553" s="209"/>
      <c r="P1553" s="209"/>
      <c r="Q1553" s="209"/>
      <c r="R1553" s="209"/>
      <c r="S1553" s="209"/>
      <c r="T1553" s="209"/>
      <c r="U1553" s="209"/>
      <c r="V1553" s="209"/>
      <c r="W1553" s="209"/>
      <c r="X1553" s="209"/>
      <c r="Y1553" s="209"/>
      <c r="Z1553" s="209"/>
      <c r="AA1553" s="209"/>
      <c r="AB1553" s="209"/>
      <c r="AC1553" s="209"/>
      <c r="AD1553" s="209"/>
      <c r="AE1553" s="209"/>
      <c r="AF1553" s="209"/>
      <c r="AG1553" s="209"/>
      <c r="AH1553" s="209"/>
      <c r="AI1553" s="209"/>
      <c r="AJ1553" s="209"/>
      <c r="AK1553" s="209"/>
    </row>
    <row r="1554">
      <c r="A1554" s="209"/>
      <c r="B1554" s="209"/>
      <c r="C1554" s="209"/>
      <c r="D1554" s="209"/>
      <c r="E1554" s="209"/>
      <c r="F1554" s="209"/>
      <c r="G1554" s="209"/>
      <c r="H1554" s="209"/>
      <c r="I1554" s="209"/>
      <c r="J1554" s="209"/>
      <c r="K1554" s="209"/>
      <c r="L1554" s="209"/>
      <c r="M1554" s="209"/>
      <c r="N1554" s="209"/>
      <c r="O1554" s="209"/>
      <c r="P1554" s="209"/>
      <c r="Q1554" s="209"/>
      <c r="R1554" s="209"/>
      <c r="S1554" s="209"/>
      <c r="T1554" s="209"/>
      <c r="U1554" s="209"/>
      <c r="V1554" s="209"/>
      <c r="W1554" s="209"/>
      <c r="X1554" s="209"/>
      <c r="Y1554" s="209"/>
      <c r="Z1554" s="209"/>
      <c r="AA1554" s="209"/>
      <c r="AB1554" s="209"/>
      <c r="AC1554" s="209"/>
      <c r="AD1554" s="209"/>
      <c r="AE1554" s="209"/>
      <c r="AF1554" s="209"/>
      <c r="AG1554" s="209"/>
      <c r="AH1554" s="209"/>
      <c r="AI1554" s="209"/>
      <c r="AJ1554" s="209"/>
      <c r="AK1554" s="209"/>
    </row>
    <row r="1555">
      <c r="A1555" s="209"/>
      <c r="B1555" s="209"/>
      <c r="C1555" s="209"/>
      <c r="D1555" s="209"/>
      <c r="E1555" s="209"/>
      <c r="F1555" s="209"/>
      <c r="G1555" s="209"/>
      <c r="H1555" s="209"/>
      <c r="I1555" s="209"/>
      <c r="J1555" s="209"/>
      <c r="K1555" s="209"/>
      <c r="L1555" s="209"/>
      <c r="M1555" s="209"/>
      <c r="N1555" s="209"/>
      <c r="O1555" s="209"/>
      <c r="P1555" s="209"/>
      <c r="Q1555" s="209"/>
      <c r="R1555" s="209"/>
      <c r="S1555" s="209"/>
      <c r="T1555" s="209"/>
      <c r="U1555" s="209"/>
      <c r="V1555" s="209"/>
      <c r="W1555" s="209"/>
      <c r="X1555" s="209"/>
      <c r="Y1555" s="209"/>
      <c r="Z1555" s="209"/>
      <c r="AA1555" s="209"/>
      <c r="AB1555" s="209"/>
      <c r="AC1555" s="209"/>
      <c r="AD1555" s="209"/>
      <c r="AE1555" s="209"/>
      <c r="AF1555" s="209"/>
      <c r="AG1555" s="209"/>
      <c r="AH1555" s="209"/>
      <c r="AI1555" s="209"/>
      <c r="AJ1555" s="209"/>
      <c r="AK1555" s="209"/>
    </row>
    <row r="1556">
      <c r="A1556" s="209"/>
      <c r="B1556" s="209"/>
      <c r="C1556" s="209"/>
      <c r="D1556" s="209"/>
      <c r="E1556" s="209"/>
      <c r="F1556" s="209"/>
      <c r="G1556" s="209"/>
      <c r="H1556" s="209"/>
      <c r="I1556" s="209"/>
      <c r="J1556" s="209"/>
      <c r="K1556" s="209"/>
      <c r="L1556" s="209"/>
      <c r="M1556" s="209"/>
      <c r="N1556" s="209"/>
      <c r="O1556" s="209"/>
      <c r="P1556" s="209"/>
      <c r="Q1556" s="209"/>
      <c r="R1556" s="209"/>
      <c r="S1556" s="209"/>
      <c r="T1556" s="209"/>
      <c r="U1556" s="209"/>
      <c r="V1556" s="209"/>
      <c r="W1556" s="209"/>
      <c r="X1556" s="209"/>
      <c r="Y1556" s="209"/>
      <c r="Z1556" s="209"/>
      <c r="AA1556" s="209"/>
      <c r="AB1556" s="209"/>
      <c r="AC1556" s="209"/>
      <c r="AD1556" s="209"/>
      <c r="AE1556" s="209"/>
      <c r="AF1556" s="209"/>
      <c r="AG1556" s="209"/>
      <c r="AH1556" s="209"/>
      <c r="AI1556" s="209"/>
      <c r="AJ1556" s="209"/>
      <c r="AK1556" s="209"/>
    </row>
    <row r="1557">
      <c r="A1557" s="209"/>
      <c r="B1557" s="209"/>
      <c r="C1557" s="209"/>
      <c r="D1557" s="209"/>
      <c r="E1557" s="209"/>
      <c r="F1557" s="209"/>
      <c r="G1557" s="209"/>
      <c r="H1557" s="209"/>
      <c r="I1557" s="209"/>
      <c r="J1557" s="209"/>
      <c r="K1557" s="209"/>
      <c r="L1557" s="209"/>
      <c r="M1557" s="209"/>
      <c r="N1557" s="209"/>
      <c r="O1557" s="209"/>
      <c r="P1557" s="209"/>
      <c r="Q1557" s="209"/>
      <c r="R1557" s="209"/>
      <c r="S1557" s="209"/>
      <c r="T1557" s="209"/>
      <c r="U1557" s="209"/>
      <c r="V1557" s="209"/>
      <c r="W1557" s="209"/>
      <c r="X1557" s="209"/>
      <c r="Y1557" s="209"/>
      <c r="Z1557" s="209"/>
      <c r="AA1557" s="209"/>
      <c r="AB1557" s="209"/>
      <c r="AC1557" s="209"/>
      <c r="AD1557" s="209"/>
      <c r="AE1557" s="209"/>
      <c r="AF1557" s="209"/>
      <c r="AG1557" s="209"/>
      <c r="AH1557" s="209"/>
      <c r="AI1557" s="209"/>
      <c r="AJ1557" s="209"/>
      <c r="AK1557" s="209"/>
    </row>
    <row r="1558">
      <c r="A1558" s="209"/>
      <c r="B1558" s="209"/>
      <c r="C1558" s="209"/>
      <c r="D1558" s="209"/>
      <c r="E1558" s="209"/>
      <c r="F1558" s="209"/>
      <c r="G1558" s="209"/>
      <c r="H1558" s="209"/>
      <c r="I1558" s="209"/>
      <c r="J1558" s="209"/>
      <c r="K1558" s="209"/>
      <c r="L1558" s="209"/>
      <c r="M1558" s="209"/>
      <c r="N1558" s="209"/>
      <c r="O1558" s="209"/>
      <c r="P1558" s="209"/>
      <c r="Q1558" s="209"/>
      <c r="R1558" s="209"/>
      <c r="S1558" s="209"/>
      <c r="T1558" s="209"/>
      <c r="U1558" s="209"/>
      <c r="V1558" s="209"/>
      <c r="W1558" s="209"/>
      <c r="X1558" s="209"/>
      <c r="Y1558" s="209"/>
      <c r="Z1558" s="209"/>
      <c r="AA1558" s="209"/>
      <c r="AB1558" s="209"/>
      <c r="AC1558" s="209"/>
      <c r="AD1558" s="209"/>
      <c r="AE1558" s="209"/>
      <c r="AF1558" s="209"/>
      <c r="AG1558" s="209"/>
      <c r="AH1558" s="209"/>
      <c r="AI1558" s="209"/>
      <c r="AJ1558" s="209"/>
      <c r="AK1558" s="209"/>
    </row>
    <row r="1559">
      <c r="A1559" s="209"/>
      <c r="B1559" s="209"/>
      <c r="C1559" s="209"/>
      <c r="D1559" s="209"/>
      <c r="E1559" s="209"/>
      <c r="F1559" s="209"/>
      <c r="G1559" s="209"/>
      <c r="H1559" s="209"/>
      <c r="I1559" s="209"/>
      <c r="J1559" s="209"/>
      <c r="K1559" s="209"/>
      <c r="L1559" s="209"/>
      <c r="M1559" s="209"/>
      <c r="N1559" s="209"/>
      <c r="O1559" s="209"/>
      <c r="P1559" s="209"/>
      <c r="Q1559" s="209"/>
      <c r="R1559" s="209"/>
      <c r="S1559" s="209"/>
      <c r="T1559" s="209"/>
      <c r="U1559" s="209"/>
      <c r="V1559" s="209"/>
      <c r="W1559" s="209"/>
      <c r="X1559" s="209"/>
      <c r="Y1559" s="209"/>
      <c r="Z1559" s="209"/>
      <c r="AA1559" s="209"/>
      <c r="AB1559" s="209"/>
      <c r="AC1559" s="209"/>
      <c r="AD1559" s="209"/>
      <c r="AE1559" s="209"/>
      <c r="AF1559" s="209"/>
      <c r="AG1559" s="209"/>
      <c r="AH1559" s="209"/>
      <c r="AI1559" s="209"/>
      <c r="AJ1559" s="209"/>
      <c r="AK1559" s="209"/>
    </row>
    <row r="1560">
      <c r="A1560" s="209"/>
      <c r="B1560" s="209"/>
      <c r="C1560" s="209"/>
      <c r="D1560" s="209"/>
      <c r="E1560" s="209"/>
      <c r="F1560" s="209"/>
      <c r="G1560" s="209"/>
      <c r="H1560" s="209"/>
      <c r="I1560" s="209"/>
      <c r="J1560" s="209"/>
      <c r="K1560" s="209"/>
      <c r="L1560" s="209"/>
      <c r="M1560" s="209"/>
      <c r="N1560" s="209"/>
      <c r="O1560" s="209"/>
      <c r="P1560" s="209"/>
      <c r="Q1560" s="209"/>
      <c r="R1560" s="209"/>
      <c r="S1560" s="209"/>
      <c r="T1560" s="209"/>
      <c r="U1560" s="209"/>
      <c r="V1560" s="209"/>
      <c r="W1560" s="209"/>
      <c r="X1560" s="209"/>
      <c r="Y1560" s="209"/>
      <c r="Z1560" s="209"/>
      <c r="AA1560" s="209"/>
      <c r="AB1560" s="209"/>
      <c r="AC1560" s="209"/>
      <c r="AD1560" s="209"/>
      <c r="AE1560" s="209"/>
      <c r="AF1560" s="209"/>
      <c r="AG1560" s="209"/>
      <c r="AH1560" s="209"/>
      <c r="AI1560" s="209"/>
      <c r="AJ1560" s="209"/>
      <c r="AK1560" s="209"/>
    </row>
    <row r="1561">
      <c r="A1561" s="209"/>
      <c r="B1561" s="209"/>
      <c r="C1561" s="209"/>
      <c r="D1561" s="209"/>
      <c r="E1561" s="209"/>
      <c r="F1561" s="209"/>
      <c r="G1561" s="209"/>
      <c r="H1561" s="209"/>
      <c r="I1561" s="209"/>
      <c r="J1561" s="209"/>
      <c r="K1561" s="209"/>
      <c r="L1561" s="209"/>
      <c r="M1561" s="209"/>
      <c r="N1561" s="209"/>
      <c r="O1561" s="209"/>
      <c r="P1561" s="209"/>
      <c r="Q1561" s="209"/>
      <c r="R1561" s="209"/>
      <c r="S1561" s="209"/>
      <c r="T1561" s="209"/>
      <c r="U1561" s="209"/>
      <c r="V1561" s="209"/>
      <c r="W1561" s="209"/>
      <c r="X1561" s="209"/>
      <c r="Y1561" s="209"/>
      <c r="Z1561" s="209"/>
      <c r="AA1561" s="209"/>
      <c r="AB1561" s="209"/>
      <c r="AC1561" s="209"/>
      <c r="AD1561" s="209"/>
      <c r="AE1561" s="209"/>
      <c r="AF1561" s="209"/>
      <c r="AG1561" s="209"/>
      <c r="AH1561" s="209"/>
      <c r="AI1561" s="209"/>
      <c r="AJ1561" s="209"/>
      <c r="AK1561" s="209"/>
    </row>
    <row r="1562">
      <c r="A1562" s="209"/>
      <c r="B1562" s="209"/>
      <c r="C1562" s="209"/>
      <c r="D1562" s="209"/>
      <c r="E1562" s="209"/>
      <c r="F1562" s="209"/>
      <c r="G1562" s="209"/>
      <c r="H1562" s="209"/>
      <c r="I1562" s="209"/>
      <c r="J1562" s="209"/>
      <c r="K1562" s="209"/>
      <c r="L1562" s="209"/>
      <c r="M1562" s="209"/>
      <c r="N1562" s="209"/>
      <c r="O1562" s="209"/>
      <c r="P1562" s="209"/>
      <c r="Q1562" s="209"/>
      <c r="R1562" s="209"/>
      <c r="S1562" s="209"/>
      <c r="T1562" s="209"/>
      <c r="U1562" s="209"/>
      <c r="V1562" s="209"/>
      <c r="W1562" s="209"/>
      <c r="X1562" s="209"/>
      <c r="Y1562" s="209"/>
      <c r="Z1562" s="209"/>
      <c r="AA1562" s="209"/>
      <c r="AB1562" s="209"/>
      <c r="AC1562" s="209"/>
      <c r="AD1562" s="209"/>
      <c r="AE1562" s="209"/>
      <c r="AF1562" s="209"/>
      <c r="AG1562" s="209"/>
      <c r="AH1562" s="209"/>
      <c r="AI1562" s="209"/>
      <c r="AJ1562" s="209"/>
      <c r="AK1562" s="209"/>
    </row>
    <row r="1563">
      <c r="A1563" s="209"/>
      <c r="B1563" s="209"/>
      <c r="C1563" s="209"/>
      <c r="D1563" s="209"/>
      <c r="E1563" s="209"/>
      <c r="F1563" s="209"/>
      <c r="G1563" s="209"/>
      <c r="H1563" s="209"/>
      <c r="I1563" s="209"/>
      <c r="J1563" s="209"/>
      <c r="K1563" s="209"/>
      <c r="L1563" s="209"/>
      <c r="M1563" s="209"/>
      <c r="N1563" s="209"/>
      <c r="O1563" s="209"/>
      <c r="P1563" s="209"/>
      <c r="Q1563" s="209"/>
      <c r="R1563" s="209"/>
      <c r="S1563" s="209"/>
      <c r="T1563" s="209"/>
      <c r="U1563" s="209"/>
      <c r="V1563" s="209"/>
      <c r="W1563" s="209"/>
      <c r="X1563" s="209"/>
      <c r="Y1563" s="209"/>
      <c r="Z1563" s="209"/>
      <c r="AA1563" s="209"/>
      <c r="AB1563" s="209"/>
      <c r="AC1563" s="209"/>
      <c r="AD1563" s="209"/>
      <c r="AE1563" s="209"/>
      <c r="AF1563" s="209"/>
      <c r="AG1563" s="209"/>
      <c r="AH1563" s="209"/>
      <c r="AI1563" s="209"/>
      <c r="AJ1563" s="209"/>
      <c r="AK1563" s="209"/>
    </row>
    <row r="1564">
      <c r="A1564" s="209"/>
      <c r="B1564" s="209"/>
      <c r="C1564" s="209"/>
      <c r="D1564" s="209"/>
      <c r="E1564" s="209"/>
      <c r="F1564" s="209"/>
      <c r="G1564" s="209"/>
      <c r="H1564" s="209"/>
      <c r="I1564" s="209"/>
      <c r="J1564" s="209"/>
      <c r="K1564" s="209"/>
      <c r="L1564" s="209"/>
      <c r="M1564" s="209"/>
      <c r="N1564" s="209"/>
      <c r="O1564" s="209"/>
      <c r="P1564" s="209"/>
      <c r="Q1564" s="209"/>
      <c r="R1564" s="209"/>
      <c r="S1564" s="209"/>
      <c r="T1564" s="209"/>
      <c r="U1564" s="209"/>
      <c r="V1564" s="209"/>
      <c r="W1564" s="209"/>
      <c r="X1564" s="209"/>
      <c r="Y1564" s="209"/>
      <c r="Z1564" s="209"/>
      <c r="AA1564" s="209"/>
      <c r="AB1564" s="209"/>
      <c r="AC1564" s="209"/>
      <c r="AD1564" s="209"/>
      <c r="AE1564" s="209"/>
      <c r="AF1564" s="209"/>
      <c r="AG1564" s="209"/>
      <c r="AH1564" s="209"/>
      <c r="AI1564" s="209"/>
      <c r="AJ1564" s="209"/>
      <c r="AK1564" s="209"/>
    </row>
    <row r="1565">
      <c r="A1565" s="209"/>
      <c r="B1565" s="209"/>
      <c r="C1565" s="209"/>
      <c r="D1565" s="209"/>
      <c r="E1565" s="209"/>
      <c r="F1565" s="209"/>
      <c r="G1565" s="209"/>
      <c r="H1565" s="209"/>
      <c r="I1565" s="209"/>
      <c r="J1565" s="209"/>
      <c r="K1565" s="209"/>
      <c r="L1565" s="209"/>
      <c r="M1565" s="209"/>
      <c r="N1565" s="209"/>
      <c r="O1565" s="209"/>
      <c r="P1565" s="209"/>
      <c r="Q1565" s="209"/>
      <c r="R1565" s="209"/>
      <c r="S1565" s="209"/>
      <c r="T1565" s="209"/>
      <c r="U1565" s="209"/>
      <c r="V1565" s="209"/>
      <c r="W1565" s="209"/>
      <c r="X1565" s="209"/>
      <c r="Y1565" s="209"/>
      <c r="Z1565" s="209"/>
      <c r="AA1565" s="209"/>
      <c r="AB1565" s="209"/>
      <c r="AC1565" s="209"/>
      <c r="AD1565" s="209"/>
      <c r="AE1565" s="209"/>
      <c r="AF1565" s="209"/>
      <c r="AG1565" s="209"/>
      <c r="AH1565" s="209"/>
      <c r="AI1565" s="209"/>
      <c r="AJ1565" s="209"/>
      <c r="AK1565" s="209"/>
    </row>
    <row r="1566">
      <c r="A1566" s="209"/>
      <c r="B1566" s="209"/>
      <c r="C1566" s="209"/>
      <c r="D1566" s="209"/>
      <c r="E1566" s="209"/>
      <c r="F1566" s="209"/>
      <c r="G1566" s="209"/>
      <c r="H1566" s="209"/>
      <c r="I1566" s="209"/>
      <c r="J1566" s="209"/>
      <c r="K1566" s="209"/>
      <c r="L1566" s="209"/>
      <c r="M1566" s="209"/>
      <c r="N1566" s="209"/>
      <c r="O1566" s="209"/>
      <c r="P1566" s="209"/>
      <c r="Q1566" s="209"/>
      <c r="R1566" s="209"/>
      <c r="S1566" s="209"/>
      <c r="T1566" s="209"/>
      <c r="U1566" s="209"/>
      <c r="V1566" s="209"/>
      <c r="W1566" s="209"/>
      <c r="X1566" s="209"/>
      <c r="Y1566" s="209"/>
      <c r="Z1566" s="209"/>
      <c r="AA1566" s="209"/>
      <c r="AB1566" s="209"/>
      <c r="AC1566" s="209"/>
      <c r="AD1566" s="209"/>
      <c r="AE1566" s="209"/>
      <c r="AF1566" s="209"/>
      <c r="AG1566" s="209"/>
      <c r="AH1566" s="209"/>
      <c r="AI1566" s="209"/>
      <c r="AJ1566" s="209"/>
      <c r="AK1566" s="209"/>
    </row>
    <row r="1567">
      <c r="A1567" s="209"/>
      <c r="B1567" s="209"/>
      <c r="C1567" s="209"/>
      <c r="D1567" s="209"/>
      <c r="E1567" s="209"/>
      <c r="F1567" s="209"/>
      <c r="G1567" s="209"/>
      <c r="H1567" s="209"/>
      <c r="I1567" s="209"/>
      <c r="J1567" s="209"/>
      <c r="K1567" s="209"/>
      <c r="L1567" s="209"/>
      <c r="M1567" s="209"/>
      <c r="N1567" s="209"/>
      <c r="O1567" s="209"/>
      <c r="P1567" s="209"/>
      <c r="Q1567" s="209"/>
      <c r="R1567" s="209"/>
      <c r="S1567" s="209"/>
      <c r="T1567" s="209"/>
      <c r="U1567" s="209"/>
      <c r="V1567" s="209"/>
      <c r="W1567" s="209"/>
      <c r="X1567" s="209"/>
      <c r="Y1567" s="209"/>
      <c r="Z1567" s="209"/>
      <c r="AA1567" s="209"/>
      <c r="AB1567" s="209"/>
      <c r="AC1567" s="209"/>
      <c r="AD1567" s="209"/>
      <c r="AE1567" s="209"/>
      <c r="AF1567" s="209"/>
      <c r="AG1567" s="209"/>
      <c r="AH1567" s="209"/>
      <c r="AI1567" s="209"/>
      <c r="AJ1567" s="209"/>
      <c r="AK1567" s="209"/>
    </row>
    <row r="1568">
      <c r="A1568" s="209"/>
      <c r="B1568" s="209"/>
      <c r="C1568" s="209"/>
      <c r="D1568" s="209"/>
      <c r="E1568" s="209"/>
      <c r="F1568" s="209"/>
      <c r="G1568" s="209"/>
      <c r="H1568" s="209"/>
      <c r="I1568" s="209"/>
      <c r="J1568" s="209"/>
      <c r="K1568" s="209"/>
      <c r="L1568" s="209"/>
      <c r="M1568" s="209"/>
      <c r="N1568" s="209"/>
      <c r="O1568" s="209"/>
      <c r="P1568" s="209"/>
      <c r="Q1568" s="209"/>
      <c r="R1568" s="209"/>
      <c r="S1568" s="209"/>
      <c r="T1568" s="209"/>
      <c r="U1568" s="209"/>
      <c r="V1568" s="209"/>
      <c r="W1568" s="209"/>
      <c r="X1568" s="209"/>
      <c r="Y1568" s="209"/>
      <c r="Z1568" s="209"/>
      <c r="AA1568" s="209"/>
      <c r="AB1568" s="209"/>
      <c r="AC1568" s="209"/>
      <c r="AD1568" s="209"/>
      <c r="AE1568" s="209"/>
      <c r="AF1568" s="209"/>
      <c r="AG1568" s="209"/>
      <c r="AH1568" s="209"/>
      <c r="AI1568" s="209"/>
      <c r="AJ1568" s="209"/>
      <c r="AK1568" s="209"/>
    </row>
    <row r="1569">
      <c r="A1569" s="209"/>
      <c r="B1569" s="209"/>
      <c r="C1569" s="209"/>
      <c r="D1569" s="209"/>
      <c r="E1569" s="209"/>
      <c r="F1569" s="209"/>
      <c r="G1569" s="209"/>
      <c r="H1569" s="209"/>
      <c r="I1569" s="209"/>
      <c r="J1569" s="209"/>
      <c r="K1569" s="209"/>
      <c r="L1569" s="209"/>
      <c r="M1569" s="209"/>
      <c r="N1569" s="209"/>
      <c r="O1569" s="209"/>
      <c r="P1569" s="209"/>
      <c r="Q1569" s="209"/>
      <c r="R1569" s="209"/>
      <c r="S1569" s="209"/>
      <c r="T1569" s="209"/>
      <c r="U1569" s="209"/>
      <c r="V1569" s="209"/>
      <c r="W1569" s="209"/>
      <c r="X1569" s="209"/>
      <c r="Y1569" s="209"/>
      <c r="Z1569" s="209"/>
      <c r="AA1569" s="209"/>
      <c r="AB1569" s="209"/>
      <c r="AC1569" s="209"/>
      <c r="AD1569" s="209"/>
      <c r="AE1569" s="209"/>
      <c r="AF1569" s="209"/>
      <c r="AG1569" s="209"/>
      <c r="AH1569" s="209"/>
      <c r="AI1569" s="209"/>
      <c r="AJ1569" s="209"/>
      <c r="AK1569" s="209"/>
    </row>
    <row r="1570">
      <c r="A1570" s="209"/>
      <c r="B1570" s="209"/>
      <c r="C1570" s="209"/>
      <c r="D1570" s="209"/>
      <c r="E1570" s="209"/>
      <c r="F1570" s="209"/>
      <c r="G1570" s="209"/>
      <c r="H1570" s="209"/>
      <c r="I1570" s="209"/>
      <c r="J1570" s="209"/>
      <c r="K1570" s="209"/>
      <c r="L1570" s="209"/>
      <c r="M1570" s="209"/>
      <c r="N1570" s="209"/>
      <c r="O1570" s="209"/>
      <c r="P1570" s="209"/>
      <c r="Q1570" s="209"/>
      <c r="R1570" s="209"/>
      <c r="S1570" s="209"/>
      <c r="T1570" s="209"/>
      <c r="U1570" s="209"/>
      <c r="V1570" s="209"/>
      <c r="W1570" s="209"/>
      <c r="X1570" s="209"/>
      <c r="Y1570" s="209"/>
      <c r="Z1570" s="209"/>
      <c r="AA1570" s="209"/>
      <c r="AB1570" s="209"/>
      <c r="AC1570" s="209"/>
      <c r="AD1570" s="209"/>
      <c r="AE1570" s="209"/>
      <c r="AF1570" s="209"/>
      <c r="AG1570" s="209"/>
      <c r="AH1570" s="209"/>
      <c r="AI1570" s="209"/>
      <c r="AJ1570" s="209"/>
      <c r="AK1570" s="209"/>
    </row>
    <row r="1571">
      <c r="A1571" s="209"/>
      <c r="B1571" s="209"/>
      <c r="C1571" s="209"/>
      <c r="D1571" s="209"/>
      <c r="E1571" s="209"/>
      <c r="F1571" s="209"/>
      <c r="G1571" s="209"/>
      <c r="H1571" s="209"/>
      <c r="I1571" s="209"/>
      <c r="J1571" s="209"/>
      <c r="K1571" s="209"/>
      <c r="L1571" s="209"/>
      <c r="M1571" s="209"/>
      <c r="N1571" s="209"/>
      <c r="O1571" s="209"/>
      <c r="P1571" s="209"/>
      <c r="Q1571" s="209"/>
      <c r="R1571" s="209"/>
      <c r="S1571" s="209"/>
      <c r="T1571" s="209"/>
      <c r="U1571" s="209"/>
      <c r="V1571" s="209"/>
      <c r="W1571" s="209"/>
      <c r="X1571" s="209"/>
      <c r="Y1571" s="209"/>
      <c r="Z1571" s="209"/>
      <c r="AA1571" s="209"/>
      <c r="AB1571" s="209"/>
      <c r="AC1571" s="209"/>
      <c r="AD1571" s="209"/>
      <c r="AE1571" s="209"/>
      <c r="AF1571" s="209"/>
      <c r="AG1571" s="209"/>
      <c r="AH1571" s="209"/>
      <c r="AI1571" s="209"/>
      <c r="AJ1571" s="209"/>
      <c r="AK1571" s="209"/>
    </row>
    <row r="1572">
      <c r="A1572" s="209"/>
      <c r="B1572" s="209"/>
      <c r="C1572" s="209"/>
      <c r="D1572" s="209"/>
      <c r="E1572" s="209"/>
      <c r="F1572" s="209"/>
      <c r="G1572" s="209"/>
      <c r="H1572" s="209"/>
      <c r="I1572" s="209"/>
      <c r="J1572" s="209"/>
      <c r="K1572" s="209"/>
      <c r="L1572" s="209"/>
      <c r="M1572" s="209"/>
      <c r="N1572" s="209"/>
      <c r="O1572" s="209"/>
      <c r="P1572" s="209"/>
      <c r="Q1572" s="209"/>
      <c r="R1572" s="209"/>
      <c r="S1572" s="209"/>
      <c r="T1572" s="209"/>
      <c r="U1572" s="209"/>
      <c r="V1572" s="209"/>
      <c r="W1572" s="209"/>
      <c r="X1572" s="209"/>
      <c r="Y1572" s="209"/>
      <c r="Z1572" s="209"/>
      <c r="AA1572" s="209"/>
      <c r="AB1572" s="209"/>
      <c r="AC1572" s="209"/>
      <c r="AD1572" s="209"/>
      <c r="AE1572" s="209"/>
      <c r="AF1572" s="209"/>
      <c r="AG1572" s="209"/>
      <c r="AH1572" s="209"/>
      <c r="AI1572" s="209"/>
      <c r="AJ1572" s="209"/>
      <c r="AK1572" s="209"/>
    </row>
    <row r="1573">
      <c r="A1573" s="209"/>
      <c r="B1573" s="209"/>
      <c r="C1573" s="209"/>
      <c r="D1573" s="209"/>
      <c r="E1573" s="209"/>
      <c r="F1573" s="209"/>
      <c r="G1573" s="209"/>
      <c r="H1573" s="209"/>
      <c r="I1573" s="209"/>
      <c r="J1573" s="209"/>
      <c r="K1573" s="209"/>
      <c r="L1573" s="209"/>
      <c r="M1573" s="209"/>
      <c r="N1573" s="209"/>
      <c r="O1573" s="209"/>
      <c r="P1573" s="209"/>
      <c r="Q1573" s="209"/>
      <c r="R1573" s="209"/>
      <c r="S1573" s="209"/>
      <c r="T1573" s="209"/>
      <c r="U1573" s="209"/>
      <c r="V1573" s="209"/>
      <c r="W1573" s="209"/>
      <c r="X1573" s="209"/>
      <c r="Y1573" s="209"/>
      <c r="Z1573" s="209"/>
      <c r="AA1573" s="209"/>
      <c r="AB1573" s="209"/>
      <c r="AC1573" s="209"/>
      <c r="AD1573" s="209"/>
      <c r="AE1573" s="209"/>
      <c r="AF1573" s="209"/>
      <c r="AG1573" s="209"/>
      <c r="AH1573" s="209"/>
      <c r="AI1573" s="209"/>
      <c r="AJ1573" s="209"/>
      <c r="AK1573" s="209"/>
    </row>
    <row r="1574">
      <c r="A1574" s="209"/>
      <c r="B1574" s="209"/>
      <c r="C1574" s="209"/>
      <c r="D1574" s="209"/>
      <c r="E1574" s="209"/>
      <c r="F1574" s="209"/>
      <c r="G1574" s="209"/>
      <c r="H1574" s="209"/>
      <c r="I1574" s="209"/>
      <c r="J1574" s="209"/>
      <c r="K1574" s="209"/>
      <c r="L1574" s="209"/>
      <c r="M1574" s="209"/>
      <c r="N1574" s="209"/>
      <c r="O1574" s="209"/>
      <c r="P1574" s="209"/>
      <c r="Q1574" s="209"/>
      <c r="R1574" s="209"/>
      <c r="S1574" s="209"/>
      <c r="T1574" s="209"/>
      <c r="U1574" s="209"/>
      <c r="V1574" s="209"/>
      <c r="W1574" s="209"/>
      <c r="X1574" s="209"/>
      <c r="Y1574" s="209"/>
      <c r="Z1574" s="209"/>
      <c r="AA1574" s="209"/>
      <c r="AB1574" s="209"/>
      <c r="AC1574" s="209"/>
      <c r="AD1574" s="209"/>
      <c r="AE1574" s="209"/>
      <c r="AF1574" s="209"/>
      <c r="AG1574" s="209"/>
      <c r="AH1574" s="209"/>
      <c r="AI1574" s="209"/>
      <c r="AJ1574" s="209"/>
      <c r="AK1574" s="209"/>
    </row>
    <row r="1575">
      <c r="A1575" s="209"/>
      <c r="B1575" s="209"/>
      <c r="C1575" s="209"/>
      <c r="D1575" s="209"/>
      <c r="E1575" s="209"/>
      <c r="F1575" s="209"/>
      <c r="G1575" s="209"/>
      <c r="H1575" s="209"/>
      <c r="I1575" s="209"/>
      <c r="J1575" s="209"/>
      <c r="K1575" s="209"/>
      <c r="L1575" s="209"/>
      <c r="M1575" s="209"/>
      <c r="N1575" s="209"/>
      <c r="O1575" s="209"/>
      <c r="P1575" s="209"/>
      <c r="Q1575" s="209"/>
      <c r="R1575" s="209"/>
      <c r="S1575" s="209"/>
      <c r="T1575" s="209"/>
      <c r="U1575" s="209"/>
      <c r="V1575" s="209"/>
      <c r="W1575" s="209"/>
      <c r="X1575" s="209"/>
      <c r="Y1575" s="209"/>
      <c r="Z1575" s="209"/>
      <c r="AA1575" s="209"/>
      <c r="AB1575" s="209"/>
      <c r="AC1575" s="209"/>
      <c r="AD1575" s="209"/>
      <c r="AE1575" s="209"/>
      <c r="AF1575" s="209"/>
      <c r="AG1575" s="209"/>
      <c r="AH1575" s="209"/>
      <c r="AI1575" s="209"/>
      <c r="AJ1575" s="209"/>
      <c r="AK1575" s="209"/>
    </row>
    <row r="1576">
      <c r="A1576" s="209"/>
      <c r="B1576" s="209"/>
      <c r="C1576" s="209"/>
      <c r="D1576" s="209"/>
      <c r="E1576" s="209"/>
      <c r="F1576" s="209"/>
      <c r="G1576" s="209"/>
      <c r="H1576" s="209"/>
      <c r="I1576" s="209"/>
      <c r="J1576" s="209"/>
      <c r="K1576" s="209"/>
      <c r="L1576" s="209"/>
      <c r="M1576" s="209"/>
      <c r="N1576" s="209"/>
      <c r="O1576" s="209"/>
      <c r="P1576" s="209"/>
      <c r="Q1576" s="209"/>
      <c r="R1576" s="209"/>
      <c r="S1576" s="209"/>
      <c r="T1576" s="209"/>
      <c r="U1576" s="209"/>
      <c r="V1576" s="209"/>
      <c r="W1576" s="209"/>
      <c r="X1576" s="209"/>
      <c r="Y1576" s="209"/>
      <c r="Z1576" s="209"/>
      <c r="AA1576" s="209"/>
      <c r="AB1576" s="209"/>
      <c r="AC1576" s="209"/>
      <c r="AD1576" s="209"/>
      <c r="AE1576" s="209"/>
      <c r="AF1576" s="209"/>
      <c r="AG1576" s="209"/>
      <c r="AH1576" s="209"/>
      <c r="AI1576" s="209"/>
      <c r="AJ1576" s="209"/>
      <c r="AK1576" s="209"/>
    </row>
    <row r="1577">
      <c r="A1577" s="209"/>
      <c r="B1577" s="209"/>
      <c r="C1577" s="209"/>
      <c r="D1577" s="209"/>
      <c r="E1577" s="209"/>
      <c r="F1577" s="209"/>
      <c r="G1577" s="209"/>
      <c r="H1577" s="209"/>
      <c r="I1577" s="209"/>
      <c r="J1577" s="209"/>
      <c r="K1577" s="209"/>
      <c r="L1577" s="209"/>
      <c r="M1577" s="209"/>
      <c r="N1577" s="209"/>
      <c r="O1577" s="209"/>
      <c r="P1577" s="209"/>
      <c r="Q1577" s="209"/>
      <c r="R1577" s="209"/>
      <c r="S1577" s="209"/>
      <c r="T1577" s="209"/>
      <c r="U1577" s="209"/>
      <c r="V1577" s="209"/>
      <c r="W1577" s="209"/>
      <c r="X1577" s="209"/>
      <c r="Y1577" s="209"/>
      <c r="Z1577" s="209"/>
      <c r="AA1577" s="209"/>
      <c r="AB1577" s="209"/>
      <c r="AC1577" s="209"/>
      <c r="AD1577" s="209"/>
      <c r="AE1577" s="209"/>
      <c r="AF1577" s="209"/>
      <c r="AG1577" s="209"/>
      <c r="AH1577" s="209"/>
      <c r="AI1577" s="209"/>
      <c r="AJ1577" s="209"/>
      <c r="AK1577" s="209"/>
    </row>
    <row r="1578">
      <c r="A1578" s="209"/>
      <c r="B1578" s="209"/>
      <c r="C1578" s="209"/>
      <c r="D1578" s="209"/>
      <c r="E1578" s="209"/>
      <c r="F1578" s="209"/>
      <c r="G1578" s="209"/>
      <c r="H1578" s="209"/>
      <c r="I1578" s="209"/>
      <c r="J1578" s="209"/>
      <c r="K1578" s="209"/>
      <c r="L1578" s="209"/>
      <c r="M1578" s="209"/>
      <c r="N1578" s="209"/>
      <c r="O1578" s="209"/>
      <c r="P1578" s="209"/>
      <c r="Q1578" s="209"/>
      <c r="R1578" s="209"/>
      <c r="S1578" s="209"/>
      <c r="T1578" s="209"/>
      <c r="U1578" s="209"/>
      <c r="V1578" s="209"/>
      <c r="W1578" s="209"/>
      <c r="X1578" s="209"/>
      <c r="Y1578" s="209"/>
      <c r="Z1578" s="209"/>
      <c r="AA1578" s="209"/>
      <c r="AB1578" s="209"/>
      <c r="AC1578" s="209"/>
      <c r="AD1578" s="209"/>
      <c r="AE1578" s="209"/>
      <c r="AF1578" s="209"/>
      <c r="AG1578" s="209"/>
      <c r="AH1578" s="209"/>
      <c r="AI1578" s="209"/>
      <c r="AJ1578" s="209"/>
      <c r="AK1578" s="209"/>
    </row>
    <row r="1579">
      <c r="A1579" s="209"/>
      <c r="B1579" s="209"/>
      <c r="C1579" s="209"/>
      <c r="D1579" s="209"/>
      <c r="E1579" s="209"/>
      <c r="F1579" s="209"/>
      <c r="G1579" s="209"/>
      <c r="H1579" s="209"/>
      <c r="I1579" s="209"/>
      <c r="J1579" s="209"/>
      <c r="K1579" s="209"/>
      <c r="L1579" s="209"/>
      <c r="M1579" s="209"/>
      <c r="N1579" s="209"/>
      <c r="O1579" s="209"/>
      <c r="P1579" s="209"/>
      <c r="Q1579" s="209"/>
      <c r="R1579" s="209"/>
      <c r="S1579" s="209"/>
      <c r="T1579" s="209"/>
      <c r="U1579" s="209"/>
      <c r="V1579" s="209"/>
      <c r="W1579" s="209"/>
      <c r="X1579" s="209"/>
      <c r="Y1579" s="209"/>
      <c r="Z1579" s="209"/>
      <c r="AA1579" s="209"/>
      <c r="AB1579" s="209"/>
      <c r="AC1579" s="209"/>
      <c r="AD1579" s="209"/>
      <c r="AE1579" s="209"/>
      <c r="AF1579" s="209"/>
      <c r="AG1579" s="209"/>
      <c r="AH1579" s="209"/>
      <c r="AI1579" s="209"/>
      <c r="AJ1579" s="209"/>
      <c r="AK1579" s="209"/>
    </row>
    <row r="1580">
      <c r="A1580" s="209"/>
      <c r="B1580" s="209"/>
      <c r="C1580" s="209"/>
      <c r="D1580" s="209"/>
      <c r="E1580" s="209"/>
      <c r="F1580" s="209"/>
      <c r="G1580" s="209"/>
      <c r="H1580" s="209"/>
      <c r="I1580" s="209"/>
      <c r="J1580" s="209"/>
      <c r="K1580" s="209"/>
      <c r="L1580" s="209"/>
      <c r="M1580" s="209"/>
      <c r="N1580" s="209"/>
      <c r="O1580" s="209"/>
      <c r="P1580" s="209"/>
      <c r="Q1580" s="209"/>
      <c r="R1580" s="209"/>
      <c r="S1580" s="209"/>
      <c r="T1580" s="209"/>
      <c r="U1580" s="209"/>
      <c r="V1580" s="209"/>
      <c r="W1580" s="209"/>
      <c r="X1580" s="209"/>
      <c r="Y1580" s="209"/>
      <c r="Z1580" s="209"/>
      <c r="AA1580" s="209"/>
      <c r="AB1580" s="209"/>
      <c r="AC1580" s="209"/>
      <c r="AD1580" s="209"/>
      <c r="AE1580" s="209"/>
      <c r="AF1580" s="209"/>
      <c r="AG1580" s="209"/>
      <c r="AH1580" s="209"/>
      <c r="AI1580" s="209"/>
      <c r="AJ1580" s="209"/>
      <c r="AK1580" s="209"/>
    </row>
    <row r="1581">
      <c r="A1581" s="209"/>
      <c r="B1581" s="209"/>
      <c r="C1581" s="209"/>
      <c r="D1581" s="209"/>
      <c r="E1581" s="209"/>
      <c r="F1581" s="209"/>
      <c r="G1581" s="209"/>
      <c r="H1581" s="209"/>
      <c r="I1581" s="209"/>
      <c r="J1581" s="209"/>
      <c r="K1581" s="209"/>
      <c r="L1581" s="209"/>
      <c r="M1581" s="209"/>
      <c r="N1581" s="209"/>
      <c r="O1581" s="209"/>
      <c r="P1581" s="209"/>
      <c r="Q1581" s="209"/>
      <c r="R1581" s="209"/>
      <c r="S1581" s="209"/>
      <c r="T1581" s="209"/>
      <c r="U1581" s="209"/>
      <c r="V1581" s="209"/>
      <c r="W1581" s="209"/>
      <c r="X1581" s="209"/>
      <c r="Y1581" s="209"/>
      <c r="Z1581" s="209"/>
      <c r="AA1581" s="209"/>
      <c r="AB1581" s="209"/>
      <c r="AC1581" s="209"/>
      <c r="AD1581" s="209"/>
      <c r="AE1581" s="209"/>
      <c r="AF1581" s="209"/>
      <c r="AG1581" s="209"/>
      <c r="AH1581" s="209"/>
      <c r="AI1581" s="209"/>
      <c r="AJ1581" s="209"/>
      <c r="AK1581" s="209"/>
    </row>
    <row r="1582">
      <c r="A1582" s="209"/>
      <c r="B1582" s="209"/>
      <c r="C1582" s="209"/>
      <c r="D1582" s="209"/>
      <c r="E1582" s="209"/>
      <c r="F1582" s="209"/>
      <c r="G1582" s="209"/>
      <c r="H1582" s="209"/>
      <c r="I1582" s="209"/>
      <c r="J1582" s="209"/>
      <c r="K1582" s="209"/>
      <c r="L1582" s="209"/>
      <c r="M1582" s="209"/>
      <c r="N1582" s="209"/>
      <c r="O1582" s="209"/>
      <c r="P1582" s="209"/>
      <c r="Q1582" s="209"/>
      <c r="R1582" s="209"/>
      <c r="S1582" s="209"/>
      <c r="T1582" s="209"/>
      <c r="U1582" s="209"/>
      <c r="V1582" s="209"/>
      <c r="W1582" s="209"/>
      <c r="X1582" s="209"/>
      <c r="Y1582" s="209"/>
      <c r="Z1582" s="209"/>
      <c r="AA1582" s="209"/>
      <c r="AB1582" s="209"/>
      <c r="AC1582" s="209"/>
      <c r="AD1582" s="209"/>
      <c r="AE1582" s="209"/>
      <c r="AF1582" s="209"/>
      <c r="AG1582" s="209"/>
      <c r="AH1582" s="209"/>
      <c r="AI1582" s="209"/>
      <c r="AJ1582" s="209"/>
      <c r="AK1582" s="209"/>
    </row>
    <row r="1583">
      <c r="A1583" s="209"/>
      <c r="B1583" s="209"/>
      <c r="C1583" s="209"/>
      <c r="D1583" s="209"/>
      <c r="E1583" s="209"/>
      <c r="F1583" s="209"/>
      <c r="G1583" s="209"/>
      <c r="H1583" s="209"/>
      <c r="I1583" s="209"/>
      <c r="J1583" s="209"/>
      <c r="K1583" s="209"/>
      <c r="L1583" s="209"/>
      <c r="M1583" s="209"/>
      <c r="N1583" s="209"/>
      <c r="O1583" s="209"/>
      <c r="P1583" s="209"/>
      <c r="Q1583" s="209"/>
      <c r="R1583" s="209"/>
      <c r="S1583" s="209"/>
      <c r="T1583" s="209"/>
      <c r="U1583" s="209"/>
      <c r="V1583" s="209"/>
      <c r="W1583" s="209"/>
      <c r="X1583" s="209"/>
      <c r="Y1583" s="209"/>
      <c r="Z1583" s="209"/>
      <c r="AA1583" s="209"/>
      <c r="AB1583" s="209"/>
      <c r="AC1583" s="209"/>
      <c r="AD1583" s="209"/>
      <c r="AE1583" s="209"/>
      <c r="AF1583" s="209"/>
      <c r="AG1583" s="209"/>
      <c r="AH1583" s="209"/>
      <c r="AI1583" s="209"/>
      <c r="AJ1583" s="209"/>
      <c r="AK1583" s="209"/>
    </row>
    <row r="1584">
      <c r="A1584" s="209"/>
      <c r="B1584" s="209"/>
      <c r="C1584" s="209"/>
      <c r="D1584" s="209"/>
      <c r="E1584" s="209"/>
      <c r="F1584" s="209"/>
      <c r="G1584" s="209"/>
      <c r="H1584" s="209"/>
      <c r="I1584" s="209"/>
      <c r="J1584" s="209"/>
      <c r="K1584" s="209"/>
      <c r="L1584" s="209"/>
      <c r="M1584" s="209"/>
      <c r="N1584" s="209"/>
      <c r="O1584" s="209"/>
      <c r="P1584" s="209"/>
      <c r="Q1584" s="209"/>
      <c r="R1584" s="209"/>
      <c r="S1584" s="209"/>
      <c r="T1584" s="209"/>
      <c r="U1584" s="209"/>
      <c r="V1584" s="209"/>
      <c r="W1584" s="209"/>
      <c r="X1584" s="209"/>
      <c r="Y1584" s="209"/>
      <c r="Z1584" s="209"/>
      <c r="AA1584" s="209"/>
      <c r="AB1584" s="209"/>
      <c r="AC1584" s="209"/>
      <c r="AD1584" s="209"/>
      <c r="AE1584" s="209"/>
      <c r="AF1584" s="209"/>
      <c r="AG1584" s="209"/>
      <c r="AH1584" s="209"/>
      <c r="AI1584" s="209"/>
      <c r="AJ1584" s="209"/>
      <c r="AK1584" s="209"/>
    </row>
    <row r="1585">
      <c r="A1585" s="209"/>
      <c r="B1585" s="209"/>
      <c r="C1585" s="209"/>
      <c r="D1585" s="209"/>
      <c r="E1585" s="209"/>
      <c r="F1585" s="209"/>
      <c r="G1585" s="209"/>
      <c r="H1585" s="209"/>
      <c r="I1585" s="209"/>
      <c r="J1585" s="209"/>
      <c r="K1585" s="209"/>
      <c r="L1585" s="209"/>
      <c r="M1585" s="209"/>
      <c r="N1585" s="209"/>
      <c r="O1585" s="209"/>
      <c r="P1585" s="209"/>
      <c r="Q1585" s="209"/>
      <c r="R1585" s="209"/>
      <c r="S1585" s="209"/>
      <c r="T1585" s="209"/>
      <c r="U1585" s="209"/>
      <c r="V1585" s="209"/>
      <c r="W1585" s="209"/>
      <c r="X1585" s="209"/>
      <c r="Y1585" s="209"/>
      <c r="Z1585" s="209"/>
      <c r="AA1585" s="209"/>
      <c r="AB1585" s="209"/>
      <c r="AC1585" s="209"/>
      <c r="AD1585" s="209"/>
      <c r="AE1585" s="209"/>
      <c r="AF1585" s="209"/>
      <c r="AG1585" s="209"/>
      <c r="AH1585" s="209"/>
      <c r="AI1585" s="209"/>
      <c r="AJ1585" s="209"/>
      <c r="AK1585" s="209"/>
    </row>
    <row r="1586">
      <c r="A1586" s="209"/>
      <c r="B1586" s="209"/>
      <c r="C1586" s="209"/>
      <c r="D1586" s="209"/>
      <c r="E1586" s="209"/>
      <c r="F1586" s="209"/>
      <c r="G1586" s="209"/>
      <c r="H1586" s="209"/>
      <c r="I1586" s="209"/>
      <c r="J1586" s="209"/>
      <c r="K1586" s="209"/>
      <c r="L1586" s="209"/>
      <c r="M1586" s="209"/>
      <c r="N1586" s="209"/>
      <c r="O1586" s="209"/>
      <c r="P1586" s="209"/>
      <c r="Q1586" s="209"/>
      <c r="R1586" s="209"/>
      <c r="S1586" s="209"/>
      <c r="T1586" s="209"/>
      <c r="U1586" s="209"/>
      <c r="V1586" s="209"/>
      <c r="W1586" s="209"/>
      <c r="X1586" s="209"/>
      <c r="Y1586" s="209"/>
      <c r="Z1586" s="209"/>
      <c r="AA1586" s="209"/>
      <c r="AB1586" s="209"/>
      <c r="AC1586" s="209"/>
      <c r="AD1586" s="209"/>
      <c r="AE1586" s="209"/>
      <c r="AF1586" s="209"/>
      <c r="AG1586" s="209"/>
      <c r="AH1586" s="209"/>
      <c r="AI1586" s="209"/>
      <c r="AJ1586" s="209"/>
      <c r="AK1586" s="209"/>
    </row>
    <row r="1587">
      <c r="A1587" s="209"/>
      <c r="B1587" s="209"/>
      <c r="C1587" s="209"/>
      <c r="D1587" s="209"/>
      <c r="E1587" s="209"/>
      <c r="F1587" s="209"/>
      <c r="G1587" s="209"/>
      <c r="H1587" s="209"/>
      <c r="I1587" s="209"/>
      <c r="J1587" s="209"/>
      <c r="K1587" s="209"/>
      <c r="L1587" s="209"/>
      <c r="M1587" s="209"/>
      <c r="N1587" s="209"/>
      <c r="O1587" s="209"/>
      <c r="P1587" s="209"/>
      <c r="Q1587" s="209"/>
      <c r="R1587" s="209"/>
      <c r="S1587" s="209"/>
      <c r="T1587" s="209"/>
      <c r="U1587" s="209"/>
      <c r="V1587" s="209"/>
      <c r="W1587" s="209"/>
      <c r="X1587" s="209"/>
      <c r="Y1587" s="209"/>
      <c r="Z1587" s="209"/>
      <c r="AA1587" s="209"/>
      <c r="AB1587" s="209"/>
      <c r="AC1587" s="209"/>
      <c r="AD1587" s="209"/>
      <c r="AE1587" s="209"/>
      <c r="AF1587" s="209"/>
      <c r="AG1587" s="209"/>
      <c r="AH1587" s="209"/>
      <c r="AI1587" s="209"/>
      <c r="AJ1587" s="209"/>
      <c r="AK1587" s="209"/>
    </row>
    <row r="1588">
      <c r="A1588" s="209"/>
      <c r="B1588" s="209"/>
      <c r="C1588" s="209"/>
      <c r="D1588" s="209"/>
      <c r="E1588" s="209"/>
      <c r="F1588" s="209"/>
      <c r="G1588" s="209"/>
      <c r="H1588" s="209"/>
      <c r="I1588" s="209"/>
      <c r="J1588" s="209"/>
      <c r="K1588" s="209"/>
      <c r="L1588" s="209"/>
      <c r="M1588" s="209"/>
      <c r="N1588" s="209"/>
      <c r="O1588" s="209"/>
      <c r="P1588" s="209"/>
      <c r="Q1588" s="209"/>
      <c r="R1588" s="209"/>
      <c r="S1588" s="209"/>
      <c r="T1588" s="209"/>
      <c r="U1588" s="209"/>
      <c r="V1588" s="209"/>
      <c r="W1588" s="209"/>
      <c r="X1588" s="209"/>
      <c r="Y1588" s="209"/>
      <c r="Z1588" s="209"/>
      <c r="AA1588" s="209"/>
      <c r="AB1588" s="209"/>
      <c r="AC1588" s="209"/>
      <c r="AD1588" s="209"/>
      <c r="AE1588" s="209"/>
      <c r="AF1588" s="209"/>
      <c r="AG1588" s="209"/>
      <c r="AH1588" s="209"/>
      <c r="AI1588" s="209"/>
      <c r="AJ1588" s="209"/>
      <c r="AK1588" s="209"/>
    </row>
    <row r="1589">
      <c r="A1589" s="209"/>
      <c r="B1589" s="209"/>
      <c r="C1589" s="209"/>
      <c r="D1589" s="209"/>
      <c r="E1589" s="209"/>
      <c r="F1589" s="209"/>
      <c r="G1589" s="209"/>
      <c r="H1589" s="209"/>
      <c r="I1589" s="209"/>
      <c r="J1589" s="209"/>
      <c r="K1589" s="209"/>
      <c r="L1589" s="209"/>
      <c r="M1589" s="209"/>
      <c r="N1589" s="209"/>
      <c r="O1589" s="209"/>
      <c r="P1589" s="209"/>
      <c r="Q1589" s="209"/>
      <c r="R1589" s="209"/>
      <c r="S1589" s="209"/>
      <c r="T1589" s="209"/>
      <c r="U1589" s="209"/>
      <c r="V1589" s="209"/>
      <c r="W1589" s="209"/>
      <c r="X1589" s="209"/>
      <c r="Y1589" s="209"/>
      <c r="Z1589" s="209"/>
      <c r="AA1589" s="209"/>
      <c r="AB1589" s="209"/>
      <c r="AC1589" s="209"/>
      <c r="AD1589" s="209"/>
      <c r="AE1589" s="209"/>
      <c r="AF1589" s="209"/>
      <c r="AG1589" s="209"/>
      <c r="AH1589" s="209"/>
      <c r="AI1589" s="209"/>
      <c r="AJ1589" s="209"/>
      <c r="AK1589" s="209"/>
    </row>
    <row r="1590">
      <c r="A1590" s="209"/>
      <c r="B1590" s="209"/>
      <c r="C1590" s="209"/>
      <c r="D1590" s="209"/>
      <c r="E1590" s="209"/>
      <c r="F1590" s="209"/>
      <c r="G1590" s="209"/>
      <c r="H1590" s="209"/>
      <c r="I1590" s="209"/>
      <c r="J1590" s="209"/>
      <c r="K1590" s="209"/>
      <c r="L1590" s="209"/>
      <c r="M1590" s="209"/>
      <c r="N1590" s="209"/>
      <c r="O1590" s="209"/>
      <c r="P1590" s="209"/>
      <c r="Q1590" s="209"/>
      <c r="R1590" s="209"/>
      <c r="S1590" s="209"/>
      <c r="T1590" s="209"/>
      <c r="U1590" s="209"/>
      <c r="V1590" s="209"/>
      <c r="W1590" s="209"/>
      <c r="X1590" s="209"/>
      <c r="Y1590" s="209"/>
      <c r="Z1590" s="209"/>
      <c r="AA1590" s="209"/>
      <c r="AB1590" s="209"/>
      <c r="AC1590" s="209"/>
      <c r="AD1590" s="209"/>
      <c r="AE1590" s="209"/>
      <c r="AF1590" s="209"/>
      <c r="AG1590" s="209"/>
      <c r="AH1590" s="209"/>
      <c r="AI1590" s="209"/>
      <c r="AJ1590" s="209"/>
      <c r="AK1590" s="209"/>
    </row>
    <row r="1591">
      <c r="A1591" s="209"/>
      <c r="B1591" s="209"/>
      <c r="C1591" s="209"/>
      <c r="D1591" s="209"/>
      <c r="E1591" s="209"/>
      <c r="F1591" s="209"/>
      <c r="G1591" s="209"/>
      <c r="H1591" s="209"/>
      <c r="I1591" s="209"/>
      <c r="J1591" s="209"/>
      <c r="K1591" s="209"/>
      <c r="L1591" s="209"/>
      <c r="M1591" s="209"/>
      <c r="N1591" s="209"/>
      <c r="O1591" s="209"/>
      <c r="P1591" s="209"/>
      <c r="Q1591" s="209"/>
      <c r="R1591" s="209"/>
      <c r="S1591" s="209"/>
      <c r="T1591" s="209"/>
      <c r="U1591" s="209"/>
      <c r="V1591" s="209"/>
      <c r="W1591" s="209"/>
      <c r="X1591" s="209"/>
      <c r="Y1591" s="209"/>
      <c r="Z1591" s="209"/>
      <c r="AA1591" s="209"/>
      <c r="AB1591" s="209"/>
      <c r="AC1591" s="209"/>
      <c r="AD1591" s="209"/>
      <c r="AE1591" s="209"/>
      <c r="AF1591" s="209"/>
      <c r="AG1591" s="209"/>
      <c r="AH1591" s="209"/>
      <c r="AI1591" s="209"/>
      <c r="AJ1591" s="209"/>
      <c r="AK1591" s="209"/>
    </row>
    <row r="1592">
      <c r="A1592" s="209"/>
      <c r="B1592" s="209"/>
      <c r="C1592" s="209"/>
      <c r="D1592" s="209"/>
      <c r="E1592" s="209"/>
      <c r="F1592" s="209"/>
      <c r="G1592" s="209"/>
      <c r="H1592" s="209"/>
      <c r="I1592" s="209"/>
      <c r="J1592" s="209"/>
      <c r="K1592" s="209"/>
      <c r="L1592" s="209"/>
      <c r="M1592" s="209"/>
      <c r="N1592" s="209"/>
      <c r="O1592" s="209"/>
      <c r="P1592" s="209"/>
      <c r="Q1592" s="209"/>
      <c r="R1592" s="209"/>
      <c r="S1592" s="209"/>
      <c r="T1592" s="209"/>
      <c r="U1592" s="209"/>
      <c r="V1592" s="209"/>
      <c r="W1592" s="209"/>
      <c r="X1592" s="209"/>
      <c r="Y1592" s="209"/>
      <c r="Z1592" s="209"/>
      <c r="AA1592" s="209"/>
      <c r="AB1592" s="209"/>
      <c r="AC1592" s="209"/>
      <c r="AD1592" s="209"/>
      <c r="AE1592" s="209"/>
      <c r="AF1592" s="209"/>
      <c r="AG1592" s="209"/>
      <c r="AH1592" s="209"/>
      <c r="AI1592" s="209"/>
      <c r="AJ1592" s="209"/>
      <c r="AK1592" s="209"/>
    </row>
    <row r="1593">
      <c r="A1593" s="209"/>
      <c r="B1593" s="209"/>
      <c r="C1593" s="209"/>
      <c r="D1593" s="209"/>
      <c r="E1593" s="209"/>
      <c r="F1593" s="209"/>
      <c r="G1593" s="209"/>
      <c r="H1593" s="209"/>
      <c r="I1593" s="209"/>
      <c r="J1593" s="209"/>
      <c r="K1593" s="209"/>
      <c r="L1593" s="209"/>
      <c r="M1593" s="209"/>
      <c r="N1593" s="209"/>
      <c r="O1593" s="209"/>
      <c r="P1593" s="209"/>
      <c r="Q1593" s="209"/>
      <c r="R1593" s="209"/>
      <c r="S1593" s="209"/>
      <c r="T1593" s="209"/>
      <c r="U1593" s="209"/>
      <c r="V1593" s="209"/>
      <c r="W1593" s="209"/>
      <c r="X1593" s="209"/>
      <c r="Y1593" s="209"/>
      <c r="Z1593" s="209"/>
      <c r="AA1593" s="209"/>
      <c r="AB1593" s="209"/>
      <c r="AC1593" s="209"/>
      <c r="AD1593" s="209"/>
      <c r="AE1593" s="209"/>
      <c r="AF1593" s="209"/>
      <c r="AG1593" s="209"/>
      <c r="AH1593" s="209"/>
      <c r="AI1593" s="209"/>
      <c r="AJ1593" s="209"/>
      <c r="AK1593" s="209"/>
    </row>
    <row r="1594">
      <c r="A1594" s="209"/>
      <c r="B1594" s="209"/>
      <c r="C1594" s="209"/>
      <c r="D1594" s="209"/>
      <c r="E1594" s="209"/>
      <c r="F1594" s="209"/>
      <c r="G1594" s="209"/>
      <c r="H1594" s="209"/>
      <c r="I1594" s="209"/>
      <c r="J1594" s="209"/>
      <c r="K1594" s="209"/>
      <c r="L1594" s="209"/>
      <c r="M1594" s="209"/>
      <c r="N1594" s="209"/>
      <c r="O1594" s="209"/>
      <c r="P1594" s="209"/>
      <c r="Q1594" s="209"/>
      <c r="R1594" s="209"/>
      <c r="S1594" s="209"/>
      <c r="T1594" s="209"/>
      <c r="U1594" s="209"/>
      <c r="V1594" s="209"/>
      <c r="W1594" s="209"/>
      <c r="X1594" s="209"/>
      <c r="Y1594" s="209"/>
      <c r="Z1594" s="209"/>
      <c r="AA1594" s="209"/>
      <c r="AB1594" s="209"/>
      <c r="AC1594" s="209"/>
      <c r="AD1594" s="209"/>
      <c r="AE1594" s="209"/>
      <c r="AF1594" s="209"/>
      <c r="AG1594" s="209"/>
      <c r="AH1594" s="209"/>
      <c r="AI1594" s="209"/>
      <c r="AJ1594" s="209"/>
      <c r="AK1594" s="209"/>
    </row>
    <row r="1595">
      <c r="A1595" s="209"/>
      <c r="B1595" s="209"/>
      <c r="C1595" s="209"/>
      <c r="D1595" s="209"/>
      <c r="E1595" s="209"/>
      <c r="F1595" s="209"/>
      <c r="G1595" s="209"/>
      <c r="H1595" s="209"/>
      <c r="I1595" s="209"/>
      <c r="J1595" s="209"/>
      <c r="K1595" s="209"/>
      <c r="L1595" s="209"/>
      <c r="M1595" s="209"/>
      <c r="N1595" s="209"/>
      <c r="O1595" s="209"/>
      <c r="P1595" s="209"/>
      <c r="Q1595" s="209"/>
      <c r="R1595" s="209"/>
      <c r="S1595" s="209"/>
      <c r="T1595" s="209"/>
      <c r="U1595" s="209"/>
      <c r="V1595" s="209"/>
      <c r="W1595" s="209"/>
      <c r="X1595" s="209"/>
      <c r="Y1595" s="209"/>
      <c r="Z1595" s="209"/>
      <c r="AA1595" s="209"/>
      <c r="AB1595" s="209"/>
      <c r="AC1595" s="209"/>
      <c r="AD1595" s="209"/>
      <c r="AE1595" s="209"/>
      <c r="AF1595" s="209"/>
      <c r="AG1595" s="209"/>
      <c r="AH1595" s="209"/>
      <c r="AI1595" s="209"/>
      <c r="AJ1595" s="209"/>
      <c r="AK1595" s="209"/>
    </row>
    <row r="1596">
      <c r="A1596" s="209"/>
      <c r="B1596" s="209"/>
      <c r="C1596" s="209"/>
      <c r="D1596" s="209"/>
      <c r="E1596" s="209"/>
      <c r="F1596" s="209"/>
      <c r="G1596" s="209"/>
      <c r="H1596" s="209"/>
      <c r="I1596" s="209"/>
      <c r="J1596" s="209"/>
      <c r="K1596" s="209"/>
      <c r="L1596" s="209"/>
      <c r="M1596" s="209"/>
      <c r="N1596" s="209"/>
      <c r="O1596" s="209"/>
      <c r="P1596" s="209"/>
      <c r="Q1596" s="209"/>
      <c r="R1596" s="209"/>
      <c r="S1596" s="209"/>
      <c r="T1596" s="209"/>
      <c r="U1596" s="209"/>
      <c r="V1596" s="209"/>
      <c r="W1596" s="209"/>
      <c r="X1596" s="209"/>
      <c r="Y1596" s="209"/>
      <c r="Z1596" s="209"/>
      <c r="AA1596" s="209"/>
      <c r="AB1596" s="209"/>
      <c r="AC1596" s="209"/>
      <c r="AD1596" s="209"/>
      <c r="AE1596" s="209"/>
      <c r="AF1596" s="209"/>
      <c r="AG1596" s="209"/>
      <c r="AH1596" s="209"/>
      <c r="AI1596" s="209"/>
      <c r="AJ1596" s="209"/>
      <c r="AK1596" s="209"/>
    </row>
    <row r="1597">
      <c r="A1597" s="209"/>
      <c r="B1597" s="209"/>
      <c r="C1597" s="209"/>
      <c r="D1597" s="209"/>
      <c r="E1597" s="209"/>
      <c r="F1597" s="209"/>
      <c r="G1597" s="209"/>
      <c r="H1597" s="209"/>
      <c r="I1597" s="209"/>
      <c r="J1597" s="209"/>
      <c r="K1597" s="209"/>
      <c r="L1597" s="209"/>
      <c r="M1597" s="209"/>
      <c r="N1597" s="209"/>
      <c r="O1597" s="209"/>
      <c r="P1597" s="209"/>
      <c r="Q1597" s="209"/>
      <c r="R1597" s="209"/>
      <c r="S1597" s="209"/>
      <c r="T1597" s="209"/>
      <c r="U1597" s="209"/>
      <c r="V1597" s="209"/>
      <c r="W1597" s="209"/>
      <c r="X1597" s="209"/>
      <c r="Y1597" s="209"/>
      <c r="Z1597" s="209"/>
      <c r="AA1597" s="209"/>
      <c r="AB1597" s="209"/>
      <c r="AC1597" s="209"/>
      <c r="AD1597" s="209"/>
      <c r="AE1597" s="209"/>
      <c r="AF1597" s="209"/>
      <c r="AG1597" s="209"/>
      <c r="AH1597" s="209"/>
      <c r="AI1597" s="209"/>
      <c r="AJ1597" s="209"/>
      <c r="AK1597" s="209"/>
    </row>
    <row r="1598">
      <c r="A1598" s="209"/>
      <c r="B1598" s="209"/>
      <c r="C1598" s="209"/>
      <c r="D1598" s="209"/>
      <c r="E1598" s="209"/>
      <c r="F1598" s="209"/>
      <c r="G1598" s="209"/>
      <c r="H1598" s="209"/>
      <c r="I1598" s="209"/>
      <c r="J1598" s="209"/>
      <c r="K1598" s="209"/>
      <c r="L1598" s="209"/>
      <c r="M1598" s="209"/>
      <c r="N1598" s="209"/>
      <c r="O1598" s="209"/>
      <c r="P1598" s="209"/>
      <c r="Q1598" s="209"/>
      <c r="R1598" s="209"/>
      <c r="S1598" s="209"/>
      <c r="T1598" s="209"/>
      <c r="U1598" s="209"/>
      <c r="V1598" s="209"/>
      <c r="W1598" s="209"/>
      <c r="X1598" s="209"/>
      <c r="Y1598" s="209"/>
      <c r="Z1598" s="209"/>
      <c r="AA1598" s="209"/>
      <c r="AB1598" s="209"/>
      <c r="AC1598" s="209"/>
      <c r="AD1598" s="209"/>
      <c r="AE1598" s="209"/>
      <c r="AF1598" s="209"/>
      <c r="AG1598" s="209"/>
      <c r="AH1598" s="209"/>
      <c r="AI1598" s="209"/>
      <c r="AJ1598" s="209"/>
      <c r="AK1598" s="209"/>
    </row>
    <row r="1599">
      <c r="A1599" s="209"/>
      <c r="B1599" s="209"/>
      <c r="C1599" s="209"/>
      <c r="D1599" s="209"/>
      <c r="E1599" s="209"/>
      <c r="F1599" s="209"/>
      <c r="G1599" s="209"/>
      <c r="H1599" s="209"/>
      <c r="I1599" s="209"/>
      <c r="J1599" s="209"/>
      <c r="K1599" s="209"/>
      <c r="L1599" s="209"/>
      <c r="M1599" s="209"/>
      <c r="N1599" s="209"/>
      <c r="O1599" s="209"/>
      <c r="P1599" s="209"/>
      <c r="Q1599" s="209"/>
      <c r="R1599" s="209"/>
      <c r="S1599" s="209"/>
      <c r="T1599" s="209"/>
      <c r="U1599" s="209"/>
      <c r="V1599" s="209"/>
      <c r="W1599" s="209"/>
      <c r="X1599" s="209"/>
      <c r="Y1599" s="209"/>
      <c r="Z1599" s="209"/>
      <c r="AA1599" s="209"/>
      <c r="AB1599" s="209"/>
      <c r="AC1599" s="209"/>
      <c r="AD1599" s="209"/>
      <c r="AE1599" s="209"/>
      <c r="AF1599" s="209"/>
      <c r="AG1599" s="209"/>
      <c r="AH1599" s="209"/>
      <c r="AI1599" s="209"/>
      <c r="AJ1599" s="209"/>
      <c r="AK1599" s="209"/>
    </row>
    <row r="1600">
      <c r="A1600" s="209"/>
      <c r="B1600" s="209"/>
      <c r="C1600" s="209"/>
      <c r="D1600" s="209"/>
      <c r="E1600" s="209"/>
      <c r="F1600" s="209"/>
      <c r="G1600" s="209"/>
      <c r="H1600" s="209"/>
      <c r="I1600" s="209"/>
      <c r="J1600" s="209"/>
      <c r="K1600" s="209"/>
      <c r="L1600" s="209"/>
      <c r="M1600" s="209"/>
      <c r="N1600" s="209"/>
      <c r="O1600" s="209"/>
      <c r="P1600" s="209"/>
      <c r="Q1600" s="209"/>
      <c r="R1600" s="209"/>
      <c r="S1600" s="209"/>
      <c r="T1600" s="209"/>
      <c r="U1600" s="209"/>
      <c r="V1600" s="209"/>
      <c r="W1600" s="209"/>
      <c r="X1600" s="209"/>
      <c r="Y1600" s="209"/>
      <c r="Z1600" s="209"/>
      <c r="AA1600" s="209"/>
      <c r="AB1600" s="209"/>
      <c r="AC1600" s="209"/>
      <c r="AD1600" s="209"/>
      <c r="AE1600" s="209"/>
      <c r="AF1600" s="209"/>
      <c r="AG1600" s="209"/>
      <c r="AH1600" s="209"/>
      <c r="AI1600" s="209"/>
      <c r="AJ1600" s="209"/>
      <c r="AK1600" s="209"/>
    </row>
    <row r="1601">
      <c r="A1601" s="209"/>
      <c r="B1601" s="209"/>
      <c r="C1601" s="209"/>
      <c r="D1601" s="209"/>
      <c r="E1601" s="209"/>
      <c r="F1601" s="209"/>
      <c r="G1601" s="209"/>
      <c r="H1601" s="209"/>
      <c r="I1601" s="209"/>
      <c r="J1601" s="209"/>
      <c r="K1601" s="209"/>
      <c r="L1601" s="209"/>
      <c r="M1601" s="209"/>
      <c r="N1601" s="209"/>
      <c r="O1601" s="209"/>
      <c r="P1601" s="209"/>
      <c r="Q1601" s="209"/>
      <c r="R1601" s="209"/>
      <c r="S1601" s="209"/>
      <c r="T1601" s="209"/>
      <c r="U1601" s="209"/>
      <c r="V1601" s="209"/>
      <c r="W1601" s="209"/>
      <c r="X1601" s="209"/>
      <c r="Y1601" s="209"/>
      <c r="Z1601" s="209"/>
      <c r="AA1601" s="209"/>
      <c r="AB1601" s="209"/>
      <c r="AC1601" s="209"/>
      <c r="AD1601" s="209"/>
      <c r="AE1601" s="209"/>
      <c r="AF1601" s="209"/>
      <c r="AG1601" s="209"/>
      <c r="AH1601" s="209"/>
      <c r="AI1601" s="209"/>
      <c r="AJ1601" s="209"/>
      <c r="AK1601" s="209"/>
    </row>
    <row r="1602">
      <c r="A1602" s="209"/>
      <c r="B1602" s="209"/>
      <c r="C1602" s="209"/>
      <c r="D1602" s="209"/>
      <c r="E1602" s="209"/>
      <c r="F1602" s="209"/>
      <c r="G1602" s="209"/>
      <c r="H1602" s="209"/>
      <c r="I1602" s="209"/>
      <c r="J1602" s="209"/>
      <c r="K1602" s="209"/>
      <c r="L1602" s="209"/>
      <c r="M1602" s="209"/>
      <c r="N1602" s="209"/>
      <c r="O1602" s="209"/>
      <c r="P1602" s="209"/>
      <c r="Q1602" s="209"/>
      <c r="R1602" s="209"/>
      <c r="S1602" s="209"/>
      <c r="T1602" s="209"/>
      <c r="U1602" s="209"/>
      <c r="V1602" s="209"/>
      <c r="W1602" s="209"/>
      <c r="X1602" s="209"/>
      <c r="Y1602" s="209"/>
      <c r="Z1602" s="209"/>
      <c r="AA1602" s="209"/>
      <c r="AB1602" s="209"/>
      <c r="AC1602" s="209"/>
      <c r="AD1602" s="209"/>
      <c r="AE1602" s="209"/>
      <c r="AF1602" s="209"/>
      <c r="AG1602" s="209"/>
      <c r="AH1602" s="209"/>
      <c r="AI1602" s="209"/>
      <c r="AJ1602" s="209"/>
      <c r="AK1602" s="209"/>
    </row>
    <row r="1603">
      <c r="A1603" s="209"/>
      <c r="B1603" s="209"/>
      <c r="C1603" s="209"/>
      <c r="D1603" s="209"/>
      <c r="E1603" s="209"/>
      <c r="F1603" s="209"/>
      <c r="G1603" s="209"/>
      <c r="H1603" s="209"/>
      <c r="I1603" s="209"/>
      <c r="J1603" s="209"/>
      <c r="K1603" s="209"/>
      <c r="L1603" s="209"/>
      <c r="M1603" s="209"/>
      <c r="N1603" s="209"/>
      <c r="O1603" s="209"/>
      <c r="P1603" s="209"/>
      <c r="Q1603" s="209"/>
      <c r="R1603" s="209"/>
      <c r="S1603" s="209"/>
      <c r="T1603" s="209"/>
      <c r="U1603" s="209"/>
      <c r="V1603" s="209"/>
      <c r="W1603" s="209"/>
      <c r="X1603" s="209"/>
      <c r="Y1603" s="209"/>
      <c r="Z1603" s="209"/>
      <c r="AA1603" s="209"/>
      <c r="AB1603" s="209"/>
      <c r="AC1603" s="209"/>
      <c r="AD1603" s="209"/>
      <c r="AE1603" s="209"/>
      <c r="AF1603" s="209"/>
      <c r="AG1603" s="209"/>
      <c r="AH1603" s="209"/>
      <c r="AI1603" s="209"/>
      <c r="AJ1603" s="209"/>
      <c r="AK1603" s="209"/>
    </row>
    <row r="1604">
      <c r="A1604" s="209"/>
      <c r="B1604" s="209"/>
      <c r="C1604" s="209"/>
      <c r="D1604" s="209"/>
      <c r="E1604" s="209"/>
      <c r="F1604" s="209"/>
      <c r="G1604" s="209"/>
      <c r="H1604" s="209"/>
      <c r="I1604" s="209"/>
      <c r="J1604" s="209"/>
      <c r="K1604" s="209"/>
      <c r="L1604" s="209"/>
      <c r="M1604" s="209"/>
      <c r="N1604" s="209"/>
      <c r="O1604" s="209"/>
      <c r="P1604" s="209"/>
      <c r="Q1604" s="209"/>
      <c r="R1604" s="209"/>
      <c r="S1604" s="209"/>
      <c r="T1604" s="209"/>
      <c r="U1604" s="209"/>
      <c r="V1604" s="209"/>
      <c r="W1604" s="209"/>
      <c r="X1604" s="209"/>
      <c r="Y1604" s="209"/>
      <c r="Z1604" s="209"/>
      <c r="AA1604" s="209"/>
      <c r="AB1604" s="209"/>
      <c r="AC1604" s="209"/>
      <c r="AD1604" s="209"/>
      <c r="AE1604" s="209"/>
      <c r="AF1604" s="209"/>
      <c r="AG1604" s="209"/>
      <c r="AH1604" s="209"/>
      <c r="AI1604" s="209"/>
      <c r="AJ1604" s="209"/>
      <c r="AK1604" s="209"/>
    </row>
    <row r="1605">
      <c r="A1605" s="209"/>
      <c r="B1605" s="209"/>
      <c r="C1605" s="209"/>
      <c r="D1605" s="209"/>
      <c r="E1605" s="209"/>
      <c r="F1605" s="209"/>
      <c r="G1605" s="209"/>
      <c r="H1605" s="209"/>
      <c r="I1605" s="209"/>
      <c r="J1605" s="209"/>
      <c r="K1605" s="209"/>
      <c r="L1605" s="209"/>
      <c r="M1605" s="209"/>
      <c r="N1605" s="209"/>
      <c r="O1605" s="209"/>
      <c r="P1605" s="209"/>
      <c r="Q1605" s="209"/>
      <c r="R1605" s="209"/>
      <c r="S1605" s="209"/>
      <c r="T1605" s="209"/>
      <c r="U1605" s="209"/>
      <c r="V1605" s="209"/>
      <c r="W1605" s="209"/>
      <c r="X1605" s="209"/>
      <c r="Y1605" s="209"/>
      <c r="Z1605" s="209"/>
      <c r="AA1605" s="209"/>
      <c r="AB1605" s="209"/>
      <c r="AC1605" s="209"/>
      <c r="AD1605" s="209"/>
      <c r="AE1605" s="209"/>
      <c r="AF1605" s="209"/>
      <c r="AG1605" s="209"/>
      <c r="AH1605" s="209"/>
      <c r="AI1605" s="209"/>
      <c r="AJ1605" s="209"/>
      <c r="AK1605" s="209"/>
    </row>
    <row r="1606">
      <c r="A1606" s="209"/>
      <c r="B1606" s="209"/>
      <c r="C1606" s="209"/>
      <c r="D1606" s="209"/>
      <c r="E1606" s="209"/>
      <c r="F1606" s="209"/>
      <c r="G1606" s="209"/>
      <c r="H1606" s="209"/>
      <c r="I1606" s="209"/>
      <c r="J1606" s="209"/>
      <c r="K1606" s="209"/>
      <c r="L1606" s="209"/>
      <c r="M1606" s="209"/>
      <c r="N1606" s="209"/>
      <c r="O1606" s="209"/>
      <c r="P1606" s="209"/>
      <c r="Q1606" s="209"/>
      <c r="R1606" s="209"/>
      <c r="S1606" s="209"/>
      <c r="T1606" s="209"/>
      <c r="U1606" s="209"/>
      <c r="V1606" s="209"/>
      <c r="W1606" s="209"/>
      <c r="X1606" s="209"/>
      <c r="Y1606" s="209"/>
      <c r="Z1606" s="209"/>
      <c r="AA1606" s="209"/>
      <c r="AB1606" s="209"/>
      <c r="AC1606" s="209"/>
      <c r="AD1606" s="209"/>
      <c r="AE1606" s="209"/>
      <c r="AF1606" s="209"/>
      <c r="AG1606" s="209"/>
      <c r="AH1606" s="209"/>
      <c r="AI1606" s="209"/>
      <c r="AJ1606" s="209"/>
      <c r="AK1606" s="209"/>
    </row>
    <row r="1607">
      <c r="A1607" s="209"/>
      <c r="B1607" s="209"/>
      <c r="C1607" s="209"/>
      <c r="D1607" s="209"/>
      <c r="E1607" s="209"/>
      <c r="F1607" s="209"/>
      <c r="G1607" s="209"/>
      <c r="H1607" s="209"/>
      <c r="I1607" s="209"/>
      <c r="J1607" s="209"/>
      <c r="K1607" s="209"/>
      <c r="L1607" s="209"/>
      <c r="M1607" s="209"/>
      <c r="N1607" s="209"/>
      <c r="O1607" s="209"/>
      <c r="P1607" s="209"/>
      <c r="Q1607" s="209"/>
      <c r="R1607" s="209"/>
      <c r="S1607" s="209"/>
      <c r="T1607" s="209"/>
      <c r="U1607" s="209"/>
      <c r="V1607" s="209"/>
      <c r="W1607" s="209"/>
      <c r="X1607" s="209"/>
      <c r="Y1607" s="209"/>
      <c r="Z1607" s="209"/>
      <c r="AA1607" s="209"/>
      <c r="AB1607" s="209"/>
      <c r="AC1607" s="209"/>
      <c r="AD1607" s="209"/>
      <c r="AE1607" s="209"/>
      <c r="AF1607" s="209"/>
      <c r="AG1607" s="209"/>
      <c r="AH1607" s="209"/>
      <c r="AI1607" s="209"/>
      <c r="AJ1607" s="209"/>
      <c r="AK1607" s="209"/>
    </row>
    <row r="1608">
      <c r="A1608" s="209"/>
      <c r="B1608" s="209"/>
      <c r="C1608" s="209"/>
      <c r="D1608" s="209"/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209"/>
      <c r="P1608" s="209"/>
      <c r="Q1608" s="209"/>
      <c r="R1608" s="209"/>
      <c r="S1608" s="209"/>
      <c r="T1608" s="209"/>
      <c r="U1608" s="209"/>
      <c r="V1608" s="209"/>
      <c r="W1608" s="209"/>
      <c r="X1608" s="209"/>
      <c r="Y1608" s="209"/>
      <c r="Z1608" s="209"/>
      <c r="AA1608" s="209"/>
      <c r="AB1608" s="209"/>
      <c r="AC1608" s="209"/>
      <c r="AD1608" s="209"/>
      <c r="AE1608" s="209"/>
      <c r="AF1608" s="209"/>
      <c r="AG1608" s="209"/>
      <c r="AH1608" s="209"/>
      <c r="AI1608" s="209"/>
      <c r="AJ1608" s="209"/>
      <c r="AK1608" s="209"/>
    </row>
    <row r="1609">
      <c r="A1609" s="209"/>
      <c r="B1609" s="209"/>
      <c r="C1609" s="209"/>
      <c r="D1609" s="209"/>
      <c r="E1609" s="209"/>
      <c r="F1609" s="209"/>
      <c r="G1609" s="209"/>
      <c r="H1609" s="209"/>
      <c r="I1609" s="209"/>
      <c r="J1609" s="209"/>
      <c r="K1609" s="209"/>
      <c r="L1609" s="209"/>
      <c r="M1609" s="209"/>
      <c r="N1609" s="209"/>
      <c r="O1609" s="209"/>
      <c r="P1609" s="209"/>
      <c r="Q1609" s="209"/>
      <c r="R1609" s="209"/>
      <c r="S1609" s="209"/>
      <c r="T1609" s="209"/>
      <c r="U1609" s="209"/>
      <c r="V1609" s="209"/>
      <c r="W1609" s="209"/>
      <c r="X1609" s="209"/>
      <c r="Y1609" s="209"/>
      <c r="Z1609" s="209"/>
      <c r="AA1609" s="209"/>
      <c r="AB1609" s="209"/>
      <c r="AC1609" s="209"/>
      <c r="AD1609" s="209"/>
      <c r="AE1609" s="209"/>
      <c r="AF1609" s="209"/>
      <c r="AG1609" s="209"/>
      <c r="AH1609" s="209"/>
      <c r="AI1609" s="209"/>
      <c r="AJ1609" s="209"/>
      <c r="AK1609" s="209"/>
    </row>
    <row r="1610">
      <c r="A1610" s="209"/>
      <c r="B1610" s="209"/>
      <c r="C1610" s="209"/>
      <c r="D1610" s="209"/>
      <c r="E1610" s="209"/>
      <c r="F1610" s="209"/>
      <c r="G1610" s="209"/>
      <c r="H1610" s="209"/>
      <c r="I1610" s="209"/>
      <c r="J1610" s="209"/>
      <c r="K1610" s="209"/>
      <c r="L1610" s="209"/>
      <c r="M1610" s="209"/>
      <c r="N1610" s="209"/>
      <c r="O1610" s="209"/>
      <c r="P1610" s="209"/>
      <c r="Q1610" s="209"/>
      <c r="R1610" s="209"/>
      <c r="S1610" s="209"/>
      <c r="T1610" s="209"/>
      <c r="U1610" s="209"/>
      <c r="V1610" s="209"/>
      <c r="W1610" s="209"/>
      <c r="X1610" s="209"/>
      <c r="Y1610" s="209"/>
      <c r="Z1610" s="209"/>
      <c r="AA1610" s="209"/>
      <c r="AB1610" s="209"/>
      <c r="AC1610" s="209"/>
      <c r="AD1610" s="209"/>
      <c r="AE1610" s="209"/>
      <c r="AF1610" s="209"/>
      <c r="AG1610" s="209"/>
      <c r="AH1610" s="209"/>
      <c r="AI1610" s="209"/>
      <c r="AJ1610" s="209"/>
      <c r="AK1610" s="209"/>
    </row>
    <row r="1611">
      <c r="A1611" s="209"/>
      <c r="B1611" s="209"/>
      <c r="C1611" s="209"/>
      <c r="D1611" s="209"/>
      <c r="E1611" s="209"/>
      <c r="F1611" s="209"/>
      <c r="G1611" s="209"/>
      <c r="H1611" s="209"/>
      <c r="I1611" s="209"/>
      <c r="J1611" s="209"/>
      <c r="K1611" s="209"/>
      <c r="L1611" s="209"/>
      <c r="M1611" s="209"/>
      <c r="N1611" s="209"/>
      <c r="O1611" s="209"/>
      <c r="P1611" s="209"/>
      <c r="Q1611" s="209"/>
      <c r="R1611" s="209"/>
      <c r="S1611" s="209"/>
      <c r="T1611" s="209"/>
      <c r="U1611" s="209"/>
      <c r="V1611" s="209"/>
      <c r="W1611" s="209"/>
      <c r="X1611" s="209"/>
      <c r="Y1611" s="209"/>
      <c r="Z1611" s="209"/>
      <c r="AA1611" s="209"/>
      <c r="AB1611" s="209"/>
      <c r="AC1611" s="209"/>
      <c r="AD1611" s="209"/>
      <c r="AE1611" s="209"/>
      <c r="AF1611" s="209"/>
      <c r="AG1611" s="209"/>
      <c r="AH1611" s="209"/>
      <c r="AI1611" s="209"/>
      <c r="AJ1611" s="209"/>
      <c r="AK1611" s="209"/>
    </row>
    <row r="1612">
      <c r="A1612" s="209"/>
      <c r="B1612" s="209"/>
      <c r="C1612" s="209"/>
      <c r="D1612" s="209"/>
      <c r="E1612" s="209"/>
      <c r="F1612" s="209"/>
      <c r="G1612" s="209"/>
      <c r="H1612" s="209"/>
      <c r="I1612" s="209"/>
      <c r="J1612" s="209"/>
      <c r="K1612" s="209"/>
      <c r="L1612" s="209"/>
      <c r="M1612" s="209"/>
      <c r="N1612" s="209"/>
      <c r="O1612" s="209"/>
      <c r="P1612" s="209"/>
      <c r="Q1612" s="209"/>
      <c r="R1612" s="209"/>
      <c r="S1612" s="209"/>
      <c r="T1612" s="209"/>
      <c r="U1612" s="209"/>
      <c r="V1612" s="209"/>
      <c r="W1612" s="209"/>
      <c r="X1612" s="209"/>
      <c r="Y1612" s="209"/>
      <c r="Z1612" s="209"/>
      <c r="AA1612" s="209"/>
      <c r="AB1612" s="209"/>
      <c r="AC1612" s="209"/>
      <c r="AD1612" s="209"/>
      <c r="AE1612" s="209"/>
      <c r="AF1612" s="209"/>
      <c r="AG1612" s="209"/>
      <c r="AH1612" s="209"/>
      <c r="AI1612" s="209"/>
      <c r="AJ1612" s="209"/>
      <c r="AK1612" s="209"/>
    </row>
    <row r="1613">
      <c r="A1613" s="209"/>
      <c r="B1613" s="209"/>
      <c r="C1613" s="209"/>
      <c r="D1613" s="209"/>
      <c r="E1613" s="209"/>
      <c r="F1613" s="209"/>
      <c r="G1613" s="209"/>
      <c r="H1613" s="209"/>
      <c r="I1613" s="209"/>
      <c r="J1613" s="209"/>
      <c r="K1613" s="209"/>
      <c r="L1613" s="209"/>
      <c r="M1613" s="209"/>
      <c r="N1613" s="209"/>
      <c r="O1613" s="209"/>
      <c r="P1613" s="209"/>
      <c r="Q1613" s="209"/>
      <c r="R1613" s="209"/>
      <c r="S1613" s="209"/>
      <c r="T1613" s="209"/>
      <c r="U1613" s="209"/>
      <c r="V1613" s="209"/>
      <c r="W1613" s="209"/>
      <c r="X1613" s="209"/>
      <c r="Y1613" s="209"/>
      <c r="Z1613" s="209"/>
      <c r="AA1613" s="209"/>
      <c r="AB1613" s="209"/>
      <c r="AC1613" s="209"/>
      <c r="AD1613" s="209"/>
      <c r="AE1613" s="209"/>
      <c r="AF1613" s="209"/>
      <c r="AG1613" s="209"/>
      <c r="AH1613" s="209"/>
      <c r="AI1613" s="209"/>
      <c r="AJ1613" s="209"/>
      <c r="AK1613" s="209"/>
    </row>
    <row r="1614">
      <c r="A1614" s="209"/>
      <c r="B1614" s="209"/>
      <c r="C1614" s="209"/>
      <c r="D1614" s="209"/>
      <c r="E1614" s="209"/>
      <c r="F1614" s="209"/>
      <c r="G1614" s="209"/>
      <c r="H1614" s="209"/>
      <c r="I1614" s="209"/>
      <c r="J1614" s="209"/>
      <c r="K1614" s="209"/>
      <c r="L1614" s="209"/>
      <c r="M1614" s="209"/>
      <c r="N1614" s="209"/>
      <c r="O1614" s="209"/>
      <c r="P1614" s="209"/>
      <c r="Q1614" s="209"/>
      <c r="R1614" s="209"/>
      <c r="S1614" s="209"/>
      <c r="T1614" s="209"/>
      <c r="U1614" s="209"/>
      <c r="V1614" s="209"/>
      <c r="W1614" s="209"/>
      <c r="X1614" s="209"/>
      <c r="Y1614" s="209"/>
      <c r="Z1614" s="209"/>
      <c r="AA1614" s="209"/>
      <c r="AB1614" s="209"/>
      <c r="AC1614" s="209"/>
      <c r="AD1614" s="209"/>
      <c r="AE1614" s="209"/>
      <c r="AF1614" s="209"/>
      <c r="AG1614" s="209"/>
      <c r="AH1614" s="209"/>
      <c r="AI1614" s="209"/>
      <c r="AJ1614" s="209"/>
      <c r="AK1614" s="209"/>
    </row>
    <row r="1615">
      <c r="A1615" s="209"/>
      <c r="B1615" s="209"/>
      <c r="C1615" s="209"/>
      <c r="D1615" s="209"/>
      <c r="E1615" s="209"/>
      <c r="F1615" s="209"/>
      <c r="G1615" s="209"/>
      <c r="H1615" s="209"/>
      <c r="I1615" s="209"/>
      <c r="J1615" s="209"/>
      <c r="K1615" s="209"/>
      <c r="L1615" s="209"/>
      <c r="M1615" s="209"/>
      <c r="N1615" s="209"/>
      <c r="O1615" s="209"/>
      <c r="P1615" s="209"/>
      <c r="Q1615" s="209"/>
      <c r="R1615" s="209"/>
      <c r="S1615" s="209"/>
      <c r="T1615" s="209"/>
      <c r="U1615" s="209"/>
      <c r="V1615" s="209"/>
      <c r="W1615" s="209"/>
      <c r="X1615" s="209"/>
      <c r="Y1615" s="209"/>
      <c r="Z1615" s="209"/>
      <c r="AA1615" s="209"/>
      <c r="AB1615" s="209"/>
      <c r="AC1615" s="209"/>
      <c r="AD1615" s="209"/>
      <c r="AE1615" s="209"/>
      <c r="AF1615" s="209"/>
      <c r="AG1615" s="209"/>
      <c r="AH1615" s="209"/>
      <c r="AI1615" s="209"/>
      <c r="AJ1615" s="209"/>
      <c r="AK1615" s="209"/>
    </row>
    <row r="1616">
      <c r="A1616" s="209"/>
      <c r="B1616" s="209"/>
      <c r="C1616" s="209"/>
      <c r="D1616" s="209"/>
      <c r="E1616" s="209"/>
      <c r="F1616" s="209"/>
      <c r="G1616" s="209"/>
      <c r="H1616" s="209"/>
      <c r="I1616" s="209"/>
      <c r="J1616" s="209"/>
      <c r="K1616" s="209"/>
      <c r="L1616" s="209"/>
      <c r="M1616" s="209"/>
      <c r="N1616" s="209"/>
      <c r="O1616" s="209"/>
      <c r="P1616" s="209"/>
      <c r="Q1616" s="209"/>
      <c r="R1616" s="209"/>
      <c r="S1616" s="209"/>
      <c r="T1616" s="209"/>
      <c r="U1616" s="209"/>
      <c r="V1616" s="209"/>
      <c r="W1616" s="209"/>
      <c r="X1616" s="209"/>
      <c r="Y1616" s="209"/>
      <c r="Z1616" s="209"/>
      <c r="AA1616" s="209"/>
      <c r="AB1616" s="209"/>
      <c r="AC1616" s="209"/>
      <c r="AD1616" s="209"/>
      <c r="AE1616" s="209"/>
      <c r="AF1616" s="209"/>
      <c r="AG1616" s="209"/>
      <c r="AH1616" s="209"/>
      <c r="AI1616" s="209"/>
      <c r="AJ1616" s="209"/>
      <c r="AK1616" s="209"/>
    </row>
    <row r="1617">
      <c r="A1617" s="209"/>
      <c r="B1617" s="209"/>
      <c r="C1617" s="209"/>
      <c r="D1617" s="209"/>
      <c r="E1617" s="209"/>
      <c r="F1617" s="209"/>
      <c r="G1617" s="209"/>
      <c r="H1617" s="209"/>
      <c r="I1617" s="209"/>
      <c r="J1617" s="209"/>
      <c r="K1617" s="209"/>
      <c r="L1617" s="209"/>
      <c r="M1617" s="209"/>
      <c r="N1617" s="209"/>
      <c r="O1617" s="209"/>
      <c r="P1617" s="209"/>
      <c r="Q1617" s="209"/>
      <c r="R1617" s="209"/>
      <c r="S1617" s="209"/>
      <c r="T1617" s="209"/>
      <c r="U1617" s="209"/>
      <c r="V1617" s="209"/>
      <c r="W1617" s="209"/>
      <c r="X1617" s="209"/>
      <c r="Y1617" s="209"/>
      <c r="Z1617" s="209"/>
      <c r="AA1617" s="209"/>
      <c r="AB1617" s="209"/>
      <c r="AC1617" s="209"/>
      <c r="AD1617" s="209"/>
      <c r="AE1617" s="209"/>
      <c r="AF1617" s="209"/>
      <c r="AG1617" s="209"/>
      <c r="AH1617" s="209"/>
      <c r="AI1617" s="209"/>
      <c r="AJ1617" s="209"/>
      <c r="AK1617" s="209"/>
    </row>
    <row r="1618">
      <c r="A1618" s="209"/>
      <c r="B1618" s="209"/>
      <c r="C1618" s="209"/>
      <c r="D1618" s="209"/>
      <c r="E1618" s="209"/>
      <c r="F1618" s="209"/>
      <c r="G1618" s="209"/>
      <c r="H1618" s="209"/>
      <c r="I1618" s="209"/>
      <c r="J1618" s="209"/>
      <c r="K1618" s="209"/>
      <c r="L1618" s="209"/>
      <c r="M1618" s="209"/>
      <c r="N1618" s="209"/>
      <c r="O1618" s="209"/>
      <c r="P1618" s="209"/>
      <c r="Q1618" s="209"/>
      <c r="R1618" s="209"/>
      <c r="S1618" s="209"/>
      <c r="T1618" s="209"/>
      <c r="U1618" s="209"/>
      <c r="V1618" s="209"/>
      <c r="W1618" s="209"/>
      <c r="X1618" s="209"/>
      <c r="Y1618" s="209"/>
      <c r="Z1618" s="209"/>
      <c r="AA1618" s="209"/>
      <c r="AB1618" s="209"/>
      <c r="AC1618" s="209"/>
      <c r="AD1618" s="209"/>
      <c r="AE1618" s="209"/>
      <c r="AF1618" s="209"/>
      <c r="AG1618" s="209"/>
      <c r="AH1618" s="209"/>
      <c r="AI1618" s="209"/>
      <c r="AJ1618" s="209"/>
      <c r="AK1618" s="209"/>
    </row>
    <row r="1619">
      <c r="A1619" s="209"/>
      <c r="B1619" s="209"/>
      <c r="C1619" s="209"/>
      <c r="D1619" s="209"/>
      <c r="E1619" s="209"/>
      <c r="F1619" s="209"/>
      <c r="G1619" s="209"/>
      <c r="H1619" s="209"/>
      <c r="I1619" s="209"/>
      <c r="J1619" s="209"/>
      <c r="K1619" s="209"/>
      <c r="L1619" s="209"/>
      <c r="M1619" s="209"/>
      <c r="N1619" s="209"/>
      <c r="O1619" s="209"/>
      <c r="P1619" s="209"/>
      <c r="Q1619" s="209"/>
      <c r="R1619" s="209"/>
      <c r="S1619" s="209"/>
      <c r="T1619" s="209"/>
      <c r="U1619" s="209"/>
      <c r="V1619" s="209"/>
      <c r="W1619" s="209"/>
      <c r="X1619" s="209"/>
      <c r="Y1619" s="209"/>
      <c r="Z1619" s="209"/>
      <c r="AA1619" s="209"/>
      <c r="AB1619" s="209"/>
      <c r="AC1619" s="209"/>
      <c r="AD1619" s="209"/>
      <c r="AE1619" s="209"/>
      <c r="AF1619" s="209"/>
      <c r="AG1619" s="209"/>
      <c r="AH1619" s="209"/>
      <c r="AI1619" s="209"/>
      <c r="AJ1619" s="209"/>
      <c r="AK1619" s="209"/>
    </row>
    <row r="1620">
      <c r="A1620" s="209"/>
      <c r="B1620" s="209"/>
      <c r="C1620" s="209"/>
      <c r="D1620" s="209"/>
      <c r="E1620" s="209"/>
      <c r="F1620" s="209"/>
      <c r="G1620" s="209"/>
      <c r="H1620" s="209"/>
      <c r="I1620" s="209"/>
      <c r="J1620" s="209"/>
      <c r="K1620" s="209"/>
      <c r="L1620" s="209"/>
      <c r="M1620" s="209"/>
      <c r="N1620" s="209"/>
      <c r="O1620" s="209"/>
      <c r="P1620" s="209"/>
      <c r="Q1620" s="209"/>
      <c r="R1620" s="209"/>
      <c r="S1620" s="209"/>
      <c r="T1620" s="209"/>
      <c r="U1620" s="209"/>
      <c r="V1620" s="209"/>
      <c r="W1620" s="209"/>
      <c r="X1620" s="209"/>
      <c r="Y1620" s="209"/>
      <c r="Z1620" s="209"/>
      <c r="AA1620" s="209"/>
      <c r="AB1620" s="209"/>
      <c r="AC1620" s="209"/>
      <c r="AD1620" s="209"/>
      <c r="AE1620" s="209"/>
      <c r="AF1620" s="209"/>
      <c r="AG1620" s="209"/>
      <c r="AH1620" s="209"/>
      <c r="AI1620" s="209"/>
      <c r="AJ1620" s="209"/>
      <c r="AK1620" s="209"/>
    </row>
    <row r="1621">
      <c r="A1621" s="209"/>
      <c r="B1621" s="209"/>
      <c r="C1621" s="209"/>
      <c r="D1621" s="209"/>
      <c r="E1621" s="209"/>
      <c r="F1621" s="209"/>
      <c r="G1621" s="209"/>
      <c r="H1621" s="209"/>
      <c r="I1621" s="209"/>
      <c r="J1621" s="209"/>
      <c r="K1621" s="209"/>
      <c r="L1621" s="209"/>
      <c r="M1621" s="209"/>
      <c r="N1621" s="209"/>
      <c r="O1621" s="209"/>
      <c r="P1621" s="209"/>
      <c r="Q1621" s="209"/>
      <c r="R1621" s="209"/>
      <c r="S1621" s="209"/>
      <c r="T1621" s="209"/>
      <c r="U1621" s="209"/>
      <c r="V1621" s="209"/>
      <c r="W1621" s="209"/>
      <c r="X1621" s="209"/>
      <c r="Y1621" s="209"/>
      <c r="Z1621" s="209"/>
      <c r="AA1621" s="209"/>
      <c r="AB1621" s="209"/>
      <c r="AC1621" s="209"/>
      <c r="AD1621" s="209"/>
      <c r="AE1621" s="209"/>
      <c r="AF1621" s="209"/>
      <c r="AG1621" s="209"/>
      <c r="AH1621" s="209"/>
      <c r="AI1621" s="209"/>
      <c r="AJ1621" s="209"/>
      <c r="AK1621" s="209"/>
    </row>
    <row r="1622">
      <c r="A1622" s="209"/>
      <c r="B1622" s="209"/>
      <c r="C1622" s="209"/>
      <c r="D1622" s="209"/>
      <c r="E1622" s="209"/>
      <c r="F1622" s="209"/>
      <c r="G1622" s="209"/>
      <c r="H1622" s="209"/>
      <c r="I1622" s="209"/>
      <c r="J1622" s="209"/>
      <c r="K1622" s="209"/>
      <c r="L1622" s="209"/>
      <c r="M1622" s="209"/>
      <c r="N1622" s="209"/>
      <c r="O1622" s="209"/>
      <c r="P1622" s="209"/>
      <c r="Q1622" s="209"/>
      <c r="R1622" s="209"/>
      <c r="S1622" s="209"/>
      <c r="T1622" s="209"/>
      <c r="U1622" s="209"/>
      <c r="V1622" s="209"/>
      <c r="W1622" s="209"/>
      <c r="X1622" s="209"/>
      <c r="Y1622" s="209"/>
      <c r="Z1622" s="209"/>
      <c r="AA1622" s="209"/>
      <c r="AB1622" s="209"/>
      <c r="AC1622" s="209"/>
      <c r="AD1622" s="209"/>
      <c r="AE1622" s="209"/>
      <c r="AF1622" s="209"/>
      <c r="AG1622" s="209"/>
      <c r="AH1622" s="209"/>
      <c r="AI1622" s="209"/>
      <c r="AJ1622" s="209"/>
      <c r="AK1622" s="209"/>
    </row>
    <row r="1623">
      <c r="A1623" s="209"/>
      <c r="B1623" s="209"/>
      <c r="C1623" s="209"/>
      <c r="D1623" s="209"/>
      <c r="E1623" s="209"/>
      <c r="F1623" s="209"/>
      <c r="G1623" s="209"/>
      <c r="H1623" s="209"/>
      <c r="I1623" s="209"/>
      <c r="J1623" s="209"/>
      <c r="K1623" s="209"/>
      <c r="L1623" s="209"/>
      <c r="M1623" s="209"/>
      <c r="N1623" s="209"/>
      <c r="O1623" s="209"/>
      <c r="P1623" s="209"/>
      <c r="Q1623" s="209"/>
      <c r="R1623" s="209"/>
      <c r="S1623" s="209"/>
      <c r="T1623" s="209"/>
      <c r="U1623" s="209"/>
      <c r="V1623" s="209"/>
      <c r="W1623" s="209"/>
      <c r="X1623" s="209"/>
      <c r="Y1623" s="209"/>
      <c r="Z1623" s="209"/>
      <c r="AA1623" s="209"/>
      <c r="AB1623" s="209"/>
      <c r="AC1623" s="209"/>
      <c r="AD1623" s="209"/>
      <c r="AE1623" s="209"/>
      <c r="AF1623" s="209"/>
      <c r="AG1623" s="209"/>
      <c r="AH1623" s="209"/>
      <c r="AI1623" s="209"/>
      <c r="AJ1623" s="209"/>
      <c r="AK1623" s="209"/>
    </row>
    <row r="1624">
      <c r="A1624" s="209"/>
      <c r="B1624" s="209"/>
      <c r="C1624" s="209"/>
      <c r="D1624" s="209"/>
      <c r="E1624" s="209"/>
      <c r="F1624" s="209"/>
      <c r="G1624" s="209"/>
      <c r="H1624" s="209"/>
      <c r="I1624" s="209"/>
      <c r="J1624" s="209"/>
      <c r="K1624" s="209"/>
      <c r="L1624" s="209"/>
      <c r="M1624" s="209"/>
      <c r="N1624" s="209"/>
      <c r="O1624" s="209"/>
      <c r="P1624" s="209"/>
      <c r="Q1624" s="209"/>
      <c r="R1624" s="209"/>
      <c r="S1624" s="209"/>
      <c r="T1624" s="209"/>
      <c r="U1624" s="209"/>
      <c r="V1624" s="209"/>
      <c r="W1624" s="209"/>
      <c r="X1624" s="209"/>
      <c r="Y1624" s="209"/>
      <c r="Z1624" s="209"/>
      <c r="AA1624" s="209"/>
      <c r="AB1624" s="209"/>
      <c r="AC1624" s="209"/>
      <c r="AD1624" s="209"/>
      <c r="AE1624" s="209"/>
      <c r="AF1624" s="209"/>
      <c r="AG1624" s="209"/>
      <c r="AH1624" s="209"/>
      <c r="AI1624" s="209"/>
      <c r="AJ1624" s="209"/>
      <c r="AK1624" s="209"/>
    </row>
    <row r="1625">
      <c r="A1625" s="209"/>
      <c r="B1625" s="209"/>
      <c r="C1625" s="209"/>
      <c r="D1625" s="209"/>
      <c r="E1625" s="209"/>
      <c r="F1625" s="209"/>
      <c r="G1625" s="209"/>
      <c r="H1625" s="209"/>
      <c r="I1625" s="209"/>
      <c r="J1625" s="209"/>
      <c r="K1625" s="209"/>
      <c r="L1625" s="209"/>
      <c r="M1625" s="209"/>
      <c r="N1625" s="209"/>
      <c r="O1625" s="209"/>
      <c r="P1625" s="209"/>
      <c r="Q1625" s="209"/>
      <c r="R1625" s="209"/>
      <c r="S1625" s="209"/>
      <c r="T1625" s="209"/>
      <c r="U1625" s="209"/>
      <c r="V1625" s="209"/>
      <c r="W1625" s="209"/>
      <c r="X1625" s="209"/>
      <c r="Y1625" s="209"/>
      <c r="Z1625" s="209"/>
      <c r="AA1625" s="209"/>
      <c r="AB1625" s="209"/>
      <c r="AC1625" s="209"/>
      <c r="AD1625" s="209"/>
      <c r="AE1625" s="209"/>
      <c r="AF1625" s="209"/>
      <c r="AG1625" s="209"/>
      <c r="AH1625" s="209"/>
      <c r="AI1625" s="209"/>
      <c r="AJ1625" s="209"/>
      <c r="AK1625" s="209"/>
    </row>
    <row r="1626">
      <c r="A1626" s="209"/>
      <c r="B1626" s="209"/>
      <c r="C1626" s="209"/>
      <c r="D1626" s="209"/>
      <c r="E1626" s="209"/>
      <c r="F1626" s="209"/>
      <c r="G1626" s="209"/>
      <c r="H1626" s="209"/>
      <c r="I1626" s="209"/>
      <c r="J1626" s="209"/>
      <c r="K1626" s="209"/>
      <c r="L1626" s="209"/>
      <c r="M1626" s="209"/>
      <c r="N1626" s="209"/>
      <c r="O1626" s="209"/>
      <c r="P1626" s="209"/>
      <c r="Q1626" s="209"/>
      <c r="R1626" s="209"/>
      <c r="S1626" s="209"/>
      <c r="T1626" s="209"/>
      <c r="U1626" s="209"/>
      <c r="V1626" s="209"/>
      <c r="W1626" s="209"/>
      <c r="X1626" s="209"/>
      <c r="Y1626" s="209"/>
      <c r="Z1626" s="209"/>
      <c r="AA1626" s="209"/>
      <c r="AB1626" s="209"/>
      <c r="AC1626" s="209"/>
      <c r="AD1626" s="209"/>
      <c r="AE1626" s="209"/>
      <c r="AF1626" s="209"/>
      <c r="AG1626" s="209"/>
      <c r="AH1626" s="209"/>
      <c r="AI1626" s="209"/>
      <c r="AJ1626" s="209"/>
      <c r="AK1626" s="209"/>
    </row>
    <row r="1627">
      <c r="A1627" s="209"/>
      <c r="B1627" s="209"/>
      <c r="C1627" s="209"/>
      <c r="D1627" s="209"/>
      <c r="E1627" s="209"/>
      <c r="F1627" s="209"/>
      <c r="G1627" s="209"/>
      <c r="H1627" s="209"/>
      <c r="I1627" s="209"/>
      <c r="J1627" s="209"/>
      <c r="K1627" s="209"/>
      <c r="L1627" s="209"/>
      <c r="M1627" s="209"/>
      <c r="N1627" s="209"/>
      <c r="O1627" s="209"/>
      <c r="P1627" s="209"/>
      <c r="Q1627" s="209"/>
      <c r="R1627" s="209"/>
      <c r="S1627" s="209"/>
      <c r="T1627" s="209"/>
      <c r="U1627" s="209"/>
      <c r="V1627" s="209"/>
      <c r="W1627" s="209"/>
      <c r="X1627" s="209"/>
      <c r="Y1627" s="209"/>
      <c r="Z1627" s="209"/>
      <c r="AA1627" s="209"/>
      <c r="AB1627" s="209"/>
      <c r="AC1627" s="209"/>
      <c r="AD1627" s="209"/>
      <c r="AE1627" s="209"/>
      <c r="AF1627" s="209"/>
      <c r="AG1627" s="209"/>
      <c r="AH1627" s="209"/>
      <c r="AI1627" s="209"/>
      <c r="AJ1627" s="209"/>
      <c r="AK1627" s="209"/>
    </row>
    <row r="1628">
      <c r="A1628" s="209"/>
      <c r="B1628" s="209"/>
      <c r="C1628" s="209"/>
      <c r="D1628" s="209"/>
      <c r="E1628" s="209"/>
      <c r="F1628" s="209"/>
      <c r="G1628" s="209"/>
      <c r="H1628" s="209"/>
      <c r="I1628" s="209"/>
      <c r="J1628" s="209"/>
      <c r="K1628" s="209"/>
      <c r="L1628" s="209"/>
      <c r="M1628" s="209"/>
      <c r="N1628" s="209"/>
      <c r="O1628" s="209"/>
      <c r="P1628" s="209"/>
      <c r="Q1628" s="209"/>
      <c r="R1628" s="209"/>
      <c r="S1628" s="209"/>
      <c r="T1628" s="209"/>
      <c r="U1628" s="209"/>
      <c r="V1628" s="209"/>
      <c r="W1628" s="209"/>
      <c r="X1628" s="209"/>
      <c r="Y1628" s="209"/>
      <c r="Z1628" s="209"/>
      <c r="AA1628" s="209"/>
      <c r="AB1628" s="209"/>
      <c r="AC1628" s="209"/>
      <c r="AD1628" s="209"/>
      <c r="AE1628" s="209"/>
      <c r="AF1628" s="209"/>
      <c r="AG1628" s="209"/>
      <c r="AH1628" s="209"/>
      <c r="AI1628" s="209"/>
      <c r="AJ1628" s="209"/>
      <c r="AK1628" s="209"/>
    </row>
    <row r="1629">
      <c r="A1629" s="209"/>
      <c r="B1629" s="209"/>
      <c r="C1629" s="209"/>
      <c r="D1629" s="209"/>
      <c r="E1629" s="209"/>
      <c r="F1629" s="209"/>
      <c r="G1629" s="209"/>
      <c r="H1629" s="209"/>
      <c r="I1629" s="209"/>
      <c r="J1629" s="209"/>
      <c r="K1629" s="209"/>
      <c r="L1629" s="209"/>
      <c r="M1629" s="209"/>
      <c r="N1629" s="209"/>
      <c r="O1629" s="209"/>
      <c r="P1629" s="209"/>
      <c r="Q1629" s="209"/>
      <c r="R1629" s="209"/>
      <c r="S1629" s="209"/>
      <c r="T1629" s="209"/>
      <c r="U1629" s="209"/>
      <c r="V1629" s="209"/>
      <c r="W1629" s="209"/>
      <c r="X1629" s="209"/>
      <c r="Y1629" s="209"/>
      <c r="Z1629" s="209"/>
      <c r="AA1629" s="209"/>
      <c r="AB1629" s="209"/>
      <c r="AC1629" s="209"/>
      <c r="AD1629" s="209"/>
      <c r="AE1629" s="209"/>
      <c r="AF1629" s="209"/>
      <c r="AG1629" s="209"/>
      <c r="AH1629" s="209"/>
      <c r="AI1629" s="209"/>
      <c r="AJ1629" s="209"/>
      <c r="AK1629" s="209"/>
    </row>
    <row r="1630">
      <c r="A1630" s="209"/>
      <c r="B1630" s="209"/>
      <c r="C1630" s="209"/>
      <c r="D1630" s="209"/>
      <c r="E1630" s="209"/>
      <c r="F1630" s="209"/>
      <c r="G1630" s="209"/>
      <c r="H1630" s="209"/>
      <c r="I1630" s="209"/>
      <c r="J1630" s="209"/>
      <c r="K1630" s="209"/>
      <c r="L1630" s="209"/>
      <c r="M1630" s="209"/>
      <c r="N1630" s="209"/>
      <c r="O1630" s="209"/>
      <c r="P1630" s="209"/>
      <c r="Q1630" s="209"/>
      <c r="R1630" s="209"/>
      <c r="S1630" s="209"/>
      <c r="T1630" s="209"/>
      <c r="U1630" s="209"/>
      <c r="V1630" s="209"/>
      <c r="W1630" s="209"/>
      <c r="X1630" s="209"/>
      <c r="Y1630" s="209"/>
      <c r="Z1630" s="209"/>
      <c r="AA1630" s="209"/>
      <c r="AB1630" s="209"/>
      <c r="AC1630" s="209"/>
      <c r="AD1630" s="209"/>
      <c r="AE1630" s="209"/>
      <c r="AF1630" s="209"/>
      <c r="AG1630" s="209"/>
      <c r="AH1630" s="209"/>
      <c r="AI1630" s="209"/>
      <c r="AJ1630" s="209"/>
      <c r="AK1630" s="209"/>
    </row>
    <row r="1631">
      <c r="A1631" s="209"/>
      <c r="B1631" s="209"/>
      <c r="C1631" s="209"/>
      <c r="D1631" s="209"/>
      <c r="E1631" s="209"/>
      <c r="F1631" s="209"/>
      <c r="G1631" s="209"/>
      <c r="H1631" s="209"/>
      <c r="I1631" s="209"/>
      <c r="J1631" s="209"/>
      <c r="K1631" s="209"/>
      <c r="L1631" s="209"/>
      <c r="M1631" s="209"/>
      <c r="N1631" s="209"/>
      <c r="O1631" s="209"/>
      <c r="P1631" s="209"/>
      <c r="Q1631" s="209"/>
      <c r="R1631" s="209"/>
      <c r="S1631" s="209"/>
      <c r="T1631" s="209"/>
      <c r="U1631" s="209"/>
      <c r="V1631" s="209"/>
      <c r="W1631" s="209"/>
      <c r="X1631" s="209"/>
      <c r="Y1631" s="209"/>
      <c r="Z1631" s="209"/>
      <c r="AA1631" s="209"/>
      <c r="AB1631" s="209"/>
      <c r="AC1631" s="209"/>
      <c r="AD1631" s="209"/>
      <c r="AE1631" s="209"/>
      <c r="AF1631" s="209"/>
      <c r="AG1631" s="209"/>
      <c r="AH1631" s="209"/>
      <c r="AI1631" s="209"/>
      <c r="AJ1631" s="209"/>
      <c r="AK1631" s="209"/>
    </row>
    <row r="1632">
      <c r="A1632" s="209"/>
      <c r="B1632" s="209"/>
      <c r="C1632" s="209"/>
      <c r="D1632" s="209"/>
      <c r="E1632" s="209"/>
      <c r="F1632" s="209"/>
      <c r="G1632" s="209"/>
      <c r="H1632" s="209"/>
      <c r="I1632" s="209"/>
      <c r="J1632" s="209"/>
      <c r="K1632" s="209"/>
      <c r="L1632" s="209"/>
      <c r="M1632" s="209"/>
      <c r="N1632" s="209"/>
      <c r="O1632" s="209"/>
      <c r="P1632" s="209"/>
      <c r="Q1632" s="209"/>
      <c r="R1632" s="209"/>
      <c r="S1632" s="209"/>
      <c r="T1632" s="209"/>
      <c r="U1632" s="209"/>
      <c r="V1632" s="209"/>
      <c r="W1632" s="209"/>
      <c r="X1632" s="209"/>
      <c r="Y1632" s="209"/>
      <c r="Z1632" s="209"/>
      <c r="AA1632" s="209"/>
      <c r="AB1632" s="209"/>
      <c r="AC1632" s="209"/>
      <c r="AD1632" s="209"/>
      <c r="AE1632" s="209"/>
      <c r="AF1632" s="209"/>
      <c r="AG1632" s="209"/>
      <c r="AH1632" s="209"/>
      <c r="AI1632" s="209"/>
      <c r="AJ1632" s="209"/>
      <c r="AK1632" s="209"/>
    </row>
    <row r="1633">
      <c r="A1633" s="209"/>
      <c r="B1633" s="209"/>
      <c r="C1633" s="209"/>
      <c r="D1633" s="209"/>
      <c r="E1633" s="209"/>
      <c r="F1633" s="209"/>
      <c r="G1633" s="209"/>
      <c r="H1633" s="209"/>
      <c r="I1633" s="209"/>
      <c r="J1633" s="209"/>
      <c r="K1633" s="209"/>
      <c r="L1633" s="209"/>
      <c r="M1633" s="209"/>
      <c r="N1633" s="209"/>
      <c r="O1633" s="209"/>
      <c r="P1633" s="209"/>
      <c r="Q1633" s="209"/>
      <c r="R1633" s="209"/>
      <c r="S1633" s="209"/>
      <c r="T1633" s="209"/>
      <c r="U1633" s="209"/>
      <c r="V1633" s="209"/>
      <c r="W1633" s="209"/>
      <c r="X1633" s="209"/>
      <c r="Y1633" s="209"/>
      <c r="Z1633" s="209"/>
      <c r="AA1633" s="209"/>
      <c r="AB1633" s="209"/>
      <c r="AC1633" s="209"/>
      <c r="AD1633" s="209"/>
      <c r="AE1633" s="209"/>
      <c r="AF1633" s="209"/>
      <c r="AG1633" s="209"/>
      <c r="AH1633" s="209"/>
      <c r="AI1633" s="209"/>
      <c r="AJ1633" s="209"/>
      <c r="AK1633" s="209"/>
    </row>
    <row r="1634">
      <c r="A1634" s="209"/>
      <c r="B1634" s="209"/>
      <c r="C1634" s="209"/>
      <c r="D1634" s="209"/>
      <c r="E1634" s="209"/>
      <c r="F1634" s="209"/>
      <c r="G1634" s="209"/>
      <c r="H1634" s="209"/>
      <c r="I1634" s="209"/>
      <c r="J1634" s="209"/>
      <c r="K1634" s="209"/>
      <c r="L1634" s="209"/>
      <c r="M1634" s="209"/>
      <c r="N1634" s="209"/>
      <c r="O1634" s="209"/>
      <c r="P1634" s="209"/>
      <c r="Q1634" s="209"/>
      <c r="R1634" s="209"/>
      <c r="S1634" s="209"/>
      <c r="T1634" s="209"/>
      <c r="U1634" s="209"/>
      <c r="V1634" s="209"/>
      <c r="W1634" s="209"/>
      <c r="X1634" s="209"/>
      <c r="Y1634" s="209"/>
      <c r="Z1634" s="209"/>
      <c r="AA1634" s="209"/>
      <c r="AB1634" s="209"/>
      <c r="AC1634" s="209"/>
      <c r="AD1634" s="209"/>
      <c r="AE1634" s="209"/>
      <c r="AF1634" s="209"/>
      <c r="AG1634" s="209"/>
      <c r="AH1634" s="209"/>
      <c r="AI1634" s="209"/>
      <c r="AJ1634" s="209"/>
      <c r="AK1634" s="209"/>
    </row>
    <row r="1635">
      <c r="A1635" s="209"/>
      <c r="B1635" s="209"/>
      <c r="C1635" s="209"/>
      <c r="D1635" s="209"/>
      <c r="E1635" s="209"/>
      <c r="F1635" s="209"/>
      <c r="G1635" s="209"/>
      <c r="H1635" s="209"/>
      <c r="I1635" s="209"/>
      <c r="J1635" s="209"/>
      <c r="K1635" s="209"/>
      <c r="L1635" s="209"/>
      <c r="M1635" s="209"/>
      <c r="N1635" s="209"/>
      <c r="O1635" s="209"/>
      <c r="P1635" s="209"/>
      <c r="Q1635" s="209"/>
      <c r="R1635" s="209"/>
      <c r="S1635" s="209"/>
      <c r="T1635" s="209"/>
      <c r="U1635" s="209"/>
      <c r="V1635" s="209"/>
      <c r="W1635" s="209"/>
      <c r="X1635" s="209"/>
      <c r="Y1635" s="209"/>
      <c r="Z1635" s="209"/>
      <c r="AA1635" s="209"/>
      <c r="AB1635" s="209"/>
      <c r="AC1635" s="209"/>
      <c r="AD1635" s="209"/>
      <c r="AE1635" s="209"/>
      <c r="AF1635" s="209"/>
      <c r="AG1635" s="209"/>
      <c r="AH1635" s="209"/>
      <c r="AI1635" s="209"/>
      <c r="AJ1635" s="209"/>
      <c r="AK1635" s="209"/>
    </row>
    <row r="1636">
      <c r="A1636" s="209"/>
      <c r="B1636" s="209"/>
      <c r="C1636" s="209"/>
      <c r="D1636" s="209"/>
      <c r="E1636" s="209"/>
      <c r="F1636" s="209"/>
      <c r="G1636" s="209"/>
      <c r="H1636" s="209"/>
      <c r="I1636" s="209"/>
      <c r="J1636" s="209"/>
      <c r="K1636" s="209"/>
      <c r="L1636" s="209"/>
      <c r="M1636" s="209"/>
      <c r="N1636" s="209"/>
      <c r="O1636" s="209"/>
      <c r="P1636" s="209"/>
      <c r="Q1636" s="209"/>
      <c r="R1636" s="209"/>
      <c r="S1636" s="209"/>
      <c r="T1636" s="209"/>
      <c r="U1636" s="209"/>
      <c r="V1636" s="209"/>
      <c r="W1636" s="209"/>
      <c r="X1636" s="209"/>
      <c r="Y1636" s="209"/>
      <c r="Z1636" s="209"/>
      <c r="AA1636" s="209"/>
      <c r="AB1636" s="209"/>
      <c r="AC1636" s="209"/>
      <c r="AD1636" s="209"/>
      <c r="AE1636" s="209"/>
      <c r="AF1636" s="209"/>
      <c r="AG1636" s="209"/>
      <c r="AH1636" s="209"/>
      <c r="AI1636" s="209"/>
      <c r="AJ1636" s="209"/>
      <c r="AK1636" s="209"/>
    </row>
    <row r="1637">
      <c r="A1637" s="209"/>
      <c r="B1637" s="209"/>
      <c r="C1637" s="209"/>
      <c r="D1637" s="209"/>
      <c r="E1637" s="209"/>
      <c r="F1637" s="209"/>
      <c r="G1637" s="209"/>
      <c r="H1637" s="209"/>
      <c r="I1637" s="209"/>
      <c r="J1637" s="209"/>
      <c r="K1637" s="209"/>
      <c r="L1637" s="209"/>
      <c r="M1637" s="209"/>
      <c r="N1637" s="209"/>
      <c r="O1637" s="209"/>
      <c r="P1637" s="209"/>
      <c r="Q1637" s="209"/>
      <c r="R1637" s="209"/>
      <c r="S1637" s="209"/>
      <c r="T1637" s="209"/>
      <c r="U1637" s="209"/>
      <c r="V1637" s="209"/>
      <c r="W1637" s="209"/>
      <c r="X1637" s="209"/>
      <c r="Y1637" s="209"/>
      <c r="Z1637" s="209"/>
      <c r="AA1637" s="209"/>
      <c r="AB1637" s="209"/>
      <c r="AC1637" s="209"/>
      <c r="AD1637" s="209"/>
      <c r="AE1637" s="209"/>
      <c r="AF1637" s="209"/>
      <c r="AG1637" s="209"/>
      <c r="AH1637" s="209"/>
      <c r="AI1637" s="209"/>
      <c r="AJ1637" s="209"/>
      <c r="AK1637" s="209"/>
    </row>
    <row r="1638">
      <c r="A1638" s="209"/>
      <c r="B1638" s="209"/>
      <c r="C1638" s="209"/>
      <c r="D1638" s="209"/>
      <c r="E1638" s="209"/>
      <c r="F1638" s="209"/>
      <c r="G1638" s="209"/>
      <c r="H1638" s="209"/>
      <c r="I1638" s="209"/>
      <c r="J1638" s="209"/>
      <c r="K1638" s="209"/>
      <c r="L1638" s="209"/>
      <c r="M1638" s="209"/>
      <c r="N1638" s="209"/>
      <c r="O1638" s="209"/>
      <c r="P1638" s="209"/>
      <c r="Q1638" s="209"/>
      <c r="R1638" s="209"/>
      <c r="S1638" s="209"/>
      <c r="T1638" s="209"/>
      <c r="U1638" s="209"/>
      <c r="V1638" s="209"/>
      <c r="W1638" s="209"/>
      <c r="X1638" s="209"/>
      <c r="Y1638" s="209"/>
      <c r="Z1638" s="209"/>
      <c r="AA1638" s="209"/>
      <c r="AB1638" s="209"/>
      <c r="AC1638" s="209"/>
      <c r="AD1638" s="209"/>
      <c r="AE1638" s="209"/>
      <c r="AF1638" s="209"/>
      <c r="AG1638" s="209"/>
      <c r="AH1638" s="209"/>
      <c r="AI1638" s="209"/>
      <c r="AJ1638" s="209"/>
      <c r="AK1638" s="209"/>
    </row>
    <row r="1639">
      <c r="A1639" s="209"/>
      <c r="B1639" s="209"/>
      <c r="C1639" s="209"/>
      <c r="D1639" s="209"/>
      <c r="E1639" s="209"/>
      <c r="F1639" s="209"/>
      <c r="G1639" s="209"/>
      <c r="H1639" s="209"/>
      <c r="I1639" s="209"/>
      <c r="J1639" s="209"/>
      <c r="K1639" s="209"/>
      <c r="L1639" s="209"/>
      <c r="M1639" s="209"/>
      <c r="N1639" s="209"/>
      <c r="O1639" s="209"/>
      <c r="P1639" s="209"/>
      <c r="Q1639" s="209"/>
      <c r="R1639" s="209"/>
      <c r="S1639" s="209"/>
      <c r="T1639" s="209"/>
      <c r="U1639" s="209"/>
      <c r="V1639" s="209"/>
      <c r="W1639" s="209"/>
      <c r="X1639" s="209"/>
      <c r="Y1639" s="209"/>
      <c r="Z1639" s="209"/>
      <c r="AA1639" s="209"/>
      <c r="AB1639" s="209"/>
      <c r="AC1639" s="209"/>
      <c r="AD1639" s="209"/>
      <c r="AE1639" s="209"/>
      <c r="AF1639" s="209"/>
      <c r="AG1639" s="209"/>
      <c r="AH1639" s="209"/>
      <c r="AI1639" s="209"/>
      <c r="AJ1639" s="209"/>
      <c r="AK1639" s="209"/>
    </row>
    <row r="1640">
      <c r="A1640" s="209"/>
      <c r="B1640" s="209"/>
      <c r="C1640" s="209"/>
      <c r="D1640" s="209"/>
      <c r="E1640" s="209"/>
      <c r="F1640" s="209"/>
      <c r="G1640" s="209"/>
      <c r="H1640" s="209"/>
      <c r="I1640" s="209"/>
      <c r="J1640" s="209"/>
      <c r="K1640" s="209"/>
      <c r="L1640" s="209"/>
      <c r="M1640" s="209"/>
      <c r="N1640" s="209"/>
      <c r="O1640" s="209"/>
      <c r="P1640" s="209"/>
      <c r="Q1640" s="209"/>
      <c r="R1640" s="209"/>
      <c r="S1640" s="209"/>
      <c r="T1640" s="209"/>
      <c r="U1640" s="209"/>
      <c r="V1640" s="209"/>
      <c r="W1640" s="209"/>
      <c r="X1640" s="209"/>
      <c r="Y1640" s="209"/>
      <c r="Z1640" s="209"/>
      <c r="AA1640" s="209"/>
      <c r="AB1640" s="209"/>
      <c r="AC1640" s="209"/>
      <c r="AD1640" s="209"/>
      <c r="AE1640" s="209"/>
      <c r="AF1640" s="209"/>
      <c r="AG1640" s="209"/>
      <c r="AH1640" s="209"/>
      <c r="AI1640" s="209"/>
      <c r="AJ1640" s="209"/>
      <c r="AK1640" s="209"/>
    </row>
    <row r="1641">
      <c r="A1641" s="209"/>
      <c r="B1641" s="209"/>
      <c r="C1641" s="209"/>
      <c r="D1641" s="209"/>
      <c r="E1641" s="209"/>
      <c r="F1641" s="209"/>
      <c r="G1641" s="209"/>
      <c r="H1641" s="209"/>
      <c r="I1641" s="209"/>
      <c r="J1641" s="209"/>
      <c r="K1641" s="209"/>
      <c r="L1641" s="209"/>
      <c r="M1641" s="209"/>
      <c r="N1641" s="209"/>
      <c r="O1641" s="209"/>
      <c r="P1641" s="209"/>
      <c r="Q1641" s="209"/>
      <c r="R1641" s="209"/>
      <c r="S1641" s="209"/>
      <c r="T1641" s="209"/>
      <c r="U1641" s="209"/>
      <c r="V1641" s="209"/>
      <c r="W1641" s="209"/>
      <c r="X1641" s="209"/>
      <c r="Y1641" s="209"/>
      <c r="Z1641" s="209"/>
      <c r="AA1641" s="209"/>
      <c r="AB1641" s="209"/>
      <c r="AC1641" s="209"/>
      <c r="AD1641" s="209"/>
      <c r="AE1641" s="209"/>
      <c r="AF1641" s="209"/>
      <c r="AG1641" s="209"/>
      <c r="AH1641" s="209"/>
      <c r="AI1641" s="209"/>
      <c r="AJ1641" s="209"/>
      <c r="AK1641" s="209"/>
    </row>
    <row r="1642">
      <c r="A1642" s="209"/>
      <c r="B1642" s="209"/>
      <c r="C1642" s="209"/>
      <c r="D1642" s="209"/>
      <c r="E1642" s="209"/>
      <c r="F1642" s="209"/>
      <c r="G1642" s="209"/>
      <c r="H1642" s="209"/>
      <c r="I1642" s="209"/>
      <c r="J1642" s="209"/>
      <c r="K1642" s="209"/>
      <c r="L1642" s="209"/>
      <c r="M1642" s="209"/>
      <c r="N1642" s="209"/>
      <c r="O1642" s="209"/>
      <c r="P1642" s="209"/>
      <c r="Q1642" s="209"/>
      <c r="R1642" s="209"/>
      <c r="S1642" s="209"/>
      <c r="T1642" s="209"/>
      <c r="U1642" s="209"/>
      <c r="V1642" s="209"/>
      <c r="W1642" s="209"/>
      <c r="X1642" s="209"/>
      <c r="Y1642" s="209"/>
      <c r="Z1642" s="209"/>
      <c r="AA1642" s="209"/>
      <c r="AB1642" s="209"/>
      <c r="AC1642" s="209"/>
      <c r="AD1642" s="209"/>
      <c r="AE1642" s="209"/>
      <c r="AF1642" s="209"/>
      <c r="AG1642" s="209"/>
      <c r="AH1642" s="209"/>
      <c r="AI1642" s="209"/>
      <c r="AJ1642" s="209"/>
      <c r="AK1642" s="209"/>
    </row>
    <row r="1643">
      <c r="A1643" s="209"/>
      <c r="B1643" s="209"/>
      <c r="C1643" s="209"/>
      <c r="D1643" s="209"/>
      <c r="E1643" s="209"/>
      <c r="F1643" s="209"/>
      <c r="G1643" s="209"/>
      <c r="H1643" s="209"/>
      <c r="I1643" s="209"/>
      <c r="J1643" s="209"/>
      <c r="K1643" s="209"/>
      <c r="L1643" s="209"/>
      <c r="M1643" s="209"/>
      <c r="N1643" s="209"/>
      <c r="O1643" s="209"/>
      <c r="P1643" s="209"/>
      <c r="Q1643" s="209"/>
      <c r="R1643" s="209"/>
      <c r="S1643" s="209"/>
      <c r="T1643" s="209"/>
      <c r="U1643" s="209"/>
      <c r="V1643" s="209"/>
      <c r="W1643" s="209"/>
      <c r="X1643" s="209"/>
      <c r="Y1643" s="209"/>
      <c r="Z1643" s="209"/>
      <c r="AA1643" s="209"/>
      <c r="AB1643" s="209"/>
      <c r="AC1643" s="209"/>
      <c r="AD1643" s="209"/>
      <c r="AE1643" s="209"/>
      <c r="AF1643" s="209"/>
      <c r="AG1643" s="209"/>
      <c r="AH1643" s="209"/>
      <c r="AI1643" s="209"/>
      <c r="AJ1643" s="209"/>
      <c r="AK1643" s="209"/>
    </row>
    <row r="1644">
      <c r="A1644" s="209"/>
      <c r="B1644" s="209"/>
      <c r="C1644" s="209"/>
      <c r="D1644" s="209"/>
      <c r="E1644" s="209"/>
      <c r="F1644" s="209"/>
      <c r="G1644" s="209"/>
      <c r="H1644" s="209"/>
      <c r="I1644" s="209"/>
      <c r="J1644" s="209"/>
      <c r="K1644" s="209"/>
      <c r="L1644" s="209"/>
      <c r="M1644" s="209"/>
      <c r="N1644" s="209"/>
      <c r="O1644" s="209"/>
      <c r="P1644" s="209"/>
      <c r="Q1644" s="209"/>
      <c r="R1644" s="209"/>
      <c r="S1644" s="209"/>
      <c r="T1644" s="209"/>
      <c r="U1644" s="209"/>
      <c r="V1644" s="209"/>
      <c r="W1644" s="209"/>
      <c r="X1644" s="209"/>
      <c r="Y1644" s="209"/>
      <c r="Z1644" s="209"/>
      <c r="AA1644" s="209"/>
      <c r="AB1644" s="209"/>
      <c r="AC1644" s="209"/>
      <c r="AD1644" s="209"/>
      <c r="AE1644" s="209"/>
      <c r="AF1644" s="209"/>
      <c r="AG1644" s="209"/>
      <c r="AH1644" s="209"/>
      <c r="AI1644" s="209"/>
      <c r="AJ1644" s="209"/>
      <c r="AK1644" s="209"/>
    </row>
    <row r="1645">
      <c r="A1645" s="209"/>
      <c r="B1645" s="209"/>
      <c r="C1645" s="209"/>
      <c r="D1645" s="209"/>
      <c r="E1645" s="209"/>
      <c r="F1645" s="209"/>
      <c r="G1645" s="209"/>
      <c r="H1645" s="209"/>
      <c r="I1645" s="209"/>
      <c r="J1645" s="209"/>
      <c r="K1645" s="209"/>
      <c r="L1645" s="209"/>
      <c r="M1645" s="209"/>
      <c r="N1645" s="209"/>
      <c r="O1645" s="209"/>
      <c r="P1645" s="209"/>
      <c r="Q1645" s="209"/>
      <c r="R1645" s="209"/>
      <c r="S1645" s="209"/>
      <c r="T1645" s="209"/>
      <c r="U1645" s="209"/>
      <c r="V1645" s="209"/>
      <c r="W1645" s="209"/>
      <c r="X1645" s="209"/>
      <c r="Y1645" s="209"/>
      <c r="Z1645" s="209"/>
      <c r="AA1645" s="209"/>
      <c r="AB1645" s="209"/>
      <c r="AC1645" s="209"/>
      <c r="AD1645" s="209"/>
      <c r="AE1645" s="209"/>
      <c r="AF1645" s="209"/>
      <c r="AG1645" s="209"/>
      <c r="AH1645" s="209"/>
      <c r="AI1645" s="209"/>
      <c r="AJ1645" s="209"/>
      <c r="AK1645" s="209"/>
    </row>
    <row r="1646">
      <c r="A1646" s="209"/>
      <c r="B1646" s="209"/>
      <c r="C1646" s="209"/>
      <c r="D1646" s="209"/>
      <c r="E1646" s="209"/>
      <c r="F1646" s="209"/>
      <c r="G1646" s="209"/>
      <c r="H1646" s="209"/>
      <c r="I1646" s="209"/>
      <c r="J1646" s="209"/>
      <c r="K1646" s="209"/>
      <c r="L1646" s="209"/>
      <c r="M1646" s="209"/>
      <c r="N1646" s="209"/>
      <c r="O1646" s="209"/>
      <c r="P1646" s="209"/>
      <c r="Q1646" s="209"/>
      <c r="R1646" s="209"/>
      <c r="S1646" s="209"/>
      <c r="T1646" s="209"/>
      <c r="U1646" s="209"/>
      <c r="V1646" s="209"/>
      <c r="W1646" s="209"/>
      <c r="X1646" s="209"/>
      <c r="Y1646" s="209"/>
      <c r="Z1646" s="209"/>
      <c r="AA1646" s="209"/>
      <c r="AB1646" s="209"/>
      <c r="AC1646" s="209"/>
      <c r="AD1646" s="209"/>
      <c r="AE1646" s="209"/>
      <c r="AF1646" s="209"/>
      <c r="AG1646" s="209"/>
      <c r="AH1646" s="209"/>
      <c r="AI1646" s="209"/>
      <c r="AJ1646" s="209"/>
      <c r="AK1646" s="209"/>
    </row>
    <row r="1647">
      <c r="A1647" s="209"/>
      <c r="B1647" s="209"/>
      <c r="C1647" s="209"/>
      <c r="D1647" s="209"/>
      <c r="E1647" s="209"/>
      <c r="F1647" s="209"/>
      <c r="G1647" s="209"/>
      <c r="H1647" s="209"/>
      <c r="I1647" s="209"/>
      <c r="J1647" s="209"/>
      <c r="K1647" s="209"/>
      <c r="L1647" s="209"/>
      <c r="M1647" s="209"/>
      <c r="N1647" s="209"/>
      <c r="O1647" s="209"/>
      <c r="P1647" s="209"/>
      <c r="Q1647" s="209"/>
      <c r="R1647" s="209"/>
      <c r="S1647" s="209"/>
      <c r="T1647" s="209"/>
      <c r="U1647" s="209"/>
      <c r="V1647" s="209"/>
      <c r="W1647" s="209"/>
      <c r="X1647" s="209"/>
      <c r="Y1647" s="209"/>
      <c r="Z1647" s="209"/>
      <c r="AA1647" s="209"/>
      <c r="AB1647" s="209"/>
      <c r="AC1647" s="209"/>
      <c r="AD1647" s="209"/>
      <c r="AE1647" s="209"/>
      <c r="AF1647" s="209"/>
      <c r="AG1647" s="209"/>
      <c r="AH1647" s="209"/>
      <c r="AI1647" s="209"/>
      <c r="AJ1647" s="209"/>
      <c r="AK1647" s="209"/>
    </row>
    <row r="1648">
      <c r="A1648" s="209"/>
      <c r="B1648" s="209"/>
      <c r="C1648" s="209"/>
      <c r="D1648" s="209"/>
      <c r="E1648" s="209"/>
      <c r="F1648" s="209"/>
      <c r="G1648" s="209"/>
      <c r="H1648" s="209"/>
      <c r="I1648" s="209"/>
      <c r="J1648" s="209"/>
      <c r="K1648" s="209"/>
      <c r="L1648" s="209"/>
      <c r="M1648" s="209"/>
      <c r="N1648" s="209"/>
      <c r="O1648" s="209"/>
      <c r="P1648" s="209"/>
      <c r="Q1648" s="209"/>
      <c r="R1648" s="209"/>
      <c r="S1648" s="209"/>
      <c r="T1648" s="209"/>
      <c r="U1648" s="209"/>
      <c r="V1648" s="209"/>
      <c r="W1648" s="209"/>
      <c r="X1648" s="209"/>
      <c r="Y1648" s="209"/>
      <c r="Z1648" s="209"/>
      <c r="AA1648" s="209"/>
      <c r="AB1648" s="209"/>
      <c r="AC1648" s="209"/>
      <c r="AD1648" s="209"/>
      <c r="AE1648" s="209"/>
      <c r="AF1648" s="209"/>
      <c r="AG1648" s="209"/>
      <c r="AH1648" s="209"/>
      <c r="AI1648" s="209"/>
      <c r="AJ1648" s="209"/>
      <c r="AK1648" s="209"/>
    </row>
    <row r="1649">
      <c r="A1649" s="209"/>
      <c r="B1649" s="209"/>
      <c r="C1649" s="209"/>
      <c r="D1649" s="209"/>
      <c r="E1649" s="209"/>
      <c r="F1649" s="209"/>
      <c r="G1649" s="209"/>
      <c r="H1649" s="209"/>
      <c r="I1649" s="209"/>
      <c r="J1649" s="209"/>
      <c r="K1649" s="209"/>
      <c r="L1649" s="209"/>
      <c r="M1649" s="209"/>
      <c r="N1649" s="209"/>
      <c r="O1649" s="209"/>
      <c r="P1649" s="209"/>
      <c r="Q1649" s="209"/>
      <c r="R1649" s="209"/>
      <c r="S1649" s="209"/>
      <c r="T1649" s="209"/>
      <c r="U1649" s="209"/>
      <c r="V1649" s="209"/>
      <c r="W1649" s="209"/>
      <c r="X1649" s="209"/>
      <c r="Y1649" s="209"/>
      <c r="Z1649" s="209"/>
      <c r="AA1649" s="209"/>
      <c r="AB1649" s="209"/>
      <c r="AC1649" s="209"/>
      <c r="AD1649" s="209"/>
      <c r="AE1649" s="209"/>
      <c r="AF1649" s="209"/>
      <c r="AG1649" s="209"/>
      <c r="AH1649" s="209"/>
      <c r="AI1649" s="209"/>
      <c r="AJ1649" s="209"/>
      <c r="AK1649" s="209"/>
    </row>
    <row r="1650">
      <c r="A1650" s="209"/>
      <c r="B1650" s="209"/>
      <c r="C1650" s="209"/>
      <c r="D1650" s="209"/>
      <c r="E1650" s="209"/>
      <c r="F1650" s="209"/>
      <c r="G1650" s="209"/>
      <c r="H1650" s="209"/>
      <c r="I1650" s="209"/>
      <c r="J1650" s="209"/>
      <c r="K1650" s="209"/>
      <c r="L1650" s="209"/>
      <c r="M1650" s="209"/>
      <c r="N1650" s="209"/>
      <c r="O1650" s="209"/>
      <c r="P1650" s="209"/>
      <c r="Q1650" s="209"/>
      <c r="R1650" s="209"/>
      <c r="S1650" s="209"/>
      <c r="T1650" s="209"/>
      <c r="U1650" s="209"/>
      <c r="V1650" s="209"/>
      <c r="W1650" s="209"/>
      <c r="X1650" s="209"/>
      <c r="Y1650" s="209"/>
      <c r="Z1650" s="209"/>
      <c r="AA1650" s="209"/>
      <c r="AB1650" s="209"/>
      <c r="AC1650" s="209"/>
      <c r="AD1650" s="209"/>
      <c r="AE1650" s="209"/>
      <c r="AF1650" s="209"/>
      <c r="AG1650" s="209"/>
      <c r="AH1650" s="209"/>
      <c r="AI1650" s="209"/>
      <c r="AJ1650" s="209"/>
      <c r="AK1650" s="209"/>
    </row>
    <row r="1651">
      <c r="A1651" s="209"/>
      <c r="B1651" s="209"/>
      <c r="C1651" s="209"/>
      <c r="D1651" s="209"/>
      <c r="E1651" s="209"/>
      <c r="F1651" s="209"/>
      <c r="G1651" s="209"/>
      <c r="H1651" s="209"/>
      <c r="I1651" s="209"/>
      <c r="J1651" s="209"/>
      <c r="K1651" s="209"/>
      <c r="L1651" s="209"/>
      <c r="M1651" s="209"/>
      <c r="N1651" s="209"/>
      <c r="O1651" s="209"/>
      <c r="P1651" s="209"/>
      <c r="Q1651" s="209"/>
      <c r="R1651" s="209"/>
      <c r="S1651" s="209"/>
      <c r="T1651" s="209"/>
      <c r="U1651" s="209"/>
      <c r="V1651" s="209"/>
      <c r="W1651" s="209"/>
      <c r="X1651" s="209"/>
      <c r="Y1651" s="209"/>
      <c r="Z1651" s="209"/>
      <c r="AA1651" s="209"/>
      <c r="AB1651" s="209"/>
      <c r="AC1651" s="209"/>
      <c r="AD1651" s="209"/>
      <c r="AE1651" s="209"/>
      <c r="AF1651" s="209"/>
      <c r="AG1651" s="209"/>
      <c r="AH1651" s="209"/>
      <c r="AI1651" s="209"/>
      <c r="AJ1651" s="209"/>
      <c r="AK1651" s="209"/>
    </row>
    <row r="1652">
      <c r="A1652" s="209"/>
      <c r="B1652" s="209"/>
      <c r="C1652" s="209"/>
      <c r="D1652" s="209"/>
      <c r="E1652" s="209"/>
      <c r="F1652" s="209"/>
      <c r="G1652" s="209"/>
      <c r="H1652" s="209"/>
      <c r="I1652" s="209"/>
      <c r="J1652" s="209"/>
      <c r="K1652" s="209"/>
      <c r="L1652" s="209"/>
      <c r="M1652" s="209"/>
      <c r="N1652" s="209"/>
      <c r="O1652" s="209"/>
      <c r="P1652" s="209"/>
      <c r="Q1652" s="209"/>
      <c r="R1652" s="209"/>
      <c r="S1652" s="209"/>
      <c r="T1652" s="209"/>
      <c r="U1652" s="209"/>
      <c r="V1652" s="209"/>
      <c r="W1652" s="209"/>
      <c r="X1652" s="209"/>
      <c r="Y1652" s="209"/>
      <c r="Z1652" s="209"/>
      <c r="AA1652" s="209"/>
      <c r="AB1652" s="209"/>
      <c r="AC1652" s="209"/>
      <c r="AD1652" s="209"/>
      <c r="AE1652" s="209"/>
      <c r="AF1652" s="209"/>
      <c r="AG1652" s="209"/>
      <c r="AH1652" s="209"/>
      <c r="AI1652" s="209"/>
      <c r="AJ1652" s="209"/>
      <c r="AK1652" s="209"/>
    </row>
    <row r="1653">
      <c r="A1653" s="209"/>
      <c r="B1653" s="209"/>
      <c r="C1653" s="209"/>
      <c r="D1653" s="209"/>
      <c r="E1653" s="209"/>
      <c r="F1653" s="209"/>
      <c r="G1653" s="209"/>
      <c r="H1653" s="209"/>
      <c r="I1653" s="209"/>
      <c r="J1653" s="209"/>
      <c r="K1653" s="209"/>
      <c r="L1653" s="209"/>
      <c r="M1653" s="209"/>
      <c r="N1653" s="209"/>
      <c r="O1653" s="209"/>
      <c r="P1653" s="209"/>
      <c r="Q1653" s="209"/>
      <c r="R1653" s="209"/>
      <c r="S1653" s="209"/>
      <c r="T1653" s="209"/>
      <c r="U1653" s="209"/>
      <c r="V1653" s="209"/>
      <c r="W1653" s="209"/>
      <c r="X1653" s="209"/>
      <c r="Y1653" s="209"/>
      <c r="Z1653" s="209"/>
      <c r="AA1653" s="209"/>
      <c r="AB1653" s="209"/>
      <c r="AC1653" s="209"/>
      <c r="AD1653" s="209"/>
      <c r="AE1653" s="209"/>
      <c r="AF1653" s="209"/>
      <c r="AG1653" s="209"/>
      <c r="AH1653" s="209"/>
      <c r="AI1653" s="209"/>
      <c r="AJ1653" s="209"/>
      <c r="AK1653" s="209"/>
    </row>
    <row r="1654">
      <c r="A1654" s="209"/>
      <c r="B1654" s="209"/>
      <c r="C1654" s="209"/>
      <c r="D1654" s="209"/>
      <c r="E1654" s="209"/>
      <c r="F1654" s="209"/>
      <c r="G1654" s="209"/>
      <c r="H1654" s="209"/>
      <c r="I1654" s="209"/>
      <c r="J1654" s="209"/>
      <c r="K1654" s="209"/>
      <c r="L1654" s="209"/>
      <c r="M1654" s="209"/>
      <c r="N1654" s="209"/>
      <c r="O1654" s="209"/>
      <c r="P1654" s="209"/>
      <c r="Q1654" s="209"/>
      <c r="R1654" s="209"/>
      <c r="S1654" s="209"/>
      <c r="T1654" s="209"/>
      <c r="U1654" s="209"/>
      <c r="V1654" s="209"/>
      <c r="W1654" s="209"/>
      <c r="X1654" s="209"/>
      <c r="Y1654" s="209"/>
      <c r="Z1654" s="209"/>
      <c r="AA1654" s="209"/>
      <c r="AB1654" s="209"/>
      <c r="AC1654" s="209"/>
      <c r="AD1654" s="209"/>
      <c r="AE1654" s="209"/>
      <c r="AF1654" s="209"/>
      <c r="AG1654" s="209"/>
      <c r="AH1654" s="209"/>
      <c r="AI1654" s="209"/>
      <c r="AJ1654" s="209"/>
      <c r="AK1654" s="209"/>
    </row>
    <row r="1655">
      <c r="A1655" s="209"/>
      <c r="B1655" s="209"/>
      <c r="C1655" s="209"/>
      <c r="D1655" s="209"/>
      <c r="E1655" s="209"/>
      <c r="F1655" s="209"/>
      <c r="G1655" s="209"/>
      <c r="H1655" s="209"/>
      <c r="I1655" s="209"/>
      <c r="J1655" s="209"/>
      <c r="K1655" s="209"/>
      <c r="L1655" s="209"/>
      <c r="M1655" s="209"/>
      <c r="N1655" s="209"/>
      <c r="O1655" s="209"/>
      <c r="P1655" s="209"/>
      <c r="Q1655" s="209"/>
      <c r="R1655" s="209"/>
      <c r="S1655" s="209"/>
      <c r="T1655" s="209"/>
      <c r="U1655" s="209"/>
      <c r="V1655" s="209"/>
      <c r="W1655" s="209"/>
      <c r="X1655" s="209"/>
      <c r="Y1655" s="209"/>
      <c r="Z1655" s="209"/>
      <c r="AA1655" s="209"/>
      <c r="AB1655" s="209"/>
      <c r="AC1655" s="209"/>
      <c r="AD1655" s="209"/>
      <c r="AE1655" s="209"/>
      <c r="AF1655" s="209"/>
      <c r="AG1655" s="209"/>
      <c r="AH1655" s="209"/>
      <c r="AI1655" s="209"/>
      <c r="AJ1655" s="209"/>
      <c r="AK1655" s="209"/>
    </row>
    <row r="1656">
      <c r="A1656" s="209"/>
      <c r="B1656" s="209"/>
      <c r="C1656" s="209"/>
      <c r="D1656" s="209"/>
      <c r="E1656" s="209"/>
      <c r="F1656" s="209"/>
      <c r="G1656" s="209"/>
      <c r="H1656" s="209"/>
      <c r="I1656" s="209"/>
      <c r="J1656" s="209"/>
      <c r="K1656" s="209"/>
      <c r="L1656" s="209"/>
      <c r="M1656" s="209"/>
      <c r="N1656" s="209"/>
      <c r="O1656" s="209"/>
      <c r="P1656" s="209"/>
      <c r="Q1656" s="209"/>
      <c r="R1656" s="209"/>
      <c r="S1656" s="209"/>
      <c r="T1656" s="209"/>
      <c r="U1656" s="209"/>
      <c r="V1656" s="209"/>
      <c r="W1656" s="209"/>
      <c r="X1656" s="209"/>
      <c r="Y1656" s="209"/>
      <c r="Z1656" s="209"/>
      <c r="AA1656" s="209"/>
      <c r="AB1656" s="209"/>
      <c r="AC1656" s="209"/>
      <c r="AD1656" s="209"/>
      <c r="AE1656" s="209"/>
      <c r="AF1656" s="209"/>
      <c r="AG1656" s="209"/>
      <c r="AH1656" s="209"/>
      <c r="AI1656" s="209"/>
      <c r="AJ1656" s="209"/>
      <c r="AK1656" s="209"/>
    </row>
    <row r="1657">
      <c r="A1657" s="209"/>
      <c r="B1657" s="209"/>
      <c r="C1657" s="209"/>
      <c r="D1657" s="209"/>
      <c r="E1657" s="209"/>
      <c r="F1657" s="209"/>
      <c r="G1657" s="209"/>
      <c r="H1657" s="209"/>
      <c r="I1657" s="209"/>
      <c r="J1657" s="209"/>
      <c r="K1657" s="209"/>
      <c r="L1657" s="209"/>
      <c r="M1657" s="209"/>
      <c r="N1657" s="209"/>
      <c r="O1657" s="209"/>
      <c r="P1657" s="209"/>
      <c r="Q1657" s="209"/>
      <c r="R1657" s="209"/>
      <c r="S1657" s="209"/>
      <c r="T1657" s="209"/>
      <c r="U1657" s="209"/>
      <c r="V1657" s="209"/>
      <c r="W1657" s="209"/>
      <c r="X1657" s="209"/>
      <c r="Y1657" s="209"/>
      <c r="Z1657" s="209"/>
      <c r="AA1657" s="209"/>
      <c r="AB1657" s="209"/>
      <c r="AC1657" s="209"/>
      <c r="AD1657" s="209"/>
      <c r="AE1657" s="209"/>
      <c r="AF1657" s="209"/>
      <c r="AG1657" s="209"/>
      <c r="AH1657" s="209"/>
      <c r="AI1657" s="209"/>
      <c r="AJ1657" s="209"/>
      <c r="AK1657" s="209"/>
    </row>
    <row r="1658">
      <c r="A1658" s="209"/>
      <c r="B1658" s="209"/>
      <c r="C1658" s="209"/>
      <c r="D1658" s="209"/>
      <c r="E1658" s="209"/>
      <c r="F1658" s="209"/>
      <c r="G1658" s="209"/>
      <c r="H1658" s="209"/>
      <c r="I1658" s="209"/>
      <c r="J1658" s="209"/>
      <c r="K1658" s="209"/>
      <c r="L1658" s="209"/>
      <c r="M1658" s="209"/>
      <c r="N1658" s="209"/>
      <c r="O1658" s="209"/>
      <c r="P1658" s="209"/>
      <c r="Q1658" s="209"/>
      <c r="R1658" s="209"/>
      <c r="S1658" s="209"/>
      <c r="T1658" s="209"/>
      <c r="U1658" s="209"/>
      <c r="V1658" s="209"/>
      <c r="W1658" s="209"/>
      <c r="X1658" s="209"/>
      <c r="Y1658" s="209"/>
      <c r="Z1658" s="209"/>
      <c r="AA1658" s="209"/>
      <c r="AB1658" s="209"/>
      <c r="AC1658" s="209"/>
      <c r="AD1658" s="209"/>
      <c r="AE1658" s="209"/>
      <c r="AF1658" s="209"/>
      <c r="AG1658" s="209"/>
      <c r="AH1658" s="209"/>
      <c r="AI1658" s="209"/>
      <c r="AJ1658" s="209"/>
      <c r="AK1658" s="209"/>
    </row>
    <row r="1659">
      <c r="A1659" s="209"/>
      <c r="B1659" s="209"/>
      <c r="C1659" s="209"/>
      <c r="D1659" s="209"/>
      <c r="E1659" s="209"/>
      <c r="F1659" s="209"/>
      <c r="G1659" s="209"/>
      <c r="H1659" s="209"/>
      <c r="I1659" s="209"/>
      <c r="J1659" s="209"/>
      <c r="K1659" s="209"/>
      <c r="L1659" s="209"/>
      <c r="M1659" s="209"/>
      <c r="N1659" s="209"/>
      <c r="O1659" s="209"/>
      <c r="P1659" s="209"/>
      <c r="Q1659" s="209"/>
      <c r="R1659" s="209"/>
      <c r="S1659" s="209"/>
      <c r="T1659" s="209"/>
      <c r="U1659" s="209"/>
      <c r="V1659" s="209"/>
      <c r="W1659" s="209"/>
      <c r="X1659" s="209"/>
      <c r="Y1659" s="209"/>
      <c r="Z1659" s="209"/>
      <c r="AA1659" s="209"/>
      <c r="AB1659" s="209"/>
      <c r="AC1659" s="209"/>
      <c r="AD1659" s="209"/>
      <c r="AE1659" s="209"/>
      <c r="AF1659" s="209"/>
      <c r="AG1659" s="209"/>
      <c r="AH1659" s="209"/>
      <c r="AI1659" s="209"/>
      <c r="AJ1659" s="209"/>
      <c r="AK1659" s="209"/>
    </row>
    <row r="1660">
      <c r="A1660" s="209"/>
      <c r="B1660" s="209"/>
      <c r="C1660" s="209"/>
      <c r="D1660" s="209"/>
      <c r="E1660" s="209"/>
      <c r="F1660" s="209"/>
      <c r="G1660" s="209"/>
      <c r="H1660" s="209"/>
      <c r="I1660" s="209"/>
      <c r="J1660" s="209"/>
      <c r="K1660" s="209"/>
      <c r="L1660" s="209"/>
      <c r="M1660" s="209"/>
      <c r="N1660" s="209"/>
      <c r="O1660" s="209"/>
      <c r="P1660" s="209"/>
      <c r="Q1660" s="209"/>
      <c r="R1660" s="209"/>
      <c r="S1660" s="209"/>
      <c r="T1660" s="209"/>
      <c r="U1660" s="209"/>
      <c r="V1660" s="209"/>
      <c r="W1660" s="209"/>
      <c r="X1660" s="209"/>
      <c r="Y1660" s="209"/>
      <c r="Z1660" s="209"/>
      <c r="AA1660" s="209"/>
      <c r="AB1660" s="209"/>
      <c r="AC1660" s="209"/>
      <c r="AD1660" s="209"/>
      <c r="AE1660" s="209"/>
      <c r="AF1660" s="209"/>
      <c r="AG1660" s="209"/>
      <c r="AH1660" s="209"/>
      <c r="AI1660" s="209"/>
      <c r="AJ1660" s="209"/>
      <c r="AK1660" s="209"/>
    </row>
    <row r="1661">
      <c r="A1661" s="209"/>
      <c r="B1661" s="209"/>
      <c r="C1661" s="209"/>
      <c r="D1661" s="209"/>
      <c r="E1661" s="209"/>
      <c r="F1661" s="209"/>
      <c r="G1661" s="209"/>
      <c r="H1661" s="209"/>
      <c r="I1661" s="209"/>
      <c r="J1661" s="209"/>
      <c r="K1661" s="209"/>
      <c r="L1661" s="209"/>
      <c r="M1661" s="209"/>
      <c r="N1661" s="209"/>
      <c r="O1661" s="209"/>
      <c r="P1661" s="209"/>
      <c r="Q1661" s="209"/>
      <c r="R1661" s="209"/>
      <c r="S1661" s="209"/>
      <c r="T1661" s="209"/>
      <c r="U1661" s="209"/>
      <c r="V1661" s="209"/>
      <c r="W1661" s="209"/>
      <c r="X1661" s="209"/>
      <c r="Y1661" s="209"/>
      <c r="Z1661" s="209"/>
      <c r="AA1661" s="209"/>
      <c r="AB1661" s="209"/>
      <c r="AC1661" s="209"/>
      <c r="AD1661" s="209"/>
      <c r="AE1661" s="209"/>
      <c r="AF1661" s="209"/>
      <c r="AG1661" s="209"/>
      <c r="AH1661" s="209"/>
      <c r="AI1661" s="209"/>
      <c r="AJ1661" s="209"/>
      <c r="AK1661" s="209"/>
    </row>
    <row r="1662">
      <c r="A1662" s="209"/>
      <c r="B1662" s="209"/>
      <c r="C1662" s="209"/>
      <c r="D1662" s="209"/>
      <c r="E1662" s="209"/>
      <c r="F1662" s="209"/>
      <c r="G1662" s="209"/>
      <c r="H1662" s="209"/>
      <c r="I1662" s="209"/>
      <c r="J1662" s="209"/>
      <c r="K1662" s="209"/>
      <c r="L1662" s="209"/>
      <c r="M1662" s="209"/>
      <c r="N1662" s="209"/>
      <c r="O1662" s="209"/>
      <c r="P1662" s="209"/>
      <c r="Q1662" s="209"/>
      <c r="R1662" s="209"/>
      <c r="S1662" s="209"/>
      <c r="T1662" s="209"/>
      <c r="U1662" s="209"/>
      <c r="V1662" s="209"/>
      <c r="W1662" s="209"/>
      <c r="X1662" s="209"/>
      <c r="Y1662" s="209"/>
      <c r="Z1662" s="209"/>
      <c r="AA1662" s="209"/>
      <c r="AB1662" s="209"/>
      <c r="AC1662" s="209"/>
      <c r="AD1662" s="209"/>
      <c r="AE1662" s="209"/>
      <c r="AF1662" s="209"/>
      <c r="AG1662" s="209"/>
      <c r="AH1662" s="209"/>
      <c r="AI1662" s="209"/>
      <c r="AJ1662" s="209"/>
      <c r="AK1662" s="209"/>
    </row>
    <row r="1663">
      <c r="A1663" s="209"/>
      <c r="B1663" s="209"/>
      <c r="C1663" s="209"/>
      <c r="D1663" s="209"/>
      <c r="E1663" s="209"/>
      <c r="F1663" s="209"/>
      <c r="G1663" s="209"/>
      <c r="H1663" s="209"/>
      <c r="I1663" s="209"/>
      <c r="J1663" s="209"/>
      <c r="K1663" s="209"/>
      <c r="L1663" s="209"/>
      <c r="M1663" s="209"/>
      <c r="N1663" s="209"/>
      <c r="O1663" s="209"/>
      <c r="P1663" s="209"/>
      <c r="Q1663" s="209"/>
      <c r="R1663" s="209"/>
      <c r="S1663" s="209"/>
      <c r="T1663" s="209"/>
      <c r="U1663" s="209"/>
      <c r="V1663" s="209"/>
      <c r="W1663" s="209"/>
      <c r="X1663" s="209"/>
      <c r="Y1663" s="209"/>
      <c r="Z1663" s="209"/>
      <c r="AA1663" s="209"/>
      <c r="AB1663" s="209"/>
      <c r="AC1663" s="209"/>
      <c r="AD1663" s="209"/>
      <c r="AE1663" s="209"/>
      <c r="AF1663" s="209"/>
      <c r="AG1663" s="209"/>
      <c r="AH1663" s="209"/>
      <c r="AI1663" s="209"/>
      <c r="AJ1663" s="209"/>
      <c r="AK1663" s="209"/>
    </row>
    <row r="1664">
      <c r="A1664" s="209"/>
      <c r="B1664" s="209"/>
      <c r="C1664" s="209"/>
      <c r="D1664" s="209"/>
      <c r="E1664" s="209"/>
      <c r="F1664" s="209"/>
      <c r="G1664" s="209"/>
      <c r="H1664" s="209"/>
      <c r="I1664" s="209"/>
      <c r="J1664" s="209"/>
      <c r="K1664" s="209"/>
      <c r="L1664" s="209"/>
      <c r="M1664" s="209"/>
      <c r="N1664" s="209"/>
      <c r="O1664" s="209"/>
      <c r="P1664" s="209"/>
      <c r="Q1664" s="209"/>
      <c r="R1664" s="209"/>
      <c r="S1664" s="209"/>
      <c r="T1664" s="209"/>
      <c r="U1664" s="209"/>
      <c r="V1664" s="209"/>
      <c r="W1664" s="209"/>
      <c r="X1664" s="209"/>
      <c r="Y1664" s="209"/>
      <c r="Z1664" s="209"/>
      <c r="AA1664" s="209"/>
      <c r="AB1664" s="209"/>
      <c r="AC1664" s="209"/>
      <c r="AD1664" s="209"/>
      <c r="AE1664" s="209"/>
      <c r="AF1664" s="209"/>
      <c r="AG1664" s="209"/>
      <c r="AH1664" s="209"/>
      <c r="AI1664" s="209"/>
      <c r="AJ1664" s="209"/>
      <c r="AK1664" s="209"/>
    </row>
    <row r="1665">
      <c r="A1665" s="209"/>
      <c r="B1665" s="209"/>
      <c r="C1665" s="209"/>
      <c r="D1665" s="209"/>
      <c r="E1665" s="209"/>
      <c r="F1665" s="209"/>
      <c r="G1665" s="209"/>
      <c r="H1665" s="209"/>
      <c r="I1665" s="209"/>
      <c r="J1665" s="209"/>
      <c r="K1665" s="209"/>
      <c r="L1665" s="209"/>
      <c r="M1665" s="209"/>
      <c r="N1665" s="209"/>
      <c r="O1665" s="209"/>
      <c r="P1665" s="209"/>
      <c r="Q1665" s="209"/>
      <c r="R1665" s="209"/>
      <c r="S1665" s="209"/>
      <c r="T1665" s="209"/>
      <c r="U1665" s="209"/>
      <c r="V1665" s="209"/>
      <c r="W1665" s="209"/>
      <c r="X1665" s="209"/>
      <c r="Y1665" s="209"/>
      <c r="Z1665" s="209"/>
      <c r="AA1665" s="209"/>
      <c r="AB1665" s="209"/>
      <c r="AC1665" s="209"/>
      <c r="AD1665" s="209"/>
      <c r="AE1665" s="209"/>
      <c r="AF1665" s="209"/>
      <c r="AG1665" s="209"/>
      <c r="AH1665" s="209"/>
      <c r="AI1665" s="209"/>
      <c r="AJ1665" s="209"/>
      <c r="AK1665" s="209"/>
    </row>
    <row r="1666">
      <c r="A1666" s="209"/>
      <c r="B1666" s="209"/>
      <c r="C1666" s="209"/>
      <c r="D1666" s="209"/>
      <c r="E1666" s="209"/>
      <c r="F1666" s="209"/>
      <c r="G1666" s="209"/>
      <c r="H1666" s="209"/>
      <c r="I1666" s="209"/>
      <c r="J1666" s="209"/>
      <c r="K1666" s="209"/>
      <c r="L1666" s="209"/>
      <c r="M1666" s="209"/>
      <c r="N1666" s="209"/>
      <c r="O1666" s="209"/>
      <c r="P1666" s="209"/>
      <c r="Q1666" s="209"/>
      <c r="R1666" s="209"/>
      <c r="S1666" s="209"/>
      <c r="T1666" s="209"/>
      <c r="U1666" s="209"/>
      <c r="V1666" s="209"/>
      <c r="W1666" s="209"/>
      <c r="X1666" s="209"/>
      <c r="Y1666" s="209"/>
      <c r="Z1666" s="209"/>
      <c r="AA1666" s="209"/>
      <c r="AB1666" s="209"/>
      <c r="AC1666" s="209"/>
      <c r="AD1666" s="209"/>
      <c r="AE1666" s="209"/>
      <c r="AF1666" s="209"/>
      <c r="AG1666" s="209"/>
      <c r="AH1666" s="209"/>
      <c r="AI1666" s="209"/>
      <c r="AJ1666" s="209"/>
      <c r="AK1666" s="209"/>
    </row>
    <row r="1667">
      <c r="A1667" s="209"/>
      <c r="B1667" s="209"/>
      <c r="C1667" s="209"/>
      <c r="D1667" s="209"/>
      <c r="E1667" s="209"/>
      <c r="F1667" s="209"/>
      <c r="G1667" s="209"/>
      <c r="H1667" s="209"/>
      <c r="I1667" s="209"/>
      <c r="J1667" s="209"/>
      <c r="K1667" s="209"/>
      <c r="L1667" s="209"/>
      <c r="M1667" s="209"/>
      <c r="N1667" s="209"/>
      <c r="O1667" s="209"/>
      <c r="P1667" s="209"/>
      <c r="Q1667" s="209"/>
      <c r="R1667" s="209"/>
      <c r="S1667" s="209"/>
      <c r="T1667" s="209"/>
      <c r="U1667" s="209"/>
      <c r="V1667" s="209"/>
      <c r="W1667" s="209"/>
      <c r="X1667" s="209"/>
      <c r="Y1667" s="209"/>
      <c r="Z1667" s="209"/>
      <c r="AA1667" s="209"/>
      <c r="AB1667" s="209"/>
      <c r="AC1667" s="209"/>
      <c r="AD1667" s="209"/>
      <c r="AE1667" s="209"/>
      <c r="AF1667" s="209"/>
      <c r="AG1667" s="209"/>
      <c r="AH1667" s="209"/>
      <c r="AI1667" s="209"/>
      <c r="AJ1667" s="209"/>
      <c r="AK1667" s="209"/>
    </row>
    <row r="1668">
      <c r="A1668" s="209"/>
      <c r="B1668" s="209"/>
      <c r="C1668" s="209"/>
      <c r="D1668" s="209"/>
      <c r="E1668" s="209"/>
      <c r="F1668" s="209"/>
      <c r="G1668" s="209"/>
      <c r="H1668" s="209"/>
      <c r="I1668" s="209"/>
      <c r="J1668" s="209"/>
      <c r="K1668" s="209"/>
      <c r="L1668" s="209"/>
      <c r="M1668" s="209"/>
      <c r="N1668" s="209"/>
      <c r="O1668" s="209"/>
      <c r="P1668" s="209"/>
      <c r="Q1668" s="209"/>
      <c r="R1668" s="209"/>
      <c r="S1668" s="209"/>
      <c r="T1668" s="209"/>
      <c r="U1668" s="209"/>
      <c r="V1668" s="209"/>
      <c r="W1668" s="209"/>
      <c r="X1668" s="209"/>
      <c r="Y1668" s="209"/>
      <c r="Z1668" s="209"/>
      <c r="AA1668" s="209"/>
      <c r="AB1668" s="209"/>
      <c r="AC1668" s="209"/>
      <c r="AD1668" s="209"/>
      <c r="AE1668" s="209"/>
      <c r="AF1668" s="209"/>
      <c r="AG1668" s="209"/>
      <c r="AH1668" s="209"/>
      <c r="AI1668" s="209"/>
      <c r="AJ1668" s="209"/>
      <c r="AK1668" s="209"/>
    </row>
    <row r="1669">
      <c r="A1669" s="209"/>
      <c r="B1669" s="209"/>
      <c r="C1669" s="209"/>
      <c r="D1669" s="209"/>
      <c r="E1669" s="209"/>
      <c r="F1669" s="209"/>
      <c r="G1669" s="209"/>
      <c r="H1669" s="209"/>
      <c r="I1669" s="209"/>
      <c r="J1669" s="209"/>
      <c r="K1669" s="209"/>
      <c r="L1669" s="209"/>
      <c r="M1669" s="209"/>
      <c r="N1669" s="209"/>
      <c r="O1669" s="209"/>
      <c r="P1669" s="209"/>
      <c r="Q1669" s="209"/>
      <c r="R1669" s="209"/>
      <c r="S1669" s="209"/>
      <c r="T1669" s="209"/>
      <c r="U1669" s="209"/>
      <c r="V1669" s="209"/>
      <c r="W1669" s="209"/>
      <c r="X1669" s="209"/>
      <c r="Y1669" s="209"/>
      <c r="Z1669" s="209"/>
      <c r="AA1669" s="209"/>
      <c r="AB1669" s="209"/>
      <c r="AC1669" s="209"/>
      <c r="AD1669" s="209"/>
      <c r="AE1669" s="209"/>
      <c r="AF1669" s="209"/>
      <c r="AG1669" s="209"/>
      <c r="AH1669" s="209"/>
      <c r="AI1669" s="209"/>
      <c r="AJ1669" s="209"/>
      <c r="AK1669" s="209"/>
    </row>
    <row r="1670">
      <c r="A1670" s="209"/>
      <c r="B1670" s="209"/>
      <c r="C1670" s="209"/>
      <c r="D1670" s="209"/>
      <c r="E1670" s="209"/>
      <c r="F1670" s="209"/>
      <c r="G1670" s="209"/>
      <c r="H1670" s="209"/>
      <c r="I1670" s="209"/>
      <c r="J1670" s="209"/>
      <c r="K1670" s="209"/>
      <c r="L1670" s="209"/>
      <c r="M1670" s="209"/>
      <c r="N1670" s="209"/>
      <c r="O1670" s="209"/>
      <c r="P1670" s="209"/>
      <c r="Q1670" s="209"/>
      <c r="R1670" s="209"/>
      <c r="S1670" s="209"/>
      <c r="T1670" s="209"/>
      <c r="U1670" s="209"/>
      <c r="V1670" s="209"/>
      <c r="W1670" s="209"/>
      <c r="X1670" s="209"/>
      <c r="Y1670" s="209"/>
      <c r="Z1670" s="209"/>
      <c r="AA1670" s="209"/>
      <c r="AB1670" s="209"/>
      <c r="AC1670" s="209"/>
      <c r="AD1670" s="209"/>
      <c r="AE1670" s="209"/>
      <c r="AF1670" s="209"/>
      <c r="AG1670" s="209"/>
      <c r="AH1670" s="209"/>
      <c r="AI1670" s="209"/>
      <c r="AJ1670" s="209"/>
      <c r="AK1670" s="209"/>
    </row>
    <row r="1671">
      <c r="A1671" s="209"/>
      <c r="B1671" s="209"/>
      <c r="C1671" s="209"/>
      <c r="D1671" s="209"/>
      <c r="E1671" s="209"/>
      <c r="F1671" s="209"/>
      <c r="G1671" s="209"/>
      <c r="H1671" s="209"/>
      <c r="I1671" s="209"/>
      <c r="J1671" s="209"/>
      <c r="K1671" s="209"/>
      <c r="L1671" s="209"/>
      <c r="M1671" s="209"/>
      <c r="N1671" s="209"/>
      <c r="O1671" s="209"/>
      <c r="P1671" s="209"/>
      <c r="Q1671" s="209"/>
      <c r="R1671" s="209"/>
      <c r="S1671" s="209"/>
      <c r="T1671" s="209"/>
      <c r="U1671" s="209"/>
      <c r="V1671" s="209"/>
      <c r="W1671" s="209"/>
      <c r="X1671" s="209"/>
      <c r="Y1671" s="209"/>
      <c r="Z1671" s="209"/>
      <c r="AA1671" s="209"/>
      <c r="AB1671" s="209"/>
      <c r="AC1671" s="209"/>
      <c r="AD1671" s="209"/>
      <c r="AE1671" s="209"/>
      <c r="AF1671" s="209"/>
      <c r="AG1671" s="209"/>
      <c r="AH1671" s="209"/>
      <c r="AI1671" s="209"/>
      <c r="AJ1671" s="209"/>
      <c r="AK1671" s="209"/>
    </row>
    <row r="1672">
      <c r="A1672" s="209"/>
      <c r="B1672" s="209"/>
      <c r="C1672" s="209"/>
      <c r="D1672" s="209"/>
      <c r="E1672" s="209"/>
      <c r="F1672" s="209"/>
      <c r="G1672" s="209"/>
      <c r="H1672" s="209"/>
      <c r="I1672" s="209"/>
      <c r="J1672" s="209"/>
      <c r="K1672" s="209"/>
      <c r="L1672" s="209"/>
      <c r="M1672" s="209"/>
      <c r="N1672" s="209"/>
      <c r="O1672" s="209"/>
      <c r="P1672" s="209"/>
      <c r="Q1672" s="209"/>
      <c r="R1672" s="209"/>
      <c r="S1672" s="209"/>
      <c r="T1672" s="209"/>
      <c r="U1672" s="209"/>
      <c r="V1672" s="209"/>
      <c r="W1672" s="209"/>
      <c r="X1672" s="209"/>
      <c r="Y1672" s="209"/>
      <c r="Z1672" s="209"/>
      <c r="AA1672" s="209"/>
      <c r="AB1672" s="209"/>
      <c r="AC1672" s="209"/>
      <c r="AD1672" s="209"/>
      <c r="AE1672" s="209"/>
      <c r="AF1672" s="209"/>
      <c r="AG1672" s="209"/>
      <c r="AH1672" s="209"/>
      <c r="AI1672" s="209"/>
      <c r="AJ1672" s="209"/>
      <c r="AK1672" s="209"/>
    </row>
    <row r="1673">
      <c r="A1673" s="209"/>
      <c r="B1673" s="209"/>
      <c r="C1673" s="209"/>
      <c r="D1673" s="209"/>
      <c r="E1673" s="209"/>
      <c r="F1673" s="209"/>
      <c r="G1673" s="209"/>
      <c r="H1673" s="209"/>
      <c r="I1673" s="209"/>
      <c r="J1673" s="209"/>
      <c r="K1673" s="209"/>
      <c r="L1673" s="209"/>
      <c r="M1673" s="209"/>
      <c r="N1673" s="209"/>
      <c r="O1673" s="209"/>
      <c r="P1673" s="209"/>
      <c r="Q1673" s="209"/>
      <c r="R1673" s="209"/>
      <c r="S1673" s="209"/>
      <c r="T1673" s="209"/>
      <c r="U1673" s="209"/>
      <c r="V1673" s="209"/>
      <c r="W1673" s="209"/>
      <c r="X1673" s="209"/>
      <c r="Y1673" s="209"/>
      <c r="Z1673" s="209"/>
      <c r="AA1673" s="209"/>
      <c r="AB1673" s="209"/>
      <c r="AC1673" s="209"/>
      <c r="AD1673" s="209"/>
      <c r="AE1673" s="209"/>
      <c r="AF1673" s="209"/>
      <c r="AG1673" s="209"/>
      <c r="AH1673" s="209"/>
      <c r="AI1673" s="209"/>
      <c r="AJ1673" s="209"/>
      <c r="AK1673" s="209"/>
    </row>
    <row r="1674">
      <c r="A1674" s="209"/>
      <c r="B1674" s="209"/>
      <c r="C1674" s="209"/>
      <c r="D1674" s="209"/>
      <c r="E1674" s="209"/>
      <c r="F1674" s="209"/>
      <c r="G1674" s="209"/>
      <c r="H1674" s="209"/>
      <c r="I1674" s="209"/>
      <c r="J1674" s="209"/>
      <c r="K1674" s="209"/>
      <c r="L1674" s="209"/>
      <c r="M1674" s="209"/>
      <c r="N1674" s="209"/>
      <c r="O1674" s="209"/>
      <c r="P1674" s="209"/>
      <c r="Q1674" s="209"/>
      <c r="R1674" s="209"/>
      <c r="S1674" s="209"/>
      <c r="T1674" s="209"/>
      <c r="U1674" s="209"/>
      <c r="V1674" s="209"/>
      <c r="W1674" s="209"/>
      <c r="X1674" s="209"/>
      <c r="Y1674" s="209"/>
      <c r="Z1674" s="209"/>
      <c r="AA1674" s="209"/>
      <c r="AB1674" s="209"/>
      <c r="AC1674" s="209"/>
      <c r="AD1674" s="209"/>
      <c r="AE1674" s="209"/>
      <c r="AF1674" s="209"/>
      <c r="AG1674" s="209"/>
      <c r="AH1674" s="209"/>
      <c r="AI1674" s="209"/>
      <c r="AJ1674" s="209"/>
      <c r="AK1674" s="209"/>
    </row>
    <row r="1675">
      <c r="A1675" s="209"/>
      <c r="B1675" s="209"/>
      <c r="C1675" s="209"/>
      <c r="D1675" s="209"/>
      <c r="E1675" s="209"/>
      <c r="F1675" s="209"/>
      <c r="G1675" s="209"/>
      <c r="H1675" s="209"/>
      <c r="I1675" s="209"/>
      <c r="J1675" s="209"/>
      <c r="K1675" s="209"/>
      <c r="L1675" s="209"/>
      <c r="M1675" s="209"/>
      <c r="N1675" s="209"/>
      <c r="O1675" s="209"/>
      <c r="P1675" s="209"/>
      <c r="Q1675" s="209"/>
      <c r="R1675" s="209"/>
      <c r="S1675" s="209"/>
      <c r="T1675" s="209"/>
      <c r="U1675" s="209"/>
      <c r="V1675" s="209"/>
      <c r="W1675" s="209"/>
      <c r="X1675" s="209"/>
      <c r="Y1675" s="209"/>
      <c r="Z1675" s="209"/>
      <c r="AA1675" s="209"/>
      <c r="AB1675" s="209"/>
      <c r="AC1675" s="209"/>
      <c r="AD1675" s="209"/>
      <c r="AE1675" s="209"/>
      <c r="AF1675" s="209"/>
      <c r="AG1675" s="209"/>
      <c r="AH1675" s="209"/>
      <c r="AI1675" s="209"/>
      <c r="AJ1675" s="209"/>
      <c r="AK1675" s="209"/>
    </row>
    <row r="1676">
      <c r="A1676" s="209"/>
      <c r="B1676" s="209"/>
      <c r="C1676" s="209"/>
      <c r="D1676" s="209"/>
      <c r="E1676" s="209"/>
      <c r="F1676" s="209"/>
      <c r="G1676" s="209"/>
      <c r="H1676" s="209"/>
      <c r="I1676" s="209"/>
      <c r="J1676" s="209"/>
      <c r="K1676" s="209"/>
      <c r="L1676" s="209"/>
      <c r="M1676" s="209"/>
      <c r="N1676" s="209"/>
      <c r="O1676" s="209"/>
      <c r="P1676" s="209"/>
      <c r="Q1676" s="209"/>
      <c r="R1676" s="209"/>
      <c r="S1676" s="209"/>
      <c r="T1676" s="209"/>
      <c r="U1676" s="209"/>
      <c r="V1676" s="209"/>
      <c r="W1676" s="209"/>
      <c r="X1676" s="209"/>
      <c r="Y1676" s="209"/>
      <c r="Z1676" s="209"/>
      <c r="AA1676" s="209"/>
      <c r="AB1676" s="209"/>
      <c r="AC1676" s="209"/>
      <c r="AD1676" s="209"/>
      <c r="AE1676" s="209"/>
      <c r="AF1676" s="209"/>
      <c r="AG1676" s="209"/>
      <c r="AH1676" s="209"/>
      <c r="AI1676" s="209"/>
      <c r="AJ1676" s="209"/>
      <c r="AK1676" s="209"/>
    </row>
    <row r="1677">
      <c r="A1677" s="209"/>
      <c r="B1677" s="209"/>
      <c r="C1677" s="209"/>
      <c r="D1677" s="209"/>
      <c r="E1677" s="209"/>
      <c r="F1677" s="209"/>
      <c r="G1677" s="209"/>
      <c r="H1677" s="209"/>
      <c r="I1677" s="209"/>
      <c r="J1677" s="209"/>
      <c r="K1677" s="209"/>
      <c r="L1677" s="209"/>
      <c r="M1677" s="209"/>
      <c r="N1677" s="209"/>
      <c r="O1677" s="209"/>
      <c r="P1677" s="209"/>
      <c r="Q1677" s="209"/>
      <c r="R1677" s="209"/>
      <c r="S1677" s="209"/>
      <c r="T1677" s="209"/>
      <c r="U1677" s="209"/>
      <c r="V1677" s="209"/>
      <c r="W1677" s="209"/>
      <c r="X1677" s="209"/>
      <c r="Y1677" s="209"/>
      <c r="Z1677" s="209"/>
      <c r="AA1677" s="209"/>
      <c r="AB1677" s="209"/>
      <c r="AC1677" s="209"/>
      <c r="AD1677" s="209"/>
      <c r="AE1677" s="209"/>
      <c r="AF1677" s="209"/>
      <c r="AG1677" s="209"/>
      <c r="AH1677" s="209"/>
      <c r="AI1677" s="209"/>
      <c r="AJ1677" s="209"/>
      <c r="AK1677" s="209"/>
    </row>
    <row r="1678">
      <c r="A1678" s="209"/>
      <c r="B1678" s="209"/>
      <c r="C1678" s="209"/>
      <c r="D1678" s="209"/>
      <c r="E1678" s="209"/>
      <c r="F1678" s="209"/>
      <c r="G1678" s="209"/>
      <c r="H1678" s="209"/>
      <c r="I1678" s="209"/>
      <c r="J1678" s="209"/>
      <c r="K1678" s="209"/>
      <c r="L1678" s="209"/>
      <c r="M1678" s="209"/>
      <c r="N1678" s="209"/>
      <c r="O1678" s="209"/>
      <c r="P1678" s="209"/>
      <c r="Q1678" s="209"/>
      <c r="R1678" s="209"/>
      <c r="S1678" s="209"/>
      <c r="T1678" s="209"/>
      <c r="U1678" s="209"/>
      <c r="V1678" s="209"/>
      <c r="W1678" s="209"/>
      <c r="X1678" s="209"/>
      <c r="Y1678" s="209"/>
      <c r="Z1678" s="209"/>
      <c r="AA1678" s="209"/>
      <c r="AB1678" s="209"/>
      <c r="AC1678" s="209"/>
      <c r="AD1678" s="209"/>
      <c r="AE1678" s="209"/>
      <c r="AF1678" s="209"/>
      <c r="AG1678" s="209"/>
      <c r="AH1678" s="209"/>
      <c r="AI1678" s="209"/>
      <c r="AJ1678" s="209"/>
      <c r="AK1678" s="209"/>
    </row>
    <row r="1679">
      <c r="A1679" s="209"/>
      <c r="B1679" s="209"/>
      <c r="C1679" s="209"/>
      <c r="D1679" s="209"/>
      <c r="E1679" s="209"/>
      <c r="F1679" s="209"/>
      <c r="G1679" s="209"/>
      <c r="H1679" s="209"/>
      <c r="I1679" s="209"/>
      <c r="J1679" s="209"/>
      <c r="K1679" s="209"/>
      <c r="L1679" s="209"/>
      <c r="M1679" s="209"/>
      <c r="N1679" s="209"/>
      <c r="O1679" s="209"/>
      <c r="P1679" s="209"/>
      <c r="Q1679" s="209"/>
      <c r="R1679" s="209"/>
      <c r="S1679" s="209"/>
      <c r="T1679" s="209"/>
      <c r="U1679" s="209"/>
      <c r="V1679" s="209"/>
      <c r="W1679" s="209"/>
      <c r="X1679" s="209"/>
      <c r="Y1679" s="209"/>
      <c r="Z1679" s="209"/>
      <c r="AA1679" s="209"/>
      <c r="AB1679" s="209"/>
      <c r="AC1679" s="209"/>
      <c r="AD1679" s="209"/>
      <c r="AE1679" s="209"/>
      <c r="AF1679" s="209"/>
      <c r="AG1679" s="209"/>
      <c r="AH1679" s="209"/>
      <c r="AI1679" s="209"/>
      <c r="AJ1679" s="209"/>
      <c r="AK1679" s="209"/>
    </row>
    <row r="1680">
      <c r="A1680" s="209"/>
      <c r="B1680" s="209"/>
      <c r="C1680" s="209"/>
      <c r="D1680" s="209"/>
      <c r="E1680" s="209"/>
      <c r="F1680" s="209"/>
      <c r="G1680" s="209"/>
      <c r="H1680" s="209"/>
      <c r="I1680" s="209"/>
      <c r="J1680" s="209"/>
      <c r="K1680" s="209"/>
      <c r="L1680" s="209"/>
      <c r="M1680" s="209"/>
      <c r="N1680" s="209"/>
      <c r="O1680" s="209"/>
      <c r="P1680" s="209"/>
      <c r="Q1680" s="209"/>
      <c r="R1680" s="209"/>
      <c r="S1680" s="209"/>
      <c r="T1680" s="209"/>
      <c r="U1680" s="209"/>
      <c r="V1680" s="209"/>
      <c r="W1680" s="209"/>
      <c r="X1680" s="209"/>
      <c r="Y1680" s="209"/>
      <c r="Z1680" s="209"/>
      <c r="AA1680" s="209"/>
      <c r="AB1680" s="209"/>
      <c r="AC1680" s="209"/>
      <c r="AD1680" s="209"/>
      <c r="AE1680" s="209"/>
      <c r="AF1680" s="209"/>
      <c r="AG1680" s="209"/>
      <c r="AH1680" s="209"/>
      <c r="AI1680" s="209"/>
      <c r="AJ1680" s="209"/>
      <c r="AK1680" s="209"/>
    </row>
    <row r="1681">
      <c r="A1681" s="209"/>
      <c r="B1681" s="209"/>
      <c r="C1681" s="209"/>
      <c r="D1681" s="209"/>
      <c r="E1681" s="209"/>
      <c r="F1681" s="209"/>
      <c r="G1681" s="209"/>
      <c r="H1681" s="209"/>
      <c r="I1681" s="209"/>
      <c r="J1681" s="209"/>
      <c r="K1681" s="209"/>
      <c r="L1681" s="209"/>
      <c r="M1681" s="209"/>
      <c r="N1681" s="209"/>
      <c r="O1681" s="209"/>
      <c r="P1681" s="209"/>
      <c r="Q1681" s="209"/>
      <c r="R1681" s="209"/>
      <c r="S1681" s="209"/>
      <c r="T1681" s="209"/>
      <c r="U1681" s="209"/>
      <c r="V1681" s="209"/>
      <c r="W1681" s="209"/>
      <c r="X1681" s="209"/>
      <c r="Y1681" s="209"/>
      <c r="Z1681" s="209"/>
      <c r="AA1681" s="209"/>
      <c r="AB1681" s="209"/>
      <c r="AC1681" s="209"/>
      <c r="AD1681" s="209"/>
      <c r="AE1681" s="209"/>
      <c r="AF1681" s="209"/>
      <c r="AG1681" s="209"/>
      <c r="AH1681" s="209"/>
      <c r="AI1681" s="209"/>
      <c r="AJ1681" s="209"/>
      <c r="AK1681" s="209"/>
    </row>
    <row r="1682">
      <c r="A1682" s="209"/>
      <c r="B1682" s="209"/>
      <c r="C1682" s="209"/>
      <c r="D1682" s="209"/>
      <c r="E1682" s="209"/>
      <c r="F1682" s="209"/>
      <c r="G1682" s="209"/>
      <c r="H1682" s="209"/>
      <c r="I1682" s="209"/>
      <c r="J1682" s="209"/>
      <c r="K1682" s="209"/>
      <c r="L1682" s="209"/>
      <c r="M1682" s="209"/>
      <c r="N1682" s="209"/>
      <c r="O1682" s="209"/>
      <c r="P1682" s="209"/>
      <c r="Q1682" s="209"/>
      <c r="R1682" s="209"/>
      <c r="S1682" s="209"/>
      <c r="T1682" s="209"/>
      <c r="U1682" s="209"/>
      <c r="V1682" s="209"/>
      <c r="W1682" s="209"/>
      <c r="X1682" s="209"/>
      <c r="Y1682" s="209"/>
      <c r="Z1682" s="209"/>
      <c r="AA1682" s="209"/>
      <c r="AB1682" s="209"/>
      <c r="AC1682" s="209"/>
      <c r="AD1682" s="209"/>
      <c r="AE1682" s="209"/>
      <c r="AF1682" s="209"/>
      <c r="AG1682" s="209"/>
      <c r="AH1682" s="209"/>
      <c r="AI1682" s="209"/>
      <c r="AJ1682" s="209"/>
      <c r="AK1682" s="209"/>
    </row>
    <row r="1683">
      <c r="A1683" s="209"/>
      <c r="B1683" s="209"/>
      <c r="C1683" s="209"/>
      <c r="D1683" s="209"/>
      <c r="E1683" s="209"/>
      <c r="F1683" s="209"/>
      <c r="G1683" s="209"/>
      <c r="H1683" s="209"/>
      <c r="I1683" s="209"/>
      <c r="J1683" s="209"/>
      <c r="K1683" s="209"/>
      <c r="L1683" s="209"/>
      <c r="M1683" s="209"/>
      <c r="N1683" s="209"/>
      <c r="O1683" s="209"/>
      <c r="P1683" s="209"/>
      <c r="Q1683" s="209"/>
      <c r="R1683" s="209"/>
      <c r="S1683" s="209"/>
      <c r="T1683" s="209"/>
      <c r="U1683" s="209"/>
      <c r="V1683" s="209"/>
      <c r="W1683" s="209"/>
      <c r="X1683" s="209"/>
      <c r="Y1683" s="209"/>
      <c r="Z1683" s="209"/>
      <c r="AA1683" s="209"/>
      <c r="AB1683" s="209"/>
      <c r="AC1683" s="209"/>
      <c r="AD1683" s="209"/>
      <c r="AE1683" s="209"/>
      <c r="AF1683" s="209"/>
      <c r="AG1683" s="209"/>
      <c r="AH1683" s="209"/>
      <c r="AI1683" s="209"/>
      <c r="AJ1683" s="209"/>
      <c r="AK1683" s="209"/>
    </row>
    <row r="1684">
      <c r="A1684" s="209"/>
      <c r="B1684" s="209"/>
      <c r="C1684" s="209"/>
      <c r="D1684" s="209"/>
      <c r="E1684" s="209"/>
      <c r="F1684" s="209"/>
      <c r="G1684" s="209"/>
      <c r="H1684" s="209"/>
      <c r="I1684" s="209"/>
      <c r="J1684" s="209"/>
      <c r="K1684" s="209"/>
      <c r="L1684" s="209"/>
      <c r="M1684" s="209"/>
      <c r="N1684" s="209"/>
      <c r="O1684" s="209"/>
      <c r="P1684" s="209"/>
      <c r="Q1684" s="209"/>
      <c r="R1684" s="209"/>
      <c r="S1684" s="209"/>
      <c r="T1684" s="209"/>
      <c r="U1684" s="209"/>
      <c r="V1684" s="209"/>
      <c r="W1684" s="209"/>
      <c r="X1684" s="209"/>
      <c r="Y1684" s="209"/>
      <c r="Z1684" s="209"/>
      <c r="AA1684" s="209"/>
      <c r="AB1684" s="209"/>
      <c r="AC1684" s="209"/>
      <c r="AD1684" s="209"/>
      <c r="AE1684" s="209"/>
      <c r="AF1684" s="209"/>
      <c r="AG1684" s="209"/>
      <c r="AH1684" s="209"/>
      <c r="AI1684" s="209"/>
      <c r="AJ1684" s="209"/>
      <c r="AK1684" s="209"/>
    </row>
    <row r="1685">
      <c r="A1685" s="209"/>
      <c r="B1685" s="209"/>
      <c r="C1685" s="209"/>
      <c r="D1685" s="209"/>
      <c r="E1685" s="209"/>
      <c r="F1685" s="209"/>
      <c r="G1685" s="209"/>
      <c r="H1685" s="209"/>
      <c r="I1685" s="209"/>
      <c r="J1685" s="209"/>
      <c r="K1685" s="209"/>
      <c r="L1685" s="209"/>
      <c r="M1685" s="209"/>
      <c r="N1685" s="209"/>
      <c r="O1685" s="209"/>
      <c r="P1685" s="209"/>
      <c r="Q1685" s="209"/>
      <c r="R1685" s="209"/>
      <c r="S1685" s="209"/>
      <c r="T1685" s="209"/>
      <c r="U1685" s="209"/>
      <c r="V1685" s="209"/>
      <c r="W1685" s="209"/>
      <c r="X1685" s="209"/>
      <c r="Y1685" s="209"/>
      <c r="Z1685" s="209"/>
      <c r="AA1685" s="209"/>
      <c r="AB1685" s="209"/>
      <c r="AC1685" s="209"/>
      <c r="AD1685" s="209"/>
      <c r="AE1685" s="209"/>
      <c r="AF1685" s="209"/>
      <c r="AG1685" s="209"/>
      <c r="AH1685" s="209"/>
      <c r="AI1685" s="209"/>
      <c r="AJ1685" s="209"/>
      <c r="AK1685" s="209"/>
    </row>
    <row r="1686">
      <c r="A1686" s="209"/>
      <c r="B1686" s="209"/>
      <c r="C1686" s="209"/>
      <c r="D1686" s="209"/>
      <c r="E1686" s="209"/>
      <c r="F1686" s="209"/>
      <c r="G1686" s="209"/>
      <c r="H1686" s="209"/>
      <c r="I1686" s="209"/>
      <c r="J1686" s="209"/>
      <c r="K1686" s="209"/>
      <c r="L1686" s="209"/>
      <c r="M1686" s="209"/>
      <c r="N1686" s="209"/>
      <c r="O1686" s="209"/>
      <c r="P1686" s="209"/>
      <c r="Q1686" s="209"/>
      <c r="R1686" s="209"/>
      <c r="S1686" s="209"/>
      <c r="T1686" s="209"/>
      <c r="U1686" s="209"/>
      <c r="V1686" s="209"/>
      <c r="W1686" s="209"/>
      <c r="X1686" s="209"/>
      <c r="Y1686" s="209"/>
      <c r="Z1686" s="209"/>
      <c r="AA1686" s="209"/>
      <c r="AB1686" s="209"/>
      <c r="AC1686" s="209"/>
      <c r="AD1686" s="209"/>
      <c r="AE1686" s="209"/>
      <c r="AF1686" s="209"/>
      <c r="AG1686" s="209"/>
      <c r="AH1686" s="209"/>
      <c r="AI1686" s="209"/>
      <c r="AJ1686" s="209"/>
      <c r="AK1686" s="209"/>
    </row>
    <row r="1687">
      <c r="A1687" s="209"/>
      <c r="B1687" s="209"/>
      <c r="C1687" s="209"/>
      <c r="D1687" s="209"/>
      <c r="E1687" s="209"/>
      <c r="F1687" s="209"/>
      <c r="G1687" s="209"/>
      <c r="H1687" s="209"/>
      <c r="I1687" s="209"/>
      <c r="J1687" s="209"/>
      <c r="K1687" s="209"/>
      <c r="L1687" s="209"/>
      <c r="M1687" s="209"/>
      <c r="N1687" s="209"/>
      <c r="O1687" s="209"/>
      <c r="P1687" s="209"/>
      <c r="Q1687" s="209"/>
      <c r="R1687" s="209"/>
      <c r="S1687" s="209"/>
      <c r="T1687" s="209"/>
      <c r="U1687" s="209"/>
      <c r="V1687" s="209"/>
      <c r="W1687" s="209"/>
      <c r="X1687" s="209"/>
      <c r="Y1687" s="209"/>
      <c r="Z1687" s="209"/>
      <c r="AA1687" s="209"/>
      <c r="AB1687" s="209"/>
      <c r="AC1687" s="209"/>
      <c r="AD1687" s="209"/>
      <c r="AE1687" s="209"/>
      <c r="AF1687" s="209"/>
      <c r="AG1687" s="209"/>
      <c r="AH1687" s="209"/>
      <c r="AI1687" s="209"/>
      <c r="AJ1687" s="209"/>
      <c r="AK1687" s="209"/>
    </row>
    <row r="1688">
      <c r="A1688" s="209"/>
      <c r="B1688" s="209"/>
      <c r="C1688" s="209"/>
      <c r="D1688" s="209"/>
      <c r="E1688" s="209"/>
      <c r="F1688" s="209"/>
      <c r="G1688" s="209"/>
      <c r="H1688" s="209"/>
      <c r="I1688" s="209"/>
      <c r="J1688" s="209"/>
      <c r="K1688" s="209"/>
      <c r="L1688" s="209"/>
      <c r="M1688" s="209"/>
      <c r="N1688" s="209"/>
      <c r="O1688" s="209"/>
      <c r="P1688" s="209"/>
      <c r="Q1688" s="209"/>
      <c r="R1688" s="209"/>
      <c r="S1688" s="209"/>
      <c r="T1688" s="209"/>
      <c r="U1688" s="209"/>
      <c r="V1688" s="209"/>
      <c r="W1688" s="209"/>
      <c r="X1688" s="209"/>
      <c r="Y1688" s="209"/>
      <c r="Z1688" s="209"/>
      <c r="AA1688" s="209"/>
      <c r="AB1688" s="209"/>
      <c r="AC1688" s="209"/>
      <c r="AD1688" s="209"/>
      <c r="AE1688" s="209"/>
      <c r="AF1688" s="209"/>
      <c r="AG1688" s="209"/>
      <c r="AH1688" s="209"/>
      <c r="AI1688" s="209"/>
      <c r="AJ1688" s="209"/>
      <c r="AK1688" s="209"/>
    </row>
    <row r="1689">
      <c r="A1689" s="209"/>
      <c r="B1689" s="209"/>
      <c r="C1689" s="209"/>
      <c r="D1689" s="209"/>
      <c r="E1689" s="209"/>
      <c r="F1689" s="209"/>
      <c r="G1689" s="209"/>
      <c r="H1689" s="209"/>
      <c r="I1689" s="209"/>
      <c r="J1689" s="209"/>
      <c r="K1689" s="209"/>
      <c r="L1689" s="209"/>
      <c r="M1689" s="209"/>
      <c r="N1689" s="209"/>
      <c r="O1689" s="209"/>
      <c r="P1689" s="209"/>
      <c r="Q1689" s="209"/>
      <c r="R1689" s="209"/>
      <c r="S1689" s="209"/>
      <c r="T1689" s="209"/>
      <c r="U1689" s="209"/>
      <c r="V1689" s="209"/>
      <c r="W1689" s="209"/>
      <c r="X1689" s="209"/>
      <c r="Y1689" s="209"/>
      <c r="Z1689" s="209"/>
      <c r="AA1689" s="209"/>
      <c r="AB1689" s="209"/>
      <c r="AC1689" s="209"/>
      <c r="AD1689" s="209"/>
      <c r="AE1689" s="209"/>
      <c r="AF1689" s="209"/>
      <c r="AG1689" s="209"/>
      <c r="AH1689" s="209"/>
      <c r="AI1689" s="209"/>
      <c r="AJ1689" s="209"/>
      <c r="AK1689" s="209"/>
    </row>
    <row r="1690">
      <c r="A1690" s="209"/>
      <c r="B1690" s="209"/>
      <c r="C1690" s="209"/>
      <c r="D1690" s="209"/>
      <c r="E1690" s="209"/>
      <c r="F1690" s="209"/>
      <c r="G1690" s="209"/>
      <c r="H1690" s="209"/>
      <c r="I1690" s="209"/>
      <c r="J1690" s="209"/>
      <c r="K1690" s="209"/>
      <c r="L1690" s="209"/>
      <c r="M1690" s="209"/>
      <c r="N1690" s="209"/>
      <c r="O1690" s="209"/>
      <c r="P1690" s="209"/>
      <c r="Q1690" s="209"/>
      <c r="R1690" s="209"/>
      <c r="S1690" s="209"/>
      <c r="T1690" s="209"/>
      <c r="U1690" s="209"/>
      <c r="V1690" s="209"/>
      <c r="W1690" s="209"/>
      <c r="X1690" s="209"/>
      <c r="Y1690" s="209"/>
      <c r="Z1690" s="209"/>
      <c r="AA1690" s="209"/>
      <c r="AB1690" s="209"/>
      <c r="AC1690" s="209"/>
      <c r="AD1690" s="209"/>
      <c r="AE1690" s="209"/>
      <c r="AF1690" s="209"/>
      <c r="AG1690" s="209"/>
      <c r="AH1690" s="209"/>
      <c r="AI1690" s="209"/>
      <c r="AJ1690" s="209"/>
      <c r="AK1690" s="209"/>
    </row>
    <row r="1691">
      <c r="A1691" s="209"/>
      <c r="B1691" s="209"/>
      <c r="C1691" s="209"/>
      <c r="D1691" s="209"/>
      <c r="E1691" s="209"/>
      <c r="F1691" s="209"/>
      <c r="G1691" s="209"/>
      <c r="H1691" s="209"/>
      <c r="I1691" s="209"/>
      <c r="J1691" s="209"/>
      <c r="K1691" s="209"/>
      <c r="L1691" s="209"/>
      <c r="M1691" s="209"/>
      <c r="N1691" s="209"/>
      <c r="O1691" s="209"/>
      <c r="P1691" s="209"/>
      <c r="Q1691" s="209"/>
      <c r="R1691" s="209"/>
      <c r="S1691" s="209"/>
      <c r="T1691" s="209"/>
      <c r="U1691" s="209"/>
      <c r="V1691" s="209"/>
      <c r="W1691" s="209"/>
      <c r="X1691" s="209"/>
      <c r="Y1691" s="209"/>
      <c r="Z1691" s="209"/>
      <c r="AA1691" s="209"/>
      <c r="AB1691" s="209"/>
      <c r="AC1691" s="209"/>
      <c r="AD1691" s="209"/>
      <c r="AE1691" s="209"/>
      <c r="AF1691" s="209"/>
      <c r="AG1691" s="209"/>
      <c r="AH1691" s="209"/>
      <c r="AI1691" s="209"/>
      <c r="AJ1691" s="209"/>
      <c r="AK1691" s="209"/>
    </row>
    <row r="1692">
      <c r="A1692" s="209"/>
      <c r="B1692" s="209"/>
      <c r="C1692" s="209"/>
      <c r="D1692" s="209"/>
      <c r="E1692" s="209"/>
      <c r="F1692" s="209"/>
      <c r="G1692" s="209"/>
      <c r="H1692" s="209"/>
      <c r="I1692" s="209"/>
      <c r="J1692" s="209"/>
      <c r="K1692" s="209"/>
      <c r="L1692" s="209"/>
      <c r="M1692" s="209"/>
      <c r="N1692" s="209"/>
      <c r="O1692" s="209"/>
      <c r="P1692" s="209"/>
      <c r="Q1692" s="209"/>
      <c r="R1692" s="209"/>
      <c r="S1692" s="209"/>
      <c r="T1692" s="209"/>
      <c r="U1692" s="209"/>
      <c r="V1692" s="209"/>
      <c r="W1692" s="209"/>
      <c r="X1692" s="209"/>
      <c r="Y1692" s="209"/>
      <c r="Z1692" s="209"/>
      <c r="AA1692" s="209"/>
      <c r="AB1692" s="209"/>
      <c r="AC1692" s="209"/>
      <c r="AD1692" s="209"/>
      <c r="AE1692" s="209"/>
      <c r="AF1692" s="209"/>
      <c r="AG1692" s="209"/>
      <c r="AH1692" s="209"/>
      <c r="AI1692" s="209"/>
      <c r="AJ1692" s="209"/>
      <c r="AK1692" s="209"/>
    </row>
    <row r="1693">
      <c r="A1693" s="209"/>
      <c r="B1693" s="209"/>
      <c r="C1693" s="209"/>
      <c r="D1693" s="209"/>
      <c r="E1693" s="209"/>
      <c r="F1693" s="209"/>
      <c r="G1693" s="209"/>
      <c r="H1693" s="209"/>
      <c r="I1693" s="209"/>
      <c r="J1693" s="209"/>
      <c r="K1693" s="209"/>
      <c r="L1693" s="209"/>
      <c r="M1693" s="209"/>
      <c r="N1693" s="209"/>
      <c r="O1693" s="209"/>
      <c r="P1693" s="209"/>
      <c r="Q1693" s="209"/>
      <c r="R1693" s="209"/>
      <c r="S1693" s="209"/>
      <c r="T1693" s="209"/>
      <c r="U1693" s="209"/>
      <c r="V1693" s="209"/>
      <c r="W1693" s="209"/>
      <c r="X1693" s="209"/>
      <c r="Y1693" s="209"/>
      <c r="Z1693" s="209"/>
      <c r="AA1693" s="209"/>
      <c r="AB1693" s="209"/>
      <c r="AC1693" s="209"/>
      <c r="AD1693" s="209"/>
      <c r="AE1693" s="209"/>
      <c r="AF1693" s="209"/>
      <c r="AG1693" s="209"/>
      <c r="AH1693" s="209"/>
      <c r="AI1693" s="209"/>
      <c r="AJ1693" s="209"/>
      <c r="AK1693" s="209"/>
    </row>
    <row r="1694">
      <c r="A1694" s="209"/>
      <c r="B1694" s="209"/>
      <c r="C1694" s="209"/>
      <c r="D1694" s="209"/>
      <c r="E1694" s="209"/>
      <c r="F1694" s="209"/>
      <c r="G1694" s="209"/>
      <c r="H1694" s="209"/>
      <c r="I1694" s="209"/>
      <c r="J1694" s="209"/>
      <c r="K1694" s="209"/>
      <c r="L1694" s="209"/>
      <c r="M1694" s="209"/>
      <c r="N1694" s="209"/>
      <c r="O1694" s="209"/>
      <c r="P1694" s="209"/>
      <c r="Q1694" s="209"/>
      <c r="R1694" s="209"/>
      <c r="S1694" s="209"/>
      <c r="T1694" s="209"/>
      <c r="U1694" s="209"/>
      <c r="V1694" s="209"/>
      <c r="W1694" s="209"/>
      <c r="X1694" s="209"/>
      <c r="Y1694" s="209"/>
      <c r="Z1694" s="209"/>
      <c r="AA1694" s="209"/>
      <c r="AB1694" s="209"/>
      <c r="AC1694" s="209"/>
      <c r="AD1694" s="209"/>
      <c r="AE1694" s="209"/>
      <c r="AF1694" s="209"/>
      <c r="AG1694" s="209"/>
      <c r="AH1694" s="209"/>
      <c r="AI1694" s="209"/>
      <c r="AJ1694" s="209"/>
      <c r="AK1694" s="209"/>
    </row>
    <row r="1695">
      <c r="A1695" s="209"/>
      <c r="B1695" s="209"/>
      <c r="C1695" s="209"/>
      <c r="D1695" s="209"/>
      <c r="E1695" s="209"/>
      <c r="F1695" s="209"/>
      <c r="G1695" s="209"/>
      <c r="H1695" s="209"/>
      <c r="I1695" s="209"/>
      <c r="J1695" s="209"/>
      <c r="K1695" s="209"/>
      <c r="L1695" s="209"/>
      <c r="M1695" s="209"/>
      <c r="N1695" s="209"/>
      <c r="O1695" s="209"/>
      <c r="P1695" s="209"/>
      <c r="Q1695" s="209"/>
      <c r="R1695" s="209"/>
      <c r="S1695" s="209"/>
      <c r="T1695" s="209"/>
      <c r="U1695" s="209"/>
      <c r="V1695" s="209"/>
      <c r="W1695" s="209"/>
      <c r="X1695" s="209"/>
      <c r="Y1695" s="209"/>
      <c r="Z1695" s="209"/>
      <c r="AA1695" s="209"/>
      <c r="AB1695" s="209"/>
      <c r="AC1695" s="209"/>
      <c r="AD1695" s="209"/>
      <c r="AE1695" s="209"/>
      <c r="AF1695" s="209"/>
      <c r="AG1695" s="209"/>
      <c r="AH1695" s="209"/>
      <c r="AI1695" s="209"/>
      <c r="AJ1695" s="209"/>
      <c r="AK1695" s="209"/>
    </row>
    <row r="1696">
      <c r="A1696" s="209"/>
      <c r="B1696" s="209"/>
      <c r="C1696" s="209"/>
      <c r="D1696" s="209"/>
      <c r="E1696" s="209"/>
      <c r="F1696" s="209"/>
      <c r="G1696" s="209"/>
      <c r="H1696" s="209"/>
      <c r="I1696" s="209"/>
      <c r="J1696" s="209"/>
      <c r="K1696" s="209"/>
      <c r="L1696" s="209"/>
      <c r="M1696" s="209"/>
      <c r="N1696" s="209"/>
      <c r="O1696" s="209"/>
      <c r="P1696" s="209"/>
      <c r="Q1696" s="209"/>
      <c r="R1696" s="209"/>
      <c r="S1696" s="209"/>
      <c r="T1696" s="209"/>
      <c r="U1696" s="209"/>
      <c r="V1696" s="209"/>
      <c r="W1696" s="209"/>
      <c r="X1696" s="209"/>
      <c r="Y1696" s="209"/>
      <c r="Z1696" s="209"/>
      <c r="AA1696" s="209"/>
      <c r="AB1696" s="209"/>
      <c r="AC1696" s="209"/>
      <c r="AD1696" s="209"/>
      <c r="AE1696" s="209"/>
      <c r="AF1696" s="209"/>
      <c r="AG1696" s="209"/>
      <c r="AH1696" s="209"/>
      <c r="AI1696" s="209"/>
      <c r="AJ1696" s="209"/>
      <c r="AK1696" s="209"/>
    </row>
    <row r="1697">
      <c r="A1697" s="209"/>
      <c r="B1697" s="209"/>
      <c r="C1697" s="209"/>
      <c r="D1697" s="209"/>
      <c r="E1697" s="209"/>
      <c r="F1697" s="209"/>
      <c r="G1697" s="209"/>
      <c r="H1697" s="209"/>
      <c r="I1697" s="209"/>
      <c r="J1697" s="209"/>
      <c r="K1697" s="209"/>
      <c r="L1697" s="209"/>
      <c r="M1697" s="209"/>
      <c r="N1697" s="209"/>
      <c r="O1697" s="209"/>
      <c r="P1697" s="209"/>
      <c r="Q1697" s="209"/>
      <c r="R1697" s="209"/>
      <c r="S1697" s="209"/>
      <c r="T1697" s="209"/>
      <c r="U1697" s="209"/>
      <c r="V1697" s="209"/>
      <c r="W1697" s="209"/>
      <c r="X1697" s="209"/>
      <c r="Y1697" s="209"/>
      <c r="Z1697" s="209"/>
      <c r="AA1697" s="209"/>
      <c r="AB1697" s="209"/>
      <c r="AC1697" s="209"/>
      <c r="AD1697" s="209"/>
      <c r="AE1697" s="209"/>
      <c r="AF1697" s="209"/>
      <c r="AG1697" s="209"/>
      <c r="AH1697" s="209"/>
      <c r="AI1697" s="209"/>
      <c r="AJ1697" s="209"/>
      <c r="AK1697" s="209"/>
    </row>
    <row r="1698">
      <c r="A1698" s="209"/>
      <c r="B1698" s="209"/>
      <c r="C1698" s="209"/>
      <c r="D1698" s="209"/>
      <c r="E1698" s="209"/>
      <c r="F1698" s="209"/>
      <c r="G1698" s="209"/>
      <c r="H1698" s="209"/>
      <c r="I1698" s="209"/>
      <c r="J1698" s="209"/>
      <c r="K1698" s="209"/>
      <c r="L1698" s="209"/>
      <c r="M1698" s="209"/>
      <c r="N1698" s="209"/>
      <c r="O1698" s="209"/>
      <c r="P1698" s="209"/>
      <c r="Q1698" s="209"/>
      <c r="R1698" s="209"/>
      <c r="S1698" s="209"/>
      <c r="T1698" s="209"/>
      <c r="U1698" s="209"/>
      <c r="V1698" s="209"/>
      <c r="W1698" s="209"/>
      <c r="X1698" s="209"/>
      <c r="Y1698" s="209"/>
      <c r="Z1698" s="209"/>
      <c r="AA1698" s="209"/>
      <c r="AB1698" s="209"/>
      <c r="AC1698" s="209"/>
      <c r="AD1698" s="209"/>
      <c r="AE1698" s="209"/>
      <c r="AF1698" s="209"/>
      <c r="AG1698" s="209"/>
      <c r="AH1698" s="209"/>
      <c r="AI1698" s="209"/>
      <c r="AJ1698" s="209"/>
      <c r="AK1698" s="209"/>
    </row>
    <row r="1699">
      <c r="A1699" s="209"/>
      <c r="B1699" s="209"/>
      <c r="C1699" s="209"/>
      <c r="D1699" s="209"/>
      <c r="E1699" s="209"/>
      <c r="F1699" s="209"/>
      <c r="G1699" s="209"/>
      <c r="H1699" s="209"/>
      <c r="I1699" s="209"/>
      <c r="J1699" s="209"/>
      <c r="K1699" s="209"/>
      <c r="L1699" s="209"/>
      <c r="M1699" s="209"/>
      <c r="N1699" s="209"/>
      <c r="O1699" s="209"/>
      <c r="P1699" s="209"/>
      <c r="Q1699" s="209"/>
      <c r="R1699" s="209"/>
      <c r="S1699" s="209"/>
      <c r="T1699" s="209"/>
      <c r="U1699" s="209"/>
      <c r="V1699" s="209"/>
      <c r="W1699" s="209"/>
      <c r="X1699" s="209"/>
      <c r="Y1699" s="209"/>
      <c r="Z1699" s="209"/>
      <c r="AA1699" s="209"/>
      <c r="AB1699" s="209"/>
      <c r="AC1699" s="209"/>
      <c r="AD1699" s="209"/>
      <c r="AE1699" s="209"/>
      <c r="AF1699" s="209"/>
      <c r="AG1699" s="209"/>
      <c r="AH1699" s="209"/>
      <c r="AI1699" s="209"/>
      <c r="AJ1699" s="209"/>
      <c r="AK1699" s="209"/>
    </row>
    <row r="1700">
      <c r="A1700" s="209"/>
      <c r="B1700" s="209"/>
      <c r="C1700" s="209"/>
      <c r="D1700" s="209"/>
      <c r="E1700" s="209"/>
      <c r="F1700" s="209"/>
      <c r="G1700" s="209"/>
      <c r="H1700" s="209"/>
      <c r="I1700" s="209"/>
      <c r="J1700" s="209"/>
      <c r="K1700" s="209"/>
      <c r="L1700" s="209"/>
      <c r="M1700" s="209"/>
      <c r="N1700" s="209"/>
      <c r="O1700" s="209"/>
      <c r="P1700" s="209"/>
      <c r="Q1700" s="209"/>
      <c r="R1700" s="209"/>
      <c r="S1700" s="209"/>
      <c r="T1700" s="209"/>
      <c r="U1700" s="209"/>
      <c r="V1700" s="209"/>
      <c r="W1700" s="209"/>
      <c r="X1700" s="209"/>
      <c r="Y1700" s="209"/>
      <c r="Z1700" s="209"/>
      <c r="AA1700" s="209"/>
      <c r="AB1700" s="209"/>
      <c r="AC1700" s="209"/>
      <c r="AD1700" s="209"/>
      <c r="AE1700" s="209"/>
      <c r="AF1700" s="209"/>
      <c r="AG1700" s="209"/>
      <c r="AH1700" s="209"/>
      <c r="AI1700" s="209"/>
      <c r="AJ1700" s="209"/>
      <c r="AK1700" s="209"/>
    </row>
    <row r="1701">
      <c r="A1701" s="209"/>
      <c r="B1701" s="209"/>
      <c r="C1701" s="209"/>
      <c r="D1701" s="209"/>
      <c r="E1701" s="209"/>
      <c r="F1701" s="209"/>
      <c r="G1701" s="209"/>
      <c r="H1701" s="209"/>
      <c r="I1701" s="209"/>
      <c r="J1701" s="209"/>
      <c r="K1701" s="209"/>
      <c r="L1701" s="209"/>
      <c r="M1701" s="209"/>
      <c r="N1701" s="209"/>
      <c r="O1701" s="209"/>
      <c r="P1701" s="209"/>
      <c r="Q1701" s="209"/>
      <c r="R1701" s="209"/>
      <c r="S1701" s="209"/>
      <c r="T1701" s="209"/>
      <c r="U1701" s="209"/>
      <c r="V1701" s="209"/>
      <c r="W1701" s="209"/>
      <c r="X1701" s="209"/>
      <c r="Y1701" s="209"/>
      <c r="Z1701" s="209"/>
      <c r="AA1701" s="209"/>
      <c r="AB1701" s="209"/>
      <c r="AC1701" s="209"/>
      <c r="AD1701" s="209"/>
      <c r="AE1701" s="209"/>
      <c r="AF1701" s="209"/>
      <c r="AG1701" s="209"/>
      <c r="AH1701" s="209"/>
      <c r="AI1701" s="209"/>
      <c r="AJ1701" s="209"/>
      <c r="AK1701" s="209"/>
    </row>
    <row r="1702">
      <c r="A1702" s="209"/>
      <c r="B1702" s="209"/>
      <c r="C1702" s="209"/>
      <c r="D1702" s="209"/>
      <c r="E1702" s="209"/>
      <c r="F1702" s="209"/>
      <c r="G1702" s="209"/>
      <c r="H1702" s="209"/>
      <c r="I1702" s="209"/>
      <c r="J1702" s="209"/>
      <c r="K1702" s="209"/>
      <c r="L1702" s="209"/>
      <c r="M1702" s="209"/>
      <c r="N1702" s="209"/>
      <c r="O1702" s="209"/>
      <c r="P1702" s="209"/>
      <c r="Q1702" s="209"/>
      <c r="R1702" s="209"/>
      <c r="S1702" s="209"/>
      <c r="T1702" s="209"/>
      <c r="U1702" s="209"/>
      <c r="V1702" s="209"/>
      <c r="W1702" s="209"/>
      <c r="X1702" s="209"/>
      <c r="Y1702" s="209"/>
      <c r="Z1702" s="209"/>
      <c r="AA1702" s="209"/>
      <c r="AB1702" s="209"/>
      <c r="AC1702" s="209"/>
      <c r="AD1702" s="209"/>
      <c r="AE1702" s="209"/>
      <c r="AF1702" s="209"/>
      <c r="AG1702" s="209"/>
      <c r="AH1702" s="209"/>
      <c r="AI1702" s="209"/>
      <c r="AJ1702" s="209"/>
      <c r="AK1702" s="209"/>
    </row>
    <row r="1703">
      <c r="A1703" s="209"/>
      <c r="B1703" s="209"/>
      <c r="C1703" s="209"/>
      <c r="D1703" s="209"/>
      <c r="E1703" s="209"/>
      <c r="F1703" s="209"/>
      <c r="G1703" s="209"/>
      <c r="H1703" s="209"/>
      <c r="I1703" s="209"/>
      <c r="J1703" s="209"/>
      <c r="K1703" s="209"/>
      <c r="L1703" s="209"/>
      <c r="M1703" s="209"/>
      <c r="N1703" s="209"/>
      <c r="O1703" s="209"/>
      <c r="P1703" s="209"/>
      <c r="Q1703" s="209"/>
      <c r="R1703" s="209"/>
      <c r="S1703" s="209"/>
      <c r="T1703" s="209"/>
      <c r="U1703" s="209"/>
      <c r="V1703" s="209"/>
      <c r="W1703" s="209"/>
      <c r="X1703" s="209"/>
      <c r="Y1703" s="209"/>
      <c r="Z1703" s="209"/>
      <c r="AA1703" s="209"/>
      <c r="AB1703" s="209"/>
      <c r="AC1703" s="209"/>
      <c r="AD1703" s="209"/>
      <c r="AE1703" s="209"/>
      <c r="AF1703" s="209"/>
      <c r="AG1703" s="209"/>
      <c r="AH1703" s="209"/>
      <c r="AI1703" s="209"/>
      <c r="AJ1703" s="209"/>
      <c r="AK1703" s="209"/>
    </row>
    <row r="1704">
      <c r="A1704" s="209"/>
      <c r="B1704" s="209"/>
      <c r="C1704" s="209"/>
      <c r="D1704" s="209"/>
      <c r="E1704" s="209"/>
      <c r="F1704" s="209"/>
      <c r="G1704" s="209"/>
      <c r="H1704" s="209"/>
      <c r="I1704" s="209"/>
      <c r="J1704" s="209"/>
      <c r="K1704" s="209"/>
      <c r="L1704" s="209"/>
      <c r="M1704" s="209"/>
      <c r="N1704" s="209"/>
      <c r="O1704" s="209"/>
      <c r="P1704" s="209"/>
      <c r="Q1704" s="209"/>
      <c r="R1704" s="209"/>
      <c r="S1704" s="209"/>
      <c r="T1704" s="209"/>
      <c r="U1704" s="209"/>
      <c r="V1704" s="209"/>
      <c r="W1704" s="209"/>
      <c r="X1704" s="209"/>
      <c r="Y1704" s="209"/>
      <c r="Z1704" s="209"/>
      <c r="AA1704" s="209"/>
      <c r="AB1704" s="209"/>
      <c r="AC1704" s="209"/>
      <c r="AD1704" s="209"/>
      <c r="AE1704" s="209"/>
      <c r="AF1704" s="209"/>
      <c r="AG1704" s="209"/>
      <c r="AH1704" s="209"/>
      <c r="AI1704" s="209"/>
      <c r="AJ1704" s="209"/>
      <c r="AK1704" s="209"/>
    </row>
    <row r="1705">
      <c r="A1705" s="209"/>
      <c r="B1705" s="209"/>
      <c r="C1705" s="209"/>
      <c r="D1705" s="209"/>
      <c r="E1705" s="209"/>
      <c r="F1705" s="209"/>
      <c r="G1705" s="209"/>
      <c r="H1705" s="209"/>
      <c r="I1705" s="209"/>
      <c r="J1705" s="209"/>
      <c r="K1705" s="209"/>
      <c r="L1705" s="209"/>
      <c r="M1705" s="209"/>
      <c r="N1705" s="209"/>
      <c r="O1705" s="209"/>
      <c r="P1705" s="209"/>
      <c r="Q1705" s="209"/>
      <c r="R1705" s="209"/>
      <c r="S1705" s="209"/>
      <c r="T1705" s="209"/>
      <c r="U1705" s="209"/>
      <c r="V1705" s="209"/>
      <c r="W1705" s="209"/>
      <c r="X1705" s="209"/>
      <c r="Y1705" s="209"/>
      <c r="Z1705" s="209"/>
      <c r="AA1705" s="209"/>
      <c r="AB1705" s="209"/>
      <c r="AC1705" s="209"/>
      <c r="AD1705" s="209"/>
      <c r="AE1705" s="209"/>
      <c r="AF1705" s="209"/>
      <c r="AG1705" s="209"/>
      <c r="AH1705" s="209"/>
      <c r="AI1705" s="209"/>
      <c r="AJ1705" s="209"/>
      <c r="AK1705" s="209"/>
    </row>
    <row r="1706">
      <c r="A1706" s="209"/>
      <c r="B1706" s="209"/>
      <c r="C1706" s="209"/>
      <c r="D1706" s="209"/>
      <c r="E1706" s="209"/>
      <c r="F1706" s="209"/>
      <c r="G1706" s="209"/>
      <c r="H1706" s="209"/>
      <c r="I1706" s="209"/>
      <c r="J1706" s="209"/>
      <c r="K1706" s="209"/>
      <c r="L1706" s="209"/>
      <c r="M1706" s="209"/>
      <c r="N1706" s="209"/>
      <c r="O1706" s="209"/>
      <c r="P1706" s="209"/>
      <c r="Q1706" s="209"/>
      <c r="R1706" s="209"/>
      <c r="S1706" s="209"/>
      <c r="T1706" s="209"/>
      <c r="U1706" s="209"/>
      <c r="V1706" s="209"/>
      <c r="W1706" s="209"/>
      <c r="X1706" s="209"/>
      <c r="Y1706" s="209"/>
      <c r="Z1706" s="209"/>
      <c r="AA1706" s="209"/>
      <c r="AB1706" s="209"/>
      <c r="AC1706" s="209"/>
      <c r="AD1706" s="209"/>
      <c r="AE1706" s="209"/>
      <c r="AF1706" s="209"/>
      <c r="AG1706" s="209"/>
      <c r="AH1706" s="209"/>
      <c r="AI1706" s="209"/>
      <c r="AJ1706" s="209"/>
      <c r="AK1706" s="209"/>
    </row>
    <row r="1707">
      <c r="A1707" s="209"/>
      <c r="B1707" s="209"/>
      <c r="C1707" s="209"/>
      <c r="D1707" s="209"/>
      <c r="E1707" s="209"/>
      <c r="F1707" s="209"/>
      <c r="G1707" s="209"/>
      <c r="H1707" s="209"/>
      <c r="I1707" s="209"/>
      <c r="J1707" s="209"/>
      <c r="K1707" s="209"/>
      <c r="L1707" s="209"/>
      <c r="M1707" s="209"/>
      <c r="N1707" s="209"/>
      <c r="O1707" s="209"/>
      <c r="P1707" s="209"/>
      <c r="Q1707" s="209"/>
      <c r="R1707" s="209"/>
      <c r="S1707" s="209"/>
      <c r="T1707" s="209"/>
      <c r="U1707" s="209"/>
      <c r="V1707" s="209"/>
      <c r="W1707" s="209"/>
      <c r="X1707" s="209"/>
      <c r="Y1707" s="209"/>
      <c r="Z1707" s="209"/>
      <c r="AA1707" s="209"/>
      <c r="AB1707" s="209"/>
      <c r="AC1707" s="209"/>
      <c r="AD1707" s="209"/>
      <c r="AE1707" s="209"/>
      <c r="AF1707" s="209"/>
      <c r="AG1707" s="209"/>
      <c r="AH1707" s="209"/>
      <c r="AI1707" s="209"/>
      <c r="AJ1707" s="209"/>
      <c r="AK1707" s="209"/>
    </row>
    <row r="1708">
      <c r="A1708" s="209"/>
      <c r="B1708" s="209"/>
      <c r="C1708" s="209"/>
      <c r="D1708" s="209"/>
      <c r="E1708" s="209"/>
      <c r="F1708" s="209"/>
      <c r="G1708" s="209"/>
      <c r="H1708" s="209"/>
      <c r="I1708" s="209"/>
      <c r="J1708" s="209"/>
      <c r="K1708" s="209"/>
      <c r="L1708" s="209"/>
      <c r="M1708" s="209"/>
      <c r="N1708" s="209"/>
      <c r="O1708" s="209"/>
      <c r="P1708" s="209"/>
      <c r="Q1708" s="209"/>
      <c r="R1708" s="209"/>
      <c r="S1708" s="209"/>
      <c r="T1708" s="209"/>
      <c r="U1708" s="209"/>
      <c r="V1708" s="209"/>
      <c r="W1708" s="209"/>
      <c r="X1708" s="209"/>
      <c r="Y1708" s="209"/>
      <c r="Z1708" s="209"/>
      <c r="AA1708" s="209"/>
      <c r="AB1708" s="209"/>
      <c r="AC1708" s="209"/>
      <c r="AD1708" s="209"/>
      <c r="AE1708" s="209"/>
      <c r="AF1708" s="209"/>
      <c r="AG1708" s="209"/>
      <c r="AH1708" s="209"/>
      <c r="AI1708" s="209"/>
      <c r="AJ1708" s="209"/>
      <c r="AK1708" s="209"/>
    </row>
    <row r="1709">
      <c r="A1709" s="209"/>
      <c r="B1709" s="209"/>
      <c r="C1709" s="209"/>
      <c r="D1709" s="209"/>
      <c r="E1709" s="209"/>
      <c r="F1709" s="209"/>
      <c r="G1709" s="209"/>
      <c r="H1709" s="209"/>
      <c r="I1709" s="209"/>
      <c r="J1709" s="209"/>
      <c r="K1709" s="209"/>
      <c r="L1709" s="209"/>
      <c r="M1709" s="209"/>
      <c r="N1709" s="209"/>
      <c r="O1709" s="209"/>
      <c r="P1709" s="209"/>
      <c r="Q1709" s="209"/>
      <c r="R1709" s="209"/>
      <c r="S1709" s="209"/>
      <c r="T1709" s="209"/>
      <c r="U1709" s="209"/>
      <c r="V1709" s="209"/>
      <c r="W1709" s="209"/>
      <c r="X1709" s="209"/>
      <c r="Y1709" s="209"/>
      <c r="Z1709" s="209"/>
      <c r="AA1709" s="209"/>
      <c r="AB1709" s="209"/>
      <c r="AC1709" s="209"/>
      <c r="AD1709" s="209"/>
      <c r="AE1709" s="209"/>
      <c r="AF1709" s="209"/>
      <c r="AG1709" s="209"/>
      <c r="AH1709" s="209"/>
      <c r="AI1709" s="209"/>
      <c r="AJ1709" s="209"/>
      <c r="AK1709" s="209"/>
    </row>
    <row r="1710">
      <c r="A1710" s="209"/>
      <c r="B1710" s="209"/>
      <c r="C1710" s="209"/>
      <c r="D1710" s="209"/>
      <c r="E1710" s="209"/>
      <c r="F1710" s="209"/>
      <c r="G1710" s="209"/>
      <c r="H1710" s="209"/>
      <c r="I1710" s="209"/>
      <c r="J1710" s="209"/>
      <c r="K1710" s="209"/>
      <c r="L1710" s="209"/>
      <c r="M1710" s="209"/>
      <c r="N1710" s="209"/>
      <c r="O1710" s="209"/>
      <c r="P1710" s="209"/>
      <c r="Q1710" s="209"/>
      <c r="R1710" s="209"/>
      <c r="S1710" s="209"/>
      <c r="T1710" s="209"/>
      <c r="U1710" s="209"/>
      <c r="V1710" s="209"/>
      <c r="W1710" s="209"/>
      <c r="X1710" s="209"/>
      <c r="Y1710" s="209"/>
      <c r="Z1710" s="209"/>
      <c r="AA1710" s="209"/>
      <c r="AB1710" s="209"/>
      <c r="AC1710" s="209"/>
      <c r="AD1710" s="209"/>
      <c r="AE1710" s="209"/>
      <c r="AF1710" s="209"/>
      <c r="AG1710" s="209"/>
      <c r="AH1710" s="209"/>
      <c r="AI1710" s="209"/>
      <c r="AJ1710" s="209"/>
      <c r="AK1710" s="209"/>
    </row>
    <row r="1711">
      <c r="A1711" s="209"/>
      <c r="B1711" s="209"/>
      <c r="C1711" s="209"/>
      <c r="D1711" s="209"/>
      <c r="E1711" s="209"/>
      <c r="F1711" s="209"/>
      <c r="G1711" s="209"/>
      <c r="H1711" s="209"/>
      <c r="I1711" s="209"/>
      <c r="J1711" s="209"/>
      <c r="K1711" s="209"/>
      <c r="L1711" s="209"/>
      <c r="M1711" s="209"/>
      <c r="N1711" s="209"/>
      <c r="O1711" s="209"/>
      <c r="P1711" s="209"/>
      <c r="Q1711" s="209"/>
      <c r="R1711" s="209"/>
      <c r="S1711" s="209"/>
      <c r="T1711" s="209"/>
      <c r="U1711" s="209"/>
      <c r="V1711" s="209"/>
      <c r="W1711" s="209"/>
      <c r="X1711" s="209"/>
      <c r="Y1711" s="209"/>
      <c r="Z1711" s="209"/>
      <c r="AA1711" s="209"/>
      <c r="AB1711" s="209"/>
      <c r="AC1711" s="209"/>
      <c r="AD1711" s="209"/>
      <c r="AE1711" s="209"/>
      <c r="AF1711" s="209"/>
      <c r="AG1711" s="209"/>
      <c r="AH1711" s="209"/>
      <c r="AI1711" s="209"/>
      <c r="AJ1711" s="209"/>
      <c r="AK1711" s="209"/>
    </row>
    <row r="1712">
      <c r="A1712" s="209"/>
      <c r="B1712" s="209"/>
      <c r="C1712" s="209"/>
      <c r="D1712" s="209"/>
      <c r="E1712" s="209"/>
      <c r="F1712" s="209"/>
      <c r="G1712" s="209"/>
      <c r="H1712" s="209"/>
      <c r="I1712" s="209"/>
      <c r="J1712" s="209"/>
      <c r="K1712" s="209"/>
      <c r="L1712" s="209"/>
      <c r="M1712" s="209"/>
      <c r="N1712" s="209"/>
      <c r="O1712" s="209"/>
      <c r="P1712" s="209"/>
      <c r="Q1712" s="209"/>
      <c r="R1712" s="209"/>
      <c r="S1712" s="209"/>
      <c r="T1712" s="209"/>
      <c r="U1712" s="209"/>
      <c r="V1712" s="209"/>
      <c r="W1712" s="209"/>
      <c r="X1712" s="209"/>
      <c r="Y1712" s="209"/>
      <c r="Z1712" s="209"/>
      <c r="AA1712" s="209"/>
      <c r="AB1712" s="209"/>
      <c r="AC1712" s="209"/>
      <c r="AD1712" s="209"/>
      <c r="AE1712" s="209"/>
      <c r="AF1712" s="209"/>
      <c r="AG1712" s="209"/>
      <c r="AH1712" s="209"/>
      <c r="AI1712" s="209"/>
      <c r="AJ1712" s="209"/>
      <c r="AK1712" s="209"/>
    </row>
    <row r="1713">
      <c r="A1713" s="209"/>
      <c r="B1713" s="209"/>
      <c r="C1713" s="209"/>
      <c r="D1713" s="209"/>
      <c r="E1713" s="209"/>
      <c r="F1713" s="209"/>
      <c r="G1713" s="209"/>
      <c r="H1713" s="209"/>
      <c r="I1713" s="209"/>
      <c r="J1713" s="209"/>
      <c r="K1713" s="209"/>
      <c r="L1713" s="209"/>
      <c r="M1713" s="209"/>
      <c r="N1713" s="209"/>
      <c r="O1713" s="209"/>
      <c r="P1713" s="209"/>
      <c r="Q1713" s="209"/>
      <c r="R1713" s="209"/>
      <c r="S1713" s="209"/>
      <c r="T1713" s="209"/>
      <c r="U1713" s="209"/>
      <c r="V1713" s="209"/>
      <c r="W1713" s="209"/>
      <c r="X1713" s="209"/>
      <c r="Y1713" s="209"/>
      <c r="Z1713" s="209"/>
      <c r="AA1713" s="209"/>
      <c r="AB1713" s="209"/>
      <c r="AC1713" s="209"/>
      <c r="AD1713" s="209"/>
      <c r="AE1713" s="209"/>
      <c r="AF1713" s="209"/>
      <c r="AG1713" s="209"/>
      <c r="AH1713" s="209"/>
      <c r="AI1713" s="209"/>
      <c r="AJ1713" s="209"/>
      <c r="AK1713" s="209"/>
    </row>
    <row r="1714">
      <c r="A1714" s="209"/>
      <c r="B1714" s="209"/>
      <c r="C1714" s="209"/>
      <c r="D1714" s="209"/>
      <c r="E1714" s="209"/>
      <c r="F1714" s="209"/>
      <c r="G1714" s="209"/>
      <c r="H1714" s="209"/>
      <c r="I1714" s="209"/>
      <c r="J1714" s="209"/>
      <c r="K1714" s="209"/>
      <c r="L1714" s="209"/>
      <c r="M1714" s="209"/>
      <c r="N1714" s="209"/>
      <c r="O1714" s="209"/>
      <c r="P1714" s="209"/>
      <c r="Q1714" s="209"/>
      <c r="R1714" s="209"/>
      <c r="S1714" s="209"/>
      <c r="T1714" s="209"/>
      <c r="U1714" s="209"/>
      <c r="V1714" s="209"/>
      <c r="W1714" s="209"/>
      <c r="X1714" s="209"/>
      <c r="Y1714" s="209"/>
      <c r="Z1714" s="209"/>
      <c r="AA1714" s="209"/>
      <c r="AB1714" s="209"/>
      <c r="AC1714" s="209"/>
      <c r="AD1714" s="209"/>
      <c r="AE1714" s="209"/>
      <c r="AF1714" s="209"/>
      <c r="AG1714" s="209"/>
      <c r="AH1714" s="209"/>
      <c r="AI1714" s="209"/>
      <c r="AJ1714" s="209"/>
      <c r="AK1714" s="209"/>
    </row>
    <row r="1715">
      <c r="A1715" s="209"/>
      <c r="B1715" s="209"/>
      <c r="C1715" s="209"/>
      <c r="D1715" s="209"/>
      <c r="E1715" s="209"/>
      <c r="F1715" s="209"/>
      <c r="G1715" s="209"/>
      <c r="H1715" s="209"/>
      <c r="I1715" s="209"/>
      <c r="J1715" s="209"/>
      <c r="K1715" s="209"/>
      <c r="L1715" s="209"/>
      <c r="M1715" s="209"/>
      <c r="N1715" s="209"/>
      <c r="O1715" s="209"/>
      <c r="P1715" s="209"/>
      <c r="Q1715" s="209"/>
      <c r="R1715" s="209"/>
      <c r="S1715" s="209"/>
      <c r="T1715" s="209"/>
      <c r="U1715" s="209"/>
      <c r="V1715" s="209"/>
      <c r="W1715" s="209"/>
      <c r="X1715" s="209"/>
      <c r="Y1715" s="209"/>
      <c r="Z1715" s="209"/>
      <c r="AA1715" s="209"/>
      <c r="AB1715" s="209"/>
      <c r="AC1715" s="209"/>
      <c r="AD1715" s="209"/>
      <c r="AE1715" s="209"/>
      <c r="AF1715" s="209"/>
      <c r="AG1715" s="209"/>
      <c r="AH1715" s="209"/>
      <c r="AI1715" s="209"/>
      <c r="AJ1715" s="209"/>
      <c r="AK1715" s="209"/>
    </row>
    <row r="1716">
      <c r="A1716" s="209"/>
      <c r="B1716" s="209"/>
      <c r="C1716" s="209"/>
      <c r="D1716" s="209"/>
      <c r="E1716" s="209"/>
      <c r="F1716" s="209"/>
      <c r="G1716" s="209"/>
      <c r="H1716" s="209"/>
      <c r="I1716" s="209"/>
      <c r="J1716" s="209"/>
      <c r="K1716" s="209"/>
      <c r="L1716" s="209"/>
      <c r="M1716" s="209"/>
      <c r="N1716" s="209"/>
      <c r="O1716" s="209"/>
      <c r="P1716" s="209"/>
      <c r="Q1716" s="209"/>
      <c r="R1716" s="209"/>
      <c r="S1716" s="209"/>
      <c r="T1716" s="209"/>
      <c r="U1716" s="209"/>
      <c r="V1716" s="209"/>
      <c r="W1716" s="209"/>
      <c r="X1716" s="209"/>
      <c r="Y1716" s="209"/>
      <c r="Z1716" s="209"/>
      <c r="AA1716" s="209"/>
      <c r="AB1716" s="209"/>
      <c r="AC1716" s="209"/>
      <c r="AD1716" s="209"/>
      <c r="AE1716" s="209"/>
      <c r="AF1716" s="209"/>
      <c r="AG1716" s="209"/>
      <c r="AH1716" s="209"/>
      <c r="AI1716" s="209"/>
      <c r="AJ1716" s="209"/>
      <c r="AK1716" s="209"/>
    </row>
  </sheetData>
  <mergeCells count="181">
    <mergeCell ref="M211:M223"/>
    <mergeCell ref="M225:M236"/>
    <mergeCell ref="M238:M244"/>
    <mergeCell ref="M246:M251"/>
    <mergeCell ref="M253:M257"/>
    <mergeCell ref="M259:M263"/>
    <mergeCell ref="M265:M269"/>
    <mergeCell ref="M313:M317"/>
    <mergeCell ref="M319:M323"/>
    <mergeCell ref="M325:M329"/>
    <mergeCell ref="M331:M335"/>
    <mergeCell ref="M337:M341"/>
    <mergeCell ref="M271:M275"/>
    <mergeCell ref="M277:M281"/>
    <mergeCell ref="M283:M287"/>
    <mergeCell ref="M289:M293"/>
    <mergeCell ref="M295:M299"/>
    <mergeCell ref="M301:M305"/>
    <mergeCell ref="M307:M311"/>
    <mergeCell ref="A2:K3"/>
    <mergeCell ref="M2:W3"/>
    <mergeCell ref="Y2:AI3"/>
    <mergeCell ref="A5:A13"/>
    <mergeCell ref="M5:M16"/>
    <mergeCell ref="A15:A25"/>
    <mergeCell ref="A27:A38"/>
    <mergeCell ref="Y76:Y79"/>
    <mergeCell ref="Y81:Y82"/>
    <mergeCell ref="Y84:Y85"/>
    <mergeCell ref="Y87:Y90"/>
    <mergeCell ref="Y5:Y21"/>
    <mergeCell ref="Y23:Y33"/>
    <mergeCell ref="Y35:Y46"/>
    <mergeCell ref="Y48:Y52"/>
    <mergeCell ref="Y54:Y61"/>
    <mergeCell ref="Y63:Y69"/>
    <mergeCell ref="Y71:Y74"/>
    <mergeCell ref="M18:M26"/>
    <mergeCell ref="M28:M36"/>
    <mergeCell ref="M38:M46"/>
    <mergeCell ref="M48:M60"/>
    <mergeCell ref="M62:M71"/>
    <mergeCell ref="M73:M81"/>
    <mergeCell ref="M83:M88"/>
    <mergeCell ref="A40:A48"/>
    <mergeCell ref="A50:A58"/>
    <mergeCell ref="A60:A69"/>
    <mergeCell ref="A71:A79"/>
    <mergeCell ref="A81:A90"/>
    <mergeCell ref="A92:A102"/>
    <mergeCell ref="A104:A114"/>
    <mergeCell ref="M90:M95"/>
    <mergeCell ref="M97:M101"/>
    <mergeCell ref="M103:M107"/>
    <mergeCell ref="M109:M113"/>
    <mergeCell ref="M115:M121"/>
    <mergeCell ref="M123:M128"/>
    <mergeCell ref="M130:M137"/>
    <mergeCell ref="M139:M144"/>
    <mergeCell ref="M146:M152"/>
    <mergeCell ref="M154:M159"/>
    <mergeCell ref="M161:M167"/>
    <mergeCell ref="M169:M181"/>
    <mergeCell ref="M183:M195"/>
    <mergeCell ref="M197:M209"/>
    <mergeCell ref="A116:A123"/>
    <mergeCell ref="A125:A134"/>
    <mergeCell ref="A136:A146"/>
    <mergeCell ref="A148:A158"/>
    <mergeCell ref="A160:A171"/>
    <mergeCell ref="A173:A182"/>
    <mergeCell ref="A184:A193"/>
    <mergeCell ref="A195:A204"/>
    <mergeCell ref="A206:A216"/>
    <mergeCell ref="A218:A229"/>
    <mergeCell ref="A231:A240"/>
    <mergeCell ref="A242:A249"/>
    <mergeCell ref="A251:A258"/>
    <mergeCell ref="A260:A276"/>
    <mergeCell ref="A278:A292"/>
    <mergeCell ref="A294:A302"/>
    <mergeCell ref="A304:A310"/>
    <mergeCell ref="A312:A320"/>
    <mergeCell ref="A322:A330"/>
    <mergeCell ref="A332:A340"/>
    <mergeCell ref="A342:A348"/>
    <mergeCell ref="A350:A361"/>
    <mergeCell ref="A363:A368"/>
    <mergeCell ref="A370:A380"/>
    <mergeCell ref="A382:A390"/>
    <mergeCell ref="A392:A410"/>
    <mergeCell ref="A412:A420"/>
    <mergeCell ref="A422:A428"/>
    <mergeCell ref="A430:A440"/>
    <mergeCell ref="A442:A451"/>
    <mergeCell ref="A453:A458"/>
    <mergeCell ref="A460:A467"/>
    <mergeCell ref="A469:A478"/>
    <mergeCell ref="A480:A487"/>
    <mergeCell ref="A489:A498"/>
    <mergeCell ref="A500:A508"/>
    <mergeCell ref="A510:A519"/>
    <mergeCell ref="A521:A527"/>
    <mergeCell ref="A529:A537"/>
    <mergeCell ref="A539:A547"/>
    <mergeCell ref="A549:A556"/>
    <mergeCell ref="A558:A564"/>
    <mergeCell ref="A566:A572"/>
    <mergeCell ref="A574:A580"/>
    <mergeCell ref="A582:A592"/>
    <mergeCell ref="A594:A604"/>
    <mergeCell ref="A606:A614"/>
    <mergeCell ref="A616:A622"/>
    <mergeCell ref="A624:A634"/>
    <mergeCell ref="A1017:A1020"/>
    <mergeCell ref="A1022:A1029"/>
    <mergeCell ref="A1031:A1036"/>
    <mergeCell ref="A1038:A1044"/>
    <mergeCell ref="A1046:A1052"/>
    <mergeCell ref="A1054:A1057"/>
    <mergeCell ref="A1059:A1080"/>
    <mergeCell ref="A1193:A1199"/>
    <mergeCell ref="A1201:A1212"/>
    <mergeCell ref="A1214:A1219"/>
    <mergeCell ref="A1221:A1222"/>
    <mergeCell ref="A1082:A1096"/>
    <mergeCell ref="A1098:A1099"/>
    <mergeCell ref="A1101:A1113"/>
    <mergeCell ref="A1115:A1133"/>
    <mergeCell ref="A1135:A1155"/>
    <mergeCell ref="A1157:A1177"/>
    <mergeCell ref="A1179:A1191"/>
    <mergeCell ref="A636:A644"/>
    <mergeCell ref="A646:A654"/>
    <mergeCell ref="A656:A664"/>
    <mergeCell ref="A666:A669"/>
    <mergeCell ref="A671:A678"/>
    <mergeCell ref="A680:A685"/>
    <mergeCell ref="A687:A692"/>
    <mergeCell ref="A694:A726"/>
    <mergeCell ref="A728:A760"/>
    <mergeCell ref="A762:A774"/>
    <mergeCell ref="A776:A780"/>
    <mergeCell ref="A782:A786"/>
    <mergeCell ref="A788:A792"/>
    <mergeCell ref="A794:A798"/>
    <mergeCell ref="A800:A804"/>
    <mergeCell ref="A806:A810"/>
    <mergeCell ref="A812:A816"/>
    <mergeCell ref="A818:A822"/>
    <mergeCell ref="A824:A828"/>
    <mergeCell ref="A830:A854"/>
    <mergeCell ref="A856:A860"/>
    <mergeCell ref="A862:A866"/>
    <mergeCell ref="A868:A872"/>
    <mergeCell ref="A874:A878"/>
    <mergeCell ref="A880:A884"/>
    <mergeCell ref="A886:A890"/>
    <mergeCell ref="A892:A896"/>
    <mergeCell ref="A898:A902"/>
    <mergeCell ref="A904:A908"/>
    <mergeCell ref="A910:A914"/>
    <mergeCell ref="A916:A920"/>
    <mergeCell ref="A922:A926"/>
    <mergeCell ref="A928:A932"/>
    <mergeCell ref="A934:A938"/>
    <mergeCell ref="A940:A944"/>
    <mergeCell ref="A946:A949"/>
    <mergeCell ref="A951:A954"/>
    <mergeCell ref="A956:A959"/>
    <mergeCell ref="A961:A964"/>
    <mergeCell ref="A966:A969"/>
    <mergeCell ref="A971:A974"/>
    <mergeCell ref="A976:A979"/>
    <mergeCell ref="A981:A984"/>
    <mergeCell ref="A986:A989"/>
    <mergeCell ref="A991:A995"/>
    <mergeCell ref="A997:A1000"/>
    <mergeCell ref="A1002:A1005"/>
    <mergeCell ref="A1007:A1010"/>
    <mergeCell ref="A1012:A1015"/>
  </mergeCells>
  <dataValidations>
    <dataValidation type="list" allowBlank="1" showErrorMessage="1" sqref="F6:H13 R6:T16 AD6:AF21 F16:H25 R19:T26 AD24:AF33 R29:T36 F28:H38 R39:T46 AD36:AF46 F41:H48 AD49:AF52 F51:H58 R49:T60 AD55:AF61 F61:H69 AD64:AF69 R63:T71 AD72:AF74 F72:H79 AD77:AF79 R74:T81 AD82:AF82 AD85:AF85 R84:T88 F82:H90 AD88:AF90 R91:T95 R98:T101 F93:H102 R104:T107 R110:T113 F105:H114 R116:T121 F117:H123 R124:T128 F126:H134 R131:T137 R140:T144 F137:H146 R147:T152 F149:H158 R155:T159 R162:T167 F161:H171 R170:T181 F174:H182 F185:H193 R184:T195 F196:H204 R198:T209 F207:H216 R212:T223 F219:H229 R226:T236 F232:H240 R239:T244 F243:H249 R247:T251 R254:T257 F252:H258 R260:T263 R266:T269 R272:T275 F261:H276 R278:T281 R284:T287 F279:H292 R290:T293 R296:T299 F295:H302 R302:T305 F305:H310 R308:T311 R314:T317 F313:H320 R320:T323 R326:T329 F323:H330 R332:T335 F333:H340 R338:T341 F343:H348 F350:G350 F351:H361 F364:H368 F371:H380 F383:H390 F393:H410 F413:H420 F423:H428 F430:H440 F443:H451 F454:H458 F461:H467 F470:H478 F481:H487 F490:H498 F501:H508 F511:H519 F522:H527 F530:H537 F540:H547 F550:H556 F559:H564 F567:H572 F575:H580 F583:H592 F595:H604 F607:H614 F617:H622 F625:H634 F637:H644 F647:H654 F657:H664 F667:H669 F672:H678 F681:H685 F688:H692 F695:H726 F729:H760 F763:H774 F777:H780 F783:H786 F789:H792 F795:H798 F801:H804 F807:H810 F813:H816 F819:H822 F825:H828 F831:H854 F857:H860 F863:H866 F869:H872 F875:H878 F881:H884 F887:H890 F893:H896 F899:H902 F905:H908 F911:H914 F917:H920 F923:H926 F929:H932 F935:H938 F941:H944 F947:H949 F952:H954 F957:H959 F962:H964 F967:H969 F972:H974 F977:H979 F982:H984 F987:H989 F992:H995 F998:H1000 F1003:H1005 F1008:H1010 F1013:H1015 F1018:H1020 F1023:H1029 F1032:H1036 F1039:H1044 F1047:H1052 F1055:H1057 F1060:H1080 F1083:H1096 F1099:H1099 F1102:H1113 F1116:H1133 F1136:H1155 F1158:H1177 F1180:H1191 F1194:H1199 F1202:H1212 F1215:H1219 F1222:H1222">
      <formula1>"Amazon Marketplace Issue,Non-Combined Reviews,Split Variation,Variation Names Incorrect,Listing Suppressed,Buy Box Issue/Unauthorized Seller,Copy Issue,Product Specs Issue,Title Issue,Incorrect Bullet Points,Missing Bullet Points,Image Issue,Incorrect Ima"&amp;"ges,Missing Images,Inactive,OOS,Discontinued,Other Sub-Issue,Pending Product Launch"</formula1>
    </dataValidation>
  </dataValidations>
  <hyperlinks>
    <hyperlink r:id="rId2" ref="B5"/>
    <hyperlink r:id="rId3" ref="N5"/>
    <hyperlink r:id="rId4" ref="Z5"/>
    <hyperlink r:id="rId5" ref="B15"/>
    <hyperlink r:id="rId6" ref="N18"/>
    <hyperlink r:id="rId7" ref="Z23"/>
    <hyperlink r:id="rId8" ref="B27"/>
    <hyperlink r:id="rId9" ref="N28"/>
    <hyperlink r:id="rId10" ref="Z35"/>
    <hyperlink r:id="rId11" ref="N38"/>
    <hyperlink r:id="rId12" ref="B40"/>
    <hyperlink r:id="rId13" ref="N48"/>
    <hyperlink r:id="rId14" ref="Z48"/>
    <hyperlink r:id="rId15" ref="B50"/>
    <hyperlink r:id="rId16" ref="Z54"/>
    <hyperlink r:id="rId17" ref="B60"/>
    <hyperlink r:id="rId18" ref="N62"/>
    <hyperlink r:id="rId19" ref="Z63"/>
    <hyperlink r:id="rId20" ref="B71"/>
    <hyperlink r:id="rId21" ref="Z71"/>
    <hyperlink r:id="rId22" ref="N73"/>
    <hyperlink r:id="rId23" ref="Z76"/>
    <hyperlink r:id="rId24" ref="B81"/>
    <hyperlink r:id="rId25" ref="N81"/>
    <hyperlink r:id="rId26" ref="Z81"/>
    <hyperlink r:id="rId27" ref="N83"/>
    <hyperlink r:id="rId28" ref="Z84"/>
    <hyperlink r:id="rId29" ref="Z87"/>
    <hyperlink r:id="rId30" ref="N90"/>
    <hyperlink r:id="rId31" ref="B92"/>
    <hyperlink r:id="rId32" ref="N97"/>
    <hyperlink r:id="rId33" ref="N103"/>
    <hyperlink r:id="rId34" ref="B104"/>
    <hyperlink r:id="rId35" ref="N109"/>
    <hyperlink r:id="rId36" ref="N111"/>
    <hyperlink r:id="rId37" ref="N115"/>
    <hyperlink r:id="rId38" ref="B116"/>
    <hyperlink r:id="rId39" ref="N123"/>
    <hyperlink r:id="rId40" ref="B125"/>
    <hyperlink r:id="rId41" ref="N126"/>
    <hyperlink r:id="rId42" ref="N130"/>
    <hyperlink r:id="rId43" ref="B136"/>
    <hyperlink r:id="rId44" ref="N139"/>
    <hyperlink r:id="rId45" ref="N146"/>
    <hyperlink r:id="rId46" ref="B148"/>
    <hyperlink r:id="rId47" ref="N154"/>
    <hyperlink r:id="rId48" ref="B160"/>
    <hyperlink r:id="rId49" ref="N161"/>
    <hyperlink r:id="rId50" ref="N169"/>
    <hyperlink r:id="rId51" ref="B173"/>
    <hyperlink r:id="rId52" ref="N178"/>
    <hyperlink r:id="rId53" ref="N183"/>
    <hyperlink r:id="rId54" ref="B184"/>
    <hyperlink r:id="rId55" ref="N185"/>
    <hyperlink r:id="rId56" ref="B195"/>
    <hyperlink r:id="rId57" ref="N197"/>
    <hyperlink r:id="rId58" ref="N199"/>
    <hyperlink r:id="rId59" ref="B206"/>
    <hyperlink r:id="rId60" ref="N211"/>
    <hyperlink r:id="rId61" ref="N213"/>
    <hyperlink r:id="rId62" ref="B218"/>
    <hyperlink r:id="rId63" ref="N225"/>
    <hyperlink r:id="rId64" ref="N227"/>
    <hyperlink r:id="rId65" ref="B231"/>
    <hyperlink r:id="rId66" ref="B242"/>
    <hyperlink r:id="rId67" ref="B251"/>
    <hyperlink r:id="rId68" ref="N253"/>
    <hyperlink r:id="rId69" ref="N254"/>
    <hyperlink r:id="rId70" ref="N256"/>
    <hyperlink r:id="rId71" ref="N259"/>
    <hyperlink r:id="rId72" ref="B260"/>
    <hyperlink r:id="rId73" ref="N260"/>
    <hyperlink r:id="rId74" ref="N262"/>
    <hyperlink r:id="rId75" ref="N265"/>
    <hyperlink r:id="rId76" ref="N266"/>
    <hyperlink r:id="rId77" ref="N268"/>
    <hyperlink r:id="rId78" ref="N271"/>
    <hyperlink r:id="rId79" ref="N272"/>
    <hyperlink r:id="rId80" ref="N274"/>
    <hyperlink r:id="rId81" ref="N277"/>
    <hyperlink r:id="rId82" ref="B278"/>
    <hyperlink r:id="rId83" ref="N278"/>
    <hyperlink r:id="rId84" ref="N280"/>
    <hyperlink r:id="rId85" ref="N283"/>
    <hyperlink r:id="rId86" ref="N284"/>
    <hyperlink r:id="rId87" ref="N289"/>
    <hyperlink r:id="rId88" ref="B294"/>
    <hyperlink r:id="rId89" ref="N295"/>
    <hyperlink r:id="rId90" ref="N301"/>
    <hyperlink r:id="rId91" ref="B304"/>
    <hyperlink r:id="rId92" ref="N307"/>
    <hyperlink r:id="rId93" ref="B312"/>
    <hyperlink r:id="rId94" ref="N313"/>
    <hyperlink r:id="rId95" ref="N319"/>
    <hyperlink r:id="rId96" ref="B320"/>
    <hyperlink r:id="rId97" ref="B322"/>
    <hyperlink r:id="rId98" ref="N325"/>
    <hyperlink r:id="rId99" ref="N331"/>
    <hyperlink r:id="rId100" ref="B332"/>
    <hyperlink r:id="rId101" ref="N337"/>
    <hyperlink r:id="rId102" ref="B340"/>
    <hyperlink r:id="rId103" ref="B342"/>
    <hyperlink r:id="rId104" ref="B350"/>
    <hyperlink r:id="rId105" ref="B357"/>
    <hyperlink r:id="rId106" ref="B363"/>
    <hyperlink r:id="rId107" ref="B370"/>
    <hyperlink r:id="rId108" ref="B382"/>
    <hyperlink r:id="rId109" ref="B388"/>
    <hyperlink r:id="rId110" ref="B392"/>
    <hyperlink r:id="rId111" ref="B398"/>
    <hyperlink r:id="rId112" ref="B412"/>
    <hyperlink r:id="rId113" ref="B418"/>
    <hyperlink r:id="rId114" ref="B422"/>
    <hyperlink r:id="rId115" ref="B430"/>
    <hyperlink r:id="rId116" ref="B439"/>
    <hyperlink r:id="rId117" ref="B442"/>
    <hyperlink r:id="rId118" ref="B450"/>
    <hyperlink r:id="rId119" ref="B453"/>
    <hyperlink r:id="rId120" ref="B458"/>
    <hyperlink r:id="rId121" ref="B460"/>
    <hyperlink r:id="rId122" ref="B469"/>
    <hyperlink r:id="rId123" ref="B478"/>
    <hyperlink r:id="rId124" ref="B480"/>
    <hyperlink r:id="rId125" ref="B487"/>
    <hyperlink r:id="rId126" ref="B489"/>
    <hyperlink r:id="rId127" ref="B500"/>
    <hyperlink r:id="rId128" ref="B510"/>
    <hyperlink r:id="rId129" ref="B521"/>
    <hyperlink r:id="rId130" ref="B529"/>
    <hyperlink r:id="rId131" ref="B531"/>
    <hyperlink r:id="rId132" ref="B539"/>
    <hyperlink r:id="rId133" ref="B545"/>
    <hyperlink r:id="rId134" ref="B549"/>
    <hyperlink r:id="rId135" ref="B553"/>
    <hyperlink r:id="rId136" ref="B558"/>
    <hyperlink r:id="rId137" ref="B566"/>
    <hyperlink r:id="rId138" ref="B574"/>
    <hyperlink r:id="rId139" ref="B582"/>
    <hyperlink r:id="rId140" ref="B589"/>
    <hyperlink r:id="rId141" ref="B594"/>
    <hyperlink r:id="rId142" ref="B597"/>
    <hyperlink r:id="rId143" ref="B606"/>
    <hyperlink r:id="rId144" ref="B616"/>
    <hyperlink r:id="rId145" ref="B624"/>
    <hyperlink r:id="rId146" ref="B636"/>
    <hyperlink r:id="rId147" ref="B646"/>
    <hyperlink r:id="rId148" ref="B656"/>
    <hyperlink r:id="rId149" ref="B666"/>
    <hyperlink r:id="rId150" ref="B671"/>
    <hyperlink r:id="rId151" ref="B680"/>
    <hyperlink r:id="rId152" ref="B682"/>
    <hyperlink r:id="rId153" ref="B687"/>
    <hyperlink r:id="rId154" ref="B694"/>
    <hyperlink r:id="rId155" ref="B710"/>
    <hyperlink r:id="rId156" ref="B728"/>
    <hyperlink r:id="rId157" ref="B744"/>
    <hyperlink r:id="rId158" ref="B762"/>
    <hyperlink r:id="rId159" ref="B776"/>
    <hyperlink r:id="rId160" ref="B778"/>
    <hyperlink r:id="rId161" ref="B782"/>
    <hyperlink r:id="rId162" ref="B788"/>
    <hyperlink r:id="rId163" ref="B792"/>
    <hyperlink r:id="rId164" ref="B794"/>
    <hyperlink r:id="rId165" ref="B798"/>
    <hyperlink r:id="rId166" ref="B800"/>
    <hyperlink r:id="rId167" ref="B804"/>
    <hyperlink r:id="rId168" ref="B806"/>
    <hyperlink r:id="rId169" ref="B810"/>
    <hyperlink r:id="rId170" ref="B812"/>
    <hyperlink r:id="rId171" ref="B816"/>
    <hyperlink r:id="rId172" ref="B818"/>
    <hyperlink r:id="rId173" ref="B822"/>
    <hyperlink r:id="rId174" ref="B824"/>
    <hyperlink r:id="rId175" ref="B828"/>
    <hyperlink r:id="rId176" ref="B830"/>
    <hyperlink r:id="rId177" ref="B834"/>
    <hyperlink r:id="rId178" ref="B840"/>
    <hyperlink r:id="rId179" ref="B846"/>
    <hyperlink r:id="rId180" ref="B852"/>
    <hyperlink r:id="rId181" ref="B856"/>
    <hyperlink r:id="rId182" ref="B858"/>
    <hyperlink r:id="rId183" ref="B862"/>
    <hyperlink r:id="rId184" ref="B868"/>
    <hyperlink r:id="rId185" ref="B874"/>
    <hyperlink r:id="rId186" ref="B880"/>
    <hyperlink r:id="rId187" ref="B886"/>
    <hyperlink r:id="rId188" ref="B892"/>
    <hyperlink r:id="rId189" ref="B898"/>
    <hyperlink r:id="rId190" ref="B904"/>
    <hyperlink r:id="rId191" ref="B910"/>
    <hyperlink r:id="rId192" ref="B916"/>
    <hyperlink r:id="rId193" ref="B922"/>
    <hyperlink r:id="rId194" ref="B928"/>
    <hyperlink r:id="rId195" ref="B934"/>
    <hyperlink r:id="rId196" ref="B940"/>
    <hyperlink r:id="rId197" ref="B1022"/>
    <hyperlink r:id="rId198" ref="B1031"/>
    <hyperlink r:id="rId199" ref="B1038"/>
    <hyperlink r:id="rId200" ref="B1046"/>
    <hyperlink r:id="rId201" ref="B1047"/>
    <hyperlink r:id="rId202" ref="B1054"/>
    <hyperlink r:id="rId203" ref="B1059"/>
    <hyperlink r:id="rId204" ref="B1070"/>
    <hyperlink r:id="rId205" ref="B1075"/>
    <hyperlink r:id="rId206" ref="B1082"/>
    <hyperlink r:id="rId207" ref="B1098"/>
    <hyperlink r:id="rId208" ref="B1099"/>
    <hyperlink r:id="rId209" ref="B1101"/>
    <hyperlink r:id="rId210" ref="B1115"/>
    <hyperlink r:id="rId211" ref="B1117"/>
    <hyperlink r:id="rId212" ref="B1131"/>
    <hyperlink r:id="rId213" ref="B1135"/>
    <hyperlink r:id="rId214" ref="B1157"/>
    <hyperlink r:id="rId215" ref="B1179"/>
    <hyperlink r:id="rId216" ref="B1193"/>
    <hyperlink r:id="rId217" ref="B1201"/>
    <hyperlink r:id="rId218" ref="B1214"/>
  </hyperlinks>
  <drawing r:id="rId219"/>
  <legacyDrawing r:id="rId2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8"/>
      <c r="B1" s="248"/>
      <c r="C1" s="248"/>
      <c r="D1" s="248"/>
      <c r="E1" s="248"/>
      <c r="F1" s="248"/>
      <c r="G1" s="248"/>
      <c r="H1" s="248"/>
      <c r="I1" s="248"/>
      <c r="J1" s="249"/>
      <c r="K1" s="250"/>
      <c r="L1" s="209"/>
      <c r="M1" s="251"/>
      <c r="N1" s="251"/>
      <c r="O1" s="251"/>
      <c r="P1" s="251"/>
      <c r="Q1" s="251"/>
      <c r="R1" s="251"/>
      <c r="S1" s="252"/>
      <c r="T1" s="253"/>
      <c r="U1" s="251"/>
      <c r="V1" s="251"/>
      <c r="W1" s="254"/>
      <c r="X1" s="209"/>
      <c r="Y1" s="255"/>
      <c r="Z1" s="256" t="s">
        <v>4044</v>
      </c>
      <c r="AA1" s="255"/>
      <c r="AB1" s="255"/>
      <c r="AC1" s="255"/>
      <c r="AD1" s="255"/>
      <c r="AE1" s="255"/>
      <c r="AF1" s="257"/>
      <c r="AG1" s="255"/>
      <c r="AH1" s="255"/>
      <c r="AI1" s="255"/>
      <c r="AJ1" s="209"/>
    </row>
    <row r="2">
      <c r="A2" s="258" t="s">
        <v>197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09"/>
      <c r="M2" s="260" t="s">
        <v>275</v>
      </c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09"/>
      <c r="Y2" s="261" t="s">
        <v>354</v>
      </c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09"/>
    </row>
    <row r="3">
      <c r="A3" s="262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09"/>
      <c r="M3" s="262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09"/>
      <c r="Y3" s="262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09"/>
    </row>
    <row r="4">
      <c r="A4" s="264" t="s">
        <v>355</v>
      </c>
      <c r="B4" s="265" t="s">
        <v>356</v>
      </c>
      <c r="C4" s="265" t="s">
        <v>357</v>
      </c>
      <c r="D4" s="266" t="s">
        <v>358</v>
      </c>
      <c r="E4" s="267" t="s">
        <v>359</v>
      </c>
      <c r="F4" s="268" t="s">
        <v>360</v>
      </c>
      <c r="G4" s="268" t="s">
        <v>361</v>
      </c>
      <c r="H4" s="268" t="s">
        <v>362</v>
      </c>
      <c r="I4" s="268" t="s">
        <v>363</v>
      </c>
      <c r="J4" s="265" t="s">
        <v>364</v>
      </c>
      <c r="K4" s="269" t="s">
        <v>365</v>
      </c>
      <c r="L4" s="209"/>
      <c r="M4" s="264" t="s">
        <v>355</v>
      </c>
      <c r="N4" s="265" t="s">
        <v>356</v>
      </c>
      <c r="O4" s="268" t="s">
        <v>357</v>
      </c>
      <c r="P4" s="265" t="s">
        <v>358</v>
      </c>
      <c r="Q4" s="270" t="s">
        <v>359</v>
      </c>
      <c r="R4" s="268" t="s">
        <v>360</v>
      </c>
      <c r="S4" s="268" t="s">
        <v>361</v>
      </c>
      <c r="T4" s="268" t="s">
        <v>366</v>
      </c>
      <c r="U4" s="268" t="s">
        <v>363</v>
      </c>
      <c r="V4" s="265" t="s">
        <v>364</v>
      </c>
      <c r="W4" s="269" t="s">
        <v>365</v>
      </c>
      <c r="X4" s="209"/>
      <c r="Y4" s="264" t="s">
        <v>355</v>
      </c>
      <c r="Z4" s="265" t="s">
        <v>356</v>
      </c>
      <c r="AA4" s="265" t="s">
        <v>367</v>
      </c>
      <c r="AB4" s="265" t="s">
        <v>358</v>
      </c>
      <c r="AC4" s="265" t="s">
        <v>359</v>
      </c>
      <c r="AD4" s="268" t="s">
        <v>360</v>
      </c>
      <c r="AE4" s="268" t="s">
        <v>361</v>
      </c>
      <c r="AF4" s="268" t="s">
        <v>366</v>
      </c>
      <c r="AG4" s="268" t="s">
        <v>363</v>
      </c>
      <c r="AH4" s="265" t="s">
        <v>364</v>
      </c>
      <c r="AI4" s="269" t="s">
        <v>365</v>
      </c>
      <c r="AJ4" s="209"/>
    </row>
    <row r="5">
      <c r="A5" s="271" t="s">
        <v>368</v>
      </c>
      <c r="B5" s="272" t="s">
        <v>240</v>
      </c>
      <c r="C5" s="273"/>
      <c r="D5" s="274" t="s">
        <v>239</v>
      </c>
      <c r="E5" s="275" t="s">
        <v>369</v>
      </c>
      <c r="F5" s="273"/>
      <c r="G5" s="273"/>
      <c r="H5" s="276" t="s">
        <v>370</v>
      </c>
      <c r="I5" s="277" t="s">
        <v>4045</v>
      </c>
      <c r="J5" s="278" t="str">
        <f>IF(COUNTIF(J6:J13, TRUE) = COUNTA(J6:J13), "Complete!", IF(COUNTIF(J6:J13, TRUE) &gt; 0, "Partial", "Not Started"))</f>
        <v>Complete!</v>
      </c>
      <c r="K5" s="279"/>
      <c r="L5" s="280">
        <v>8.0</v>
      </c>
      <c r="M5" s="281" t="s">
        <v>368</v>
      </c>
      <c r="N5" s="282" t="s">
        <v>372</v>
      </c>
      <c r="O5" s="273"/>
      <c r="P5" s="283" t="s">
        <v>373</v>
      </c>
      <c r="Q5" s="284" t="s">
        <v>374</v>
      </c>
      <c r="R5" s="273"/>
      <c r="S5" s="273"/>
      <c r="T5" s="276" t="s">
        <v>376</v>
      </c>
      <c r="U5" s="285" t="s">
        <v>4046</v>
      </c>
      <c r="V5" s="278" t="str">
        <f>IF(COUNTIF(V6:V16, TRUE) = COUNTA(V6:V16), "Complete!", IF(COUNTIF(V6:V16, TRUE) &gt; 0, "Partial", "Not Started"))</f>
        <v>Complete!</v>
      </c>
      <c r="W5" s="279"/>
      <c r="X5" s="280">
        <v>11.0</v>
      </c>
      <c r="Y5" s="286" t="s">
        <v>368</v>
      </c>
      <c r="Z5" s="287" t="s">
        <v>378</v>
      </c>
      <c r="AA5" s="288"/>
      <c r="AB5" s="274" t="s">
        <v>379</v>
      </c>
      <c r="AC5" s="289" t="s">
        <v>380</v>
      </c>
      <c r="AD5" s="288"/>
      <c r="AE5" s="288"/>
      <c r="AF5" s="276" t="s">
        <v>572</v>
      </c>
      <c r="AG5" s="276" t="s">
        <v>4047</v>
      </c>
      <c r="AH5" s="278" t="str">
        <f>IF(COUNTIF(AH6:AH21, TRUE) = COUNTA(AH6:AH21), "Complete!", IF(COUNTIF(AH6:AH21, TRUE) &gt; 0, "Partial", "Not Started"))</f>
        <v>Complete!</v>
      </c>
      <c r="AI5" s="279"/>
      <c r="AJ5" s="280">
        <v>16.0</v>
      </c>
    </row>
    <row r="6">
      <c r="A6" s="291"/>
      <c r="B6" s="292" t="s">
        <v>383</v>
      </c>
      <c r="C6" s="293" t="s">
        <v>384</v>
      </c>
      <c r="D6" s="293" t="s">
        <v>385</v>
      </c>
      <c r="E6" s="294">
        <v>8.10115971085E11</v>
      </c>
      <c r="F6" s="295"/>
      <c r="G6" s="295"/>
      <c r="H6" s="295"/>
      <c r="I6" s="295"/>
      <c r="J6" s="296" t="b">
        <v>1</v>
      </c>
      <c r="K6" s="297" t="b">
        <v>0</v>
      </c>
      <c r="L6" s="209"/>
      <c r="M6" s="291"/>
      <c r="N6" s="292" t="s">
        <v>386</v>
      </c>
      <c r="O6" s="298" t="s">
        <v>387</v>
      </c>
      <c r="P6" s="293" t="s">
        <v>388</v>
      </c>
      <c r="Q6" s="299">
        <v>8.10115970873E11</v>
      </c>
      <c r="R6" s="295"/>
      <c r="S6" s="295"/>
      <c r="T6" s="295"/>
      <c r="U6" s="295"/>
      <c r="V6" s="300" t="b">
        <v>1</v>
      </c>
      <c r="W6" s="301" t="b">
        <v>0</v>
      </c>
      <c r="X6" s="209"/>
      <c r="Y6" s="291"/>
      <c r="Z6" s="292" t="s">
        <v>389</v>
      </c>
      <c r="AA6" s="293" t="s">
        <v>390</v>
      </c>
      <c r="AB6" s="293" t="s">
        <v>391</v>
      </c>
      <c r="AC6" s="302" t="s">
        <v>392</v>
      </c>
      <c r="AD6" s="295"/>
      <c r="AE6" s="295"/>
      <c r="AF6" s="295"/>
      <c r="AG6" s="295"/>
      <c r="AH6" s="296" t="b">
        <v>1</v>
      </c>
      <c r="AI6" s="297" t="b">
        <v>0</v>
      </c>
      <c r="AJ6" s="209"/>
    </row>
    <row r="7">
      <c r="A7" s="291"/>
      <c r="B7" s="303" t="s">
        <v>393</v>
      </c>
      <c r="C7" s="304" t="s">
        <v>394</v>
      </c>
      <c r="D7" s="304" t="s">
        <v>395</v>
      </c>
      <c r="E7" s="305">
        <v>8.10115971313E11</v>
      </c>
      <c r="F7" s="209"/>
      <c r="G7" s="209"/>
      <c r="H7" s="209"/>
      <c r="I7" s="209"/>
      <c r="J7" s="296" t="b">
        <v>1</v>
      </c>
      <c r="K7" s="301" t="b">
        <v>0</v>
      </c>
      <c r="L7" s="209"/>
      <c r="M7" s="291"/>
      <c r="N7" s="303" t="s">
        <v>396</v>
      </c>
      <c r="O7" s="306" t="s">
        <v>397</v>
      </c>
      <c r="P7" s="304" t="s">
        <v>398</v>
      </c>
      <c r="Q7" s="307">
        <v>8.10115970132E11</v>
      </c>
      <c r="R7" s="209"/>
      <c r="S7" s="209"/>
      <c r="T7" s="209"/>
      <c r="U7" s="209"/>
      <c r="V7" s="300" t="b">
        <v>1</v>
      </c>
      <c r="W7" s="301" t="b">
        <v>0</v>
      </c>
      <c r="X7" s="209"/>
      <c r="Y7" s="291"/>
      <c r="Z7" s="303" t="s">
        <v>399</v>
      </c>
      <c r="AA7" s="304" t="s">
        <v>400</v>
      </c>
      <c r="AB7" s="304" t="s">
        <v>401</v>
      </c>
      <c r="AC7" s="308" t="s">
        <v>402</v>
      </c>
      <c r="AD7" s="209"/>
      <c r="AE7" s="209"/>
      <c r="AF7" s="209"/>
      <c r="AG7" s="209"/>
      <c r="AH7" s="300" t="b">
        <v>1</v>
      </c>
      <c r="AI7" s="301" t="b">
        <v>0</v>
      </c>
      <c r="AJ7" s="209"/>
    </row>
    <row r="8">
      <c r="A8" s="291"/>
      <c r="B8" s="303" t="s">
        <v>403</v>
      </c>
      <c r="C8" s="304" t="s">
        <v>404</v>
      </c>
      <c r="D8" s="304" t="s">
        <v>405</v>
      </c>
      <c r="E8" s="305">
        <v>8.10115976578E11</v>
      </c>
      <c r="F8" s="209"/>
      <c r="G8" s="209"/>
      <c r="H8" s="209"/>
      <c r="I8" s="209"/>
      <c r="J8" s="296" t="b">
        <v>1</v>
      </c>
      <c r="K8" s="301" t="b">
        <v>0</v>
      </c>
      <c r="L8" s="209"/>
      <c r="M8" s="291"/>
      <c r="N8" s="303" t="s">
        <v>408</v>
      </c>
      <c r="O8" s="306" t="s">
        <v>409</v>
      </c>
      <c r="P8" s="304" t="s">
        <v>410</v>
      </c>
      <c r="Q8" s="307">
        <v>8.10115976066E11</v>
      </c>
      <c r="R8" s="209"/>
      <c r="S8" s="209"/>
      <c r="T8" s="209"/>
      <c r="U8" s="209"/>
      <c r="V8" s="300" t="b">
        <v>1</v>
      </c>
      <c r="W8" s="301" t="b">
        <v>0</v>
      </c>
      <c r="X8" s="209"/>
      <c r="Y8" s="291"/>
      <c r="Z8" s="303" t="s">
        <v>411</v>
      </c>
      <c r="AA8" s="304" t="s">
        <v>412</v>
      </c>
      <c r="AB8" s="304" t="s">
        <v>413</v>
      </c>
      <c r="AC8" s="308" t="s">
        <v>414</v>
      </c>
      <c r="AD8" s="209"/>
      <c r="AE8" s="209"/>
      <c r="AF8" s="209"/>
      <c r="AG8" s="209"/>
      <c r="AH8" s="300" t="b">
        <v>1</v>
      </c>
      <c r="AI8" s="301" t="b">
        <v>0</v>
      </c>
      <c r="AJ8" s="209"/>
    </row>
    <row r="9">
      <c r="A9" s="291"/>
      <c r="B9" s="303" t="s">
        <v>415</v>
      </c>
      <c r="C9" s="304" t="s">
        <v>390</v>
      </c>
      <c r="D9" s="304" t="s">
        <v>416</v>
      </c>
      <c r="E9" s="305">
        <v>8.10115972921E11</v>
      </c>
      <c r="F9" s="209"/>
      <c r="G9" s="209"/>
      <c r="H9" s="209"/>
      <c r="I9" s="209"/>
      <c r="J9" s="296" t="b">
        <v>1</v>
      </c>
      <c r="K9" s="301" t="b">
        <v>0</v>
      </c>
      <c r="L9" s="209"/>
      <c r="M9" s="291"/>
      <c r="N9" s="303" t="s">
        <v>417</v>
      </c>
      <c r="O9" s="306" t="s">
        <v>418</v>
      </c>
      <c r="P9" s="304" t="s">
        <v>419</v>
      </c>
      <c r="Q9" s="307">
        <v>8.40472501588E11</v>
      </c>
      <c r="R9" s="209"/>
      <c r="S9" s="209"/>
      <c r="T9" s="209"/>
      <c r="U9" s="209"/>
      <c r="V9" s="300" t="b">
        <v>1</v>
      </c>
      <c r="W9" s="301" t="b">
        <v>0</v>
      </c>
      <c r="X9" s="209"/>
      <c r="Y9" s="291"/>
      <c r="Z9" s="303" t="s">
        <v>420</v>
      </c>
      <c r="AA9" s="304" t="s">
        <v>421</v>
      </c>
      <c r="AB9" s="304" t="s">
        <v>422</v>
      </c>
      <c r="AC9" s="308" t="s">
        <v>423</v>
      </c>
      <c r="AD9" s="209"/>
      <c r="AE9" s="209"/>
      <c r="AF9" s="209"/>
      <c r="AG9" s="209"/>
      <c r="AH9" s="300" t="b">
        <v>1</v>
      </c>
      <c r="AI9" s="301" t="b">
        <v>0</v>
      </c>
      <c r="AJ9" s="209"/>
    </row>
    <row r="10">
      <c r="A10" s="291"/>
      <c r="B10" s="303" t="s">
        <v>424</v>
      </c>
      <c r="C10" s="304" t="s">
        <v>400</v>
      </c>
      <c r="D10" s="304" t="s">
        <v>425</v>
      </c>
      <c r="E10" s="305">
        <v>8.10115973027E11</v>
      </c>
      <c r="F10" s="209"/>
      <c r="G10" s="209"/>
      <c r="H10" s="209"/>
      <c r="I10" s="209"/>
      <c r="J10" s="296" t="b">
        <v>1</v>
      </c>
      <c r="K10" s="301" t="b">
        <v>0</v>
      </c>
      <c r="L10" s="209"/>
      <c r="M10" s="291"/>
      <c r="N10" s="303" t="s">
        <v>427</v>
      </c>
      <c r="O10" s="306" t="s">
        <v>428</v>
      </c>
      <c r="P10" s="304" t="s">
        <v>429</v>
      </c>
      <c r="Q10" s="307">
        <v>8.40472501632E11</v>
      </c>
      <c r="R10" s="209"/>
      <c r="S10" s="209"/>
      <c r="T10" s="209"/>
      <c r="U10" s="209"/>
      <c r="V10" s="300" t="b">
        <v>1</v>
      </c>
      <c r="W10" s="301" t="b">
        <v>0</v>
      </c>
      <c r="X10" s="209"/>
      <c r="Y10" s="291"/>
      <c r="Z10" s="303" t="s">
        <v>430</v>
      </c>
      <c r="AA10" s="304" t="s">
        <v>431</v>
      </c>
      <c r="AB10" s="304" t="s">
        <v>432</v>
      </c>
      <c r="AC10" s="308" t="s">
        <v>433</v>
      </c>
      <c r="AD10" s="209"/>
      <c r="AE10" s="209"/>
      <c r="AF10" s="209"/>
      <c r="AG10" s="209"/>
      <c r="AH10" s="300" t="b">
        <v>1</v>
      </c>
      <c r="AI10" s="301" t="b">
        <v>0</v>
      </c>
      <c r="AJ10" s="209"/>
    </row>
    <row r="11">
      <c r="A11" s="291"/>
      <c r="B11" s="303" t="s">
        <v>241</v>
      </c>
      <c r="C11" s="304" t="s">
        <v>434</v>
      </c>
      <c r="D11" s="304" t="s">
        <v>435</v>
      </c>
      <c r="E11" s="305">
        <v>8.40472502554E11</v>
      </c>
      <c r="F11" s="209"/>
      <c r="G11" s="209"/>
      <c r="H11" s="209"/>
      <c r="I11" s="209"/>
      <c r="J11" s="296" t="b">
        <v>1</v>
      </c>
      <c r="K11" s="301" t="b">
        <v>0</v>
      </c>
      <c r="L11" s="209"/>
      <c r="M11" s="291"/>
      <c r="N11" s="303" t="s">
        <v>436</v>
      </c>
      <c r="O11" s="306" t="s">
        <v>437</v>
      </c>
      <c r="P11" s="304" t="s">
        <v>438</v>
      </c>
      <c r="Q11" s="307">
        <v>8.4047250167E11</v>
      </c>
      <c r="R11" s="209"/>
      <c r="S11" s="209"/>
      <c r="T11" s="209"/>
      <c r="U11" s="209"/>
      <c r="V11" s="300" t="b">
        <v>1</v>
      </c>
      <c r="W11" s="301" t="b">
        <v>0</v>
      </c>
      <c r="X11" s="209"/>
      <c r="Y11" s="291"/>
      <c r="Z11" s="303" t="s">
        <v>439</v>
      </c>
      <c r="AA11" s="304" t="s">
        <v>440</v>
      </c>
      <c r="AB11" s="304" t="s">
        <v>441</v>
      </c>
      <c r="AC11" s="308" t="s">
        <v>442</v>
      </c>
      <c r="AD11" s="209"/>
      <c r="AE11" s="209"/>
      <c r="AF11" s="209"/>
      <c r="AG11" s="209"/>
      <c r="AH11" s="300" t="b">
        <v>1</v>
      </c>
      <c r="AI11" s="301" t="b">
        <v>0</v>
      </c>
      <c r="AJ11" s="209"/>
    </row>
    <row r="12">
      <c r="A12" s="291"/>
      <c r="B12" s="303" t="s">
        <v>443</v>
      </c>
      <c r="C12" s="304" t="s">
        <v>412</v>
      </c>
      <c r="D12" s="304" t="s">
        <v>444</v>
      </c>
      <c r="E12" s="305">
        <v>8.10115973034E11</v>
      </c>
      <c r="F12" s="209"/>
      <c r="G12" s="209"/>
      <c r="H12" s="209"/>
      <c r="I12" s="209"/>
      <c r="J12" s="296" t="b">
        <v>1</v>
      </c>
      <c r="K12" s="301" t="b">
        <v>0</v>
      </c>
      <c r="L12" s="209"/>
      <c r="M12" s="291"/>
      <c r="N12" s="303" t="s">
        <v>445</v>
      </c>
      <c r="O12" s="306" t="s">
        <v>446</v>
      </c>
      <c r="P12" s="304" t="s">
        <v>447</v>
      </c>
      <c r="Q12" s="307">
        <v>8.4047250174E10</v>
      </c>
      <c r="R12" s="209"/>
      <c r="S12" s="209"/>
      <c r="T12" s="209"/>
      <c r="U12" s="209"/>
      <c r="V12" s="300" t="b">
        <v>1</v>
      </c>
      <c r="W12" s="301" t="b">
        <v>0</v>
      </c>
      <c r="X12" s="209"/>
      <c r="Y12" s="291"/>
      <c r="Z12" s="303" t="s">
        <v>448</v>
      </c>
      <c r="AA12" s="304" t="s">
        <v>449</v>
      </c>
      <c r="AB12" s="304" t="s">
        <v>450</v>
      </c>
      <c r="AC12" s="308" t="s">
        <v>451</v>
      </c>
      <c r="AD12" s="209"/>
      <c r="AE12" s="209"/>
      <c r="AF12" s="209"/>
      <c r="AG12" s="209"/>
      <c r="AH12" s="300" t="b">
        <v>1</v>
      </c>
      <c r="AI12" s="301" t="b">
        <v>0</v>
      </c>
      <c r="AJ12" s="209"/>
    </row>
    <row r="13">
      <c r="A13" s="309"/>
      <c r="B13" s="310" t="s">
        <v>452</v>
      </c>
      <c r="C13" s="311" t="s">
        <v>431</v>
      </c>
      <c r="D13" s="311" t="s">
        <v>453</v>
      </c>
      <c r="E13" s="312">
        <v>8.10115972938E11</v>
      </c>
      <c r="F13" s="313"/>
      <c r="G13" s="313"/>
      <c r="H13" s="313"/>
      <c r="I13" s="313"/>
      <c r="J13" s="296" t="b">
        <v>1</v>
      </c>
      <c r="K13" s="314" t="b">
        <v>0</v>
      </c>
      <c r="L13" s="209"/>
      <c r="M13" s="291"/>
      <c r="N13" s="303" t="s">
        <v>454</v>
      </c>
      <c r="O13" s="306" t="s">
        <v>455</v>
      </c>
      <c r="P13" s="304" t="s">
        <v>456</v>
      </c>
      <c r="Q13" s="307">
        <v>8.40472501687E11</v>
      </c>
      <c r="R13" s="209"/>
      <c r="S13" s="209"/>
      <c r="T13" s="209"/>
      <c r="U13" s="209"/>
      <c r="V13" s="300" t="b">
        <v>1</v>
      </c>
      <c r="W13" s="301" t="b">
        <v>0</v>
      </c>
      <c r="X13" s="209"/>
      <c r="Y13" s="291"/>
      <c r="Z13" s="303" t="s">
        <v>457</v>
      </c>
      <c r="AA13" s="304" t="s">
        <v>458</v>
      </c>
      <c r="AB13" s="304" t="s">
        <v>459</v>
      </c>
      <c r="AC13" s="308" t="s">
        <v>460</v>
      </c>
      <c r="AD13" s="209"/>
      <c r="AE13" s="209"/>
      <c r="AF13" s="209"/>
      <c r="AG13" s="209"/>
      <c r="AH13" s="300" t="b">
        <v>1</v>
      </c>
      <c r="AI13" s="301" t="b">
        <v>0</v>
      </c>
      <c r="AJ13" s="209"/>
    </row>
    <row r="14">
      <c r="A14" s="209"/>
      <c r="B14" s="209"/>
      <c r="C14" s="209"/>
      <c r="D14" s="209"/>
      <c r="E14" s="209"/>
      <c r="F14" s="209"/>
      <c r="G14" s="209"/>
      <c r="H14" s="209"/>
      <c r="I14" s="209"/>
      <c r="J14" s="313"/>
      <c r="K14" s="209"/>
      <c r="L14" s="209"/>
      <c r="M14" s="291"/>
      <c r="N14" s="303" t="s">
        <v>461</v>
      </c>
      <c r="O14" s="306" t="s">
        <v>462</v>
      </c>
      <c r="P14" s="304" t="s">
        <v>463</v>
      </c>
      <c r="Q14" s="307">
        <v>8.40472501618E11</v>
      </c>
      <c r="R14" s="209"/>
      <c r="S14" s="209"/>
      <c r="T14" s="209"/>
      <c r="U14" s="209"/>
      <c r="V14" s="300" t="b">
        <v>1</v>
      </c>
      <c r="W14" s="301" t="b">
        <v>0</v>
      </c>
      <c r="X14" s="209"/>
      <c r="Y14" s="291"/>
      <c r="Z14" s="303" t="s">
        <v>464</v>
      </c>
      <c r="AA14" s="304" t="s">
        <v>390</v>
      </c>
      <c r="AB14" s="304" t="s">
        <v>465</v>
      </c>
      <c r="AC14" s="308" t="s">
        <v>466</v>
      </c>
      <c r="AD14" s="209"/>
      <c r="AE14" s="209"/>
      <c r="AF14" s="209"/>
      <c r="AG14" s="209"/>
      <c r="AH14" s="300" t="b">
        <v>1</v>
      </c>
      <c r="AI14" s="301" t="b">
        <v>0</v>
      </c>
      <c r="AJ14" s="209"/>
    </row>
    <row r="15">
      <c r="A15" s="316" t="s">
        <v>467</v>
      </c>
      <c r="B15" s="272" t="s">
        <v>243</v>
      </c>
      <c r="C15" s="273"/>
      <c r="D15" s="274" t="s">
        <v>242</v>
      </c>
      <c r="E15" s="275" t="s">
        <v>369</v>
      </c>
      <c r="F15" s="273"/>
      <c r="G15" s="273"/>
      <c r="H15" s="276" t="s">
        <v>468</v>
      </c>
      <c r="I15" s="277" t="s">
        <v>1164</v>
      </c>
      <c r="J15" s="278" t="str">
        <f>IF(COUNTIF(J16:J25, TRUE) = COUNTA(J16:J25), "Complete!", IF(COUNTIF(J16:J25, TRUE) &gt; 0, "Partial", "Not Started"))</f>
        <v>Complete!</v>
      </c>
      <c r="K15" s="279"/>
      <c r="L15" s="280">
        <v>10.0</v>
      </c>
      <c r="M15" s="291"/>
      <c r="N15" s="303" t="s">
        <v>470</v>
      </c>
      <c r="O15" s="306" t="s">
        <v>471</v>
      </c>
      <c r="P15" s="304" t="s">
        <v>472</v>
      </c>
      <c r="Q15" s="307">
        <v>8.40472501793E11</v>
      </c>
      <c r="R15" s="209"/>
      <c r="S15" s="209"/>
      <c r="T15" s="209"/>
      <c r="U15" s="209"/>
      <c r="V15" s="300" t="b">
        <v>1</v>
      </c>
      <c r="W15" s="301" t="b">
        <v>0</v>
      </c>
      <c r="X15" s="209"/>
      <c r="Y15" s="291"/>
      <c r="Z15" s="303" t="s">
        <v>473</v>
      </c>
      <c r="AA15" s="304" t="s">
        <v>431</v>
      </c>
      <c r="AB15" s="304" t="s">
        <v>474</v>
      </c>
      <c r="AC15" s="307">
        <v>8.101159702E11</v>
      </c>
      <c r="AD15" s="209"/>
      <c r="AE15" s="209"/>
      <c r="AF15" s="209"/>
      <c r="AG15" s="209"/>
      <c r="AH15" s="300" t="b">
        <v>1</v>
      </c>
      <c r="AI15" s="301" t="b">
        <v>0</v>
      </c>
      <c r="AJ15" s="209"/>
    </row>
    <row r="16">
      <c r="A16" s="291"/>
      <c r="B16" s="292" t="s">
        <v>475</v>
      </c>
      <c r="C16" s="293" t="s">
        <v>421</v>
      </c>
      <c r="D16" s="293" t="s">
        <v>476</v>
      </c>
      <c r="E16" s="294">
        <v>8.10115973058E11</v>
      </c>
      <c r="F16" s="295"/>
      <c r="G16" s="295"/>
      <c r="H16" s="295"/>
      <c r="I16" s="295"/>
      <c r="J16" s="296" t="b">
        <v>1</v>
      </c>
      <c r="K16" s="297" t="b">
        <v>0</v>
      </c>
      <c r="L16" s="209"/>
      <c r="M16" s="309"/>
      <c r="N16" s="310" t="s">
        <v>477</v>
      </c>
      <c r="O16" s="317" t="s">
        <v>478</v>
      </c>
      <c r="P16" s="311" t="s">
        <v>479</v>
      </c>
      <c r="Q16" s="318">
        <v>8.40472501649E11</v>
      </c>
      <c r="R16" s="313"/>
      <c r="S16" s="313"/>
      <c r="T16" s="313"/>
      <c r="U16" s="313"/>
      <c r="V16" s="350" t="b">
        <v>1</v>
      </c>
      <c r="W16" s="314" t="b">
        <v>0</v>
      </c>
      <c r="X16" s="209"/>
      <c r="Y16" s="291"/>
      <c r="Z16" s="303" t="s">
        <v>480</v>
      </c>
      <c r="AA16" s="304" t="s">
        <v>400</v>
      </c>
      <c r="AB16" s="304" t="s">
        <v>481</v>
      </c>
      <c r="AC16" s="307">
        <v>8.10115970194E11</v>
      </c>
      <c r="AD16" s="209"/>
      <c r="AE16" s="209"/>
      <c r="AF16" s="209"/>
      <c r="AG16" s="209"/>
      <c r="AH16" s="300" t="b">
        <v>1</v>
      </c>
      <c r="AI16" s="301" t="b">
        <v>0</v>
      </c>
      <c r="AJ16" s="209"/>
    </row>
    <row r="17">
      <c r="A17" s="291"/>
      <c r="B17" s="303" t="s">
        <v>482</v>
      </c>
      <c r="C17" s="304" t="s">
        <v>449</v>
      </c>
      <c r="D17" s="304" t="s">
        <v>483</v>
      </c>
      <c r="E17" s="305">
        <v>8.10115973065E11</v>
      </c>
      <c r="F17" s="209"/>
      <c r="G17" s="209"/>
      <c r="H17" s="209"/>
      <c r="I17" s="209"/>
      <c r="J17" s="296" t="b">
        <v>1</v>
      </c>
      <c r="K17" s="301" t="b">
        <v>0</v>
      </c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91"/>
      <c r="Z17" s="303" t="s">
        <v>484</v>
      </c>
      <c r="AA17" s="304" t="s">
        <v>421</v>
      </c>
      <c r="AB17" s="304" t="s">
        <v>485</v>
      </c>
      <c r="AC17" s="307">
        <v>8.1011597116E11</v>
      </c>
      <c r="AD17" s="209"/>
      <c r="AE17" s="209"/>
      <c r="AF17" s="209"/>
      <c r="AG17" s="209"/>
      <c r="AH17" s="300" t="b">
        <v>1</v>
      </c>
      <c r="AI17" s="301" t="b">
        <v>0</v>
      </c>
      <c r="AJ17" s="209"/>
    </row>
    <row r="18">
      <c r="A18" s="291"/>
      <c r="B18" s="303" t="s">
        <v>486</v>
      </c>
      <c r="C18" s="304" t="s">
        <v>487</v>
      </c>
      <c r="D18" s="304" t="s">
        <v>488</v>
      </c>
      <c r="E18" s="305">
        <v>8.10115972952E11</v>
      </c>
      <c r="F18" s="209"/>
      <c r="G18" s="209"/>
      <c r="H18" s="209"/>
      <c r="I18" s="209"/>
      <c r="J18" s="296" t="b">
        <v>1</v>
      </c>
      <c r="K18" s="301" t="b">
        <v>0</v>
      </c>
      <c r="L18" s="209"/>
      <c r="M18" s="281" t="s">
        <v>467</v>
      </c>
      <c r="N18" s="319" t="s">
        <v>490</v>
      </c>
      <c r="O18" s="320"/>
      <c r="P18" s="283" t="s">
        <v>491</v>
      </c>
      <c r="Q18" s="275" t="s">
        <v>374</v>
      </c>
      <c r="R18" s="273"/>
      <c r="S18" s="273"/>
      <c r="T18" s="276" t="s">
        <v>370</v>
      </c>
      <c r="U18" s="276" t="s">
        <v>4048</v>
      </c>
      <c r="V18" s="278" t="str">
        <f>IF(COUNTIF(V19:V26, TRUE) = COUNTA(V19:V26), "Complete!", IF(COUNTIF(V19:V26, TRUE) &gt; 0, "Partial", "Not Started"))</f>
        <v>Complete!</v>
      </c>
      <c r="W18" s="279"/>
      <c r="X18" s="280">
        <v>8.0</v>
      </c>
      <c r="Y18" s="291"/>
      <c r="Z18" s="303" t="s">
        <v>493</v>
      </c>
      <c r="AA18" s="304" t="s">
        <v>412</v>
      </c>
      <c r="AB18" s="304" t="s">
        <v>494</v>
      </c>
      <c r="AC18" s="308" t="s">
        <v>495</v>
      </c>
      <c r="AD18" s="209"/>
      <c r="AE18" s="209"/>
      <c r="AF18" s="209"/>
      <c r="AG18" s="209"/>
      <c r="AH18" s="300" t="b">
        <v>1</v>
      </c>
      <c r="AI18" s="301" t="b">
        <v>0</v>
      </c>
      <c r="AJ18" s="209"/>
    </row>
    <row r="19">
      <c r="A19" s="291"/>
      <c r="B19" s="303" t="s">
        <v>496</v>
      </c>
      <c r="C19" s="304" t="s">
        <v>440</v>
      </c>
      <c r="D19" s="304" t="s">
        <v>497</v>
      </c>
      <c r="E19" s="305">
        <v>8.10115972709E11</v>
      </c>
      <c r="F19" s="209"/>
      <c r="G19" s="209"/>
      <c r="H19" s="209"/>
      <c r="I19" s="209"/>
      <c r="J19" s="296" t="b">
        <v>1</v>
      </c>
      <c r="K19" s="301" t="b">
        <v>0</v>
      </c>
      <c r="L19" s="209"/>
      <c r="M19" s="291"/>
      <c r="N19" s="304" t="s">
        <v>498</v>
      </c>
      <c r="O19" s="306" t="s">
        <v>499</v>
      </c>
      <c r="P19" s="304" t="s">
        <v>500</v>
      </c>
      <c r="Q19" s="307">
        <v>8.10115970958E11</v>
      </c>
      <c r="R19" s="295"/>
      <c r="S19" s="295"/>
      <c r="T19" s="295"/>
      <c r="U19" s="295"/>
      <c r="V19" s="296" t="b">
        <v>1</v>
      </c>
      <c r="W19" s="297" t="b">
        <v>0</v>
      </c>
      <c r="X19" s="209"/>
      <c r="Y19" s="291"/>
      <c r="Z19" s="303" t="s">
        <v>501</v>
      </c>
      <c r="AA19" s="304" t="s">
        <v>502</v>
      </c>
      <c r="AB19" s="304" t="s">
        <v>503</v>
      </c>
      <c r="AC19" s="209"/>
      <c r="AD19" s="209"/>
      <c r="AE19" s="209"/>
      <c r="AF19" s="209"/>
      <c r="AG19" s="209"/>
      <c r="AH19" s="300" t="b">
        <v>1</v>
      </c>
      <c r="AI19" s="301" t="b">
        <v>0</v>
      </c>
      <c r="AJ19" s="209"/>
    </row>
    <row r="20">
      <c r="A20" s="291"/>
      <c r="B20" s="303" t="s">
        <v>504</v>
      </c>
      <c r="C20" s="304" t="s">
        <v>505</v>
      </c>
      <c r="D20" s="304" t="s">
        <v>506</v>
      </c>
      <c r="E20" s="305">
        <v>8.10115973256E11</v>
      </c>
      <c r="F20" s="209"/>
      <c r="G20" s="209"/>
      <c r="H20" s="209"/>
      <c r="I20" s="209"/>
      <c r="J20" s="296" t="b">
        <v>1</v>
      </c>
      <c r="K20" s="301" t="b">
        <v>0</v>
      </c>
      <c r="L20" s="209"/>
      <c r="M20" s="291"/>
      <c r="N20" s="304" t="s">
        <v>507</v>
      </c>
      <c r="O20" s="306" t="s">
        <v>437</v>
      </c>
      <c r="P20" s="304" t="s">
        <v>508</v>
      </c>
      <c r="Q20" s="307">
        <v>8.10115970125E11</v>
      </c>
      <c r="R20" s="209"/>
      <c r="S20" s="209"/>
      <c r="T20" s="209"/>
      <c r="U20" s="209"/>
      <c r="V20" s="300" t="b">
        <v>1</v>
      </c>
      <c r="W20" s="301" t="b">
        <v>0</v>
      </c>
      <c r="X20" s="209"/>
      <c r="Y20" s="291"/>
      <c r="Z20" s="303" t="s">
        <v>509</v>
      </c>
      <c r="AA20" s="304" t="s">
        <v>510</v>
      </c>
      <c r="AB20" s="304" t="s">
        <v>511</v>
      </c>
      <c r="AC20" s="209"/>
      <c r="AD20" s="209"/>
      <c r="AE20" s="209"/>
      <c r="AF20" s="209"/>
      <c r="AG20" s="209"/>
      <c r="AH20" s="300" t="b">
        <v>1</v>
      </c>
      <c r="AI20" s="301" t="b">
        <v>0</v>
      </c>
      <c r="AJ20" s="209"/>
    </row>
    <row r="21">
      <c r="A21" s="291"/>
      <c r="B21" s="303" t="s">
        <v>512</v>
      </c>
      <c r="C21" s="304" t="s">
        <v>513</v>
      </c>
      <c r="D21" s="304" t="s">
        <v>514</v>
      </c>
      <c r="E21" s="305">
        <v>8.40472502462E11</v>
      </c>
      <c r="F21" s="209"/>
      <c r="G21" s="209"/>
      <c r="H21" s="209"/>
      <c r="I21" s="209"/>
      <c r="J21" s="296" t="b">
        <v>1</v>
      </c>
      <c r="K21" s="301" t="b">
        <v>0</v>
      </c>
      <c r="L21" s="209"/>
      <c r="M21" s="291"/>
      <c r="N21" s="304" t="s">
        <v>515</v>
      </c>
      <c r="O21" s="306" t="s">
        <v>516</v>
      </c>
      <c r="P21" s="304" t="s">
        <v>517</v>
      </c>
      <c r="Q21" s="307">
        <v>8.10115970941E11</v>
      </c>
      <c r="R21" s="209"/>
      <c r="S21" s="209"/>
      <c r="T21" s="209"/>
      <c r="U21" s="209"/>
      <c r="V21" s="300" t="b">
        <v>1</v>
      </c>
      <c r="W21" s="301" t="b">
        <v>0</v>
      </c>
      <c r="X21" s="209"/>
      <c r="Y21" s="309"/>
      <c r="Z21" s="310" t="s">
        <v>518</v>
      </c>
      <c r="AA21" s="311" t="s">
        <v>519</v>
      </c>
      <c r="AB21" s="311" t="s">
        <v>520</v>
      </c>
      <c r="AC21" s="313"/>
      <c r="AD21" s="313"/>
      <c r="AE21" s="313"/>
      <c r="AF21" s="313"/>
      <c r="AG21" s="313"/>
      <c r="AH21" s="350" t="b">
        <v>1</v>
      </c>
      <c r="AI21" s="314" t="b">
        <v>0</v>
      </c>
      <c r="AJ21" s="209"/>
    </row>
    <row r="22">
      <c r="A22" s="291"/>
      <c r="B22" s="303" t="s">
        <v>521</v>
      </c>
      <c r="C22" s="304" t="s">
        <v>522</v>
      </c>
      <c r="D22" s="304" t="s">
        <v>523</v>
      </c>
      <c r="E22" s="305">
        <v>8.40472502486E11</v>
      </c>
      <c r="F22" s="209"/>
      <c r="G22" s="209"/>
      <c r="H22" s="209"/>
      <c r="I22" s="209"/>
      <c r="J22" s="296" t="b">
        <v>1</v>
      </c>
      <c r="K22" s="301" t="b">
        <v>0</v>
      </c>
      <c r="L22" s="209"/>
      <c r="M22" s="291"/>
      <c r="N22" s="304" t="s">
        <v>524</v>
      </c>
      <c r="O22" s="306" t="s">
        <v>525</v>
      </c>
      <c r="P22" s="304" t="s">
        <v>526</v>
      </c>
      <c r="Q22" s="307">
        <v>8.40472501731E11</v>
      </c>
      <c r="R22" s="209"/>
      <c r="S22" s="209"/>
      <c r="T22" s="209"/>
      <c r="U22" s="209"/>
      <c r="V22" s="300" t="b">
        <v>1</v>
      </c>
      <c r="W22" s="301" t="b">
        <v>0</v>
      </c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</row>
    <row r="23">
      <c r="A23" s="291"/>
      <c r="B23" s="303" t="s">
        <v>528</v>
      </c>
      <c r="C23" s="304" t="s">
        <v>529</v>
      </c>
      <c r="D23" s="304" t="s">
        <v>530</v>
      </c>
      <c r="E23" s="305">
        <v>8.10115973263E11</v>
      </c>
      <c r="F23" s="209"/>
      <c r="G23" s="209"/>
      <c r="H23" s="209"/>
      <c r="I23" s="209"/>
      <c r="J23" s="296" t="b">
        <v>1</v>
      </c>
      <c r="K23" s="301" t="b">
        <v>0</v>
      </c>
      <c r="L23" s="209"/>
      <c r="M23" s="291"/>
      <c r="N23" s="304" t="s">
        <v>532</v>
      </c>
      <c r="O23" s="306" t="s">
        <v>533</v>
      </c>
      <c r="P23" s="304" t="s">
        <v>534</v>
      </c>
      <c r="Q23" s="307">
        <v>8.40472501724E11</v>
      </c>
      <c r="R23" s="209"/>
      <c r="S23" s="209"/>
      <c r="T23" s="209"/>
      <c r="U23" s="209"/>
      <c r="V23" s="300" t="b">
        <v>1</v>
      </c>
      <c r="W23" s="301" t="b">
        <v>0</v>
      </c>
      <c r="X23" s="209"/>
      <c r="Y23" s="286" t="s">
        <v>467</v>
      </c>
      <c r="Z23" s="282" t="s">
        <v>535</v>
      </c>
      <c r="AA23" s="273"/>
      <c r="AB23" s="274" t="s">
        <v>536</v>
      </c>
      <c r="AC23" s="321" t="s">
        <v>380</v>
      </c>
      <c r="AD23" s="273"/>
      <c r="AE23" s="273"/>
      <c r="AF23" s="276" t="s">
        <v>376</v>
      </c>
      <c r="AG23" s="276" t="s">
        <v>4049</v>
      </c>
      <c r="AH23" s="278" t="str">
        <f>IF(COUNTIF(AH24:AH33, TRUE) = COUNTA(AH24:AH33), "Complete!", IF(COUNTIF(AH24:AH33, TRUE) &gt; 0, "Partial", "Not Started"))</f>
        <v>Complete!</v>
      </c>
      <c r="AI23" s="279"/>
      <c r="AJ23" s="280">
        <v>10.0</v>
      </c>
    </row>
    <row r="24">
      <c r="A24" s="291"/>
      <c r="B24" s="303" t="s">
        <v>538</v>
      </c>
      <c r="C24" s="304" t="s">
        <v>539</v>
      </c>
      <c r="D24" s="304" t="s">
        <v>540</v>
      </c>
      <c r="E24" s="305">
        <v>8.10115977094E11</v>
      </c>
      <c r="F24" s="209"/>
      <c r="G24" s="209"/>
      <c r="H24" s="209"/>
      <c r="I24" s="209"/>
      <c r="J24" s="296" t="b">
        <v>1</v>
      </c>
      <c r="K24" s="301" t="b">
        <v>0</v>
      </c>
      <c r="L24" s="209"/>
      <c r="M24" s="291"/>
      <c r="N24" s="304" t="s">
        <v>541</v>
      </c>
      <c r="O24" s="306" t="s">
        <v>542</v>
      </c>
      <c r="P24" s="304" t="s">
        <v>543</v>
      </c>
      <c r="Q24" s="307">
        <v>8.40472501694E11</v>
      </c>
      <c r="R24" s="209"/>
      <c r="S24" s="209"/>
      <c r="T24" s="209"/>
      <c r="U24" s="209"/>
      <c r="V24" s="300" t="b">
        <v>1</v>
      </c>
      <c r="W24" s="301" t="b">
        <v>0</v>
      </c>
      <c r="X24" s="209"/>
      <c r="Y24" s="291"/>
      <c r="Z24" s="292" t="s">
        <v>544</v>
      </c>
      <c r="AA24" s="293" t="s">
        <v>390</v>
      </c>
      <c r="AB24" s="293" t="s">
        <v>545</v>
      </c>
      <c r="AC24" s="299">
        <v>8.101159764E11</v>
      </c>
      <c r="AD24" s="295"/>
      <c r="AE24" s="295"/>
      <c r="AF24" s="295"/>
      <c r="AG24" s="295"/>
      <c r="AH24" s="299" t="b">
        <v>1</v>
      </c>
      <c r="AI24" s="297" t="b">
        <v>0</v>
      </c>
      <c r="AJ24" s="209"/>
    </row>
    <row r="25">
      <c r="A25" s="309"/>
      <c r="B25" s="310" t="s">
        <v>546</v>
      </c>
      <c r="C25" s="304" t="s">
        <v>547</v>
      </c>
      <c r="D25" s="311" t="s">
        <v>548</v>
      </c>
      <c r="E25" s="312">
        <v>8.40472502431E11</v>
      </c>
      <c r="F25" s="313"/>
      <c r="G25" s="313"/>
      <c r="H25" s="313"/>
      <c r="I25" s="313"/>
      <c r="J25" s="296" t="b">
        <v>1</v>
      </c>
      <c r="K25" s="314" t="b">
        <v>0</v>
      </c>
      <c r="L25" s="209"/>
      <c r="M25" s="291"/>
      <c r="N25" s="304" t="s">
        <v>550</v>
      </c>
      <c r="O25" s="306" t="s">
        <v>551</v>
      </c>
      <c r="P25" s="304" t="s">
        <v>552</v>
      </c>
      <c r="Q25" s="307">
        <v>8.40472501717E11</v>
      </c>
      <c r="R25" s="209"/>
      <c r="S25" s="209"/>
      <c r="T25" s="209"/>
      <c r="U25" s="209"/>
      <c r="V25" s="300" t="b">
        <v>1</v>
      </c>
      <c r="W25" s="301" t="b">
        <v>0</v>
      </c>
      <c r="X25" s="209"/>
      <c r="Y25" s="291"/>
      <c r="Z25" s="303" t="s">
        <v>553</v>
      </c>
      <c r="AA25" s="304" t="s">
        <v>554</v>
      </c>
      <c r="AB25" s="304" t="s">
        <v>555</v>
      </c>
      <c r="AC25" s="209"/>
      <c r="AD25" s="209"/>
      <c r="AE25" s="209"/>
      <c r="AF25" s="209"/>
      <c r="AG25" s="209"/>
      <c r="AH25" s="307" t="b">
        <v>1</v>
      </c>
      <c r="AI25" s="301" t="b">
        <v>0</v>
      </c>
      <c r="AJ25" s="209"/>
    </row>
    <row r="26">
      <c r="A26" s="209"/>
      <c r="B26" s="209"/>
      <c r="C26" s="209"/>
      <c r="D26" s="209"/>
      <c r="E26" s="209"/>
      <c r="F26" s="209"/>
      <c r="G26" s="209"/>
      <c r="H26" s="209"/>
      <c r="I26" s="209"/>
      <c r="J26" s="313"/>
      <c r="K26" s="209"/>
      <c r="L26" s="209"/>
      <c r="M26" s="291"/>
      <c r="N26" s="311" t="s">
        <v>556</v>
      </c>
      <c r="O26" s="317" t="s">
        <v>557</v>
      </c>
      <c r="P26" s="311" t="s">
        <v>558</v>
      </c>
      <c r="Q26" s="318">
        <v>8.404725017E11</v>
      </c>
      <c r="R26" s="313"/>
      <c r="S26" s="313"/>
      <c r="T26" s="313"/>
      <c r="U26" s="313"/>
      <c r="V26" s="300" t="b">
        <v>1</v>
      </c>
      <c r="W26" s="314" t="b">
        <v>0</v>
      </c>
      <c r="X26" s="209"/>
      <c r="Y26" s="291"/>
      <c r="Z26" s="303" t="s">
        <v>559</v>
      </c>
      <c r="AA26" s="304" t="s">
        <v>560</v>
      </c>
      <c r="AB26" s="304" t="s">
        <v>561</v>
      </c>
      <c r="AC26" s="307">
        <v>8.10115976486E11</v>
      </c>
      <c r="AD26" s="209"/>
      <c r="AE26" s="209"/>
      <c r="AF26" s="209"/>
      <c r="AG26" s="209"/>
      <c r="AH26" s="307" t="b">
        <v>1</v>
      </c>
      <c r="AI26" s="301" t="b">
        <v>0</v>
      </c>
      <c r="AJ26" s="209"/>
    </row>
    <row r="27">
      <c r="A27" s="316" t="s">
        <v>562</v>
      </c>
      <c r="B27" s="319" t="s">
        <v>237</v>
      </c>
      <c r="C27" s="320"/>
      <c r="D27" s="283" t="s">
        <v>236</v>
      </c>
      <c r="E27" s="322" t="s">
        <v>369</v>
      </c>
      <c r="F27" s="320"/>
      <c r="G27" s="320"/>
      <c r="H27" s="323" t="s">
        <v>572</v>
      </c>
      <c r="I27" s="323" t="s">
        <v>4050</v>
      </c>
      <c r="J27" s="278" t="str">
        <f>IF(COUNTIF(J28:J38, TRUE) = COUNTA(J28:J38), "Complete!", IF(COUNTIF(J28:J38, TRUE) &gt; 0, "Partial", "Not Started"))</f>
        <v>Complete!</v>
      </c>
      <c r="K27" s="279"/>
      <c r="L27" s="280">
        <v>11.0</v>
      </c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91"/>
      <c r="Z27" s="303" t="s">
        <v>565</v>
      </c>
      <c r="AA27" s="304" t="s">
        <v>566</v>
      </c>
      <c r="AB27" s="304" t="s">
        <v>567</v>
      </c>
      <c r="AC27" s="209"/>
      <c r="AD27" s="209"/>
      <c r="AE27" s="209"/>
      <c r="AF27" s="209"/>
      <c r="AG27" s="209"/>
      <c r="AH27" s="307" t="b">
        <v>1</v>
      </c>
      <c r="AI27" s="301" t="b">
        <v>0</v>
      </c>
      <c r="AJ27" s="209"/>
    </row>
    <row r="28">
      <c r="A28" s="291"/>
      <c r="B28" s="292" t="s">
        <v>568</v>
      </c>
      <c r="C28" s="293" t="s">
        <v>421</v>
      </c>
      <c r="D28" s="293" t="s">
        <v>569</v>
      </c>
      <c r="E28" s="294">
        <v>8.10115972976E11</v>
      </c>
      <c r="F28" s="295"/>
      <c r="G28" s="295"/>
      <c r="H28" s="295"/>
      <c r="I28" s="293" t="s">
        <v>4051</v>
      </c>
      <c r="J28" s="296" t="b">
        <v>1</v>
      </c>
      <c r="K28" s="297" t="b">
        <v>0</v>
      </c>
      <c r="L28" s="209"/>
      <c r="M28" s="281" t="s">
        <v>562</v>
      </c>
      <c r="N28" s="282" t="s">
        <v>570</v>
      </c>
      <c r="O28" s="273"/>
      <c r="P28" s="274" t="s">
        <v>571</v>
      </c>
      <c r="Q28" s="275" t="s">
        <v>374</v>
      </c>
      <c r="R28" s="273"/>
      <c r="S28" s="273"/>
      <c r="T28" s="276" t="s">
        <v>572</v>
      </c>
      <c r="U28" s="276" t="s">
        <v>4052</v>
      </c>
      <c r="V28" s="278" t="str">
        <f>IF(COUNTIF(V29:V36, TRUE) = COUNTA(V29:V36), "Complete!", IF(COUNTIF(V29:V36, TRUE) &gt; 0, "Partial", "Not Started"))</f>
        <v>Complete!</v>
      </c>
      <c r="W28" s="279"/>
      <c r="X28" s="280">
        <v>8.0</v>
      </c>
      <c r="Y28" s="291"/>
      <c r="Z28" s="303" t="s">
        <v>574</v>
      </c>
      <c r="AA28" s="304" t="s">
        <v>575</v>
      </c>
      <c r="AB28" s="304" t="s">
        <v>576</v>
      </c>
      <c r="AC28" s="307">
        <v>8.10115976424E11</v>
      </c>
      <c r="AD28" s="209"/>
      <c r="AE28" s="209"/>
      <c r="AF28" s="209"/>
      <c r="AG28" s="209"/>
      <c r="AH28" s="307" t="b">
        <v>1</v>
      </c>
      <c r="AI28" s="324" t="b">
        <v>0</v>
      </c>
      <c r="AJ28" s="209"/>
    </row>
    <row r="29">
      <c r="A29" s="291"/>
      <c r="B29" s="303" t="s">
        <v>577</v>
      </c>
      <c r="C29" s="304" t="s">
        <v>449</v>
      </c>
      <c r="D29" s="304" t="s">
        <v>578</v>
      </c>
      <c r="E29" s="305">
        <v>8.10115972983E11</v>
      </c>
      <c r="F29" s="209"/>
      <c r="G29" s="209"/>
      <c r="H29" s="209"/>
      <c r="I29" s="209"/>
      <c r="J29" s="296" t="b">
        <v>1</v>
      </c>
      <c r="K29" s="301" t="b">
        <v>0</v>
      </c>
      <c r="L29" s="209"/>
      <c r="M29" s="291"/>
      <c r="N29" s="292" t="s">
        <v>579</v>
      </c>
      <c r="O29" s="298" t="s">
        <v>580</v>
      </c>
      <c r="P29" s="293" t="s">
        <v>581</v>
      </c>
      <c r="Q29" s="299">
        <v>8.10115970897E11</v>
      </c>
      <c r="R29" s="295"/>
      <c r="S29" s="295"/>
      <c r="T29" s="295"/>
      <c r="U29" s="295"/>
      <c r="V29" s="296" t="b">
        <v>1</v>
      </c>
      <c r="W29" s="297" t="b">
        <v>0</v>
      </c>
      <c r="X29" s="209"/>
      <c r="Y29" s="291"/>
      <c r="Z29" s="303" t="s">
        <v>582</v>
      </c>
      <c r="AA29" s="304" t="s">
        <v>583</v>
      </c>
      <c r="AB29" s="304" t="s">
        <v>584</v>
      </c>
      <c r="AC29" s="307">
        <v>8.40472500048E11</v>
      </c>
      <c r="AD29" s="209"/>
      <c r="AE29" s="209"/>
      <c r="AF29" s="209"/>
      <c r="AG29" s="209"/>
      <c r="AH29" s="307" t="b">
        <v>1</v>
      </c>
      <c r="AI29" s="301" t="b">
        <v>0</v>
      </c>
      <c r="AJ29" s="209"/>
    </row>
    <row r="30">
      <c r="A30" s="291"/>
      <c r="B30" s="303" t="s">
        <v>585</v>
      </c>
      <c r="C30" s="304" t="s">
        <v>487</v>
      </c>
      <c r="D30" s="304" t="s">
        <v>586</v>
      </c>
      <c r="E30" s="305">
        <v>8.1011597299E11</v>
      </c>
      <c r="F30" s="209"/>
      <c r="G30" s="209"/>
      <c r="H30" s="209"/>
      <c r="I30" s="209"/>
      <c r="J30" s="296" t="b">
        <v>1</v>
      </c>
      <c r="K30" s="301" t="b">
        <v>0</v>
      </c>
      <c r="L30" s="209"/>
      <c r="M30" s="291"/>
      <c r="N30" s="303" t="s">
        <v>587</v>
      </c>
      <c r="O30" s="306" t="s">
        <v>588</v>
      </c>
      <c r="P30" s="304" t="s">
        <v>589</v>
      </c>
      <c r="Q30" s="307">
        <v>8.10115970927E11</v>
      </c>
      <c r="R30" s="209"/>
      <c r="S30" s="209"/>
      <c r="T30" s="209"/>
      <c r="U30" s="209"/>
      <c r="V30" s="300" t="b">
        <v>1</v>
      </c>
      <c r="W30" s="301" t="b">
        <v>0</v>
      </c>
      <c r="X30" s="209"/>
      <c r="Y30" s="291"/>
      <c r="Z30" s="303" t="s">
        <v>590</v>
      </c>
      <c r="AA30" s="304" t="s">
        <v>412</v>
      </c>
      <c r="AB30" s="304" t="s">
        <v>591</v>
      </c>
      <c r="AC30" s="209"/>
      <c r="AD30" s="209"/>
      <c r="AE30" s="209"/>
      <c r="AF30" s="209"/>
      <c r="AG30" s="209"/>
      <c r="AH30" s="307" t="b">
        <v>1</v>
      </c>
      <c r="AI30" s="301" t="b">
        <v>0</v>
      </c>
      <c r="AJ30" s="209"/>
    </row>
    <row r="31">
      <c r="A31" s="291"/>
      <c r="B31" s="303" t="s">
        <v>592</v>
      </c>
      <c r="C31" s="304" t="s">
        <v>440</v>
      </c>
      <c r="D31" s="304" t="s">
        <v>593</v>
      </c>
      <c r="E31" s="305">
        <v>8.10115973003E11</v>
      </c>
      <c r="F31" s="209"/>
      <c r="G31" s="209"/>
      <c r="H31" s="209"/>
      <c r="I31" s="209"/>
      <c r="J31" s="296" t="b">
        <v>1</v>
      </c>
      <c r="K31" s="301" t="b">
        <v>0</v>
      </c>
      <c r="L31" s="209"/>
      <c r="M31" s="291"/>
      <c r="N31" s="303" t="s">
        <v>594</v>
      </c>
      <c r="O31" s="306" t="s">
        <v>595</v>
      </c>
      <c r="P31" s="304" t="s">
        <v>596</v>
      </c>
      <c r="Q31" s="307">
        <v>8.1011597091E11</v>
      </c>
      <c r="R31" s="209"/>
      <c r="S31" s="209"/>
      <c r="T31" s="209"/>
      <c r="U31" s="325"/>
      <c r="V31" s="300" t="b">
        <v>1</v>
      </c>
      <c r="W31" s="301" t="b">
        <v>0</v>
      </c>
      <c r="X31" s="209"/>
      <c r="Y31" s="291"/>
      <c r="Z31" s="303" t="s">
        <v>597</v>
      </c>
      <c r="AA31" s="304" t="s">
        <v>575</v>
      </c>
      <c r="AB31" s="304" t="s">
        <v>598</v>
      </c>
      <c r="AC31" s="307">
        <v>8.10115976431E11</v>
      </c>
      <c r="AD31" s="209"/>
      <c r="AE31" s="209"/>
      <c r="AF31" s="209"/>
      <c r="AG31" s="209"/>
      <c r="AH31" s="307" t="b">
        <v>1</v>
      </c>
      <c r="AI31" s="301" t="b">
        <v>0</v>
      </c>
      <c r="AJ31" s="209"/>
    </row>
    <row r="32">
      <c r="A32" s="291"/>
      <c r="B32" s="303" t="s">
        <v>599</v>
      </c>
      <c r="C32" s="304" t="s">
        <v>513</v>
      </c>
      <c r="D32" s="209"/>
      <c r="E32" s="209"/>
      <c r="F32" s="209"/>
      <c r="G32" s="209"/>
      <c r="H32" s="209"/>
      <c r="I32" s="209"/>
      <c r="J32" s="296" t="b">
        <v>1</v>
      </c>
      <c r="K32" s="301" t="b">
        <v>0</v>
      </c>
      <c r="L32" s="209"/>
      <c r="M32" s="291"/>
      <c r="N32" s="303" t="s">
        <v>601</v>
      </c>
      <c r="O32" s="306" t="s">
        <v>602</v>
      </c>
      <c r="P32" s="304" t="s">
        <v>603</v>
      </c>
      <c r="Q32" s="307">
        <v>8.10115970934E11</v>
      </c>
      <c r="R32" s="209"/>
      <c r="S32" s="209"/>
      <c r="T32" s="209"/>
      <c r="U32" s="209"/>
      <c r="V32" s="300" t="b">
        <v>1</v>
      </c>
      <c r="W32" s="301" t="b">
        <v>0</v>
      </c>
      <c r="X32" s="209"/>
      <c r="Y32" s="291"/>
      <c r="Z32" s="303" t="s">
        <v>604</v>
      </c>
      <c r="AA32" s="304" t="s">
        <v>431</v>
      </c>
      <c r="AB32" s="304" t="s">
        <v>605</v>
      </c>
      <c r="AC32" s="209"/>
      <c r="AD32" s="209"/>
      <c r="AE32" s="209"/>
      <c r="AF32" s="209"/>
      <c r="AG32" s="209"/>
      <c r="AH32" s="307" t="b">
        <v>1</v>
      </c>
      <c r="AI32" s="301" t="b">
        <v>0</v>
      </c>
      <c r="AJ32" s="209"/>
    </row>
    <row r="33">
      <c r="A33" s="291"/>
      <c r="B33" s="303" t="s">
        <v>606</v>
      </c>
      <c r="C33" s="304" t="s">
        <v>505</v>
      </c>
      <c r="D33" s="304" t="s">
        <v>607</v>
      </c>
      <c r="E33" s="305">
        <v>8.10115972877E11</v>
      </c>
      <c r="F33" s="209"/>
      <c r="G33" s="209"/>
      <c r="H33" s="209"/>
      <c r="I33" s="209"/>
      <c r="J33" s="296" t="b">
        <v>1</v>
      </c>
      <c r="K33" s="301" t="b">
        <v>0</v>
      </c>
      <c r="L33" s="209"/>
      <c r="M33" s="291"/>
      <c r="N33" s="303" t="s">
        <v>608</v>
      </c>
      <c r="O33" s="306" t="s">
        <v>609</v>
      </c>
      <c r="P33" s="304" t="s">
        <v>610</v>
      </c>
      <c r="Q33" s="307">
        <v>8.10115976042E11</v>
      </c>
      <c r="R33" s="209"/>
      <c r="S33" s="209"/>
      <c r="T33" s="209"/>
      <c r="U33" s="325"/>
      <c r="V33" s="300" t="b">
        <v>1</v>
      </c>
      <c r="W33" s="301" t="b">
        <v>0</v>
      </c>
      <c r="X33" s="209"/>
      <c r="Y33" s="291"/>
      <c r="Z33" s="310" t="s">
        <v>611</v>
      </c>
      <c r="AA33" s="311" t="s">
        <v>612</v>
      </c>
      <c r="AB33" s="311" t="s">
        <v>613</v>
      </c>
      <c r="AC33" s="318">
        <v>8.10115976493E11</v>
      </c>
      <c r="AD33" s="313"/>
      <c r="AE33" s="313"/>
      <c r="AF33" s="313"/>
      <c r="AG33" s="313"/>
      <c r="AH33" s="350" t="b">
        <v>1</v>
      </c>
      <c r="AI33" s="314" t="b">
        <v>0</v>
      </c>
      <c r="AJ33" s="209"/>
    </row>
    <row r="34">
      <c r="A34" s="291"/>
      <c r="B34" s="303" t="s">
        <v>614</v>
      </c>
      <c r="C34" s="304" t="s">
        <v>522</v>
      </c>
      <c r="D34" s="304" t="s">
        <v>615</v>
      </c>
      <c r="E34" s="305">
        <v>8.40472502479E11</v>
      </c>
      <c r="F34" s="209"/>
      <c r="G34" s="209"/>
      <c r="H34" s="209"/>
      <c r="I34" s="209"/>
      <c r="J34" s="296" t="b">
        <v>1</v>
      </c>
      <c r="K34" s="301" t="b">
        <v>0</v>
      </c>
      <c r="L34" s="209"/>
      <c r="M34" s="291"/>
      <c r="N34" s="303" t="s">
        <v>616</v>
      </c>
      <c r="O34" s="306" t="s">
        <v>617</v>
      </c>
      <c r="P34" s="304" t="s">
        <v>618</v>
      </c>
      <c r="Q34" s="307">
        <v>8.10115970903E11</v>
      </c>
      <c r="R34" s="209"/>
      <c r="S34" s="209"/>
      <c r="T34" s="209"/>
      <c r="U34" s="209"/>
      <c r="V34" s="300" t="b">
        <v>1</v>
      </c>
      <c r="W34" s="301" t="b">
        <v>0</v>
      </c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</row>
    <row r="35">
      <c r="A35" s="291"/>
      <c r="B35" s="303" t="s">
        <v>619</v>
      </c>
      <c r="C35" s="304" t="s">
        <v>529</v>
      </c>
      <c r="D35" s="304" t="s">
        <v>620</v>
      </c>
      <c r="E35" s="305">
        <v>8.10115972884E11</v>
      </c>
      <c r="F35" s="209"/>
      <c r="G35" s="209"/>
      <c r="H35" s="209"/>
      <c r="I35" s="209"/>
      <c r="J35" s="296" t="b">
        <v>1</v>
      </c>
      <c r="K35" s="301" t="b">
        <v>0</v>
      </c>
      <c r="L35" s="209"/>
      <c r="M35" s="291"/>
      <c r="N35" s="303" t="s">
        <v>622</v>
      </c>
      <c r="O35" s="306" t="s">
        <v>384</v>
      </c>
      <c r="P35" s="304" t="s">
        <v>623</v>
      </c>
      <c r="Q35" s="307">
        <v>8.40472501656E11</v>
      </c>
      <c r="R35" s="209"/>
      <c r="S35" s="209"/>
      <c r="T35" s="209"/>
      <c r="U35" s="209"/>
      <c r="V35" s="300" t="b">
        <v>1</v>
      </c>
      <c r="W35" s="301" t="b">
        <v>0</v>
      </c>
      <c r="X35" s="209"/>
      <c r="Y35" s="326" t="s">
        <v>562</v>
      </c>
      <c r="Z35" s="282" t="s">
        <v>624</v>
      </c>
      <c r="AA35" s="273"/>
      <c r="AB35" s="274" t="s">
        <v>625</v>
      </c>
      <c r="AC35" s="321" t="s">
        <v>380</v>
      </c>
      <c r="AD35" s="273"/>
      <c r="AE35" s="273"/>
      <c r="AF35" s="276" t="s">
        <v>370</v>
      </c>
      <c r="AG35" s="276" t="s">
        <v>4053</v>
      </c>
      <c r="AH35" s="278" t="str">
        <f>IF(COUNTIF(AH36:AH46, TRUE) = COUNTA(AH36:AH46), "Complete!", IF(COUNTIF(AH36:AH46, TRUE) &gt; 0, "Partial", "Not Started"))</f>
        <v>Complete!</v>
      </c>
      <c r="AI35" s="279"/>
      <c r="AJ35" s="280">
        <v>11.0</v>
      </c>
    </row>
    <row r="36">
      <c r="A36" s="291"/>
      <c r="B36" s="303" t="s">
        <v>627</v>
      </c>
      <c r="C36" s="304" t="s">
        <v>539</v>
      </c>
      <c r="D36" s="304" t="s">
        <v>628</v>
      </c>
      <c r="E36" s="305">
        <v>8.10115972891E11</v>
      </c>
      <c r="F36" s="209"/>
      <c r="G36" s="209"/>
      <c r="H36" s="209"/>
      <c r="I36" s="209"/>
      <c r="J36" s="296" t="b">
        <v>1</v>
      </c>
      <c r="K36" s="301" t="b">
        <v>0</v>
      </c>
      <c r="L36" s="209"/>
      <c r="M36" s="291"/>
      <c r="N36" s="310" t="s">
        <v>629</v>
      </c>
      <c r="O36" s="317" t="s">
        <v>630</v>
      </c>
      <c r="P36" s="311" t="s">
        <v>631</v>
      </c>
      <c r="Q36" s="318">
        <v>8.40472501663E11</v>
      </c>
      <c r="R36" s="313"/>
      <c r="S36" s="313"/>
      <c r="T36" s="313"/>
      <c r="U36" s="313"/>
      <c r="V36" s="350" t="b">
        <v>1</v>
      </c>
      <c r="W36" s="314" t="b">
        <v>0</v>
      </c>
      <c r="X36" s="209"/>
      <c r="Y36" s="291"/>
      <c r="Z36" s="292" t="s">
        <v>632</v>
      </c>
      <c r="AA36" s="293" t="s">
        <v>588</v>
      </c>
      <c r="AB36" s="293" t="s">
        <v>633</v>
      </c>
      <c r="AC36" s="302" t="s">
        <v>634</v>
      </c>
      <c r="AD36" s="295"/>
      <c r="AE36" s="295"/>
      <c r="AF36" s="295"/>
      <c r="AG36" s="295"/>
      <c r="AH36" s="299" t="b">
        <v>1</v>
      </c>
      <c r="AI36" s="297" t="b">
        <v>0</v>
      </c>
      <c r="AJ36" s="209"/>
    </row>
    <row r="37">
      <c r="A37" s="291"/>
      <c r="B37" s="303" t="s">
        <v>635</v>
      </c>
      <c r="C37" s="304" t="s">
        <v>547</v>
      </c>
      <c r="D37" s="304" t="s">
        <v>636</v>
      </c>
      <c r="E37" s="305">
        <v>8.40472502424E11</v>
      </c>
      <c r="F37" s="209"/>
      <c r="G37" s="209"/>
      <c r="H37" s="209"/>
      <c r="I37" s="209"/>
      <c r="J37" s="296" t="b">
        <v>1</v>
      </c>
      <c r="K37" s="301" t="b">
        <v>0</v>
      </c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91"/>
      <c r="Z37" s="303" t="s">
        <v>637</v>
      </c>
      <c r="AA37" s="304" t="s">
        <v>384</v>
      </c>
      <c r="AB37" s="304" t="s">
        <v>638</v>
      </c>
      <c r="AC37" s="308" t="s">
        <v>639</v>
      </c>
      <c r="AD37" s="209"/>
      <c r="AE37" s="209"/>
      <c r="AF37" s="209"/>
      <c r="AG37" s="209"/>
      <c r="AH37" s="307" t="b">
        <v>1</v>
      </c>
      <c r="AI37" s="301" t="b">
        <v>0</v>
      </c>
      <c r="AJ37" s="209"/>
    </row>
    <row r="38">
      <c r="A38" s="309"/>
      <c r="B38" s="310" t="s">
        <v>640</v>
      </c>
      <c r="C38" s="311" t="s">
        <v>641</v>
      </c>
      <c r="D38" s="311" t="s">
        <v>642</v>
      </c>
      <c r="E38" s="312">
        <v>8.40472502448E11</v>
      </c>
      <c r="F38" s="313"/>
      <c r="G38" s="313"/>
      <c r="H38" s="313"/>
      <c r="I38" s="313"/>
      <c r="J38" s="296" t="b">
        <v>1</v>
      </c>
      <c r="K38" s="314" t="b">
        <v>0</v>
      </c>
      <c r="L38" s="209"/>
      <c r="M38" s="327" t="s">
        <v>643</v>
      </c>
      <c r="N38" s="282" t="s">
        <v>644</v>
      </c>
      <c r="O38" s="273"/>
      <c r="P38" s="274" t="s">
        <v>645</v>
      </c>
      <c r="Q38" s="275" t="s">
        <v>374</v>
      </c>
      <c r="R38" s="273"/>
      <c r="S38" s="273"/>
      <c r="T38" s="276" t="s">
        <v>370</v>
      </c>
      <c r="U38" s="276" t="s">
        <v>4054</v>
      </c>
      <c r="V38" s="278" t="str">
        <f>IF(COUNTIF(V39:V46, TRUE) = COUNTA(V39:V46), "Complete!", IF(COUNTIF(V39:V46, TRUE) &gt; 0, "Partial", "Not Started"))</f>
        <v>Complete!</v>
      </c>
      <c r="W38" s="279"/>
      <c r="X38" s="280">
        <v>8.0</v>
      </c>
      <c r="Y38" s="291"/>
      <c r="Z38" s="303" t="s">
        <v>647</v>
      </c>
      <c r="AA38" s="304" t="s">
        <v>394</v>
      </c>
      <c r="AB38" s="304" t="s">
        <v>648</v>
      </c>
      <c r="AC38" s="308" t="s">
        <v>649</v>
      </c>
      <c r="AD38" s="209"/>
      <c r="AE38" s="209"/>
      <c r="AF38" s="209"/>
      <c r="AG38" s="209"/>
      <c r="AH38" s="307" t="b">
        <v>1</v>
      </c>
      <c r="AI38" s="301" t="b">
        <v>0</v>
      </c>
      <c r="AJ38" s="209"/>
    </row>
    <row r="39">
      <c r="A39" s="209"/>
      <c r="B39" s="209"/>
      <c r="C39" s="209"/>
      <c r="D39" s="209"/>
      <c r="E39" s="209"/>
      <c r="F39" s="209"/>
      <c r="G39" s="209"/>
      <c r="H39" s="209"/>
      <c r="I39" s="209"/>
      <c r="J39" s="313"/>
      <c r="K39" s="209"/>
      <c r="L39" s="209"/>
      <c r="N39" s="292" t="s">
        <v>650</v>
      </c>
      <c r="O39" s="298" t="s">
        <v>651</v>
      </c>
      <c r="P39" s="293" t="s">
        <v>652</v>
      </c>
      <c r="Q39" s="299">
        <v>8.10115970118E11</v>
      </c>
      <c r="R39" s="295"/>
      <c r="S39" s="295"/>
      <c r="T39" s="295"/>
      <c r="U39" s="328"/>
      <c r="V39" s="296" t="b">
        <v>1</v>
      </c>
      <c r="W39" s="297" t="b">
        <v>0</v>
      </c>
      <c r="X39" s="209"/>
      <c r="Y39" s="291"/>
      <c r="Z39" s="303" t="s">
        <v>653</v>
      </c>
      <c r="AA39" s="304" t="s">
        <v>404</v>
      </c>
      <c r="AB39" s="304" t="s">
        <v>654</v>
      </c>
      <c r="AC39" s="308" t="s">
        <v>655</v>
      </c>
      <c r="AD39" s="209"/>
      <c r="AE39" s="209"/>
      <c r="AF39" s="209"/>
      <c r="AG39" s="209"/>
      <c r="AH39" s="307" t="b">
        <v>1</v>
      </c>
      <c r="AI39" s="301" t="b">
        <v>0</v>
      </c>
      <c r="AJ39" s="209"/>
    </row>
    <row r="40">
      <c r="A40" s="316" t="s">
        <v>643</v>
      </c>
      <c r="B40" s="329" t="s">
        <v>246</v>
      </c>
      <c r="C40" s="273"/>
      <c r="D40" s="274" t="s">
        <v>245</v>
      </c>
      <c r="E40" s="275" t="s">
        <v>369</v>
      </c>
      <c r="F40" s="330" t="s">
        <v>351</v>
      </c>
      <c r="G40" s="273"/>
      <c r="H40" s="277" t="s">
        <v>370</v>
      </c>
      <c r="I40" s="277" t="s">
        <v>1821</v>
      </c>
      <c r="J40" s="278" t="str">
        <f>IF(COUNTIF(J41:J48, TRUE) = COUNTA(J41:J48), "Complete!", IF(COUNTIF(J41:J48, TRUE) &gt; 0, "Partial", "Not Started"))</f>
        <v>Complete!</v>
      </c>
      <c r="K40" s="279"/>
      <c r="L40" s="280">
        <v>8.0</v>
      </c>
      <c r="N40" s="303" t="s">
        <v>658</v>
      </c>
      <c r="O40" s="306" t="s">
        <v>659</v>
      </c>
      <c r="P40" s="304" t="s">
        <v>660</v>
      </c>
      <c r="Q40" s="307">
        <v>8.10115970842E11</v>
      </c>
      <c r="R40" s="209"/>
      <c r="S40" s="209"/>
      <c r="T40" s="209"/>
      <c r="U40" s="209"/>
      <c r="V40" s="300" t="b">
        <v>1</v>
      </c>
      <c r="W40" s="301" t="b">
        <v>0</v>
      </c>
      <c r="X40" s="209"/>
      <c r="Y40" s="291"/>
      <c r="Z40" s="354" t="s">
        <v>661</v>
      </c>
      <c r="AA40" s="304" t="s">
        <v>662</v>
      </c>
      <c r="AB40" s="304" t="s">
        <v>663</v>
      </c>
      <c r="AC40" s="308" t="s">
        <v>664</v>
      </c>
      <c r="AD40" s="209"/>
      <c r="AE40" s="209"/>
      <c r="AF40" s="209"/>
      <c r="AG40" s="209"/>
      <c r="AH40" s="307" t="b">
        <v>1</v>
      </c>
      <c r="AI40" s="301" t="b">
        <v>0</v>
      </c>
      <c r="AJ40" s="209"/>
    </row>
    <row r="41">
      <c r="A41" s="291"/>
      <c r="B41" s="292" t="s">
        <v>665</v>
      </c>
      <c r="C41" s="304" t="s">
        <v>588</v>
      </c>
      <c r="D41" s="293" t="s">
        <v>666</v>
      </c>
      <c r="E41" s="294">
        <v>8.40472502493E11</v>
      </c>
      <c r="F41" s="328"/>
      <c r="G41" s="328"/>
      <c r="H41" s="328"/>
      <c r="I41" s="328"/>
      <c r="J41" s="296" t="b">
        <v>1</v>
      </c>
      <c r="K41" s="297" t="b">
        <v>0</v>
      </c>
      <c r="L41" s="209"/>
      <c r="N41" s="303" t="s">
        <v>667</v>
      </c>
      <c r="O41" s="306" t="s">
        <v>668</v>
      </c>
      <c r="P41" s="304" t="s">
        <v>669</v>
      </c>
      <c r="Q41" s="307">
        <v>8.10115970866E11</v>
      </c>
      <c r="R41" s="209"/>
      <c r="S41" s="209"/>
      <c r="T41" s="209"/>
      <c r="U41" s="209"/>
      <c r="V41" s="300" t="b">
        <v>1</v>
      </c>
      <c r="W41" s="301" t="b">
        <v>0</v>
      </c>
      <c r="X41" s="209"/>
      <c r="Y41" s="291"/>
      <c r="Z41" s="303" t="s">
        <v>670</v>
      </c>
      <c r="AA41" s="304" t="s">
        <v>671</v>
      </c>
      <c r="AB41" s="304" t="s">
        <v>672</v>
      </c>
      <c r="AC41" s="307">
        <v>8.40472500086E11</v>
      </c>
      <c r="AD41" s="209"/>
      <c r="AE41" s="209"/>
      <c r="AF41" s="209"/>
      <c r="AG41" s="209"/>
      <c r="AH41" s="307" t="b">
        <v>1</v>
      </c>
      <c r="AI41" s="301" t="b">
        <v>0</v>
      </c>
      <c r="AJ41" s="209"/>
    </row>
    <row r="42">
      <c r="A42" s="291"/>
      <c r="B42" s="303" t="s">
        <v>673</v>
      </c>
      <c r="C42" s="304" t="s">
        <v>602</v>
      </c>
      <c r="D42" s="304" t="s">
        <v>674</v>
      </c>
      <c r="E42" s="305">
        <v>8.40472502509E11</v>
      </c>
      <c r="F42" s="325"/>
      <c r="G42" s="325"/>
      <c r="H42" s="325"/>
      <c r="I42" s="325"/>
      <c r="J42" s="296" t="b">
        <v>1</v>
      </c>
      <c r="K42" s="301" t="b">
        <v>0</v>
      </c>
      <c r="L42" s="209"/>
      <c r="N42" s="303" t="s">
        <v>675</v>
      </c>
      <c r="O42" s="306" t="s">
        <v>676</v>
      </c>
      <c r="P42" s="304" t="s">
        <v>677</v>
      </c>
      <c r="Q42" s="307">
        <v>8.1011597088E11</v>
      </c>
      <c r="R42" s="209"/>
      <c r="S42" s="209"/>
      <c r="T42" s="209"/>
      <c r="U42" s="209"/>
      <c r="V42" s="300" t="b">
        <v>1</v>
      </c>
      <c r="W42" s="301" t="b">
        <v>0</v>
      </c>
      <c r="X42" s="209"/>
      <c r="Y42" s="291"/>
      <c r="Z42" s="303" t="s">
        <v>678</v>
      </c>
      <c r="AA42" s="304" t="s">
        <v>679</v>
      </c>
      <c r="AB42" s="304" t="s">
        <v>680</v>
      </c>
      <c r="AC42" s="307">
        <v>8.40472500093E11</v>
      </c>
      <c r="AD42" s="209"/>
      <c r="AE42" s="209"/>
      <c r="AF42" s="209"/>
      <c r="AG42" s="209"/>
      <c r="AH42" s="307" t="b">
        <v>1</v>
      </c>
      <c r="AI42" s="301" t="b">
        <v>0</v>
      </c>
      <c r="AJ42" s="209"/>
    </row>
    <row r="43">
      <c r="A43" s="291"/>
      <c r="B43" s="303" t="s">
        <v>681</v>
      </c>
      <c r="C43" s="304" t="s">
        <v>682</v>
      </c>
      <c r="D43" s="304" t="s">
        <v>683</v>
      </c>
      <c r="E43" s="305">
        <v>8.40472502561E11</v>
      </c>
      <c r="F43" s="325"/>
      <c r="G43" s="325"/>
      <c r="H43" s="325"/>
      <c r="I43" s="325"/>
      <c r="J43" s="296" t="b">
        <v>1</v>
      </c>
      <c r="K43" s="301" t="b">
        <v>0</v>
      </c>
      <c r="L43" s="209"/>
      <c r="N43" s="303" t="s">
        <v>684</v>
      </c>
      <c r="O43" s="306" t="s">
        <v>685</v>
      </c>
      <c r="P43" s="304" t="s">
        <v>686</v>
      </c>
      <c r="Q43" s="307">
        <v>8.10115970859E11</v>
      </c>
      <c r="R43" s="209"/>
      <c r="S43" s="209"/>
      <c r="T43" s="209"/>
      <c r="U43" s="209"/>
      <c r="V43" s="300" t="b">
        <v>1</v>
      </c>
      <c r="W43" s="301" t="b">
        <v>0</v>
      </c>
      <c r="X43" s="209"/>
      <c r="Y43" s="291"/>
      <c r="Z43" s="303" t="s">
        <v>687</v>
      </c>
      <c r="AA43" s="304" t="s">
        <v>662</v>
      </c>
      <c r="AB43" s="304" t="s">
        <v>688</v>
      </c>
      <c r="AC43" s="307">
        <v>8.40472500055E11</v>
      </c>
      <c r="AD43" s="209"/>
      <c r="AE43" s="209"/>
      <c r="AF43" s="209"/>
      <c r="AG43" s="209"/>
      <c r="AH43" s="307" t="b">
        <v>1</v>
      </c>
      <c r="AI43" s="301" t="b">
        <v>0</v>
      </c>
      <c r="AJ43" s="209"/>
    </row>
    <row r="44">
      <c r="A44" s="291"/>
      <c r="B44" s="303" t="s">
        <v>689</v>
      </c>
      <c r="C44" s="304" t="s">
        <v>662</v>
      </c>
      <c r="D44" s="304" t="s">
        <v>690</v>
      </c>
      <c r="E44" s="305">
        <v>8.10115979067E11</v>
      </c>
      <c r="F44" s="325"/>
      <c r="G44" s="325"/>
      <c r="H44" s="325"/>
      <c r="I44" s="325"/>
      <c r="J44" s="296" t="b">
        <v>1</v>
      </c>
      <c r="K44" s="301" t="b">
        <v>0</v>
      </c>
      <c r="L44" s="209"/>
      <c r="N44" s="303" t="s">
        <v>691</v>
      </c>
      <c r="O44" s="306" t="s">
        <v>692</v>
      </c>
      <c r="P44" s="304" t="s">
        <v>693</v>
      </c>
      <c r="Q44" s="307">
        <v>8.40472501595E11</v>
      </c>
      <c r="R44" s="209"/>
      <c r="S44" s="209"/>
      <c r="T44" s="209"/>
      <c r="U44" s="209"/>
      <c r="V44" s="300" t="b">
        <v>1</v>
      </c>
      <c r="W44" s="301" t="b">
        <v>0</v>
      </c>
      <c r="X44" s="209"/>
      <c r="Y44" s="291"/>
      <c r="Z44" s="303" t="s">
        <v>694</v>
      </c>
      <c r="AA44" s="304" t="s">
        <v>679</v>
      </c>
      <c r="AB44" s="304" t="s">
        <v>695</v>
      </c>
      <c r="AC44" s="307">
        <v>8.40472500079E11</v>
      </c>
      <c r="AD44" s="209"/>
      <c r="AE44" s="209"/>
      <c r="AF44" s="209"/>
      <c r="AG44" s="209"/>
      <c r="AH44" s="300" t="b">
        <v>1</v>
      </c>
      <c r="AI44" s="301" t="b">
        <v>0</v>
      </c>
      <c r="AJ44" s="209"/>
    </row>
    <row r="45">
      <c r="A45" s="291"/>
      <c r="B45" s="303" t="s">
        <v>696</v>
      </c>
      <c r="C45" s="304" t="s">
        <v>697</v>
      </c>
      <c r="D45" s="304" t="s">
        <v>698</v>
      </c>
      <c r="E45" s="305">
        <v>8.40472502547E11</v>
      </c>
      <c r="F45" s="325"/>
      <c r="G45" s="325"/>
      <c r="H45" s="325"/>
      <c r="I45" s="325"/>
      <c r="J45" s="296" t="b">
        <v>1</v>
      </c>
      <c r="K45" s="301" t="b">
        <v>0</v>
      </c>
      <c r="L45" s="209"/>
      <c r="N45" s="303" t="s">
        <v>699</v>
      </c>
      <c r="O45" s="306" t="s">
        <v>700</v>
      </c>
      <c r="P45" s="304" t="s">
        <v>701</v>
      </c>
      <c r="Q45" s="307">
        <v>8.40472501625E11</v>
      </c>
      <c r="R45" s="209"/>
      <c r="S45" s="209"/>
      <c r="T45" s="209"/>
      <c r="U45" s="209"/>
      <c r="V45" s="300" t="b">
        <v>1</v>
      </c>
      <c r="W45" s="301" t="b">
        <v>0</v>
      </c>
      <c r="X45" s="209"/>
      <c r="Y45" s="291"/>
      <c r="Z45" s="303" t="s">
        <v>702</v>
      </c>
      <c r="AA45" s="304" t="s">
        <v>671</v>
      </c>
      <c r="AB45" s="304" t="s">
        <v>703</v>
      </c>
      <c r="AC45" s="307">
        <v>8.40472500062E11</v>
      </c>
      <c r="AD45" s="209"/>
      <c r="AE45" s="209"/>
      <c r="AF45" s="209"/>
      <c r="AG45" s="209"/>
      <c r="AH45" s="300" t="b">
        <v>1</v>
      </c>
      <c r="AI45" s="301" t="b">
        <v>0</v>
      </c>
      <c r="AJ45" s="209"/>
    </row>
    <row r="46">
      <c r="A46" s="291"/>
      <c r="B46" s="303" t="s">
        <v>704</v>
      </c>
      <c r="C46" s="304" t="s">
        <v>705</v>
      </c>
      <c r="D46" s="304" t="s">
        <v>706</v>
      </c>
      <c r="E46" s="305">
        <v>8.10115979074E11</v>
      </c>
      <c r="F46" s="325"/>
      <c r="G46" s="325"/>
      <c r="H46" s="325"/>
      <c r="I46" s="325"/>
      <c r="J46" s="296" t="b">
        <v>1</v>
      </c>
      <c r="K46" s="301" t="b">
        <v>0</v>
      </c>
      <c r="L46" s="209"/>
      <c r="N46" s="310" t="s">
        <v>707</v>
      </c>
      <c r="O46" s="317" t="s">
        <v>708</v>
      </c>
      <c r="P46" s="311" t="s">
        <v>709</v>
      </c>
      <c r="Q46" s="318">
        <v>8.40472501601E11</v>
      </c>
      <c r="R46" s="313"/>
      <c r="S46" s="313"/>
      <c r="T46" s="313"/>
      <c r="U46" s="313"/>
      <c r="V46" s="350" t="b">
        <v>1</v>
      </c>
      <c r="W46" s="314" t="b">
        <v>0</v>
      </c>
      <c r="X46" s="209"/>
      <c r="Y46" s="309"/>
      <c r="Z46" s="310" t="s">
        <v>710</v>
      </c>
      <c r="AA46" s="311" t="s">
        <v>394</v>
      </c>
      <c r="AB46" s="311" t="s">
        <v>711</v>
      </c>
      <c r="AC46" s="318">
        <v>8.40472500031E11</v>
      </c>
      <c r="AD46" s="313"/>
      <c r="AE46" s="313"/>
      <c r="AF46" s="313"/>
      <c r="AG46" s="313"/>
      <c r="AH46" s="350" t="b">
        <v>1</v>
      </c>
      <c r="AI46" s="314" t="b">
        <v>0</v>
      </c>
      <c r="AJ46" s="209"/>
    </row>
    <row r="47">
      <c r="A47" s="291"/>
      <c r="B47" s="303" t="s">
        <v>712</v>
      </c>
      <c r="C47" s="304" t="s">
        <v>679</v>
      </c>
      <c r="D47" s="304" t="s">
        <v>713</v>
      </c>
      <c r="E47" s="305">
        <v>8.1011597905E11</v>
      </c>
      <c r="F47" s="325"/>
      <c r="G47" s="325"/>
      <c r="H47" s="325"/>
      <c r="I47" s="325"/>
      <c r="J47" s="296" t="b">
        <v>1</v>
      </c>
      <c r="K47" s="301" t="b">
        <v>0</v>
      </c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</row>
    <row r="48">
      <c r="A48" s="291"/>
      <c r="B48" s="310" t="s">
        <v>714</v>
      </c>
      <c r="C48" s="304" t="s">
        <v>715</v>
      </c>
      <c r="D48" s="311" t="s">
        <v>716</v>
      </c>
      <c r="E48" s="312">
        <v>8.40472502578E11</v>
      </c>
      <c r="F48" s="331"/>
      <c r="G48" s="331"/>
      <c r="H48" s="331"/>
      <c r="I48" s="331"/>
      <c r="J48" s="296" t="b">
        <v>1</v>
      </c>
      <c r="K48" s="314" t="b">
        <v>0</v>
      </c>
      <c r="L48" s="209"/>
      <c r="M48" s="327" t="s">
        <v>717</v>
      </c>
      <c r="N48" s="282" t="s">
        <v>718</v>
      </c>
      <c r="O48" s="273"/>
      <c r="P48" s="274" t="s">
        <v>719</v>
      </c>
      <c r="Q48" s="275" t="s">
        <v>374</v>
      </c>
      <c r="R48" s="273"/>
      <c r="S48" s="273"/>
      <c r="T48" s="276" t="s">
        <v>563</v>
      </c>
      <c r="U48" s="276" t="s">
        <v>4055</v>
      </c>
      <c r="V48" s="278" t="str">
        <f>IF(COUNTIF(V49:V60, TRUE) = COUNTA(V49:V60), "Complete!", IF(COUNTIF(V49:V60, TRUE) &gt; 0, "Partial", "Not Started"))</f>
        <v>Complete!</v>
      </c>
      <c r="W48" s="279"/>
      <c r="X48" s="280">
        <v>12.0</v>
      </c>
      <c r="Y48" s="326" t="s">
        <v>717</v>
      </c>
      <c r="Z48" s="319" t="s">
        <v>721</v>
      </c>
      <c r="AA48" s="320"/>
      <c r="AB48" s="283" t="s">
        <v>722</v>
      </c>
      <c r="AC48" s="332" t="s">
        <v>723</v>
      </c>
      <c r="AD48" s="320"/>
      <c r="AE48" s="320"/>
      <c r="AF48" s="285" t="s">
        <v>370</v>
      </c>
      <c r="AG48" s="285" t="s">
        <v>4056</v>
      </c>
      <c r="AH48" s="333" t="str">
        <f>IF(COUNTIF(AH49:AH52, TRUE) = COUNTA(AH49:AH52), "Complete!", IF(COUNTIF(AH49:AH52, TRUE) &gt; 0, "Partial", "Not Started"))</f>
        <v>Complete!</v>
      </c>
      <c r="AI48" s="334"/>
      <c r="AJ48" s="280">
        <v>4.0</v>
      </c>
    </row>
    <row r="49">
      <c r="A49" s="209"/>
      <c r="B49" s="209"/>
      <c r="C49" s="209"/>
      <c r="D49" s="209"/>
      <c r="E49" s="209"/>
      <c r="F49" s="325"/>
      <c r="G49" s="325"/>
      <c r="H49" s="325"/>
      <c r="I49" s="325"/>
      <c r="J49" s="209"/>
      <c r="K49" s="209"/>
      <c r="L49" s="209"/>
      <c r="N49" s="292" t="s">
        <v>725</v>
      </c>
      <c r="O49" s="298" t="s">
        <v>726</v>
      </c>
      <c r="P49" s="293" t="s">
        <v>727</v>
      </c>
      <c r="Q49" s="299">
        <v>8.10115970163E11</v>
      </c>
      <c r="R49" s="295"/>
      <c r="S49" s="295"/>
      <c r="T49" s="295"/>
      <c r="U49" s="295"/>
      <c r="V49" s="296" t="b">
        <v>1</v>
      </c>
      <c r="W49" s="297" t="b">
        <v>0</v>
      </c>
      <c r="X49" s="209"/>
      <c r="Y49" s="291"/>
      <c r="Z49" s="303" t="s">
        <v>728</v>
      </c>
      <c r="AA49" s="293" t="s">
        <v>729</v>
      </c>
      <c r="AB49" s="293" t="s">
        <v>730</v>
      </c>
      <c r="AC49" s="302" t="s">
        <v>731</v>
      </c>
      <c r="AD49" s="304" t="s">
        <v>732</v>
      </c>
      <c r="AE49" s="209"/>
      <c r="AF49" s="209"/>
      <c r="AG49" s="304" t="s">
        <v>733</v>
      </c>
      <c r="AH49" s="307" t="b">
        <v>1</v>
      </c>
      <c r="AI49" s="301" t="b">
        <v>0</v>
      </c>
      <c r="AJ49" s="209"/>
    </row>
    <row r="50">
      <c r="A50" s="316" t="s">
        <v>717</v>
      </c>
      <c r="B50" s="282" t="s">
        <v>249</v>
      </c>
      <c r="C50" s="273"/>
      <c r="D50" s="274" t="s">
        <v>248</v>
      </c>
      <c r="E50" s="275" t="s">
        <v>369</v>
      </c>
      <c r="F50" s="320"/>
      <c r="G50" s="320"/>
      <c r="H50" s="285" t="s">
        <v>468</v>
      </c>
      <c r="I50" s="323" t="s">
        <v>4057</v>
      </c>
      <c r="J50" s="278" t="str">
        <f>IF(COUNTIF(J51:J58, TRUE) = COUNTA(J51:J58), "Complete!", IF(COUNTIF(J51:J58, TRUE) &gt; 0, "Partial", "Not Started"))</f>
        <v>Complete!</v>
      </c>
      <c r="K50" s="279"/>
      <c r="L50" s="280">
        <v>8.0</v>
      </c>
      <c r="N50" s="303" t="s">
        <v>735</v>
      </c>
      <c r="O50" s="306" t="s">
        <v>736</v>
      </c>
      <c r="P50" s="304" t="s">
        <v>737</v>
      </c>
      <c r="Q50" s="307">
        <v>8.10115970187E11</v>
      </c>
      <c r="R50" s="209"/>
      <c r="S50" s="209"/>
      <c r="T50" s="209"/>
      <c r="U50" s="209"/>
      <c r="V50" s="300" t="b">
        <v>1</v>
      </c>
      <c r="W50" s="301" t="b">
        <v>0</v>
      </c>
      <c r="X50" s="209"/>
      <c r="Y50" s="291"/>
      <c r="Z50" s="303" t="s">
        <v>738</v>
      </c>
      <c r="AA50" s="304" t="s">
        <v>739</v>
      </c>
      <c r="AB50" s="304" t="s">
        <v>740</v>
      </c>
      <c r="AC50" s="308" t="s">
        <v>741</v>
      </c>
      <c r="AD50" s="304" t="s">
        <v>732</v>
      </c>
      <c r="AE50" s="209"/>
      <c r="AF50" s="209"/>
      <c r="AG50" s="304" t="s">
        <v>733</v>
      </c>
      <c r="AH50" s="307" t="b">
        <v>1</v>
      </c>
      <c r="AI50" s="301" t="b">
        <v>0</v>
      </c>
      <c r="AJ50" s="209"/>
    </row>
    <row r="51">
      <c r="A51" s="291"/>
      <c r="B51" s="292" t="s">
        <v>742</v>
      </c>
      <c r="C51" s="293" t="s">
        <v>394</v>
      </c>
      <c r="D51" s="295"/>
      <c r="E51" s="295"/>
      <c r="F51" s="295"/>
      <c r="G51" s="295"/>
      <c r="H51" s="295"/>
      <c r="I51" s="295"/>
      <c r="J51" s="296" t="b">
        <v>1</v>
      </c>
      <c r="K51" s="297" t="b">
        <v>0</v>
      </c>
      <c r="L51" s="209"/>
      <c r="N51" s="303" t="s">
        <v>744</v>
      </c>
      <c r="O51" s="306" t="s">
        <v>745</v>
      </c>
      <c r="P51" s="304" t="s">
        <v>746</v>
      </c>
      <c r="Q51" s="307">
        <v>8.10115970149E11</v>
      </c>
      <c r="R51" s="209"/>
      <c r="S51" s="209"/>
      <c r="T51" s="209"/>
      <c r="U51" s="209"/>
      <c r="V51" s="300" t="b">
        <v>1</v>
      </c>
      <c r="W51" s="301" t="b">
        <v>0</v>
      </c>
      <c r="X51" s="209"/>
      <c r="Y51" s="291"/>
      <c r="Z51" s="303" t="s">
        <v>747</v>
      </c>
      <c r="AA51" s="304" t="s">
        <v>575</v>
      </c>
      <c r="AB51" s="304" t="s">
        <v>748</v>
      </c>
      <c r="AC51" s="308" t="s">
        <v>749</v>
      </c>
      <c r="AD51" s="209"/>
      <c r="AE51" s="209"/>
      <c r="AF51" s="209"/>
      <c r="AG51" s="209"/>
      <c r="AH51" s="307" t="b">
        <v>1</v>
      </c>
      <c r="AI51" s="301" t="b">
        <v>0</v>
      </c>
      <c r="AJ51" s="209"/>
    </row>
    <row r="52">
      <c r="A52" s="291"/>
      <c r="B52" s="303" t="s">
        <v>751</v>
      </c>
      <c r="C52" s="304" t="s">
        <v>404</v>
      </c>
      <c r="D52" s="304" t="s">
        <v>752</v>
      </c>
      <c r="E52" s="305">
        <v>8.10115972693E11</v>
      </c>
      <c r="F52" s="209"/>
      <c r="G52" s="209"/>
      <c r="H52" s="209"/>
      <c r="I52" s="209"/>
      <c r="J52" s="296" t="b">
        <v>1</v>
      </c>
      <c r="K52" s="301" t="b">
        <v>0</v>
      </c>
      <c r="L52" s="209"/>
      <c r="N52" s="303" t="s">
        <v>753</v>
      </c>
      <c r="O52" s="306" t="s">
        <v>754</v>
      </c>
      <c r="P52" s="304" t="s">
        <v>755</v>
      </c>
      <c r="Q52" s="307">
        <v>8.10115970156E11</v>
      </c>
      <c r="R52" s="209"/>
      <c r="S52" s="209"/>
      <c r="T52" s="209"/>
      <c r="U52" s="209"/>
      <c r="V52" s="300" t="b">
        <v>1</v>
      </c>
      <c r="W52" s="301" t="b">
        <v>0</v>
      </c>
      <c r="X52" s="209"/>
      <c r="Y52" s="309"/>
      <c r="Z52" s="310" t="s">
        <v>756</v>
      </c>
      <c r="AA52" s="311" t="s">
        <v>554</v>
      </c>
      <c r="AB52" s="311" t="s">
        <v>757</v>
      </c>
      <c r="AC52" s="335" t="s">
        <v>758</v>
      </c>
      <c r="AD52" s="313"/>
      <c r="AE52" s="313"/>
      <c r="AF52" s="313"/>
      <c r="AG52" s="313"/>
      <c r="AH52" s="318" t="b">
        <v>1</v>
      </c>
      <c r="AI52" s="314" t="b">
        <v>0</v>
      </c>
      <c r="AJ52" s="209"/>
    </row>
    <row r="53">
      <c r="A53" s="291"/>
      <c r="B53" s="303" t="s">
        <v>760</v>
      </c>
      <c r="C53" s="304" t="s">
        <v>390</v>
      </c>
      <c r="D53" s="304" t="s">
        <v>761</v>
      </c>
      <c r="E53" s="305">
        <v>8.10115972716E11</v>
      </c>
      <c r="F53" s="209"/>
      <c r="G53" s="209"/>
      <c r="H53" s="209"/>
      <c r="I53" s="209"/>
      <c r="J53" s="296" t="b">
        <v>1</v>
      </c>
      <c r="K53" s="301" t="b">
        <v>0</v>
      </c>
      <c r="L53" s="209"/>
      <c r="N53" s="303" t="s">
        <v>762</v>
      </c>
      <c r="O53" s="306" t="s">
        <v>662</v>
      </c>
      <c r="P53" s="304" t="s">
        <v>763</v>
      </c>
      <c r="Q53" s="307">
        <v>8.10115976035E11</v>
      </c>
      <c r="R53" s="209"/>
      <c r="S53" s="209"/>
      <c r="T53" s="209"/>
      <c r="U53" s="325"/>
      <c r="V53" s="300" t="b">
        <v>1</v>
      </c>
      <c r="W53" s="301" t="b">
        <v>0</v>
      </c>
      <c r="X53" s="209"/>
      <c r="Y53" s="209"/>
      <c r="Z53" s="209"/>
      <c r="AA53" s="209"/>
      <c r="AB53" s="313"/>
      <c r="AC53" s="209"/>
      <c r="AD53" s="209"/>
      <c r="AE53" s="209"/>
      <c r="AF53" s="209"/>
      <c r="AG53" s="209"/>
      <c r="AH53" s="209"/>
      <c r="AI53" s="209"/>
      <c r="AJ53" s="209"/>
    </row>
    <row r="54">
      <c r="A54" s="291"/>
      <c r="B54" s="303" t="s">
        <v>764</v>
      </c>
      <c r="C54" s="304" t="s">
        <v>662</v>
      </c>
      <c r="D54" s="209"/>
      <c r="E54" s="209"/>
      <c r="F54" s="209"/>
      <c r="G54" s="209"/>
      <c r="H54" s="209"/>
      <c r="I54" s="209"/>
      <c r="J54" s="296" t="b">
        <v>1</v>
      </c>
      <c r="K54" s="301" t="b">
        <v>0</v>
      </c>
      <c r="L54" s="209"/>
      <c r="N54" s="303" t="s">
        <v>766</v>
      </c>
      <c r="O54" s="306" t="s">
        <v>434</v>
      </c>
      <c r="P54" s="304" t="s">
        <v>767</v>
      </c>
      <c r="Q54" s="307">
        <v>8.10115976059E11</v>
      </c>
      <c r="R54" s="209"/>
      <c r="S54" s="209"/>
      <c r="T54" s="209"/>
      <c r="U54" s="325"/>
      <c r="V54" s="300" t="b">
        <v>1</v>
      </c>
      <c r="W54" s="301" t="b">
        <v>0</v>
      </c>
      <c r="X54" s="209"/>
      <c r="Y54" s="326" t="s">
        <v>768</v>
      </c>
      <c r="Z54" s="319" t="s">
        <v>769</v>
      </c>
      <c r="AA54" s="320"/>
      <c r="AB54" s="283" t="s">
        <v>770</v>
      </c>
      <c r="AC54" s="336" t="s">
        <v>723</v>
      </c>
      <c r="AD54" s="320"/>
      <c r="AE54" s="320"/>
      <c r="AF54" s="285" t="s">
        <v>376</v>
      </c>
      <c r="AG54" s="285" t="s">
        <v>832</v>
      </c>
      <c r="AH54" s="333" t="str">
        <f>IF(COUNTIF(AH55:AH61, TRUE) = COUNTA(AH55:AH61), "Complete!", IF(COUNTIF(AH55:AH61, TRUE) &gt; 0, "Partial", "Not Started"))</f>
        <v>Complete!</v>
      </c>
      <c r="AI54" s="334"/>
      <c r="AJ54" s="280">
        <v>7.0</v>
      </c>
    </row>
    <row r="55">
      <c r="A55" s="291"/>
      <c r="B55" s="303" t="s">
        <v>772</v>
      </c>
      <c r="C55" s="304" t="s">
        <v>400</v>
      </c>
      <c r="D55" s="304" t="s">
        <v>773</v>
      </c>
      <c r="E55" s="305">
        <v>8.10115972679E11</v>
      </c>
      <c r="F55" s="209"/>
      <c r="G55" s="209"/>
      <c r="H55" s="209"/>
      <c r="I55" s="209"/>
      <c r="J55" s="296" t="b">
        <v>1</v>
      </c>
      <c r="K55" s="301" t="b">
        <v>0</v>
      </c>
      <c r="L55" s="209"/>
      <c r="N55" s="303" t="s">
        <v>774</v>
      </c>
      <c r="O55" s="306" t="s">
        <v>775</v>
      </c>
      <c r="P55" s="304" t="s">
        <v>776</v>
      </c>
      <c r="Q55" s="307">
        <v>8.40472501816E11</v>
      </c>
      <c r="R55" s="209"/>
      <c r="S55" s="209"/>
      <c r="T55" s="209"/>
      <c r="U55" s="209"/>
      <c r="V55" s="300" t="b">
        <v>1</v>
      </c>
      <c r="W55" s="301" t="b">
        <v>0</v>
      </c>
      <c r="X55" s="209"/>
      <c r="Y55" s="291"/>
      <c r="Z55" s="303" t="s">
        <v>777</v>
      </c>
      <c r="AA55" s="304" t="s">
        <v>729</v>
      </c>
      <c r="AB55" s="304" t="s">
        <v>778</v>
      </c>
      <c r="AC55" s="307">
        <v>8.10115979746E11</v>
      </c>
      <c r="AD55" s="304" t="s">
        <v>732</v>
      </c>
      <c r="AE55" s="209"/>
      <c r="AF55" s="209"/>
      <c r="AG55" s="304" t="s">
        <v>733</v>
      </c>
      <c r="AH55" s="307" t="b">
        <v>1</v>
      </c>
      <c r="AI55" s="301" t="b">
        <v>0</v>
      </c>
      <c r="AJ55" s="209"/>
    </row>
    <row r="56">
      <c r="A56" s="291"/>
      <c r="B56" s="303" t="s">
        <v>779</v>
      </c>
      <c r="C56" s="304" t="s">
        <v>412</v>
      </c>
      <c r="D56" s="304" t="s">
        <v>780</v>
      </c>
      <c r="E56" s="305">
        <v>8.10115972662E11</v>
      </c>
      <c r="F56" s="209"/>
      <c r="G56" s="209"/>
      <c r="H56" s="209"/>
      <c r="I56" s="304" t="s">
        <v>4051</v>
      </c>
      <c r="J56" s="296" t="b">
        <v>1</v>
      </c>
      <c r="K56" s="301" t="b">
        <v>0</v>
      </c>
      <c r="L56" s="209"/>
      <c r="N56" s="303" t="s">
        <v>781</v>
      </c>
      <c r="O56" s="306" t="s">
        <v>782</v>
      </c>
      <c r="P56" s="304" t="s">
        <v>783</v>
      </c>
      <c r="Q56" s="307">
        <v>8.40472501809E11</v>
      </c>
      <c r="R56" s="209"/>
      <c r="S56" s="209"/>
      <c r="T56" s="209"/>
      <c r="U56" s="209"/>
      <c r="V56" s="300" t="b">
        <v>1</v>
      </c>
      <c r="W56" s="301" t="b">
        <v>0</v>
      </c>
      <c r="X56" s="209"/>
      <c r="Y56" s="291"/>
      <c r="Z56" s="303" t="s">
        <v>784</v>
      </c>
      <c r="AA56" s="304" t="s">
        <v>739</v>
      </c>
      <c r="AB56" s="304" t="s">
        <v>785</v>
      </c>
      <c r="AC56" s="307">
        <v>8.10115979708E11</v>
      </c>
      <c r="AD56" s="304" t="s">
        <v>732</v>
      </c>
      <c r="AE56" s="209"/>
      <c r="AF56" s="209"/>
      <c r="AG56" s="304" t="s">
        <v>733</v>
      </c>
      <c r="AH56" s="307" t="b">
        <v>1</v>
      </c>
      <c r="AI56" s="301" t="b">
        <v>0</v>
      </c>
      <c r="AJ56" s="209"/>
    </row>
    <row r="57">
      <c r="A57" s="291"/>
      <c r="B57" s="303" t="s">
        <v>786</v>
      </c>
      <c r="C57" s="304" t="s">
        <v>679</v>
      </c>
      <c r="D57" s="209"/>
      <c r="E57" s="209"/>
      <c r="F57" s="209"/>
      <c r="G57" s="209"/>
      <c r="H57" s="209"/>
      <c r="I57" s="209"/>
      <c r="J57" s="296" t="b">
        <v>1</v>
      </c>
      <c r="K57" s="301" t="b">
        <v>0</v>
      </c>
      <c r="L57" s="209"/>
      <c r="N57" s="303" t="s">
        <v>788</v>
      </c>
      <c r="O57" s="306" t="s">
        <v>789</v>
      </c>
      <c r="P57" s="304" t="s">
        <v>790</v>
      </c>
      <c r="Q57" s="307">
        <v>8.4047250183E11</v>
      </c>
      <c r="R57" s="209"/>
      <c r="S57" s="209"/>
      <c r="T57" s="209"/>
      <c r="U57" s="209"/>
      <c r="V57" s="300" t="b">
        <v>1</v>
      </c>
      <c r="W57" s="301" t="b">
        <v>0</v>
      </c>
      <c r="X57" s="209"/>
      <c r="Y57" s="291"/>
      <c r="Z57" s="303" t="s">
        <v>791</v>
      </c>
      <c r="AA57" s="304" t="s">
        <v>575</v>
      </c>
      <c r="AB57" s="304" t="s">
        <v>792</v>
      </c>
      <c r="AC57" s="307">
        <v>8.1011597976E11</v>
      </c>
      <c r="AD57" s="304" t="s">
        <v>732</v>
      </c>
      <c r="AE57" s="209"/>
      <c r="AF57" s="209"/>
      <c r="AG57" s="304" t="s">
        <v>733</v>
      </c>
      <c r="AH57" s="307" t="b">
        <v>1</v>
      </c>
      <c r="AI57" s="301" t="b">
        <v>0</v>
      </c>
      <c r="AJ57" s="209"/>
    </row>
    <row r="58">
      <c r="A58" s="309"/>
      <c r="B58" s="310" t="s">
        <v>793</v>
      </c>
      <c r="C58" s="311" t="s">
        <v>431</v>
      </c>
      <c r="D58" s="311" t="s">
        <v>794</v>
      </c>
      <c r="E58" s="312">
        <v>8.10115972686E11</v>
      </c>
      <c r="F58" s="313"/>
      <c r="G58" s="313"/>
      <c r="H58" s="313"/>
      <c r="I58" s="313"/>
      <c r="J58" s="296" t="b">
        <v>1</v>
      </c>
      <c r="K58" s="314" t="b">
        <v>0</v>
      </c>
      <c r="L58" s="209"/>
      <c r="N58" s="303" t="s">
        <v>795</v>
      </c>
      <c r="O58" s="306" t="s">
        <v>796</v>
      </c>
      <c r="P58" s="304" t="s">
        <v>797</v>
      </c>
      <c r="Q58" s="307">
        <v>8.40472501847E11</v>
      </c>
      <c r="R58" s="209"/>
      <c r="S58" s="209"/>
      <c r="T58" s="209"/>
      <c r="U58" s="209"/>
      <c r="V58" s="300" t="b">
        <v>1</v>
      </c>
      <c r="W58" s="301" t="b">
        <v>0</v>
      </c>
      <c r="X58" s="209"/>
      <c r="Y58" s="291"/>
      <c r="Z58" s="303" t="s">
        <v>798</v>
      </c>
      <c r="AA58" s="304" t="s">
        <v>575</v>
      </c>
      <c r="AB58" s="304" t="s">
        <v>799</v>
      </c>
      <c r="AC58" s="307">
        <v>8.10115979715E11</v>
      </c>
      <c r="AD58" s="304" t="s">
        <v>732</v>
      </c>
      <c r="AE58" s="209"/>
      <c r="AF58" s="209"/>
      <c r="AG58" s="304" t="s">
        <v>733</v>
      </c>
      <c r="AH58" s="307" t="b">
        <v>1</v>
      </c>
      <c r="AI58" s="301" t="b">
        <v>0</v>
      </c>
      <c r="AJ58" s="209"/>
    </row>
    <row r="59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N59" s="303" t="s">
        <v>800</v>
      </c>
      <c r="O59" s="306" t="s">
        <v>400</v>
      </c>
      <c r="P59" s="304" t="s">
        <v>801</v>
      </c>
      <c r="Q59" s="307">
        <v>8.40472501823E11</v>
      </c>
      <c r="R59" s="209"/>
      <c r="S59" s="209"/>
      <c r="T59" s="209"/>
      <c r="U59" s="209"/>
      <c r="V59" s="300" t="b">
        <v>1</v>
      </c>
      <c r="W59" s="301" t="b">
        <v>0</v>
      </c>
      <c r="X59" s="209"/>
      <c r="Y59" s="291"/>
      <c r="Z59" s="303" t="s">
        <v>802</v>
      </c>
      <c r="AA59" s="304" t="s">
        <v>803</v>
      </c>
      <c r="AB59" s="304" t="s">
        <v>804</v>
      </c>
      <c r="AC59" s="307">
        <v>8.10115979777E11</v>
      </c>
      <c r="AD59" s="304" t="s">
        <v>732</v>
      </c>
      <c r="AE59" s="209"/>
      <c r="AF59" s="209"/>
      <c r="AG59" s="304" t="s">
        <v>733</v>
      </c>
      <c r="AH59" s="307" t="b">
        <v>1</v>
      </c>
      <c r="AI59" s="301" t="b">
        <v>0</v>
      </c>
      <c r="AJ59" s="209"/>
    </row>
    <row r="60">
      <c r="A60" s="337" t="s">
        <v>768</v>
      </c>
      <c r="B60" s="282" t="s">
        <v>234</v>
      </c>
      <c r="C60" s="273"/>
      <c r="D60" s="274" t="s">
        <v>233</v>
      </c>
      <c r="E60" s="275" t="s">
        <v>805</v>
      </c>
      <c r="F60" s="273"/>
      <c r="G60" s="273"/>
      <c r="H60" s="276" t="s">
        <v>370</v>
      </c>
      <c r="I60" s="277" t="s">
        <v>4058</v>
      </c>
      <c r="J60" s="278" t="str">
        <f>IF(COUNTIF(J61:J69, TRUE) = COUNTA(J61:J69), "Complete!", IF(COUNTIF(J61:J69, TRUE) &gt; 0, "Partial", "Not Started"))</f>
        <v>Complete!</v>
      </c>
      <c r="K60" s="279"/>
      <c r="L60" s="280">
        <v>9.0</v>
      </c>
      <c r="N60" s="310" t="s">
        <v>807</v>
      </c>
      <c r="O60" s="317" t="s">
        <v>808</v>
      </c>
      <c r="P60" s="311" t="s">
        <v>809</v>
      </c>
      <c r="Q60" s="318">
        <v>8.40472501854E11</v>
      </c>
      <c r="R60" s="313"/>
      <c r="S60" s="313"/>
      <c r="T60" s="313"/>
      <c r="U60" s="313"/>
      <c r="V60" s="350" t="b">
        <v>1</v>
      </c>
      <c r="W60" s="314" t="b">
        <v>0</v>
      </c>
      <c r="X60" s="209"/>
      <c r="Y60" s="291"/>
      <c r="Z60" s="303" t="s">
        <v>810</v>
      </c>
      <c r="AA60" s="304" t="s">
        <v>554</v>
      </c>
      <c r="AB60" s="304" t="s">
        <v>811</v>
      </c>
      <c r="AC60" s="307">
        <v>8.10115979722E11</v>
      </c>
      <c r="AD60" s="304" t="s">
        <v>732</v>
      </c>
      <c r="AE60" s="209"/>
      <c r="AF60" s="209"/>
      <c r="AG60" s="304" t="s">
        <v>733</v>
      </c>
      <c r="AH60" s="307" t="b">
        <v>1</v>
      </c>
      <c r="AI60" s="301" t="b">
        <v>0</v>
      </c>
      <c r="AJ60" s="209"/>
    </row>
    <row r="61">
      <c r="A61" s="338"/>
      <c r="B61" s="292" t="s">
        <v>812</v>
      </c>
      <c r="C61" s="304" t="s">
        <v>813</v>
      </c>
      <c r="D61" s="293" t="s">
        <v>814</v>
      </c>
      <c r="E61" s="294">
        <v>8.40472503025E11</v>
      </c>
      <c r="F61" s="295"/>
      <c r="G61" s="295"/>
      <c r="H61" s="295"/>
      <c r="I61" s="293" t="s">
        <v>4059</v>
      </c>
      <c r="J61" s="296" t="b">
        <v>1</v>
      </c>
      <c r="K61" s="297" t="b">
        <v>0</v>
      </c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309"/>
      <c r="Z61" s="310" t="s">
        <v>815</v>
      </c>
      <c r="AA61" s="311" t="s">
        <v>816</v>
      </c>
      <c r="AB61" s="311" t="s">
        <v>817</v>
      </c>
      <c r="AC61" s="318">
        <v>8.10115979739E11</v>
      </c>
      <c r="AD61" s="313"/>
      <c r="AE61" s="313"/>
      <c r="AF61" s="313"/>
      <c r="AG61" s="313"/>
      <c r="AH61" s="318" t="b">
        <v>1</v>
      </c>
      <c r="AI61" s="314" t="b">
        <v>0</v>
      </c>
      <c r="AJ61" s="209"/>
    </row>
    <row r="62">
      <c r="A62" s="338"/>
      <c r="B62" s="303" t="s">
        <v>818</v>
      </c>
      <c r="C62" s="304" t="s">
        <v>609</v>
      </c>
      <c r="D62" s="304" t="s">
        <v>819</v>
      </c>
      <c r="E62" s="305">
        <v>8.40472503018E11</v>
      </c>
      <c r="F62" s="209"/>
      <c r="G62" s="209"/>
      <c r="H62" s="209"/>
      <c r="I62" s="304" t="s">
        <v>4059</v>
      </c>
      <c r="J62" s="296" t="b">
        <v>1</v>
      </c>
      <c r="K62" s="301" t="b">
        <v>0</v>
      </c>
      <c r="L62" s="209"/>
      <c r="M62" s="327" t="s">
        <v>768</v>
      </c>
      <c r="N62" s="282" t="s">
        <v>820</v>
      </c>
      <c r="O62" s="273"/>
      <c r="P62" s="274" t="s">
        <v>821</v>
      </c>
      <c r="Q62" s="275" t="s">
        <v>374</v>
      </c>
      <c r="R62" s="273"/>
      <c r="S62" s="273"/>
      <c r="T62" s="276" t="s">
        <v>370</v>
      </c>
      <c r="U62" s="276" t="s">
        <v>4060</v>
      </c>
      <c r="V62" s="278" t="str">
        <f>IF(COUNTIF(V63:V71, TRUE) = COUNTA(V63:V71), "Complete!", IF(COUNTIF(V63:V71, TRUE) &gt; 0, "Partial", "Not Started"))</f>
        <v>Complete!</v>
      </c>
      <c r="W62" s="279"/>
      <c r="X62" s="280">
        <v>9.0</v>
      </c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</row>
    <row r="63">
      <c r="A63" s="338"/>
      <c r="B63" s="303" t="s">
        <v>823</v>
      </c>
      <c r="C63" s="304" t="s">
        <v>630</v>
      </c>
      <c r="D63" s="304" t="s">
        <v>824</v>
      </c>
      <c r="E63" s="305">
        <v>8.10115970347E11</v>
      </c>
      <c r="F63" s="209"/>
      <c r="G63" s="209"/>
      <c r="H63" s="209"/>
      <c r="I63" s="209"/>
      <c r="J63" s="296" t="b">
        <v>1</v>
      </c>
      <c r="K63" s="301" t="b">
        <v>0</v>
      </c>
      <c r="L63" s="209"/>
      <c r="N63" s="292" t="s">
        <v>825</v>
      </c>
      <c r="O63" s="298" t="s">
        <v>826</v>
      </c>
      <c r="P63" s="293" t="s">
        <v>827</v>
      </c>
      <c r="Q63" s="299">
        <v>8.10115970965E11</v>
      </c>
      <c r="R63" s="295"/>
      <c r="S63" s="295"/>
      <c r="T63" s="295"/>
      <c r="U63" s="295"/>
      <c r="V63" s="296" t="b">
        <v>1</v>
      </c>
      <c r="W63" s="297" t="b">
        <v>0</v>
      </c>
      <c r="X63" s="209"/>
      <c r="Y63" s="326" t="s">
        <v>828</v>
      </c>
      <c r="Z63" s="319" t="s">
        <v>829</v>
      </c>
      <c r="AA63" s="320"/>
      <c r="AB63" s="283" t="s">
        <v>830</v>
      </c>
      <c r="AC63" s="336" t="s">
        <v>831</v>
      </c>
      <c r="AD63" s="320"/>
      <c r="AE63" s="320"/>
      <c r="AF63" s="285" t="s">
        <v>572</v>
      </c>
      <c r="AG63" s="285" t="s">
        <v>4061</v>
      </c>
      <c r="AH63" s="333" t="str">
        <f>IF(COUNTIF(AH64:AH69, TRUE) = COUNTA(AH64:AH69), "Complete!", IF(COUNTIF(AH64:AH69, TRUE) &gt; 0, "Partial", "Not Started"))</f>
        <v>Complete!</v>
      </c>
      <c r="AI63" s="334"/>
      <c r="AJ63" s="280">
        <v>6.0</v>
      </c>
    </row>
    <row r="64">
      <c r="A64" s="338"/>
      <c r="B64" s="303" t="s">
        <v>833</v>
      </c>
      <c r="C64" s="304" t="s">
        <v>394</v>
      </c>
      <c r="D64" s="304" t="s">
        <v>834</v>
      </c>
      <c r="E64" s="305">
        <v>8.10115970255E11</v>
      </c>
      <c r="F64" s="209"/>
      <c r="G64" s="209"/>
      <c r="H64" s="209"/>
      <c r="I64" s="209"/>
      <c r="J64" s="296" t="b">
        <v>1</v>
      </c>
      <c r="K64" s="301" t="b">
        <v>0</v>
      </c>
      <c r="L64" s="209"/>
      <c r="N64" s="303" t="s">
        <v>835</v>
      </c>
      <c r="O64" s="306" t="s">
        <v>836</v>
      </c>
      <c r="P64" s="304" t="s">
        <v>837</v>
      </c>
      <c r="Q64" s="307">
        <v>8.10115970989E11</v>
      </c>
      <c r="R64" s="209"/>
      <c r="S64" s="209"/>
      <c r="T64" s="209"/>
      <c r="U64" s="209"/>
      <c r="V64" s="300" t="b">
        <v>1</v>
      </c>
      <c r="W64" s="301" t="b">
        <v>0</v>
      </c>
      <c r="X64" s="209"/>
      <c r="Y64" s="291"/>
      <c r="Z64" s="304" t="s">
        <v>838</v>
      </c>
      <c r="AA64" s="304" t="s">
        <v>739</v>
      </c>
      <c r="AB64" s="293" t="s">
        <v>839</v>
      </c>
      <c r="AC64" s="307">
        <v>8.10115979791E11</v>
      </c>
      <c r="AD64" s="304" t="s">
        <v>732</v>
      </c>
      <c r="AE64" s="209"/>
      <c r="AF64" s="209"/>
      <c r="AG64" s="304" t="s">
        <v>733</v>
      </c>
      <c r="AH64" s="307" t="b">
        <v>1</v>
      </c>
      <c r="AI64" s="301" t="b">
        <v>0</v>
      </c>
      <c r="AJ64" s="209"/>
    </row>
    <row r="65">
      <c r="A65" s="338"/>
      <c r="B65" s="303" t="s">
        <v>840</v>
      </c>
      <c r="C65" s="304" t="s">
        <v>841</v>
      </c>
      <c r="D65" s="304" t="s">
        <v>842</v>
      </c>
      <c r="E65" s="305">
        <v>8.40472503001E11</v>
      </c>
      <c r="F65" s="209"/>
      <c r="G65" s="209"/>
      <c r="H65" s="209"/>
      <c r="I65" s="304" t="s">
        <v>4059</v>
      </c>
      <c r="J65" s="296" t="b">
        <v>1</v>
      </c>
      <c r="K65" s="301" t="b">
        <v>0</v>
      </c>
      <c r="L65" s="209"/>
      <c r="N65" s="303" t="s">
        <v>843</v>
      </c>
      <c r="O65" s="306" t="s">
        <v>394</v>
      </c>
      <c r="P65" s="304" t="s">
        <v>844</v>
      </c>
      <c r="Q65" s="307">
        <v>8.10115976011E11</v>
      </c>
      <c r="R65" s="209"/>
      <c r="S65" s="209"/>
      <c r="T65" s="209"/>
      <c r="U65" s="209"/>
      <c r="V65" s="300" t="b">
        <v>1</v>
      </c>
      <c r="W65" s="301" t="b">
        <v>0</v>
      </c>
      <c r="X65" s="209"/>
      <c r="Y65" s="291"/>
      <c r="Z65" s="304" t="s">
        <v>845</v>
      </c>
      <c r="AA65" s="304" t="s">
        <v>400</v>
      </c>
      <c r="AB65" s="304" t="s">
        <v>846</v>
      </c>
      <c r="AC65" s="307">
        <v>8.10115979814E11</v>
      </c>
      <c r="AD65" s="209"/>
      <c r="AE65" s="209"/>
      <c r="AF65" s="209"/>
      <c r="AG65" s="209"/>
      <c r="AH65" s="307" t="b">
        <v>1</v>
      </c>
      <c r="AI65" s="301" t="b">
        <v>0</v>
      </c>
      <c r="AJ65" s="209"/>
    </row>
    <row r="66">
      <c r="A66" s="338"/>
      <c r="B66" s="303" t="s">
        <v>847</v>
      </c>
      <c r="C66" s="304" t="s">
        <v>848</v>
      </c>
      <c r="D66" s="304" t="s">
        <v>849</v>
      </c>
      <c r="E66" s="305">
        <v>8.1011597187E11</v>
      </c>
      <c r="F66" s="209"/>
      <c r="G66" s="209"/>
      <c r="H66" s="209"/>
      <c r="I66" s="209"/>
      <c r="J66" s="296" t="b">
        <v>1</v>
      </c>
      <c r="K66" s="301" t="b">
        <v>0</v>
      </c>
      <c r="L66" s="209"/>
      <c r="N66" s="303" t="s">
        <v>850</v>
      </c>
      <c r="O66" s="306" t="s">
        <v>390</v>
      </c>
      <c r="P66" s="304" t="s">
        <v>851</v>
      </c>
      <c r="Q66" s="307">
        <v>8.10115976028E11</v>
      </c>
      <c r="R66" s="209"/>
      <c r="S66" s="209"/>
      <c r="T66" s="209"/>
      <c r="U66" s="209"/>
      <c r="V66" s="300" t="b">
        <v>1</v>
      </c>
      <c r="W66" s="301" t="b">
        <v>0</v>
      </c>
      <c r="X66" s="209"/>
      <c r="Y66" s="291"/>
      <c r="Z66" s="304" t="s">
        <v>852</v>
      </c>
      <c r="AA66" s="304" t="s">
        <v>400</v>
      </c>
      <c r="AB66" s="304" t="s">
        <v>853</v>
      </c>
      <c r="AC66" s="307">
        <v>8.10115979821E11</v>
      </c>
      <c r="AD66" s="304" t="s">
        <v>732</v>
      </c>
      <c r="AE66" s="209"/>
      <c r="AF66" s="209"/>
      <c r="AG66" s="304" t="s">
        <v>733</v>
      </c>
      <c r="AH66" s="307" t="b">
        <v>1</v>
      </c>
      <c r="AI66" s="301" t="b">
        <v>0</v>
      </c>
      <c r="AJ66" s="209"/>
    </row>
    <row r="67">
      <c r="A67" s="338"/>
      <c r="B67" s="303" t="s">
        <v>854</v>
      </c>
      <c r="C67" s="304" t="s">
        <v>855</v>
      </c>
      <c r="D67" s="304" t="s">
        <v>856</v>
      </c>
      <c r="E67" s="305">
        <v>8.10115970453E11</v>
      </c>
      <c r="F67" s="209"/>
      <c r="G67" s="209"/>
      <c r="H67" s="209"/>
      <c r="I67" s="209"/>
      <c r="J67" s="296" t="b">
        <v>1</v>
      </c>
      <c r="K67" s="301" t="b">
        <v>0</v>
      </c>
      <c r="L67" s="209"/>
      <c r="N67" s="303" t="s">
        <v>857</v>
      </c>
      <c r="O67" s="306" t="s">
        <v>858</v>
      </c>
      <c r="P67" s="304" t="s">
        <v>859</v>
      </c>
      <c r="Q67" s="307">
        <v>8.10115970972E11</v>
      </c>
      <c r="R67" s="209"/>
      <c r="S67" s="209"/>
      <c r="T67" s="209"/>
      <c r="U67" s="209"/>
      <c r="V67" s="300" t="b">
        <v>1</v>
      </c>
      <c r="W67" s="301" t="b">
        <v>0</v>
      </c>
      <c r="X67" s="209"/>
      <c r="Y67" s="291"/>
      <c r="Z67" s="304" t="s">
        <v>860</v>
      </c>
      <c r="AA67" s="304" t="s">
        <v>554</v>
      </c>
      <c r="AB67" s="304" t="s">
        <v>861</v>
      </c>
      <c r="AC67" s="307">
        <v>8.10115979838E11</v>
      </c>
      <c r="AD67" s="209"/>
      <c r="AE67" s="209"/>
      <c r="AF67" s="209"/>
      <c r="AG67" s="209"/>
      <c r="AH67" s="307" t="b">
        <v>1</v>
      </c>
      <c r="AI67" s="301" t="b">
        <v>0</v>
      </c>
      <c r="AJ67" s="209"/>
    </row>
    <row r="68">
      <c r="A68" s="338"/>
      <c r="B68" s="303" t="s">
        <v>862</v>
      </c>
      <c r="C68" s="304" t="s">
        <v>863</v>
      </c>
      <c r="D68" s="304" t="s">
        <v>864</v>
      </c>
      <c r="E68" s="305">
        <v>8.40472503032E11</v>
      </c>
      <c r="F68" s="209"/>
      <c r="G68" s="209"/>
      <c r="H68" s="209"/>
      <c r="I68" s="304" t="s">
        <v>4059</v>
      </c>
      <c r="J68" s="296" t="b">
        <v>1</v>
      </c>
      <c r="K68" s="301" t="b">
        <v>0</v>
      </c>
      <c r="L68" s="209"/>
      <c r="N68" s="303" t="s">
        <v>865</v>
      </c>
      <c r="O68" s="306" t="s">
        <v>404</v>
      </c>
      <c r="P68" s="304" t="s">
        <v>866</v>
      </c>
      <c r="Q68" s="307">
        <v>8.40472501779E11</v>
      </c>
      <c r="R68" s="209"/>
      <c r="S68" s="209"/>
      <c r="T68" s="209"/>
      <c r="U68" s="209"/>
      <c r="V68" s="300" t="b">
        <v>1</v>
      </c>
      <c r="W68" s="301" t="b">
        <v>0</v>
      </c>
      <c r="X68" s="209"/>
      <c r="Y68" s="291"/>
      <c r="Z68" s="304" t="s">
        <v>867</v>
      </c>
      <c r="AA68" s="304" t="s">
        <v>554</v>
      </c>
      <c r="AB68" s="304" t="s">
        <v>868</v>
      </c>
      <c r="AC68" s="307">
        <v>8.10115979845E11</v>
      </c>
      <c r="AD68" s="304" t="s">
        <v>732</v>
      </c>
      <c r="AE68" s="209"/>
      <c r="AF68" s="209"/>
      <c r="AG68" s="304" t="s">
        <v>733</v>
      </c>
      <c r="AH68" s="307" t="b">
        <v>1</v>
      </c>
      <c r="AI68" s="301" t="b">
        <v>0</v>
      </c>
      <c r="AJ68" s="209"/>
    </row>
    <row r="69">
      <c r="A69" s="338"/>
      <c r="B69" s="310" t="s">
        <v>869</v>
      </c>
      <c r="C69" s="311" t="s">
        <v>870</v>
      </c>
      <c r="D69" s="311" t="s">
        <v>871</v>
      </c>
      <c r="E69" s="312">
        <v>8.40472503049E11</v>
      </c>
      <c r="F69" s="313"/>
      <c r="G69" s="313"/>
      <c r="H69" s="313"/>
      <c r="I69" s="311" t="s">
        <v>4059</v>
      </c>
      <c r="J69" s="296" t="b">
        <v>1</v>
      </c>
      <c r="K69" s="314" t="b">
        <v>0</v>
      </c>
      <c r="L69" s="209"/>
      <c r="N69" s="303" t="s">
        <v>872</v>
      </c>
      <c r="O69" s="306" t="s">
        <v>873</v>
      </c>
      <c r="P69" s="304" t="s">
        <v>874</v>
      </c>
      <c r="Q69" s="307">
        <v>8.40472501762E11</v>
      </c>
      <c r="R69" s="209"/>
      <c r="S69" s="209"/>
      <c r="T69" s="209"/>
      <c r="U69" s="209"/>
      <c r="V69" s="300" t="b">
        <v>1</v>
      </c>
      <c r="W69" s="301" t="b">
        <v>0</v>
      </c>
      <c r="X69" s="209"/>
      <c r="Y69" s="309"/>
      <c r="Z69" s="311" t="s">
        <v>875</v>
      </c>
      <c r="AA69" s="311" t="s">
        <v>876</v>
      </c>
      <c r="AB69" s="311" t="s">
        <v>877</v>
      </c>
      <c r="AC69" s="318">
        <v>8.10115979852E11</v>
      </c>
      <c r="AD69" s="311" t="s">
        <v>732</v>
      </c>
      <c r="AE69" s="313"/>
      <c r="AF69" s="313"/>
      <c r="AG69" s="311" t="s">
        <v>733</v>
      </c>
      <c r="AH69" s="318" t="b">
        <v>1</v>
      </c>
      <c r="AI69" s="314" t="b">
        <v>0</v>
      </c>
      <c r="AJ69" s="209"/>
    </row>
    <row r="70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N70" s="303" t="s">
        <v>878</v>
      </c>
      <c r="O70" s="306" t="s">
        <v>682</v>
      </c>
      <c r="P70" s="304" t="s">
        <v>879</v>
      </c>
      <c r="Q70" s="307">
        <v>8.40472501786E11</v>
      </c>
      <c r="R70" s="209"/>
      <c r="S70" s="209"/>
      <c r="T70" s="209"/>
      <c r="U70" s="209"/>
      <c r="V70" s="300" t="b">
        <v>1</v>
      </c>
      <c r="W70" s="301" t="b">
        <v>0</v>
      </c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</row>
    <row r="71">
      <c r="A71" s="337" t="s">
        <v>828</v>
      </c>
      <c r="B71" s="282" t="s">
        <v>215</v>
      </c>
      <c r="C71" s="273"/>
      <c r="D71" s="274" t="s">
        <v>214</v>
      </c>
      <c r="E71" s="275" t="s">
        <v>805</v>
      </c>
      <c r="F71" s="273"/>
      <c r="G71" s="273"/>
      <c r="H71" s="274" t="s">
        <v>376</v>
      </c>
      <c r="I71" s="274" t="s">
        <v>4062</v>
      </c>
      <c r="J71" s="278" t="str">
        <f>IF(COUNTIF(J72:J79, TRUE) = COUNTA(J72:J79), "Complete!", IF(COUNTIF(J72:J79, TRUE) &gt; 0, "Partial", "Not Started"))</f>
        <v>Complete!</v>
      </c>
      <c r="K71" s="279"/>
      <c r="L71" s="280">
        <v>8.0</v>
      </c>
      <c r="N71" s="310" t="s">
        <v>881</v>
      </c>
      <c r="O71" s="317" t="s">
        <v>882</v>
      </c>
      <c r="P71" s="311" t="s">
        <v>883</v>
      </c>
      <c r="Q71" s="318">
        <v>8.40472501755E11</v>
      </c>
      <c r="R71" s="313"/>
      <c r="S71" s="313"/>
      <c r="T71" s="313"/>
      <c r="U71" s="313"/>
      <c r="V71" s="350" t="b">
        <v>1</v>
      </c>
      <c r="W71" s="314" t="b">
        <v>0</v>
      </c>
      <c r="X71" s="209"/>
      <c r="Y71" s="326" t="s">
        <v>884</v>
      </c>
      <c r="Z71" s="339" t="s">
        <v>885</v>
      </c>
      <c r="AA71" s="320"/>
      <c r="AB71" s="283" t="s">
        <v>886</v>
      </c>
      <c r="AC71" s="336" t="s">
        <v>887</v>
      </c>
      <c r="AD71" s="320"/>
      <c r="AE71" s="320"/>
      <c r="AF71" s="285" t="s">
        <v>370</v>
      </c>
      <c r="AG71" s="285" t="s">
        <v>4063</v>
      </c>
      <c r="AH71" s="333" t="str">
        <f>IF(COUNTIF(AH72:AH74, TRUE) = COUNTA(AH72:AH74), "Complete!", IF(COUNTIF(AH72:AH74, TRUE) &gt; 0, "Partial", "Not Started"))</f>
        <v>Complete!</v>
      </c>
      <c r="AI71" s="334"/>
      <c r="AJ71" s="280">
        <v>3.0</v>
      </c>
    </row>
    <row r="72">
      <c r="A72" s="338"/>
      <c r="B72" s="292" t="s">
        <v>890</v>
      </c>
      <c r="C72" s="293" t="s">
        <v>685</v>
      </c>
      <c r="D72" s="293" t="s">
        <v>891</v>
      </c>
      <c r="E72" s="294">
        <v>8.40472505906E11</v>
      </c>
      <c r="F72" s="295"/>
      <c r="G72" s="295"/>
      <c r="H72" s="295"/>
      <c r="I72" s="293" t="s">
        <v>4059</v>
      </c>
      <c r="J72" s="296" t="b">
        <v>1</v>
      </c>
      <c r="K72" s="297" t="b">
        <v>0</v>
      </c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91"/>
      <c r="Z72" s="304" t="s">
        <v>892</v>
      </c>
      <c r="AA72" s="304" t="s">
        <v>893</v>
      </c>
      <c r="AB72" s="293" t="s">
        <v>894</v>
      </c>
      <c r="AC72" s="307">
        <v>8.10115970491E11</v>
      </c>
      <c r="AD72" s="304" t="s">
        <v>732</v>
      </c>
      <c r="AE72" s="209"/>
      <c r="AF72" s="209"/>
      <c r="AG72" s="209"/>
      <c r="AH72" s="307" t="b">
        <v>1</v>
      </c>
      <c r="AI72" s="301" t="b">
        <v>0</v>
      </c>
      <c r="AJ72" s="209"/>
    </row>
    <row r="73">
      <c r="A73" s="338"/>
      <c r="B73" s="303" t="s">
        <v>895</v>
      </c>
      <c r="C73" s="304" t="s">
        <v>896</v>
      </c>
      <c r="D73" s="304" t="s">
        <v>897</v>
      </c>
      <c r="E73" s="305">
        <v>8.4047250592E11</v>
      </c>
      <c r="F73" s="209"/>
      <c r="G73" s="209"/>
      <c r="H73" s="209"/>
      <c r="I73" s="304" t="s">
        <v>4059</v>
      </c>
      <c r="J73" s="296" t="b">
        <v>1</v>
      </c>
      <c r="K73" s="301" t="b">
        <v>0</v>
      </c>
      <c r="L73" s="209"/>
      <c r="M73" s="281" t="s">
        <v>828</v>
      </c>
      <c r="N73" s="282" t="s">
        <v>898</v>
      </c>
      <c r="O73" s="273"/>
      <c r="P73" s="274" t="s">
        <v>899</v>
      </c>
      <c r="Q73" s="275" t="s">
        <v>374</v>
      </c>
      <c r="R73" s="273"/>
      <c r="S73" s="273"/>
      <c r="T73" s="274" t="s">
        <v>4064</v>
      </c>
      <c r="U73" s="274" t="s">
        <v>1848</v>
      </c>
      <c r="V73" s="278" t="str">
        <f>IF(COUNTIF(V74:V81, TRUE) = COUNTA(V74:V81), "Complete!", IF(COUNTIF(V74:V81, TRUE) &gt; 0, "Partial", "Not Started"))</f>
        <v>Complete!</v>
      </c>
      <c r="W73" s="279"/>
      <c r="X73" s="340">
        <v>8.0</v>
      </c>
      <c r="Y73" s="291"/>
      <c r="Z73" s="304" t="s">
        <v>902</v>
      </c>
      <c r="AA73" s="304" t="s">
        <v>903</v>
      </c>
      <c r="AB73" s="304" t="s">
        <v>904</v>
      </c>
      <c r="AC73" s="307">
        <v>8.10115971382E11</v>
      </c>
      <c r="AD73" s="304" t="s">
        <v>732</v>
      </c>
      <c r="AE73" s="209"/>
      <c r="AF73" s="209"/>
      <c r="AG73" s="209"/>
      <c r="AH73" s="307" t="b">
        <v>1</v>
      </c>
      <c r="AI73" s="301" t="b">
        <v>0</v>
      </c>
      <c r="AJ73" s="209"/>
    </row>
    <row r="74">
      <c r="A74" s="338"/>
      <c r="B74" s="303" t="s">
        <v>905</v>
      </c>
      <c r="C74" s="304" t="s">
        <v>676</v>
      </c>
      <c r="D74" s="304" t="s">
        <v>906</v>
      </c>
      <c r="E74" s="305">
        <v>8.10115971689E11</v>
      </c>
      <c r="F74" s="209"/>
      <c r="G74" s="209"/>
      <c r="H74" s="209"/>
      <c r="I74" s="209"/>
      <c r="J74" s="296" t="b">
        <v>1</v>
      </c>
      <c r="K74" s="301" t="b">
        <v>0</v>
      </c>
      <c r="L74" s="209"/>
      <c r="M74" s="291"/>
      <c r="N74" s="292" t="s">
        <v>907</v>
      </c>
      <c r="O74" s="341" t="s">
        <v>685</v>
      </c>
      <c r="P74" s="342" t="s">
        <v>908</v>
      </c>
      <c r="Q74" s="343">
        <v>8.4047250352E11</v>
      </c>
      <c r="R74" s="295"/>
      <c r="S74" s="295"/>
      <c r="T74" s="295"/>
      <c r="U74" s="351" t="s">
        <v>4065</v>
      </c>
      <c r="V74" s="296" t="b">
        <v>1</v>
      </c>
      <c r="W74" s="297" t="b">
        <v>0</v>
      </c>
      <c r="X74" s="344"/>
      <c r="Y74" s="309"/>
      <c r="Z74" s="311" t="s">
        <v>909</v>
      </c>
      <c r="AA74" s="311" t="s">
        <v>910</v>
      </c>
      <c r="AB74" s="311" t="s">
        <v>911</v>
      </c>
      <c r="AC74" s="318">
        <v>8.10115971399E11</v>
      </c>
      <c r="AD74" s="311" t="s">
        <v>732</v>
      </c>
      <c r="AE74" s="313"/>
      <c r="AF74" s="313"/>
      <c r="AG74" s="313"/>
      <c r="AH74" s="318" t="b">
        <v>1</v>
      </c>
      <c r="AI74" s="314" t="b">
        <v>0</v>
      </c>
      <c r="AJ74" s="209"/>
    </row>
    <row r="75">
      <c r="A75" s="338"/>
      <c r="B75" s="303" t="s">
        <v>912</v>
      </c>
      <c r="C75" s="304" t="s">
        <v>913</v>
      </c>
      <c r="D75" s="304" t="s">
        <v>914</v>
      </c>
      <c r="E75" s="305">
        <v>8.40472505944E11</v>
      </c>
      <c r="F75" s="209"/>
      <c r="G75" s="209"/>
      <c r="H75" s="209"/>
      <c r="I75" s="304" t="s">
        <v>4059</v>
      </c>
      <c r="J75" s="296" t="b">
        <v>1</v>
      </c>
      <c r="K75" s="301" t="b">
        <v>0</v>
      </c>
      <c r="L75" s="209"/>
      <c r="M75" s="291"/>
      <c r="N75" s="303" t="s">
        <v>915</v>
      </c>
      <c r="O75" s="306" t="s">
        <v>676</v>
      </c>
      <c r="P75" s="304" t="s">
        <v>916</v>
      </c>
      <c r="Q75" s="307">
        <v>8.40472503537E11</v>
      </c>
      <c r="R75" s="209"/>
      <c r="S75" s="209"/>
      <c r="T75" s="209"/>
      <c r="U75" s="325"/>
      <c r="V75" s="300" t="b">
        <v>1</v>
      </c>
      <c r="W75" s="301" t="b">
        <v>0</v>
      </c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</row>
    <row r="76">
      <c r="A76" s="338"/>
      <c r="B76" s="303" t="s">
        <v>917</v>
      </c>
      <c r="C76" s="304" t="s">
        <v>588</v>
      </c>
      <c r="D76" s="304" t="s">
        <v>918</v>
      </c>
      <c r="E76" s="305">
        <v>8.10115971733E11</v>
      </c>
      <c r="F76" s="209"/>
      <c r="G76" s="209"/>
      <c r="H76" s="209"/>
      <c r="I76" s="209"/>
      <c r="J76" s="296" t="b">
        <v>1</v>
      </c>
      <c r="K76" s="301" t="b">
        <v>0</v>
      </c>
      <c r="L76" s="209"/>
      <c r="M76" s="291"/>
      <c r="N76" s="303" t="s">
        <v>919</v>
      </c>
      <c r="O76" s="306" t="s">
        <v>617</v>
      </c>
      <c r="P76" s="304" t="s">
        <v>920</v>
      </c>
      <c r="Q76" s="307">
        <v>8.40472503544E11</v>
      </c>
      <c r="R76" s="209"/>
      <c r="S76" s="209"/>
      <c r="T76" s="209"/>
      <c r="U76" s="325"/>
      <c r="V76" s="300" t="b">
        <v>1</v>
      </c>
      <c r="W76" s="301" t="b">
        <v>0</v>
      </c>
      <c r="X76" s="344"/>
      <c r="Y76" s="286" t="s">
        <v>921</v>
      </c>
      <c r="Z76" s="339" t="s">
        <v>922</v>
      </c>
      <c r="AA76" s="320"/>
      <c r="AB76" s="283" t="s">
        <v>923</v>
      </c>
      <c r="AC76" s="336" t="s">
        <v>887</v>
      </c>
      <c r="AD76" s="320"/>
      <c r="AE76" s="320"/>
      <c r="AF76" s="285" t="s">
        <v>900</v>
      </c>
      <c r="AG76" s="285" t="s">
        <v>4066</v>
      </c>
      <c r="AH76" s="333" t="str">
        <f>IF(COUNTIF(AH78:AH79, TRUE) = COUNTA(AH78:AH79), "Complete!", IF(COUNTIF(AH78:AH79, TRUE) &gt; 0, "Partial", "Not Started"))</f>
        <v>Complete!</v>
      </c>
      <c r="AI76" s="334"/>
      <c r="AJ76" s="280">
        <v>2.0</v>
      </c>
    </row>
    <row r="77">
      <c r="A77" s="338"/>
      <c r="B77" s="303" t="s">
        <v>924</v>
      </c>
      <c r="C77" s="304" t="s">
        <v>384</v>
      </c>
      <c r="D77" s="304" t="s">
        <v>925</v>
      </c>
      <c r="E77" s="305">
        <v>8.10115971825E11</v>
      </c>
      <c r="F77" s="209"/>
      <c r="G77" s="209"/>
      <c r="H77" s="209"/>
      <c r="I77" s="209"/>
      <c r="J77" s="296" t="b">
        <v>1</v>
      </c>
      <c r="K77" s="301" t="b">
        <v>0</v>
      </c>
      <c r="L77" s="209"/>
      <c r="M77" s="291"/>
      <c r="N77" s="303" t="s">
        <v>926</v>
      </c>
      <c r="O77" s="306" t="s">
        <v>588</v>
      </c>
      <c r="P77" s="304" t="s">
        <v>927</v>
      </c>
      <c r="Q77" s="307">
        <v>8.40472503568E11</v>
      </c>
      <c r="R77" s="209"/>
      <c r="S77" s="209"/>
      <c r="T77" s="209"/>
      <c r="U77" s="325"/>
      <c r="V77" s="300" t="b">
        <v>1</v>
      </c>
      <c r="W77" s="301" t="b">
        <v>0</v>
      </c>
      <c r="X77" s="209"/>
      <c r="Y77" s="291"/>
      <c r="Z77" s="209"/>
      <c r="AA77" s="209"/>
      <c r="AB77" s="209"/>
      <c r="AC77" s="209"/>
      <c r="AD77" s="209"/>
      <c r="AE77" s="209"/>
      <c r="AF77" s="209"/>
      <c r="AG77" s="209"/>
      <c r="AH77" s="307" t="b">
        <v>1</v>
      </c>
      <c r="AI77" s="301" t="b">
        <v>0</v>
      </c>
      <c r="AJ77" s="209"/>
    </row>
    <row r="78">
      <c r="A78" s="338"/>
      <c r="B78" s="303" t="s">
        <v>928</v>
      </c>
      <c r="C78" s="304" t="s">
        <v>929</v>
      </c>
      <c r="D78" s="304" t="s">
        <v>930</v>
      </c>
      <c r="E78" s="305">
        <v>8.40472502998E11</v>
      </c>
      <c r="F78" s="209"/>
      <c r="G78" s="209"/>
      <c r="H78" s="209"/>
      <c r="I78" s="304" t="s">
        <v>4059</v>
      </c>
      <c r="J78" s="296" t="b">
        <v>1</v>
      </c>
      <c r="K78" s="301" t="b">
        <v>0</v>
      </c>
      <c r="L78" s="209"/>
      <c r="M78" s="291"/>
      <c r="N78" s="303" t="s">
        <v>931</v>
      </c>
      <c r="O78" s="306" t="s">
        <v>602</v>
      </c>
      <c r="P78" s="304" t="s">
        <v>932</v>
      </c>
      <c r="Q78" s="307">
        <v>8.40472503575E11</v>
      </c>
      <c r="R78" s="209"/>
      <c r="S78" s="209"/>
      <c r="T78" s="209"/>
      <c r="U78" s="325"/>
      <c r="V78" s="300" t="b">
        <v>1</v>
      </c>
      <c r="W78" s="301" t="b">
        <v>0</v>
      </c>
      <c r="X78" s="209"/>
      <c r="Y78" s="291"/>
      <c r="Z78" s="304" t="s">
        <v>933</v>
      </c>
      <c r="AA78" s="304" t="s">
        <v>934</v>
      </c>
      <c r="AB78" s="304" t="s">
        <v>935</v>
      </c>
      <c r="AC78" s="307">
        <v>8.10115970507E11</v>
      </c>
      <c r="AD78" s="304" t="s">
        <v>732</v>
      </c>
      <c r="AE78" s="209"/>
      <c r="AF78" s="209"/>
      <c r="AG78" s="209"/>
      <c r="AH78" s="307" t="b">
        <v>1</v>
      </c>
      <c r="AI78" s="301" t="b">
        <v>0</v>
      </c>
      <c r="AJ78" s="209"/>
    </row>
    <row r="79">
      <c r="A79" s="338"/>
      <c r="B79" s="310" t="s">
        <v>936</v>
      </c>
      <c r="C79" s="311" t="s">
        <v>602</v>
      </c>
      <c r="D79" s="311" t="s">
        <v>937</v>
      </c>
      <c r="E79" s="312">
        <v>8.10115972594E11</v>
      </c>
      <c r="F79" s="313"/>
      <c r="G79" s="313"/>
      <c r="H79" s="313"/>
      <c r="I79" s="313"/>
      <c r="J79" s="296" t="b">
        <v>1</v>
      </c>
      <c r="K79" s="314" t="b">
        <v>0</v>
      </c>
      <c r="L79" s="209"/>
      <c r="M79" s="291"/>
      <c r="N79" s="345" t="s">
        <v>938</v>
      </c>
      <c r="O79" s="306" t="s">
        <v>826</v>
      </c>
      <c r="P79" s="304" t="s">
        <v>939</v>
      </c>
      <c r="Q79" s="307">
        <v>8.40472503629E11</v>
      </c>
      <c r="R79" s="209"/>
      <c r="S79" s="209"/>
      <c r="T79" s="209"/>
      <c r="U79" s="325"/>
      <c r="V79" s="300" t="b">
        <v>1</v>
      </c>
      <c r="W79" s="301" t="b">
        <v>0</v>
      </c>
      <c r="X79" s="209"/>
      <c r="Y79" s="309"/>
      <c r="Z79" s="311" t="s">
        <v>940</v>
      </c>
      <c r="AA79" s="311" t="s">
        <v>941</v>
      </c>
      <c r="AB79" s="311" t="s">
        <v>942</v>
      </c>
      <c r="AC79" s="318">
        <v>8.10115971375E11</v>
      </c>
      <c r="AD79" s="311" t="s">
        <v>732</v>
      </c>
      <c r="AE79" s="313"/>
      <c r="AF79" s="313"/>
      <c r="AG79" s="313"/>
      <c r="AH79" s="318" t="b">
        <v>1</v>
      </c>
      <c r="AI79" s="314" t="b">
        <v>0</v>
      </c>
      <c r="AJ79" s="209"/>
    </row>
    <row r="80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91"/>
      <c r="N80" s="345" t="s">
        <v>943</v>
      </c>
      <c r="O80" s="306" t="s">
        <v>944</v>
      </c>
      <c r="P80" s="304" t="s">
        <v>945</v>
      </c>
      <c r="Q80" s="307">
        <v>8.40472503636E11</v>
      </c>
      <c r="R80" s="209"/>
      <c r="S80" s="209"/>
      <c r="T80" s="209"/>
      <c r="U80" s="325"/>
      <c r="V80" s="300" t="b">
        <v>1</v>
      </c>
      <c r="W80" s="301" t="b">
        <v>0</v>
      </c>
      <c r="X80" s="209"/>
      <c r="Y80" s="209"/>
      <c r="Z80" s="209"/>
      <c r="AA80" s="209"/>
      <c r="AB80" s="209"/>
      <c r="AC80" s="209"/>
      <c r="AD80" s="344"/>
      <c r="AE80" s="344"/>
      <c r="AF80" s="344"/>
      <c r="AG80" s="209"/>
      <c r="AH80" s="209"/>
      <c r="AI80" s="209"/>
      <c r="AJ80" s="209"/>
    </row>
    <row r="81">
      <c r="A81" s="337" t="s">
        <v>884</v>
      </c>
      <c r="B81" s="319" t="s">
        <v>231</v>
      </c>
      <c r="C81" s="320"/>
      <c r="D81" s="283" t="s">
        <v>4067</v>
      </c>
      <c r="E81" s="275" t="s">
        <v>805</v>
      </c>
      <c r="F81" s="320"/>
      <c r="G81" s="320"/>
      <c r="H81" s="283" t="s">
        <v>370</v>
      </c>
      <c r="I81" s="283" t="s">
        <v>4068</v>
      </c>
      <c r="J81" s="278" t="str">
        <f>IF(COUNTIF(J82:J90, TRUE) = COUNTA(J82:J90), "Complete!", IF(COUNTIF(J82:J90, TRUE) &gt; 0, "Partial", "Not Started"))</f>
        <v>Complete!</v>
      </c>
      <c r="K81" s="279"/>
      <c r="L81" s="280">
        <v>9.0</v>
      </c>
      <c r="M81" s="309"/>
      <c r="N81" s="346" t="s">
        <v>947</v>
      </c>
      <c r="O81" s="317" t="s">
        <v>394</v>
      </c>
      <c r="P81" s="311" t="s">
        <v>948</v>
      </c>
      <c r="Q81" s="318">
        <v>8.4047250365E11</v>
      </c>
      <c r="R81" s="313"/>
      <c r="S81" s="313"/>
      <c r="T81" s="313"/>
      <c r="U81" s="331"/>
      <c r="V81" s="350" t="b">
        <v>1</v>
      </c>
      <c r="W81" s="314" t="b">
        <v>0</v>
      </c>
      <c r="X81" s="209"/>
      <c r="Y81" s="286">
        <v>10.0</v>
      </c>
      <c r="Z81" s="319" t="s">
        <v>949</v>
      </c>
      <c r="AA81" s="320"/>
      <c r="AB81" s="283" t="s">
        <v>950</v>
      </c>
      <c r="AC81" s="336" t="s">
        <v>887</v>
      </c>
      <c r="AD81" s="320"/>
      <c r="AE81" s="320"/>
      <c r="AF81" s="276" t="s">
        <v>563</v>
      </c>
      <c r="AG81" s="285" t="s">
        <v>4069</v>
      </c>
      <c r="AH81" s="333" t="str">
        <f>IF(COUNTIF(AH82:AH90, TRUE) = COUNTA(AH82:AH90), "Complete!", IF(COUNTIF(AH82:AH90, TRUE) &gt; 0, "Partial", "Not Started"))</f>
        <v>Partial</v>
      </c>
      <c r="AI81" s="334"/>
      <c r="AJ81" s="280">
        <v>1.0</v>
      </c>
    </row>
    <row r="82">
      <c r="A82" s="338"/>
      <c r="B82" s="292" t="s">
        <v>951</v>
      </c>
      <c r="C82" s="293" t="s">
        <v>952</v>
      </c>
      <c r="D82" s="293" t="s">
        <v>953</v>
      </c>
      <c r="E82" s="294">
        <v>8.10115972761E11</v>
      </c>
      <c r="F82" s="295"/>
      <c r="G82" s="295"/>
      <c r="H82" s="295"/>
      <c r="I82" s="295"/>
      <c r="J82" s="296" t="b">
        <v>1</v>
      </c>
      <c r="K82" s="297" t="b">
        <v>0</v>
      </c>
      <c r="L82" s="209"/>
      <c r="M82" s="344"/>
      <c r="N82" s="209"/>
      <c r="O82" s="209"/>
      <c r="P82" s="209"/>
      <c r="Q82" s="209"/>
      <c r="R82" s="344"/>
      <c r="S82" s="344"/>
      <c r="T82" s="344"/>
      <c r="U82" s="209"/>
      <c r="V82" s="209"/>
      <c r="W82" s="209"/>
      <c r="X82" s="209"/>
      <c r="Y82" s="309"/>
      <c r="Z82" s="310" t="s">
        <v>954</v>
      </c>
      <c r="AA82" s="311" t="s">
        <v>955</v>
      </c>
      <c r="AB82" s="311" t="s">
        <v>956</v>
      </c>
      <c r="AC82" s="318">
        <v>8.10115970514E11</v>
      </c>
      <c r="AD82" s="311" t="s">
        <v>732</v>
      </c>
      <c r="AE82" s="313"/>
      <c r="AF82" s="313"/>
      <c r="AG82" s="313"/>
      <c r="AH82" s="318" t="b">
        <v>1</v>
      </c>
      <c r="AI82" s="314" t="b">
        <v>0</v>
      </c>
      <c r="AJ82" s="209"/>
    </row>
    <row r="83">
      <c r="A83" s="338"/>
      <c r="B83" s="303" t="s">
        <v>957</v>
      </c>
      <c r="C83" s="304" t="s">
        <v>958</v>
      </c>
      <c r="D83" s="304" t="s">
        <v>959</v>
      </c>
      <c r="E83" s="305">
        <v>8.10115972785E11</v>
      </c>
      <c r="F83" s="304" t="s">
        <v>4070</v>
      </c>
      <c r="G83" s="209"/>
      <c r="H83" s="209"/>
      <c r="I83" s="304" t="s">
        <v>4071</v>
      </c>
      <c r="J83" s="296" t="b">
        <v>1</v>
      </c>
      <c r="K83" s="301" t="b">
        <v>0</v>
      </c>
      <c r="L83" s="209"/>
      <c r="M83" s="281" t="s">
        <v>884</v>
      </c>
      <c r="N83" s="282" t="s">
        <v>960</v>
      </c>
      <c r="O83" s="273"/>
      <c r="P83" s="274" t="s">
        <v>961</v>
      </c>
      <c r="Q83" s="275" t="s">
        <v>374</v>
      </c>
      <c r="R83" s="320"/>
      <c r="S83" s="320"/>
      <c r="T83" s="276" t="s">
        <v>1847</v>
      </c>
      <c r="U83" s="274" t="s">
        <v>4072</v>
      </c>
      <c r="V83" s="278" t="str">
        <f>IF(COUNTIF(V84:V88, TRUE) = COUNTA(V84:V88), "Complete!", IF(COUNTIF(V84:V88, TRUE) &gt; 0, "Partial", "Not Started"))</f>
        <v>Complete!</v>
      </c>
      <c r="W83" s="279"/>
      <c r="X83" s="280">
        <v>5.0</v>
      </c>
      <c r="Y83" s="209"/>
      <c r="Z83" s="209"/>
      <c r="AA83" s="209"/>
      <c r="AB83" s="209"/>
      <c r="AC83" s="209"/>
      <c r="AD83" s="344"/>
      <c r="AE83" s="344"/>
      <c r="AF83" s="344"/>
      <c r="AG83" s="209"/>
      <c r="AH83" s="209"/>
      <c r="AI83" s="209"/>
      <c r="AJ83" s="209"/>
    </row>
    <row r="84">
      <c r="A84" s="338"/>
      <c r="B84" s="303" t="s">
        <v>963</v>
      </c>
      <c r="C84" s="304" t="s">
        <v>487</v>
      </c>
      <c r="D84" s="304" t="s">
        <v>964</v>
      </c>
      <c r="E84" s="305">
        <v>8.10115972143E11</v>
      </c>
      <c r="F84" s="209"/>
      <c r="G84" s="209"/>
      <c r="H84" s="209"/>
      <c r="I84" s="209"/>
      <c r="J84" s="296" t="b">
        <v>1</v>
      </c>
      <c r="K84" s="301" t="b">
        <v>0</v>
      </c>
      <c r="L84" s="209"/>
      <c r="M84" s="291"/>
      <c r="N84" s="292" t="s">
        <v>965</v>
      </c>
      <c r="O84" s="298" t="s">
        <v>437</v>
      </c>
      <c r="P84" s="293" t="s">
        <v>966</v>
      </c>
      <c r="Q84" s="299">
        <v>8.40472503582E11</v>
      </c>
      <c r="R84" s="295"/>
      <c r="S84" s="295"/>
      <c r="T84" s="295"/>
      <c r="U84" s="351" t="s">
        <v>4065</v>
      </c>
      <c r="V84" s="296" t="b">
        <v>1</v>
      </c>
      <c r="W84" s="297" t="b">
        <v>0</v>
      </c>
      <c r="X84" s="209"/>
      <c r="Y84" s="286">
        <v>11.0</v>
      </c>
      <c r="Z84" s="339" t="s">
        <v>967</v>
      </c>
      <c r="AA84" s="320"/>
      <c r="AB84" s="283" t="s">
        <v>968</v>
      </c>
      <c r="AC84" s="336" t="s">
        <v>887</v>
      </c>
      <c r="AD84" s="320"/>
      <c r="AE84" s="320"/>
      <c r="AF84" s="276" t="s">
        <v>900</v>
      </c>
      <c r="AG84" s="285" t="s">
        <v>4073</v>
      </c>
      <c r="AH84" s="333" t="str">
        <f>IF(COUNTIF(AH85, TRUE) = COUNTA(AH85), "Complete!", IF(COUNTIF(AH85, TRUE) &gt; 0, "Partial", "Not Started"))</f>
        <v>Complete!</v>
      </c>
      <c r="AI84" s="334"/>
      <c r="AJ84" s="280">
        <v>1.0</v>
      </c>
    </row>
    <row r="85">
      <c r="A85" s="338"/>
      <c r="B85" s="303" t="s">
        <v>969</v>
      </c>
      <c r="C85" s="347" t="s">
        <v>440</v>
      </c>
      <c r="D85" s="304" t="s">
        <v>970</v>
      </c>
      <c r="E85" s="305">
        <v>8.10115972112E11</v>
      </c>
      <c r="F85" s="209"/>
      <c r="G85" s="209"/>
      <c r="H85" s="209"/>
      <c r="I85" s="209"/>
      <c r="J85" s="296" t="b">
        <v>1</v>
      </c>
      <c r="K85" s="301" t="b">
        <v>0</v>
      </c>
      <c r="L85" s="209"/>
      <c r="M85" s="291"/>
      <c r="N85" s="303" t="s">
        <v>971</v>
      </c>
      <c r="O85" s="306" t="s">
        <v>972</v>
      </c>
      <c r="P85" s="304" t="s">
        <v>973</v>
      </c>
      <c r="Q85" s="307">
        <v>8.40472503605E11</v>
      </c>
      <c r="R85" s="209"/>
      <c r="S85" s="209"/>
      <c r="T85" s="209"/>
      <c r="U85" s="325"/>
      <c r="V85" s="300" t="b">
        <v>1</v>
      </c>
      <c r="W85" s="301" t="b">
        <v>0</v>
      </c>
      <c r="X85" s="209"/>
      <c r="Y85" s="309"/>
      <c r="Z85" s="311" t="s">
        <v>974</v>
      </c>
      <c r="AA85" s="311" t="s">
        <v>975</v>
      </c>
      <c r="AB85" s="348" t="s">
        <v>976</v>
      </c>
      <c r="AC85" s="318">
        <v>8.10115971467E11</v>
      </c>
      <c r="AD85" s="311" t="s">
        <v>732</v>
      </c>
      <c r="AE85" s="313"/>
      <c r="AF85" s="313"/>
      <c r="AG85" s="313"/>
      <c r="AH85" s="318" t="b">
        <v>1</v>
      </c>
      <c r="AI85" s="314" t="b">
        <v>0</v>
      </c>
      <c r="AJ85" s="209"/>
    </row>
    <row r="86">
      <c r="A86" s="338"/>
      <c r="B86" s="303" t="s">
        <v>977</v>
      </c>
      <c r="C86" s="304" t="s">
        <v>458</v>
      </c>
      <c r="D86" s="304" t="s">
        <v>978</v>
      </c>
      <c r="E86" s="305">
        <v>8.10115972969E11</v>
      </c>
      <c r="F86" s="209"/>
      <c r="G86" s="209"/>
      <c r="H86" s="209"/>
      <c r="I86" s="209"/>
      <c r="J86" s="296" t="b">
        <v>1</v>
      </c>
      <c r="K86" s="301" t="b">
        <v>0</v>
      </c>
      <c r="L86" s="209"/>
      <c r="M86" s="291"/>
      <c r="N86" s="303" t="s">
        <v>979</v>
      </c>
      <c r="O86" s="306" t="s">
        <v>754</v>
      </c>
      <c r="P86" s="304" t="s">
        <v>980</v>
      </c>
      <c r="Q86" s="307">
        <v>8.40472503667E11</v>
      </c>
      <c r="R86" s="209"/>
      <c r="S86" s="209"/>
      <c r="T86" s="209"/>
      <c r="U86" s="325"/>
      <c r="V86" s="300" t="b">
        <v>1</v>
      </c>
      <c r="W86" s="301" t="b">
        <v>0</v>
      </c>
      <c r="X86" s="209"/>
      <c r="Y86" s="209"/>
      <c r="Z86" s="209"/>
      <c r="AA86" s="209"/>
      <c r="AB86" s="209"/>
      <c r="AC86" s="209"/>
      <c r="AD86" s="344"/>
      <c r="AE86" s="344"/>
      <c r="AF86" s="344"/>
      <c r="AG86" s="209"/>
      <c r="AH86" s="209"/>
      <c r="AI86" s="209"/>
      <c r="AJ86" s="209"/>
    </row>
    <row r="87">
      <c r="A87" s="338"/>
      <c r="B87" s="303" t="s">
        <v>981</v>
      </c>
      <c r="C87" s="304" t="s">
        <v>513</v>
      </c>
      <c r="D87" s="304" t="s">
        <v>982</v>
      </c>
      <c r="E87" s="305">
        <v>8.10115972099E11</v>
      </c>
      <c r="F87" s="209"/>
      <c r="G87" s="209"/>
      <c r="H87" s="209"/>
      <c r="I87" s="209"/>
      <c r="J87" s="296" t="b">
        <v>1</v>
      </c>
      <c r="K87" s="301" t="b">
        <v>0</v>
      </c>
      <c r="L87" s="209"/>
      <c r="M87" s="291"/>
      <c r="N87" s="303" t="s">
        <v>983</v>
      </c>
      <c r="O87" s="306" t="s">
        <v>726</v>
      </c>
      <c r="P87" s="304" t="s">
        <v>984</v>
      </c>
      <c r="Q87" s="307">
        <v>8.40472503674E11</v>
      </c>
      <c r="R87" s="209"/>
      <c r="S87" s="209"/>
      <c r="T87" s="209"/>
      <c r="U87" s="325"/>
      <c r="V87" s="300" t="b">
        <v>1</v>
      </c>
      <c r="W87" s="301" t="b">
        <v>0</v>
      </c>
      <c r="X87" s="209"/>
      <c r="Y87" s="286" t="s">
        <v>985</v>
      </c>
      <c r="Z87" s="329" t="s">
        <v>986</v>
      </c>
      <c r="AA87" s="273"/>
      <c r="AB87" s="274" t="s">
        <v>987</v>
      </c>
      <c r="AC87" s="336" t="s">
        <v>887</v>
      </c>
      <c r="AD87" s="320"/>
      <c r="AE87" s="320"/>
      <c r="AF87" s="276" t="s">
        <v>900</v>
      </c>
      <c r="AG87" s="276" t="s">
        <v>4074</v>
      </c>
      <c r="AH87" s="333" t="str">
        <f>IF(COUNTIF(AH88:AH90, TRUE) = COUNTA(AH88:AH90), "Complete!", IF(COUNTIF(AH88:AH90, TRUE) &gt; 0, "Partial", "Not Started"))</f>
        <v>Complete!</v>
      </c>
      <c r="AI87" s="279"/>
      <c r="AJ87" s="280">
        <v>3.0</v>
      </c>
    </row>
    <row r="88">
      <c r="A88" s="338"/>
      <c r="B88" s="303" t="s">
        <v>988</v>
      </c>
      <c r="C88" s="304" t="s">
        <v>989</v>
      </c>
      <c r="D88" s="304" t="s">
        <v>990</v>
      </c>
      <c r="E88" s="305">
        <v>8.40472502639E11</v>
      </c>
      <c r="F88" s="209"/>
      <c r="G88" s="209"/>
      <c r="H88" s="209"/>
      <c r="I88" s="209"/>
      <c r="J88" s="296" t="b">
        <v>1</v>
      </c>
      <c r="K88" s="301" t="b">
        <v>0</v>
      </c>
      <c r="L88" s="209"/>
      <c r="M88" s="309"/>
      <c r="N88" s="310" t="s">
        <v>991</v>
      </c>
      <c r="O88" s="317" t="s">
        <v>736</v>
      </c>
      <c r="P88" s="311" t="s">
        <v>992</v>
      </c>
      <c r="Q88" s="318">
        <v>8.40472503698E11</v>
      </c>
      <c r="R88" s="313"/>
      <c r="S88" s="313"/>
      <c r="T88" s="313"/>
      <c r="U88" s="331"/>
      <c r="V88" s="350" t="b">
        <v>1</v>
      </c>
      <c r="W88" s="314" t="b">
        <v>0</v>
      </c>
      <c r="X88" s="209"/>
      <c r="Y88" s="291"/>
      <c r="Z88" s="292" t="s">
        <v>993</v>
      </c>
      <c r="AA88" s="293" t="s">
        <v>994</v>
      </c>
      <c r="AB88" s="293" t="s">
        <v>995</v>
      </c>
      <c r="AC88" s="299">
        <v>8.10115971344E11</v>
      </c>
      <c r="AD88" s="293" t="s">
        <v>732</v>
      </c>
      <c r="AE88" s="295"/>
      <c r="AF88" s="295"/>
      <c r="AG88" s="295"/>
      <c r="AH88" s="300" t="b">
        <v>1</v>
      </c>
      <c r="AI88" s="297" t="b">
        <v>0</v>
      </c>
      <c r="AJ88" s="209"/>
    </row>
    <row r="89">
      <c r="A89" s="338"/>
      <c r="B89" s="303" t="s">
        <v>996</v>
      </c>
      <c r="C89" s="304" t="s">
        <v>997</v>
      </c>
      <c r="D89" s="304" t="s">
        <v>998</v>
      </c>
      <c r="E89" s="305">
        <v>8.40472502592E11</v>
      </c>
      <c r="F89" s="209"/>
      <c r="G89" s="209"/>
      <c r="H89" s="209"/>
      <c r="I89" s="209"/>
      <c r="J89" s="296" t="b">
        <v>1</v>
      </c>
      <c r="K89" s="301" t="b">
        <v>0</v>
      </c>
      <c r="L89" s="209"/>
      <c r="M89" s="344"/>
      <c r="N89" s="209"/>
      <c r="O89" s="209"/>
      <c r="P89" s="209"/>
      <c r="Q89" s="209"/>
      <c r="R89" s="344"/>
      <c r="S89" s="344"/>
      <c r="T89" s="344"/>
      <c r="U89" s="209"/>
      <c r="V89" s="209"/>
      <c r="W89" s="209"/>
      <c r="X89" s="209"/>
      <c r="Y89" s="291"/>
      <c r="Z89" s="303" t="s">
        <v>999</v>
      </c>
      <c r="AA89" s="304" t="s">
        <v>1000</v>
      </c>
      <c r="AB89" s="304" t="s">
        <v>1001</v>
      </c>
      <c r="AC89" s="307">
        <v>8.10115971368E11</v>
      </c>
      <c r="AD89" s="304" t="s">
        <v>732</v>
      </c>
      <c r="AE89" s="209"/>
      <c r="AF89" s="209"/>
      <c r="AG89" s="304" t="s">
        <v>733</v>
      </c>
      <c r="AH89" s="300" t="b">
        <v>1</v>
      </c>
      <c r="AI89" s="301" t="b">
        <v>0</v>
      </c>
      <c r="AJ89" s="209"/>
    </row>
    <row r="90">
      <c r="A90" s="338"/>
      <c r="B90" s="310" t="s">
        <v>1002</v>
      </c>
      <c r="C90" s="311" t="s">
        <v>1003</v>
      </c>
      <c r="D90" s="311" t="s">
        <v>1004</v>
      </c>
      <c r="E90" s="312">
        <v>8.40472503063E11</v>
      </c>
      <c r="F90" s="313"/>
      <c r="G90" s="313"/>
      <c r="H90" s="313"/>
      <c r="I90" s="311" t="s">
        <v>4059</v>
      </c>
      <c r="J90" s="296" t="b">
        <v>1</v>
      </c>
      <c r="K90" s="314" t="b">
        <v>0</v>
      </c>
      <c r="L90" s="209"/>
      <c r="M90" s="281" t="s">
        <v>1005</v>
      </c>
      <c r="N90" s="282" t="s">
        <v>1006</v>
      </c>
      <c r="O90" s="273"/>
      <c r="P90" s="274" t="s">
        <v>1007</v>
      </c>
      <c r="Q90" s="275" t="s">
        <v>374</v>
      </c>
      <c r="R90" s="320"/>
      <c r="S90" s="320"/>
      <c r="T90" s="276" t="s">
        <v>888</v>
      </c>
      <c r="U90" s="274" t="s">
        <v>1009</v>
      </c>
      <c r="V90" s="278" t="str">
        <f>IF(COUNTIF(V91:V95, TRUE) = COUNTA(V91:V95), "Complete!", IF(COUNTIF(V91:V95, TRUE) &gt; 0, "Partial", "Not Started"))</f>
        <v>Complete!</v>
      </c>
      <c r="W90" s="279"/>
      <c r="X90" s="280">
        <v>5.0</v>
      </c>
      <c r="Y90" s="309"/>
      <c r="Z90" s="310" t="s">
        <v>1010</v>
      </c>
      <c r="AA90" s="311" t="s">
        <v>1011</v>
      </c>
      <c r="AB90" s="311" t="s">
        <v>1012</v>
      </c>
      <c r="AC90" s="318">
        <v>8.10115971429E11</v>
      </c>
      <c r="AD90" s="311" t="s">
        <v>732</v>
      </c>
      <c r="AE90" s="313"/>
      <c r="AF90" s="313"/>
      <c r="AG90" s="311" t="s">
        <v>733</v>
      </c>
      <c r="AH90" s="350" t="b">
        <v>1</v>
      </c>
      <c r="AI90" s="314" t="b">
        <v>0</v>
      </c>
      <c r="AJ90" s="209"/>
    </row>
    <row r="9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91"/>
      <c r="N91" s="292" t="s">
        <v>1013</v>
      </c>
      <c r="O91" s="298" t="s">
        <v>617</v>
      </c>
      <c r="P91" s="293" t="s">
        <v>1014</v>
      </c>
      <c r="Q91" s="299">
        <v>8.40472503551E11</v>
      </c>
      <c r="R91" s="295"/>
      <c r="S91" s="295"/>
      <c r="T91" s="295"/>
      <c r="U91" s="351" t="s">
        <v>4065</v>
      </c>
      <c r="V91" s="296" t="b">
        <v>1</v>
      </c>
      <c r="W91" s="297" t="b">
        <v>0</v>
      </c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</row>
    <row r="92">
      <c r="A92" s="337" t="s">
        <v>1005</v>
      </c>
      <c r="B92" s="282" t="s">
        <v>228</v>
      </c>
      <c r="C92" s="273"/>
      <c r="D92" s="274" t="s">
        <v>227</v>
      </c>
      <c r="E92" s="275" t="s">
        <v>805</v>
      </c>
      <c r="F92" s="273"/>
      <c r="G92" s="273"/>
      <c r="H92" s="277" t="s">
        <v>370</v>
      </c>
      <c r="I92" s="277" t="s">
        <v>4075</v>
      </c>
      <c r="J92" s="278" t="str">
        <f>IF(COUNTIF(J93:J102, TRUE) = COUNTA(J93:J102), "Complete!", IF(COUNTIF(J93:J102, TRUE) &gt; 0, "Partial", "Not Started"))</f>
        <v>Complete!</v>
      </c>
      <c r="K92" s="279"/>
      <c r="L92" s="280">
        <v>10.0</v>
      </c>
      <c r="M92" s="291"/>
      <c r="N92" s="303" t="s">
        <v>1016</v>
      </c>
      <c r="O92" s="306" t="s">
        <v>437</v>
      </c>
      <c r="P92" s="304" t="s">
        <v>1017</v>
      </c>
      <c r="Q92" s="307">
        <v>8.40472503599E11</v>
      </c>
      <c r="R92" s="209"/>
      <c r="S92" s="209"/>
      <c r="T92" s="209"/>
      <c r="U92" s="325"/>
      <c r="V92" s="300" t="b">
        <v>1</v>
      </c>
      <c r="W92" s="301" t="b">
        <v>0</v>
      </c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</row>
    <row r="93">
      <c r="A93" s="338"/>
      <c r="B93" s="292" t="s">
        <v>1018</v>
      </c>
      <c r="C93" s="293" t="s">
        <v>505</v>
      </c>
      <c r="D93" s="293" t="s">
        <v>1019</v>
      </c>
      <c r="E93" s="294">
        <v>8.10115972068E11</v>
      </c>
      <c r="F93" s="295"/>
      <c r="G93" s="295"/>
      <c r="H93" s="295"/>
      <c r="I93" s="295"/>
      <c r="J93" s="296" t="b">
        <v>1</v>
      </c>
      <c r="K93" s="297" t="b">
        <v>0</v>
      </c>
      <c r="L93" s="209"/>
      <c r="M93" s="291"/>
      <c r="N93" s="303" t="s">
        <v>1020</v>
      </c>
      <c r="O93" s="306" t="s">
        <v>972</v>
      </c>
      <c r="P93" s="304" t="s">
        <v>1021</v>
      </c>
      <c r="Q93" s="307">
        <v>8.40472503612E11</v>
      </c>
      <c r="R93" s="209"/>
      <c r="S93" s="209"/>
      <c r="T93" s="209"/>
      <c r="U93" s="325"/>
      <c r="V93" s="300" t="b">
        <v>1</v>
      </c>
      <c r="W93" s="301" t="b">
        <v>0</v>
      </c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</row>
    <row r="94">
      <c r="A94" s="338"/>
      <c r="B94" s="303" t="s">
        <v>1022</v>
      </c>
      <c r="C94" s="304" t="s">
        <v>522</v>
      </c>
      <c r="D94" s="304" t="s">
        <v>1023</v>
      </c>
      <c r="E94" s="305">
        <v>8.10115972044E11</v>
      </c>
      <c r="F94" s="209"/>
      <c r="G94" s="209"/>
      <c r="H94" s="209"/>
      <c r="I94" s="209"/>
      <c r="J94" s="296" t="b">
        <v>1</v>
      </c>
      <c r="K94" s="301" t="b">
        <v>0</v>
      </c>
      <c r="L94" s="209"/>
      <c r="M94" s="291"/>
      <c r="N94" s="303" t="s">
        <v>1024</v>
      </c>
      <c r="O94" s="306" t="s">
        <v>944</v>
      </c>
      <c r="P94" s="304" t="s">
        <v>1025</v>
      </c>
      <c r="Q94" s="307">
        <v>8.40472503643E11</v>
      </c>
      <c r="R94" s="209"/>
      <c r="S94" s="209"/>
      <c r="T94" s="209"/>
      <c r="U94" s="325"/>
      <c r="V94" s="300" t="b">
        <v>1</v>
      </c>
      <c r="W94" s="301" t="b">
        <v>0</v>
      </c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</row>
    <row r="95">
      <c r="A95" s="338"/>
      <c r="B95" s="303" t="s">
        <v>229</v>
      </c>
      <c r="C95" s="304" t="s">
        <v>1026</v>
      </c>
      <c r="D95" s="304" t="s">
        <v>1027</v>
      </c>
      <c r="E95" s="305">
        <v>8.40472503056E11</v>
      </c>
      <c r="F95" s="209"/>
      <c r="G95" s="209"/>
      <c r="H95" s="209"/>
      <c r="I95" s="304" t="s">
        <v>4059</v>
      </c>
      <c r="J95" s="296" t="b">
        <v>1</v>
      </c>
      <c r="K95" s="301" t="b">
        <v>0</v>
      </c>
      <c r="L95" s="209"/>
      <c r="M95" s="309"/>
      <c r="N95" s="310" t="s">
        <v>1028</v>
      </c>
      <c r="O95" s="317" t="s">
        <v>726</v>
      </c>
      <c r="P95" s="311" t="s">
        <v>1029</v>
      </c>
      <c r="Q95" s="318">
        <v>8.40472503681E11</v>
      </c>
      <c r="R95" s="313"/>
      <c r="S95" s="313"/>
      <c r="T95" s="313"/>
      <c r="U95" s="331"/>
      <c r="V95" s="350" t="b">
        <v>1</v>
      </c>
      <c r="W95" s="314" t="b">
        <v>0</v>
      </c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</row>
    <row r="96">
      <c r="A96" s="338"/>
      <c r="B96" s="303" t="s">
        <v>1030</v>
      </c>
      <c r="C96" s="304" t="s">
        <v>529</v>
      </c>
      <c r="D96" s="304" t="s">
        <v>1031</v>
      </c>
      <c r="E96" s="305">
        <v>8.10115972013E11</v>
      </c>
      <c r="F96" s="209"/>
      <c r="G96" s="209"/>
      <c r="H96" s="209"/>
      <c r="I96" s="209"/>
      <c r="J96" s="296" t="b">
        <v>1</v>
      </c>
      <c r="K96" s="301" t="b">
        <v>0</v>
      </c>
      <c r="L96" s="209"/>
      <c r="M96" s="344"/>
      <c r="N96" s="209"/>
      <c r="O96" s="209"/>
      <c r="P96" s="209"/>
      <c r="Q96" s="209"/>
      <c r="R96" s="344"/>
      <c r="S96" s="344"/>
      <c r="T96" s="344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</row>
    <row r="97">
      <c r="A97" s="338"/>
      <c r="B97" s="303" t="s">
        <v>1032</v>
      </c>
      <c r="C97" s="304" t="s">
        <v>539</v>
      </c>
      <c r="D97" s="304" t="s">
        <v>1033</v>
      </c>
      <c r="E97" s="305">
        <v>8.10115970484E11</v>
      </c>
      <c r="F97" s="209"/>
      <c r="G97" s="209"/>
      <c r="H97" s="209"/>
      <c r="I97" s="304" t="s">
        <v>4051</v>
      </c>
      <c r="J97" s="296" t="b">
        <v>1</v>
      </c>
      <c r="K97" s="301" t="b">
        <v>0</v>
      </c>
      <c r="L97" s="209"/>
      <c r="M97" s="281" t="s">
        <v>1034</v>
      </c>
      <c r="N97" s="282" t="s">
        <v>1035</v>
      </c>
      <c r="O97" s="273"/>
      <c r="P97" s="274" t="s">
        <v>1036</v>
      </c>
      <c r="Q97" s="275" t="s">
        <v>374</v>
      </c>
      <c r="R97" s="320"/>
      <c r="S97" s="320"/>
      <c r="T97" s="276" t="s">
        <v>563</v>
      </c>
      <c r="U97" s="274" t="s">
        <v>4076</v>
      </c>
      <c r="V97" s="278" t="str">
        <f>IF(COUNTIF(V98:V101, TRUE) = COUNTA(V98:V101), "Complete!", IF(COUNTIF(V98:V101, TRUE) &gt; 0, "Partial", "Not Started"))</f>
        <v>Complete!</v>
      </c>
      <c r="W97" s="279"/>
      <c r="X97" s="280">
        <v>4.0</v>
      </c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</row>
    <row r="98">
      <c r="A98" s="338"/>
      <c r="B98" s="303" t="s">
        <v>1038</v>
      </c>
      <c r="C98" s="304" t="s">
        <v>547</v>
      </c>
      <c r="D98" s="304" t="s">
        <v>1039</v>
      </c>
      <c r="E98" s="305">
        <v>8.10115971986E11</v>
      </c>
      <c r="F98" s="209"/>
      <c r="G98" s="209"/>
      <c r="H98" s="209"/>
      <c r="I98" s="209"/>
      <c r="J98" s="296" t="b">
        <v>1</v>
      </c>
      <c r="K98" s="301" t="b">
        <v>0</v>
      </c>
      <c r="L98" s="209"/>
      <c r="M98" s="291"/>
      <c r="N98" s="292" t="s">
        <v>1040</v>
      </c>
      <c r="O98" s="298" t="s">
        <v>400</v>
      </c>
      <c r="P98" s="293" t="s">
        <v>1041</v>
      </c>
      <c r="Q98" s="299">
        <v>8.40472503704E11</v>
      </c>
      <c r="R98" s="295"/>
      <c r="S98" s="295"/>
      <c r="T98" s="295"/>
      <c r="U98" s="351" t="s">
        <v>4065</v>
      </c>
      <c r="V98" s="296" t="b">
        <v>1</v>
      </c>
      <c r="W98" s="297" t="b">
        <v>0</v>
      </c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</row>
    <row r="99">
      <c r="A99" s="338"/>
      <c r="B99" s="303" t="s">
        <v>1043</v>
      </c>
      <c r="C99" s="304" t="s">
        <v>1044</v>
      </c>
      <c r="D99" s="304" t="s">
        <v>1045</v>
      </c>
      <c r="E99" s="305">
        <v>8.10115972792E11</v>
      </c>
      <c r="F99" s="209"/>
      <c r="G99" s="209"/>
      <c r="H99" s="209"/>
      <c r="I99" s="209"/>
      <c r="J99" s="296" t="b">
        <v>1</v>
      </c>
      <c r="K99" s="301" t="b">
        <v>0</v>
      </c>
      <c r="L99" s="209"/>
      <c r="M99" s="291"/>
      <c r="N99" s="303" t="s">
        <v>1046</v>
      </c>
      <c r="O99" s="306" t="s">
        <v>400</v>
      </c>
      <c r="P99" s="304" t="s">
        <v>1047</v>
      </c>
      <c r="Q99" s="307">
        <v>8.40472503711E11</v>
      </c>
      <c r="R99" s="209"/>
      <c r="S99" s="209"/>
      <c r="T99" s="209"/>
      <c r="U99" s="325"/>
      <c r="V99" s="300" t="b">
        <v>1</v>
      </c>
      <c r="W99" s="301" t="b">
        <v>0</v>
      </c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</row>
    <row r="100">
      <c r="A100" s="338"/>
      <c r="B100" s="303" t="s">
        <v>1048</v>
      </c>
      <c r="C100" s="304" t="s">
        <v>1049</v>
      </c>
      <c r="D100" s="304" t="s">
        <v>1050</v>
      </c>
      <c r="E100" s="305">
        <v>8.10115972778E11</v>
      </c>
      <c r="F100" s="209"/>
      <c r="G100" s="209"/>
      <c r="H100" s="209"/>
      <c r="I100" s="209"/>
      <c r="J100" s="296" t="b">
        <v>1</v>
      </c>
      <c r="K100" s="301" t="b">
        <v>0</v>
      </c>
      <c r="L100" s="209"/>
      <c r="M100" s="291"/>
      <c r="N100" s="303" t="s">
        <v>1051</v>
      </c>
      <c r="O100" s="306" t="s">
        <v>400</v>
      </c>
      <c r="P100" s="304" t="s">
        <v>1052</v>
      </c>
      <c r="Q100" s="307">
        <v>8.40472503728E11</v>
      </c>
      <c r="R100" s="209"/>
      <c r="S100" s="209"/>
      <c r="T100" s="209"/>
      <c r="U100" s="325"/>
      <c r="V100" s="300" t="b">
        <v>1</v>
      </c>
      <c r="W100" s="301" t="b">
        <v>0</v>
      </c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</row>
    <row r="101">
      <c r="A101" s="338"/>
      <c r="B101" s="303" t="s">
        <v>1053</v>
      </c>
      <c r="C101" s="304" t="s">
        <v>641</v>
      </c>
      <c r="D101" s="304" t="s">
        <v>1054</v>
      </c>
      <c r="E101" s="305">
        <v>8.10115971979E11</v>
      </c>
      <c r="F101" s="209"/>
      <c r="G101" s="209"/>
      <c r="H101" s="209"/>
      <c r="I101" s="209"/>
      <c r="J101" s="296" t="b">
        <v>1</v>
      </c>
      <c r="K101" s="301" t="b">
        <v>0</v>
      </c>
      <c r="L101" s="209"/>
      <c r="M101" s="309"/>
      <c r="N101" s="310" t="s">
        <v>4077</v>
      </c>
      <c r="O101" s="317" t="s">
        <v>400</v>
      </c>
      <c r="P101" s="311" t="s">
        <v>4078</v>
      </c>
      <c r="Q101" s="318">
        <v>8.40472503735E11</v>
      </c>
      <c r="R101" s="311" t="s">
        <v>1062</v>
      </c>
      <c r="S101" s="313"/>
      <c r="T101" s="313"/>
      <c r="U101" s="331"/>
      <c r="V101" s="350" t="b">
        <v>1</v>
      </c>
      <c r="W101" s="314" t="b">
        <v>0</v>
      </c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</row>
    <row r="102">
      <c r="A102" s="338"/>
      <c r="B102" s="310" t="s">
        <v>1059</v>
      </c>
      <c r="C102" s="311" t="s">
        <v>1060</v>
      </c>
      <c r="D102" s="313"/>
      <c r="E102" s="313"/>
      <c r="F102" s="313"/>
      <c r="G102" s="313"/>
      <c r="H102" s="313"/>
      <c r="I102" s="311" t="s">
        <v>4079</v>
      </c>
      <c r="J102" s="296" t="b">
        <v>1</v>
      </c>
      <c r="K102" s="314" t="b">
        <v>0</v>
      </c>
      <c r="L102" s="209"/>
      <c r="M102" s="344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</row>
    <row r="103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81" t="s">
        <v>1064</v>
      </c>
      <c r="N103" s="319" t="s">
        <v>1065</v>
      </c>
      <c r="O103" s="320"/>
      <c r="P103" s="283" t="s">
        <v>1066</v>
      </c>
      <c r="Q103" s="336" t="s">
        <v>1067</v>
      </c>
      <c r="R103" s="320"/>
      <c r="S103" s="320"/>
      <c r="T103" s="285" t="s">
        <v>572</v>
      </c>
      <c r="U103" s="285" t="s">
        <v>1797</v>
      </c>
      <c r="V103" s="278" t="str">
        <f>IF(COUNTIF(V104:V107, TRUE) = COUNTA(V104:V107), "Complete!", IF(COUNTIF(V104:V107, TRUE) &gt; 0, "Partial", "Not Started"))</f>
        <v>Complete!</v>
      </c>
      <c r="W103" s="279"/>
      <c r="X103" s="280">
        <v>4.0</v>
      </c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</row>
    <row r="104">
      <c r="A104" s="337" t="s">
        <v>1034</v>
      </c>
      <c r="B104" s="282" t="s">
        <v>1068</v>
      </c>
      <c r="C104" s="273"/>
      <c r="D104" s="274" t="s">
        <v>1069</v>
      </c>
      <c r="E104" s="275" t="s">
        <v>805</v>
      </c>
      <c r="F104" s="273"/>
      <c r="G104" s="273"/>
      <c r="H104" s="277" t="s">
        <v>370</v>
      </c>
      <c r="I104" s="277" t="s">
        <v>4080</v>
      </c>
      <c r="J104" s="278" t="str">
        <f>IF(COUNTIF(J105:J114, TRUE) = COUNTA(J105:J114), "Complete!", IF(COUNTIF(J105:J114, TRUE) &gt; 0, "Partial", "Not Started"))</f>
        <v>Complete!</v>
      </c>
      <c r="K104" s="279"/>
      <c r="L104" s="280">
        <v>10.0</v>
      </c>
      <c r="M104" s="291"/>
      <c r="N104" s="292" t="s">
        <v>1071</v>
      </c>
      <c r="O104" s="293" t="s">
        <v>400</v>
      </c>
      <c r="P104" s="293" t="s">
        <v>1072</v>
      </c>
      <c r="Q104" s="302">
        <v>8.40472503759E11</v>
      </c>
      <c r="R104" s="295"/>
      <c r="S104" s="295"/>
      <c r="T104" s="295"/>
      <c r="U104" s="351" t="s">
        <v>4065</v>
      </c>
      <c r="V104" s="296" t="b">
        <v>1</v>
      </c>
      <c r="W104" s="297" t="b">
        <v>0</v>
      </c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</row>
    <row r="105">
      <c r="A105" s="338"/>
      <c r="B105" s="292" t="s">
        <v>1073</v>
      </c>
      <c r="C105" s="293" t="s">
        <v>431</v>
      </c>
      <c r="D105" s="293" t="s">
        <v>1074</v>
      </c>
      <c r="E105" s="294">
        <v>8.10115972259E11</v>
      </c>
      <c r="F105" s="295"/>
      <c r="G105" s="295"/>
      <c r="H105" s="295"/>
      <c r="I105" s="295"/>
      <c r="J105" s="296" t="b">
        <v>1</v>
      </c>
      <c r="K105" s="297" t="b">
        <v>0</v>
      </c>
      <c r="L105" s="209"/>
      <c r="M105" s="291"/>
      <c r="N105" s="303" t="s">
        <v>1075</v>
      </c>
      <c r="O105" s="304" t="s">
        <v>400</v>
      </c>
      <c r="P105" s="304" t="s">
        <v>1076</v>
      </c>
      <c r="Q105" s="308">
        <v>8.40472503766E11</v>
      </c>
      <c r="R105" s="209"/>
      <c r="S105" s="209"/>
      <c r="T105" s="209"/>
      <c r="U105" s="209"/>
      <c r="V105" s="300" t="b">
        <v>1</v>
      </c>
      <c r="W105" s="301" t="b">
        <v>0</v>
      </c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</row>
    <row r="106">
      <c r="A106" s="338"/>
      <c r="B106" s="303" t="s">
        <v>1077</v>
      </c>
      <c r="C106" s="304" t="s">
        <v>612</v>
      </c>
      <c r="D106" s="304" t="s">
        <v>1078</v>
      </c>
      <c r="E106" s="305">
        <v>8.10115972198E11</v>
      </c>
      <c r="F106" s="209"/>
      <c r="G106" s="209"/>
      <c r="H106" s="209"/>
      <c r="I106" s="209"/>
      <c r="J106" s="296" t="b">
        <v>1</v>
      </c>
      <c r="K106" s="301" t="b">
        <v>0</v>
      </c>
      <c r="L106" s="209"/>
      <c r="M106" s="291"/>
      <c r="N106" s="303" t="s">
        <v>4081</v>
      </c>
      <c r="O106" s="304" t="s">
        <v>400</v>
      </c>
      <c r="P106" s="304" t="s">
        <v>4082</v>
      </c>
      <c r="Q106" s="308">
        <v>8.40472503773E11</v>
      </c>
      <c r="R106" s="304" t="s">
        <v>1062</v>
      </c>
      <c r="S106" s="209"/>
      <c r="T106" s="209"/>
      <c r="U106" s="209"/>
      <c r="V106" s="300" t="b">
        <v>1</v>
      </c>
      <c r="W106" s="301" t="b">
        <v>0</v>
      </c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</row>
    <row r="107">
      <c r="A107" s="338"/>
      <c r="B107" s="303" t="s">
        <v>1082</v>
      </c>
      <c r="C107" s="304" t="s">
        <v>449</v>
      </c>
      <c r="D107" s="304" t="s">
        <v>1083</v>
      </c>
      <c r="E107" s="305">
        <v>8.10115972174E11</v>
      </c>
      <c r="F107" s="209"/>
      <c r="G107" s="209"/>
      <c r="H107" s="209"/>
      <c r="I107" s="209"/>
      <c r="J107" s="296" t="b">
        <v>1</v>
      </c>
      <c r="K107" s="301" t="b">
        <v>0</v>
      </c>
      <c r="L107" s="209"/>
      <c r="M107" s="309"/>
      <c r="N107" s="310" t="s">
        <v>4083</v>
      </c>
      <c r="O107" s="311" t="s">
        <v>400</v>
      </c>
      <c r="P107" s="311" t="s">
        <v>4084</v>
      </c>
      <c r="Q107" s="335">
        <v>8.40472503742E11</v>
      </c>
      <c r="R107" s="311" t="s">
        <v>1062</v>
      </c>
      <c r="S107" s="313"/>
      <c r="T107" s="313"/>
      <c r="U107" s="313"/>
      <c r="V107" s="350" t="b">
        <v>1</v>
      </c>
      <c r="W107" s="314" t="b">
        <v>0</v>
      </c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</row>
    <row r="108">
      <c r="A108" s="338"/>
      <c r="B108" s="303" t="s">
        <v>1087</v>
      </c>
      <c r="C108" s="304" t="s">
        <v>487</v>
      </c>
      <c r="D108" s="304" t="s">
        <v>1088</v>
      </c>
      <c r="E108" s="305">
        <v>8.1011597215E11</v>
      </c>
      <c r="F108" s="209"/>
      <c r="G108" s="209"/>
      <c r="H108" s="209"/>
      <c r="I108" s="209"/>
      <c r="J108" s="296" t="b">
        <v>1</v>
      </c>
      <c r="K108" s="301" t="b">
        <v>0</v>
      </c>
      <c r="L108" s="209"/>
      <c r="M108" s="209"/>
      <c r="N108" s="209"/>
      <c r="O108" s="209"/>
      <c r="P108" s="209"/>
      <c r="Q108" s="353"/>
      <c r="R108" s="344"/>
      <c r="S108" s="344"/>
      <c r="T108" s="344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</row>
    <row r="109">
      <c r="A109" s="338"/>
      <c r="B109" s="303" t="s">
        <v>1089</v>
      </c>
      <c r="C109" s="304" t="s">
        <v>440</v>
      </c>
      <c r="D109" s="304" t="s">
        <v>1090</v>
      </c>
      <c r="E109" s="305">
        <v>8.10115972136E11</v>
      </c>
      <c r="F109" s="209"/>
      <c r="G109" s="209"/>
      <c r="H109" s="209"/>
      <c r="I109" s="209"/>
      <c r="J109" s="296" t="b">
        <v>1</v>
      </c>
      <c r="K109" s="301" t="b">
        <v>0</v>
      </c>
      <c r="L109" s="209"/>
      <c r="M109" s="281" t="s">
        <v>985</v>
      </c>
      <c r="N109" s="319" t="s">
        <v>1091</v>
      </c>
      <c r="O109" s="320"/>
      <c r="P109" s="283" t="s">
        <v>1092</v>
      </c>
      <c r="Q109" s="275" t="s">
        <v>374</v>
      </c>
      <c r="R109" s="320"/>
      <c r="S109" s="320"/>
      <c r="T109" s="276" t="s">
        <v>888</v>
      </c>
      <c r="U109" s="283" t="s">
        <v>1009</v>
      </c>
      <c r="V109" s="278" t="str">
        <f>IF(COUNTIF(V110:V113, TRUE) = COUNTA(V110:V113), "Complete!", IF(COUNTIF(V110:V113, TRUE) &gt; 0, "Partial", "Not Started"))</f>
        <v>Complete!</v>
      </c>
      <c r="W109" s="279"/>
      <c r="X109" s="280">
        <v>4.0</v>
      </c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</row>
    <row r="110">
      <c r="A110" s="338"/>
      <c r="B110" s="303" t="s">
        <v>1095</v>
      </c>
      <c r="C110" s="304" t="s">
        <v>505</v>
      </c>
      <c r="D110" s="304" t="s">
        <v>1096</v>
      </c>
      <c r="E110" s="305">
        <v>8.10115972075E11</v>
      </c>
      <c r="F110" s="209"/>
      <c r="G110" s="209"/>
      <c r="H110" s="209"/>
      <c r="I110" s="209"/>
      <c r="J110" s="296" t="b">
        <v>1</v>
      </c>
      <c r="K110" s="301" t="b">
        <v>0</v>
      </c>
      <c r="L110" s="209"/>
      <c r="M110" s="291"/>
      <c r="N110" s="292" t="s">
        <v>1097</v>
      </c>
      <c r="O110" s="298" t="s">
        <v>400</v>
      </c>
      <c r="P110" s="293" t="s">
        <v>1098</v>
      </c>
      <c r="Q110" s="299">
        <v>8.40472594528E11</v>
      </c>
      <c r="R110" s="295"/>
      <c r="S110" s="295"/>
      <c r="T110" s="295"/>
      <c r="U110" s="328"/>
      <c r="V110" s="300" t="b">
        <v>1</v>
      </c>
      <c r="W110" s="301" t="b">
        <v>0</v>
      </c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</row>
    <row r="111">
      <c r="A111" s="338"/>
      <c r="B111" s="303" t="s">
        <v>1099</v>
      </c>
      <c r="C111" s="304" t="s">
        <v>529</v>
      </c>
      <c r="D111" s="304" t="s">
        <v>1100</v>
      </c>
      <c r="E111" s="305">
        <v>8.10115972037E11</v>
      </c>
      <c r="F111" s="209"/>
      <c r="G111" s="209"/>
      <c r="H111" s="209"/>
      <c r="I111" s="209"/>
      <c r="J111" s="296" t="b">
        <v>1</v>
      </c>
      <c r="K111" s="301" t="b">
        <v>0</v>
      </c>
      <c r="L111" s="209"/>
      <c r="M111" s="291"/>
      <c r="N111" s="354" t="s">
        <v>1101</v>
      </c>
      <c r="O111" s="306" t="s">
        <v>400</v>
      </c>
      <c r="P111" s="304" t="s">
        <v>1102</v>
      </c>
      <c r="Q111" s="307">
        <v>8.40472595617E11</v>
      </c>
      <c r="R111" s="209"/>
      <c r="S111" s="209"/>
      <c r="T111" s="209"/>
      <c r="U111" s="325"/>
      <c r="V111" s="300" t="b">
        <v>1</v>
      </c>
      <c r="W111" s="301" t="b">
        <v>0</v>
      </c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</row>
    <row r="112">
      <c r="A112" s="338"/>
      <c r="B112" s="303" t="s">
        <v>1103</v>
      </c>
      <c r="C112" s="304" t="s">
        <v>539</v>
      </c>
      <c r="D112" s="304" t="s">
        <v>1104</v>
      </c>
      <c r="E112" s="305">
        <v>8.10115971993E11</v>
      </c>
      <c r="F112" s="209"/>
      <c r="G112" s="209"/>
      <c r="H112" s="209"/>
      <c r="I112" s="209"/>
      <c r="J112" s="296" t="b">
        <v>1</v>
      </c>
      <c r="K112" s="301" t="b">
        <v>0</v>
      </c>
      <c r="L112" s="209"/>
      <c r="M112" s="291"/>
      <c r="N112" s="303" t="s">
        <v>1105</v>
      </c>
      <c r="O112" s="306" t="s">
        <v>726</v>
      </c>
      <c r="P112" s="304" t="s">
        <v>1106</v>
      </c>
      <c r="Q112" s="308">
        <v>8.40472501885E11</v>
      </c>
      <c r="R112" s="209"/>
      <c r="S112" s="209"/>
      <c r="T112" s="209"/>
      <c r="U112" s="325"/>
      <c r="V112" s="300" t="b">
        <v>1</v>
      </c>
      <c r="W112" s="301" t="b">
        <v>0</v>
      </c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</row>
    <row r="113">
      <c r="A113" s="338"/>
      <c r="B113" s="303" t="s">
        <v>1107</v>
      </c>
      <c r="C113" s="304" t="s">
        <v>1060</v>
      </c>
      <c r="D113" s="304" t="s">
        <v>1108</v>
      </c>
      <c r="E113" s="305">
        <v>8.40472507542E11</v>
      </c>
      <c r="F113" s="209"/>
      <c r="G113" s="209"/>
      <c r="H113" s="209"/>
      <c r="I113" s="304" t="s">
        <v>1063</v>
      </c>
      <c r="J113" s="296" t="b">
        <v>1</v>
      </c>
      <c r="K113" s="301" t="b">
        <v>0</v>
      </c>
      <c r="L113" s="209"/>
      <c r="M113" s="309"/>
      <c r="N113" s="310" t="s">
        <v>1110</v>
      </c>
      <c r="O113" s="317" t="s">
        <v>726</v>
      </c>
      <c r="P113" s="311" t="s">
        <v>1111</v>
      </c>
      <c r="Q113" s="335">
        <v>8.40472501892E11</v>
      </c>
      <c r="R113" s="313"/>
      <c r="S113" s="313"/>
      <c r="T113" s="313"/>
      <c r="U113" s="331"/>
      <c r="V113" s="350" t="b">
        <v>1</v>
      </c>
      <c r="W113" s="314" t="b">
        <v>0</v>
      </c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</row>
    <row r="114">
      <c r="A114" s="338"/>
      <c r="B114" s="310" t="s">
        <v>1112</v>
      </c>
      <c r="C114" s="311" t="s">
        <v>1113</v>
      </c>
      <c r="D114" s="311" t="s">
        <v>1114</v>
      </c>
      <c r="E114" s="312">
        <v>8.40472507573E11</v>
      </c>
      <c r="F114" s="209"/>
      <c r="G114" s="313"/>
      <c r="H114" s="313"/>
      <c r="I114" s="311" t="s">
        <v>1063</v>
      </c>
      <c r="J114" s="296" t="b">
        <v>1</v>
      </c>
      <c r="K114" s="314" t="b">
        <v>0</v>
      </c>
      <c r="L114" s="209"/>
      <c r="M114" s="209"/>
      <c r="N114" s="209"/>
      <c r="O114" s="209"/>
      <c r="P114" s="209"/>
      <c r="Q114" s="353"/>
      <c r="R114" s="344"/>
      <c r="S114" s="344"/>
      <c r="T114" s="344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</row>
    <row r="115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355" t="s">
        <v>1115</v>
      </c>
      <c r="N115" s="282" t="s">
        <v>1116</v>
      </c>
      <c r="O115" s="273"/>
      <c r="P115" s="273"/>
      <c r="Q115" s="284" t="s">
        <v>1118</v>
      </c>
      <c r="R115" s="320"/>
      <c r="S115" s="320"/>
      <c r="T115" s="276" t="s">
        <v>370</v>
      </c>
      <c r="U115" s="276" t="s">
        <v>4085</v>
      </c>
      <c r="V115" s="278" t="str">
        <f>IF(COUNTIF(V116:V121, TRUE) = COUNTA(V116:V121), "Complete!", IF(COUNTIF(V116:V121, TRUE) &gt; 0, "Partial", "Not Started"))</f>
        <v>Complete!</v>
      </c>
      <c r="W115" s="279"/>
      <c r="X115" s="280">
        <v>6.0</v>
      </c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</row>
    <row r="116">
      <c r="A116" s="337" t="s">
        <v>1064</v>
      </c>
      <c r="B116" s="282" t="s">
        <v>1120</v>
      </c>
      <c r="C116" s="273"/>
      <c r="D116" s="274" t="s">
        <v>1121</v>
      </c>
      <c r="E116" s="275" t="s">
        <v>805</v>
      </c>
      <c r="F116" s="273"/>
      <c r="G116" s="273"/>
      <c r="H116" s="274" t="s">
        <v>572</v>
      </c>
      <c r="I116" s="274" t="s">
        <v>4086</v>
      </c>
      <c r="J116" s="278" t="str">
        <f>IF(COUNTIF(J117:J123, TRUE) = COUNTA(J117:J123), "Complete!", IF(COUNTIF(J117:J123, TRUE) &gt; 0, "Partial", "Not Started"))</f>
        <v>Complete!</v>
      </c>
      <c r="K116" s="279"/>
      <c r="L116" s="280">
        <v>7.0</v>
      </c>
      <c r="M116" s="356"/>
      <c r="N116" s="292" t="s">
        <v>1123</v>
      </c>
      <c r="O116" s="298" t="s">
        <v>1124</v>
      </c>
      <c r="P116" s="293" t="s">
        <v>1125</v>
      </c>
      <c r="Q116" s="357">
        <v>8.10115970767E11</v>
      </c>
      <c r="R116" s="295"/>
      <c r="S116" s="295"/>
      <c r="T116" s="295"/>
      <c r="U116" s="295"/>
      <c r="V116" s="296" t="b">
        <v>1</v>
      </c>
      <c r="W116" s="297" t="b">
        <v>0</v>
      </c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</row>
    <row r="117">
      <c r="A117" s="338"/>
      <c r="B117" s="293" t="s">
        <v>1126</v>
      </c>
      <c r="C117" s="293" t="s">
        <v>404</v>
      </c>
      <c r="D117" s="293" t="s">
        <v>1127</v>
      </c>
      <c r="E117" s="294">
        <v>8.10115970262E11</v>
      </c>
      <c r="F117" s="295"/>
      <c r="G117" s="295"/>
      <c r="H117" s="295"/>
      <c r="I117" s="295"/>
      <c r="J117" s="296" t="b">
        <v>1</v>
      </c>
      <c r="K117" s="297" t="b">
        <v>0</v>
      </c>
      <c r="L117" s="209"/>
      <c r="M117" s="356"/>
      <c r="N117" s="303" t="s">
        <v>1128</v>
      </c>
      <c r="O117" s="306" t="s">
        <v>1129</v>
      </c>
      <c r="P117" s="304" t="s">
        <v>1130</v>
      </c>
      <c r="Q117" s="358">
        <v>8.10115970781E11</v>
      </c>
      <c r="R117" s="209"/>
      <c r="S117" s="209"/>
      <c r="T117" s="209"/>
      <c r="U117" s="209"/>
      <c r="V117" s="300" t="b">
        <v>1</v>
      </c>
      <c r="W117" s="301" t="b">
        <v>0</v>
      </c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</row>
    <row r="118">
      <c r="A118" s="338"/>
      <c r="B118" s="304" t="s">
        <v>1131</v>
      </c>
      <c r="C118" s="304" t="s">
        <v>390</v>
      </c>
      <c r="D118" s="304" t="s">
        <v>1132</v>
      </c>
      <c r="E118" s="305">
        <v>8.10115970279E11</v>
      </c>
      <c r="F118" s="209"/>
      <c r="G118" s="209"/>
      <c r="H118" s="209"/>
      <c r="I118" s="209"/>
      <c r="J118" s="296" t="b">
        <v>1</v>
      </c>
      <c r="K118" s="301" t="b">
        <v>0</v>
      </c>
      <c r="L118" s="209"/>
      <c r="M118" s="356"/>
      <c r="N118" s="303" t="s">
        <v>1133</v>
      </c>
      <c r="O118" s="306" t="s">
        <v>1134</v>
      </c>
      <c r="P118" s="304" t="s">
        <v>1135</v>
      </c>
      <c r="Q118" s="358">
        <v>8.10115970774E11</v>
      </c>
      <c r="R118" s="209"/>
      <c r="S118" s="209"/>
      <c r="T118" s="209"/>
      <c r="U118" s="209"/>
      <c r="V118" s="300" t="b">
        <v>1</v>
      </c>
      <c r="W118" s="301" t="b">
        <v>0</v>
      </c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</row>
    <row r="119">
      <c r="A119" s="338"/>
      <c r="B119" s="304" t="s">
        <v>1136</v>
      </c>
      <c r="C119" s="304" t="s">
        <v>400</v>
      </c>
      <c r="D119" s="304" t="s">
        <v>1137</v>
      </c>
      <c r="E119" s="305">
        <v>8.10115970309E11</v>
      </c>
      <c r="F119" s="209"/>
      <c r="G119" s="209"/>
      <c r="H119" s="209"/>
      <c r="I119" s="209"/>
      <c r="J119" s="296" t="b">
        <v>1</v>
      </c>
      <c r="K119" s="301" t="b">
        <v>0</v>
      </c>
      <c r="L119" s="209"/>
      <c r="M119" s="356"/>
      <c r="N119" s="303" t="s">
        <v>1138</v>
      </c>
      <c r="O119" s="306" t="s">
        <v>1139</v>
      </c>
      <c r="P119" s="304" t="s">
        <v>1140</v>
      </c>
      <c r="Q119" s="359">
        <v>8.10115970996E11</v>
      </c>
      <c r="R119" s="209"/>
      <c r="S119" s="209"/>
      <c r="T119" s="209"/>
      <c r="U119" s="209"/>
      <c r="V119" s="300" t="b">
        <v>1</v>
      </c>
      <c r="W119" s="301" t="b">
        <v>0</v>
      </c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</row>
    <row r="120">
      <c r="A120" s="338"/>
      <c r="B120" s="304" t="s">
        <v>1141</v>
      </c>
      <c r="C120" s="304" t="s">
        <v>412</v>
      </c>
      <c r="D120" s="304" t="s">
        <v>1142</v>
      </c>
      <c r="E120" s="305">
        <v>8.10115970316E11</v>
      </c>
      <c r="F120" s="209"/>
      <c r="G120" s="209"/>
      <c r="H120" s="209"/>
      <c r="I120" s="209"/>
      <c r="J120" s="296" t="b">
        <v>1</v>
      </c>
      <c r="K120" s="301" t="b">
        <v>0</v>
      </c>
      <c r="L120" s="209"/>
      <c r="M120" s="356"/>
      <c r="N120" s="303" t="s">
        <v>1143</v>
      </c>
      <c r="O120" s="209"/>
      <c r="P120" s="304" t="s">
        <v>1145</v>
      </c>
      <c r="Q120" s="308">
        <v>8.40472503513E11</v>
      </c>
      <c r="R120" s="304" t="s">
        <v>1062</v>
      </c>
      <c r="S120" s="209"/>
      <c r="T120" s="209"/>
      <c r="U120" s="209"/>
      <c r="V120" s="300" t="b">
        <v>1</v>
      </c>
      <c r="W120" s="301" t="b">
        <v>0</v>
      </c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</row>
    <row r="121">
      <c r="A121" s="338"/>
      <c r="B121" s="304" t="s">
        <v>1146</v>
      </c>
      <c r="C121" s="304" t="s">
        <v>431</v>
      </c>
      <c r="D121" s="304" t="s">
        <v>1147</v>
      </c>
      <c r="E121" s="305">
        <v>8.10115972228E11</v>
      </c>
      <c r="F121" s="209"/>
      <c r="G121" s="209"/>
      <c r="H121" s="209"/>
      <c r="I121" s="209"/>
      <c r="J121" s="296" t="b">
        <v>1</v>
      </c>
      <c r="K121" s="301" t="b">
        <v>0</v>
      </c>
      <c r="L121" s="209"/>
      <c r="M121" s="356"/>
      <c r="N121" s="310" t="s">
        <v>1148</v>
      </c>
      <c r="O121" s="317" t="s">
        <v>1149</v>
      </c>
      <c r="P121" s="311" t="s">
        <v>1150</v>
      </c>
      <c r="Q121" s="360">
        <v>8.10115970712E11</v>
      </c>
      <c r="R121" s="313"/>
      <c r="S121" s="313"/>
      <c r="T121" s="313"/>
      <c r="U121" s="313"/>
      <c r="V121" s="350" t="b">
        <v>1</v>
      </c>
      <c r="W121" s="314" t="b">
        <v>0</v>
      </c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</row>
    <row r="122">
      <c r="A122" s="338"/>
      <c r="B122" s="304" t="s">
        <v>1151</v>
      </c>
      <c r="C122" s="304" t="s">
        <v>421</v>
      </c>
      <c r="D122" s="304" t="s">
        <v>1152</v>
      </c>
      <c r="E122" s="305">
        <v>8.10115970323E11</v>
      </c>
      <c r="F122" s="209"/>
      <c r="G122" s="209"/>
      <c r="H122" s="209"/>
      <c r="I122" s="209"/>
      <c r="J122" s="296" t="b">
        <v>1</v>
      </c>
      <c r="K122" s="301" t="b">
        <v>0</v>
      </c>
      <c r="L122" s="209"/>
      <c r="M122" s="209"/>
      <c r="N122" s="209"/>
      <c r="O122" s="209"/>
      <c r="P122" s="209"/>
      <c r="Q122" s="209"/>
      <c r="R122" s="344"/>
      <c r="S122" s="344"/>
      <c r="T122" s="344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</row>
    <row r="123">
      <c r="A123" s="338"/>
      <c r="B123" s="311" t="s">
        <v>1153</v>
      </c>
      <c r="C123" s="361" t="s">
        <v>449</v>
      </c>
      <c r="D123" s="361" t="s">
        <v>1154</v>
      </c>
      <c r="E123" s="312">
        <v>8.1011597046E11</v>
      </c>
      <c r="F123" s="311" t="s">
        <v>1057</v>
      </c>
      <c r="G123" s="313"/>
      <c r="H123" s="313"/>
      <c r="I123" s="313"/>
      <c r="J123" s="296" t="b">
        <v>1</v>
      </c>
      <c r="K123" s="314" t="b">
        <v>1</v>
      </c>
      <c r="L123" s="209"/>
      <c r="M123" s="281" t="s">
        <v>1155</v>
      </c>
      <c r="N123" s="319" t="s">
        <v>1156</v>
      </c>
      <c r="O123" s="320"/>
      <c r="P123" s="283" t="s">
        <v>1157</v>
      </c>
      <c r="Q123" s="362" t="s">
        <v>1118</v>
      </c>
      <c r="R123" s="320"/>
      <c r="S123" s="320"/>
      <c r="T123" s="276" t="s">
        <v>572</v>
      </c>
      <c r="U123" s="285" t="s">
        <v>4087</v>
      </c>
      <c r="V123" s="278" t="str">
        <f>IF(COUNTIF(V124:V128, TRUE) = COUNTA(V124:V128), "Complete!", IF(COUNTIF(V124:V128, TRUE) &gt; 0, "Partial", "Not Started"))</f>
        <v>Complete!</v>
      </c>
      <c r="W123" s="279"/>
      <c r="X123" s="280">
        <v>5.0</v>
      </c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</row>
    <row r="124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91"/>
      <c r="N124" s="292" t="s">
        <v>1159</v>
      </c>
      <c r="O124" s="298" t="s">
        <v>1160</v>
      </c>
      <c r="P124" s="293" t="s">
        <v>1161</v>
      </c>
      <c r="Q124" s="357">
        <v>8.10115970743E11</v>
      </c>
      <c r="R124" s="295"/>
      <c r="S124" s="295"/>
      <c r="T124" s="295"/>
      <c r="U124" s="295"/>
      <c r="V124" s="296" t="b">
        <v>1</v>
      </c>
      <c r="W124" s="297" t="b">
        <v>0</v>
      </c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</row>
    <row r="125">
      <c r="A125" s="337" t="s">
        <v>985</v>
      </c>
      <c r="B125" s="282" t="s">
        <v>1162</v>
      </c>
      <c r="C125" s="273"/>
      <c r="D125" s="274" t="s">
        <v>1163</v>
      </c>
      <c r="E125" s="275" t="s">
        <v>805</v>
      </c>
      <c r="F125" s="273"/>
      <c r="G125" s="273"/>
      <c r="H125" s="274" t="s">
        <v>468</v>
      </c>
      <c r="I125" s="274" t="s">
        <v>1164</v>
      </c>
      <c r="J125" s="278" t="str">
        <f>IF(COUNTIF(J126:J134, TRUE) = COUNTA(J126:J134), "Complete!", IF(COUNTIF(J126:J134, TRUE) &gt; 0, "Partial", "Not Started"))</f>
        <v>Complete!</v>
      </c>
      <c r="K125" s="279"/>
      <c r="L125" s="280">
        <v>9.0</v>
      </c>
      <c r="M125" s="291"/>
      <c r="N125" s="303" t="s">
        <v>1165</v>
      </c>
      <c r="O125" s="306" t="s">
        <v>1166</v>
      </c>
      <c r="P125" s="304" t="s">
        <v>1167</v>
      </c>
      <c r="Q125" s="358">
        <v>8.10115970064E11</v>
      </c>
      <c r="R125" s="209"/>
      <c r="S125" s="209"/>
      <c r="T125" s="209"/>
      <c r="U125" s="209"/>
      <c r="V125" s="300" t="b">
        <v>1</v>
      </c>
      <c r="W125" s="301" t="b">
        <v>0</v>
      </c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</row>
    <row r="126">
      <c r="A126" s="338"/>
      <c r="B126" s="292" t="s">
        <v>1168</v>
      </c>
      <c r="C126" s="293" t="s">
        <v>1169</v>
      </c>
      <c r="D126" s="293" t="s">
        <v>1170</v>
      </c>
      <c r="E126" s="294">
        <v>8.10115972914E11</v>
      </c>
      <c r="F126" s="295"/>
      <c r="G126" s="295"/>
      <c r="H126" s="295"/>
      <c r="I126" s="295"/>
      <c r="J126" s="296" t="b">
        <v>1</v>
      </c>
      <c r="K126" s="297" t="b">
        <v>0</v>
      </c>
      <c r="L126" s="209"/>
      <c r="M126" s="291"/>
      <c r="N126" s="354" t="s">
        <v>1171</v>
      </c>
      <c r="O126" s="306" t="s">
        <v>1172</v>
      </c>
      <c r="P126" s="304" t="s">
        <v>1173</v>
      </c>
      <c r="Q126" s="358">
        <v>8.10115970804E11</v>
      </c>
      <c r="R126" s="209"/>
      <c r="S126" s="209"/>
      <c r="T126" s="209"/>
      <c r="U126" s="209"/>
      <c r="V126" s="300" t="b">
        <v>1</v>
      </c>
      <c r="W126" s="301" t="b">
        <v>0</v>
      </c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</row>
    <row r="127">
      <c r="A127" s="338"/>
      <c r="B127" s="303" t="s">
        <v>1174</v>
      </c>
      <c r="C127" s="304" t="s">
        <v>1175</v>
      </c>
      <c r="D127" s="304" t="s">
        <v>1176</v>
      </c>
      <c r="E127" s="305">
        <v>8.1011597228E11</v>
      </c>
      <c r="F127" s="209"/>
      <c r="G127" s="209"/>
      <c r="H127" s="209"/>
      <c r="I127" s="209"/>
      <c r="J127" s="296" t="b">
        <v>1</v>
      </c>
      <c r="K127" s="301" t="b">
        <v>0</v>
      </c>
      <c r="L127" s="209"/>
      <c r="M127" s="291"/>
      <c r="N127" s="303" t="s">
        <v>1177</v>
      </c>
      <c r="O127" s="306" t="s">
        <v>1178</v>
      </c>
      <c r="P127" s="304" t="s">
        <v>1179</v>
      </c>
      <c r="Q127" s="358">
        <v>8.10115970828E11</v>
      </c>
      <c r="R127" s="209"/>
      <c r="S127" s="209"/>
      <c r="T127" s="209"/>
      <c r="U127" s="325"/>
      <c r="V127" s="300" t="b">
        <v>1</v>
      </c>
      <c r="W127" s="301" t="b">
        <v>0</v>
      </c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</row>
    <row r="128">
      <c r="A128" s="338"/>
      <c r="B128" s="303" t="s">
        <v>1180</v>
      </c>
      <c r="C128" s="304" t="s">
        <v>1181</v>
      </c>
      <c r="D128" s="304" t="s">
        <v>1182</v>
      </c>
      <c r="E128" s="305">
        <v>8.10115972266E11</v>
      </c>
      <c r="F128" s="209"/>
      <c r="G128" s="209"/>
      <c r="H128" s="209"/>
      <c r="I128" s="209"/>
      <c r="J128" s="296" t="b">
        <v>1</v>
      </c>
      <c r="K128" s="301" t="b">
        <v>0</v>
      </c>
      <c r="L128" s="209"/>
      <c r="M128" s="309"/>
      <c r="N128" s="310" t="s">
        <v>4088</v>
      </c>
      <c r="O128" s="317" t="s">
        <v>400</v>
      </c>
      <c r="P128" s="311" t="s">
        <v>4089</v>
      </c>
      <c r="Q128" s="318">
        <v>8.40472503476E11</v>
      </c>
      <c r="R128" s="311" t="s">
        <v>1062</v>
      </c>
      <c r="S128" s="313"/>
      <c r="T128" s="313"/>
      <c r="U128" s="331"/>
      <c r="V128" s="350" t="b">
        <v>1</v>
      </c>
      <c r="W128" s="314" t="b">
        <v>0</v>
      </c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</row>
    <row r="129">
      <c r="A129" s="338"/>
      <c r="B129" s="303" t="s">
        <v>1185</v>
      </c>
      <c r="C129" s="304" t="s">
        <v>1186</v>
      </c>
      <c r="D129" s="304" t="s">
        <v>1187</v>
      </c>
      <c r="E129" s="305">
        <v>8.1011597273E11</v>
      </c>
      <c r="F129" s="209"/>
      <c r="G129" s="209"/>
      <c r="H129" s="209"/>
      <c r="I129" s="209"/>
      <c r="J129" s="296" t="b">
        <v>1</v>
      </c>
      <c r="K129" s="301" t="b">
        <v>0</v>
      </c>
      <c r="L129" s="209"/>
      <c r="M129" s="209"/>
      <c r="N129" s="209"/>
      <c r="O129" s="209"/>
      <c r="P129" s="209"/>
      <c r="Q129" s="209"/>
      <c r="R129" s="344"/>
      <c r="S129" s="344"/>
      <c r="T129" s="344"/>
      <c r="U129" s="325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</row>
    <row r="130">
      <c r="A130" s="338"/>
      <c r="B130" s="303" t="s">
        <v>1188</v>
      </c>
      <c r="C130" s="304" t="s">
        <v>775</v>
      </c>
      <c r="D130" s="304" t="s">
        <v>1189</v>
      </c>
      <c r="E130" s="305">
        <v>8.10115972723E11</v>
      </c>
      <c r="F130" s="304" t="s">
        <v>1057</v>
      </c>
      <c r="G130" s="209"/>
      <c r="H130" s="209"/>
      <c r="I130" s="304" t="s">
        <v>4090</v>
      </c>
      <c r="J130" s="296" t="b">
        <v>1</v>
      </c>
      <c r="K130" s="301" t="b">
        <v>1</v>
      </c>
      <c r="L130" s="209"/>
      <c r="M130" s="281" t="s">
        <v>1190</v>
      </c>
      <c r="N130" s="441"/>
      <c r="O130" s="273"/>
      <c r="P130" s="273"/>
      <c r="Q130" s="284" t="s">
        <v>1118</v>
      </c>
      <c r="R130" s="320"/>
      <c r="S130" s="320"/>
      <c r="T130" s="276" t="s">
        <v>370</v>
      </c>
      <c r="U130" s="363" t="s">
        <v>4091</v>
      </c>
      <c r="V130" s="278" t="str">
        <f>IF(COUNTIF(V131:V137, TRUE) = COUNTA(V131:V137), "Complete!", IF(COUNTIF(V131:V137, TRUE) &gt; 0, "Partial", "Not Started"))</f>
        <v>Complete!</v>
      </c>
      <c r="W130" s="279"/>
      <c r="X130" s="280">
        <v>7.0</v>
      </c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</row>
    <row r="131">
      <c r="A131" s="338"/>
      <c r="B131" s="303" t="s">
        <v>1194</v>
      </c>
      <c r="C131" s="304" t="s">
        <v>697</v>
      </c>
      <c r="D131" s="304" t="s">
        <v>1195</v>
      </c>
      <c r="E131" s="305">
        <v>8.10115972105E11</v>
      </c>
      <c r="F131" s="304" t="s">
        <v>1057</v>
      </c>
      <c r="G131" s="209"/>
      <c r="H131" s="209"/>
      <c r="I131" s="304" t="s">
        <v>4092</v>
      </c>
      <c r="J131" s="296" t="b">
        <v>1</v>
      </c>
      <c r="K131" s="301" t="b">
        <v>1</v>
      </c>
      <c r="L131" s="209"/>
      <c r="M131" s="291"/>
      <c r="N131" s="292" t="s">
        <v>1196</v>
      </c>
      <c r="O131" s="298" t="s">
        <v>1197</v>
      </c>
      <c r="P131" s="293" t="s">
        <v>1198</v>
      </c>
      <c r="Q131" s="357">
        <v>8.10115970088E11</v>
      </c>
      <c r="R131" s="295"/>
      <c r="S131" s="295"/>
      <c r="T131" s="295"/>
      <c r="U131" s="328"/>
      <c r="V131" s="296" t="b">
        <v>1</v>
      </c>
      <c r="W131" s="297" t="b">
        <v>0</v>
      </c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</row>
    <row r="132">
      <c r="A132" s="338"/>
      <c r="B132" s="303" t="s">
        <v>1199</v>
      </c>
      <c r="C132" s="304" t="s">
        <v>796</v>
      </c>
      <c r="D132" s="304" t="s">
        <v>1200</v>
      </c>
      <c r="E132" s="305">
        <v>8.10115972747E11</v>
      </c>
      <c r="F132" s="304" t="s">
        <v>1057</v>
      </c>
      <c r="G132" s="209"/>
      <c r="H132" s="209"/>
      <c r="I132" s="304" t="s">
        <v>4093</v>
      </c>
      <c r="J132" s="296" t="b">
        <v>1</v>
      </c>
      <c r="K132" s="301" t="b">
        <v>1</v>
      </c>
      <c r="L132" s="209"/>
      <c r="M132" s="291"/>
      <c r="N132" s="303" t="s">
        <v>1201</v>
      </c>
      <c r="O132" s="306" t="s">
        <v>1202</v>
      </c>
      <c r="P132" s="304" t="s">
        <v>1203</v>
      </c>
      <c r="Q132" s="358">
        <v>8.10115970101E11</v>
      </c>
      <c r="R132" s="209"/>
      <c r="S132" s="209"/>
      <c r="T132" s="209"/>
      <c r="U132" s="325"/>
      <c r="V132" s="300" t="b">
        <v>1</v>
      </c>
      <c r="W132" s="301" t="b">
        <v>0</v>
      </c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</row>
    <row r="133">
      <c r="A133" s="338"/>
      <c r="B133" s="303" t="s">
        <v>1204</v>
      </c>
      <c r="C133" s="304" t="s">
        <v>705</v>
      </c>
      <c r="D133" s="304" t="s">
        <v>1205</v>
      </c>
      <c r="E133" s="305">
        <v>8.10115972181E11</v>
      </c>
      <c r="F133" s="304" t="s">
        <v>1057</v>
      </c>
      <c r="G133" s="209"/>
      <c r="H133" s="209"/>
      <c r="I133" s="304" t="s">
        <v>4094</v>
      </c>
      <c r="J133" s="296" t="b">
        <v>1</v>
      </c>
      <c r="K133" s="301" t="b">
        <v>1</v>
      </c>
      <c r="L133" s="209"/>
      <c r="M133" s="291"/>
      <c r="N133" s="303" t="s">
        <v>1206</v>
      </c>
      <c r="O133" s="306" t="s">
        <v>1207</v>
      </c>
      <c r="P133" s="304" t="s">
        <v>1208</v>
      </c>
      <c r="Q133" s="358">
        <v>8.10115970095E11</v>
      </c>
      <c r="R133" s="209"/>
      <c r="S133" s="209"/>
      <c r="T133" s="209"/>
      <c r="U133" s="325"/>
      <c r="V133" s="300" t="b">
        <v>1</v>
      </c>
      <c r="W133" s="301" t="b">
        <v>0</v>
      </c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</row>
    <row r="134">
      <c r="A134" s="262"/>
      <c r="B134" s="310" t="s">
        <v>1209</v>
      </c>
      <c r="C134" s="311" t="s">
        <v>715</v>
      </c>
      <c r="D134" s="311" t="s">
        <v>1210</v>
      </c>
      <c r="E134" s="312">
        <v>8.10115972211E11</v>
      </c>
      <c r="F134" s="304" t="s">
        <v>1057</v>
      </c>
      <c r="G134" s="313"/>
      <c r="H134" s="313"/>
      <c r="I134" s="304" t="s">
        <v>4095</v>
      </c>
      <c r="J134" s="296" t="b">
        <v>1</v>
      </c>
      <c r="K134" s="301" t="b">
        <v>1</v>
      </c>
      <c r="L134" s="209"/>
      <c r="M134" s="291"/>
      <c r="N134" s="303" t="s">
        <v>1211</v>
      </c>
      <c r="O134" s="306" t="s">
        <v>1212</v>
      </c>
      <c r="P134" s="304" t="s">
        <v>1213</v>
      </c>
      <c r="Q134" s="358">
        <v>8.10115970835E11</v>
      </c>
      <c r="R134" s="209"/>
      <c r="S134" s="209"/>
      <c r="T134" s="209"/>
      <c r="U134" s="209"/>
      <c r="V134" s="300" t="b">
        <v>1</v>
      </c>
      <c r="W134" s="301" t="b">
        <v>0</v>
      </c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</row>
    <row r="135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91"/>
      <c r="N135" s="303" t="s">
        <v>1214</v>
      </c>
      <c r="O135" s="306" t="s">
        <v>400</v>
      </c>
      <c r="P135" s="304" t="s">
        <v>1215</v>
      </c>
      <c r="Q135" s="307">
        <v>8.40472503452E11</v>
      </c>
      <c r="R135" s="304" t="s">
        <v>1062</v>
      </c>
      <c r="S135" s="209"/>
      <c r="T135" s="209"/>
      <c r="U135" s="209"/>
      <c r="V135" s="300" t="b">
        <v>1</v>
      </c>
      <c r="W135" s="301" t="b">
        <v>0</v>
      </c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</row>
    <row r="136">
      <c r="A136" s="337" t="s">
        <v>1115</v>
      </c>
      <c r="B136" s="282" t="s">
        <v>218</v>
      </c>
      <c r="C136" s="273"/>
      <c r="D136" s="274" t="s">
        <v>217</v>
      </c>
      <c r="E136" s="275" t="s">
        <v>805</v>
      </c>
      <c r="F136" s="273"/>
      <c r="G136" s="273"/>
      <c r="H136" s="274" t="s">
        <v>572</v>
      </c>
      <c r="I136" s="274" t="s">
        <v>4096</v>
      </c>
      <c r="J136" s="278" t="str">
        <f>IF(COUNTIF(J137:J146, TRUE) = COUNTA(J137:J146), "Complete!", IF(COUNTIF(J137:J146, TRUE) &gt; 0, "Partial", "Not Started"))</f>
        <v>Complete!</v>
      </c>
      <c r="K136" s="279"/>
      <c r="L136" s="280">
        <v>10.0</v>
      </c>
      <c r="M136" s="291"/>
      <c r="N136" s="303" t="s">
        <v>1217</v>
      </c>
      <c r="O136" s="306" t="s">
        <v>400</v>
      </c>
      <c r="P136" s="304" t="s">
        <v>1218</v>
      </c>
      <c r="Q136" s="307">
        <v>8.40472503506E11</v>
      </c>
      <c r="R136" s="304" t="s">
        <v>1062</v>
      </c>
      <c r="S136" s="209"/>
      <c r="T136" s="209"/>
      <c r="U136" s="325"/>
      <c r="V136" s="300" t="b">
        <v>1</v>
      </c>
      <c r="W136" s="301" t="b">
        <v>0</v>
      </c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</row>
    <row r="137">
      <c r="A137" s="338"/>
      <c r="B137" s="292" t="s">
        <v>1219</v>
      </c>
      <c r="C137" s="293" t="s">
        <v>676</v>
      </c>
      <c r="D137" s="293" t="s">
        <v>1220</v>
      </c>
      <c r="E137" s="294">
        <v>8.10115971702E11</v>
      </c>
      <c r="F137" s="295"/>
      <c r="G137" s="295"/>
      <c r="H137" s="295"/>
      <c r="I137" s="295"/>
      <c r="J137" s="296" t="b">
        <v>1</v>
      </c>
      <c r="K137" s="297" t="b">
        <v>0</v>
      </c>
      <c r="L137" s="209"/>
      <c r="M137" s="309"/>
      <c r="N137" s="310" t="s">
        <v>1196</v>
      </c>
      <c r="O137" s="317" t="s">
        <v>1197</v>
      </c>
      <c r="P137" s="311" t="s">
        <v>1198</v>
      </c>
      <c r="Q137" s="364">
        <v>8.10115970088E11</v>
      </c>
      <c r="R137" s="313"/>
      <c r="S137" s="313"/>
      <c r="T137" s="313"/>
      <c r="U137" s="331"/>
      <c r="V137" s="350" t="b">
        <v>1</v>
      </c>
      <c r="W137" s="314" t="b">
        <v>0</v>
      </c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</row>
    <row r="138">
      <c r="A138" s="338"/>
      <c r="B138" s="303" t="s">
        <v>1221</v>
      </c>
      <c r="C138" s="304" t="s">
        <v>588</v>
      </c>
      <c r="D138" s="304" t="s">
        <v>1222</v>
      </c>
      <c r="E138" s="305">
        <v>8.10115971757E11</v>
      </c>
      <c r="F138" s="209"/>
      <c r="G138" s="209"/>
      <c r="H138" s="209"/>
      <c r="I138" s="209"/>
      <c r="J138" s="296" t="b">
        <v>1</v>
      </c>
      <c r="K138" s="301" t="b">
        <v>0</v>
      </c>
      <c r="L138" s="209"/>
      <c r="M138" s="209"/>
      <c r="N138" s="365"/>
      <c r="O138" s="313"/>
      <c r="P138" s="313"/>
      <c r="Q138" s="209"/>
      <c r="R138" s="344"/>
      <c r="S138" s="344"/>
      <c r="T138" s="344"/>
      <c r="U138" s="331"/>
      <c r="V138" s="313"/>
      <c r="W138" s="366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</row>
    <row r="139">
      <c r="A139" s="338"/>
      <c r="B139" s="303" t="s">
        <v>1223</v>
      </c>
      <c r="C139" s="304" t="s">
        <v>1224</v>
      </c>
      <c r="D139" s="304" t="s">
        <v>1225</v>
      </c>
      <c r="E139" s="305">
        <v>8.10115971849E11</v>
      </c>
      <c r="F139" s="304" t="s">
        <v>1057</v>
      </c>
      <c r="G139" s="209"/>
      <c r="H139" s="209"/>
      <c r="I139" s="209"/>
      <c r="J139" s="296" t="b">
        <v>1</v>
      </c>
      <c r="K139" s="301" t="b">
        <v>1</v>
      </c>
      <c r="L139" s="209"/>
      <c r="M139" s="281" t="s">
        <v>1226</v>
      </c>
      <c r="N139" s="319" t="s">
        <v>1227</v>
      </c>
      <c r="O139" s="320"/>
      <c r="P139" s="283" t="s">
        <v>1228</v>
      </c>
      <c r="Q139" s="284" t="s">
        <v>1118</v>
      </c>
      <c r="R139" s="320"/>
      <c r="S139" s="320"/>
      <c r="T139" s="276" t="s">
        <v>370</v>
      </c>
      <c r="U139" s="367" t="s">
        <v>4097</v>
      </c>
      <c r="V139" s="278" t="str">
        <f>IF(COUNTIF(V140:V144, TRUE) = COUNTA(V140:V144), "Complete!", IF(COUNTIF(V140:V144, TRUE) &gt; 0, "Partial", "Not Started"))</f>
        <v>Complete!</v>
      </c>
      <c r="W139" s="279"/>
      <c r="X139" s="280">
        <v>5.0</v>
      </c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</row>
    <row r="140">
      <c r="A140" s="338"/>
      <c r="B140" s="303" t="s">
        <v>1230</v>
      </c>
      <c r="C140" s="347" t="s">
        <v>394</v>
      </c>
      <c r="D140" s="304" t="s">
        <v>1231</v>
      </c>
      <c r="E140" s="305">
        <v>8.10115971917E11</v>
      </c>
      <c r="F140" s="209"/>
      <c r="G140" s="209"/>
      <c r="H140" s="209"/>
      <c r="I140" s="209"/>
      <c r="J140" s="296" t="b">
        <v>1</v>
      </c>
      <c r="K140" s="301" t="b">
        <v>0</v>
      </c>
      <c r="L140" s="209"/>
      <c r="M140" s="291"/>
      <c r="N140" s="292" t="s">
        <v>1232</v>
      </c>
      <c r="O140" s="298" t="s">
        <v>400</v>
      </c>
      <c r="P140" s="293" t="s">
        <v>1233</v>
      </c>
      <c r="Q140" s="357">
        <v>8.10115970729E11</v>
      </c>
      <c r="R140" s="295"/>
      <c r="S140" s="295"/>
      <c r="T140" s="295"/>
      <c r="U140" s="328"/>
      <c r="V140" s="296" t="b">
        <v>1</v>
      </c>
      <c r="W140" s="297" t="b">
        <v>0</v>
      </c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</row>
    <row r="141">
      <c r="A141" s="338"/>
      <c r="B141" s="303" t="s">
        <v>1235</v>
      </c>
      <c r="C141" s="304" t="s">
        <v>404</v>
      </c>
      <c r="D141" s="304" t="s">
        <v>1236</v>
      </c>
      <c r="E141" s="305">
        <v>8.10115971948E11</v>
      </c>
      <c r="F141" s="209"/>
      <c r="G141" s="209"/>
      <c r="H141" s="209"/>
      <c r="I141" s="209"/>
      <c r="J141" s="296" t="b">
        <v>1</v>
      </c>
      <c r="K141" s="301" t="b">
        <v>0</v>
      </c>
      <c r="L141" s="209"/>
      <c r="M141" s="291"/>
      <c r="N141" s="303" t="s">
        <v>1237</v>
      </c>
      <c r="O141" s="306" t="s">
        <v>400</v>
      </c>
      <c r="P141" s="304" t="s">
        <v>1238</v>
      </c>
      <c r="Q141" s="307">
        <v>8.40472506941E11</v>
      </c>
      <c r="R141" s="209"/>
      <c r="S141" s="209"/>
      <c r="T141" s="209"/>
      <c r="U141" s="209"/>
      <c r="V141" s="300" t="b">
        <v>1</v>
      </c>
      <c r="W141" s="301" t="b">
        <v>0</v>
      </c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</row>
    <row r="142">
      <c r="A142" s="338"/>
      <c r="B142" s="303" t="s">
        <v>1239</v>
      </c>
      <c r="C142" s="304" t="s">
        <v>390</v>
      </c>
      <c r="D142" s="304" t="s">
        <v>1240</v>
      </c>
      <c r="E142" s="305">
        <v>8.10115972006E11</v>
      </c>
      <c r="F142" s="209"/>
      <c r="G142" s="209"/>
      <c r="H142" s="209"/>
      <c r="I142" s="209"/>
      <c r="J142" s="296" t="b">
        <v>1</v>
      </c>
      <c r="K142" s="301" t="b">
        <v>0</v>
      </c>
      <c r="L142" s="209"/>
      <c r="M142" s="291"/>
      <c r="N142" s="303" t="s">
        <v>1241</v>
      </c>
      <c r="O142" s="306" t="s">
        <v>400</v>
      </c>
      <c r="P142" s="304" t="s">
        <v>1242</v>
      </c>
      <c r="Q142" s="358">
        <v>8.10115970736E11</v>
      </c>
      <c r="R142" s="209"/>
      <c r="S142" s="209"/>
      <c r="T142" s="209"/>
      <c r="U142" s="209"/>
      <c r="V142" s="300" t="b">
        <v>1</v>
      </c>
      <c r="W142" s="301" t="b">
        <v>0</v>
      </c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</row>
    <row r="143">
      <c r="A143" s="338"/>
      <c r="B143" s="303" t="s">
        <v>1243</v>
      </c>
      <c r="C143" s="304" t="s">
        <v>400</v>
      </c>
      <c r="D143" s="304" t="s">
        <v>1244</v>
      </c>
      <c r="E143" s="305">
        <v>8.10115972082E11</v>
      </c>
      <c r="F143" s="209"/>
      <c r="G143" s="209"/>
      <c r="H143" s="209"/>
      <c r="I143" s="209"/>
      <c r="J143" s="296" t="b">
        <v>1</v>
      </c>
      <c r="K143" s="301" t="b">
        <v>0</v>
      </c>
      <c r="L143" s="209"/>
      <c r="M143" s="291"/>
      <c r="N143" s="303" t="s">
        <v>4098</v>
      </c>
      <c r="O143" s="306" t="s">
        <v>400</v>
      </c>
      <c r="P143" s="304" t="s">
        <v>4099</v>
      </c>
      <c r="Q143" s="307">
        <v>8.40472503469E11</v>
      </c>
      <c r="R143" s="304" t="s">
        <v>1062</v>
      </c>
      <c r="S143" s="209"/>
      <c r="T143" s="209"/>
      <c r="U143" s="325"/>
      <c r="V143" s="300" t="b">
        <v>1</v>
      </c>
      <c r="W143" s="301" t="b">
        <v>0</v>
      </c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</row>
    <row r="144">
      <c r="A144" s="338"/>
      <c r="B144" s="303" t="s">
        <v>1247</v>
      </c>
      <c r="C144" s="304" t="s">
        <v>412</v>
      </c>
      <c r="D144" s="304" t="s">
        <v>1248</v>
      </c>
      <c r="E144" s="305">
        <v>8.10115972167E11</v>
      </c>
      <c r="F144" s="209"/>
      <c r="G144" s="209"/>
      <c r="H144" s="209"/>
      <c r="I144" s="209"/>
      <c r="J144" s="296" t="b">
        <v>1</v>
      </c>
      <c r="K144" s="301" t="b">
        <v>0</v>
      </c>
      <c r="L144" s="209"/>
      <c r="M144" s="309"/>
      <c r="N144" s="310" t="s">
        <v>4100</v>
      </c>
      <c r="O144" s="317" t="s">
        <v>400</v>
      </c>
      <c r="P144" s="311" t="s">
        <v>4101</v>
      </c>
      <c r="Q144" s="318">
        <v>8.40472503483E11</v>
      </c>
      <c r="R144" s="311" t="s">
        <v>1062</v>
      </c>
      <c r="S144" s="313"/>
      <c r="T144" s="313"/>
      <c r="U144" s="331"/>
      <c r="V144" s="350" t="b">
        <v>1</v>
      </c>
      <c r="W144" s="314" t="b">
        <v>0</v>
      </c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</row>
    <row r="145">
      <c r="A145" s="338"/>
      <c r="B145" s="303" t="s">
        <v>1251</v>
      </c>
      <c r="C145" s="304" t="s">
        <v>662</v>
      </c>
      <c r="D145" s="304" t="s">
        <v>1252</v>
      </c>
      <c r="E145" s="305">
        <v>8.40472502608E11</v>
      </c>
      <c r="F145" s="209"/>
      <c r="G145" s="209"/>
      <c r="H145" s="209"/>
      <c r="I145" s="209"/>
      <c r="J145" s="296" t="b">
        <v>1</v>
      </c>
      <c r="K145" s="301" t="b">
        <v>0</v>
      </c>
      <c r="L145" s="209"/>
      <c r="M145" s="209"/>
      <c r="N145" s="209"/>
      <c r="O145" s="209"/>
      <c r="P145" s="209"/>
      <c r="Q145" s="209"/>
      <c r="R145" s="344"/>
      <c r="S145" s="344"/>
      <c r="T145" s="344"/>
      <c r="U145" s="325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</row>
    <row r="146">
      <c r="A146" s="262"/>
      <c r="B146" s="310" t="s">
        <v>1253</v>
      </c>
      <c r="C146" s="311" t="s">
        <v>679</v>
      </c>
      <c r="D146" s="311" t="s">
        <v>1254</v>
      </c>
      <c r="E146" s="312">
        <v>8.40472502615E11</v>
      </c>
      <c r="F146" s="313"/>
      <c r="G146" s="313"/>
      <c r="H146" s="313"/>
      <c r="I146" s="313"/>
      <c r="J146" s="296" t="b">
        <v>1</v>
      </c>
      <c r="K146" s="314" t="b">
        <v>0</v>
      </c>
      <c r="L146" s="209"/>
      <c r="M146" s="281" t="s">
        <v>1255</v>
      </c>
      <c r="N146" s="282" t="s">
        <v>1256</v>
      </c>
      <c r="O146" s="273"/>
      <c r="P146" s="274" t="s">
        <v>1257</v>
      </c>
      <c r="Q146" s="284" t="s">
        <v>1118</v>
      </c>
      <c r="R146" s="320"/>
      <c r="S146" s="320"/>
      <c r="T146" s="276" t="s">
        <v>370</v>
      </c>
      <c r="U146" s="363" t="s">
        <v>4102</v>
      </c>
      <c r="V146" s="278" t="str">
        <f>IF(COUNTIF(V147:V152, TRUE) = COUNTA(V147:V152), "Complete!", IF(COUNTIF(V147:V152, TRUE) &gt; 0, "Partial", "Not Started"))</f>
        <v>Complete!</v>
      </c>
      <c r="W146" s="279"/>
      <c r="X146" s="280">
        <v>6.0</v>
      </c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</row>
    <row r="147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91"/>
      <c r="N147" s="292" t="s">
        <v>1258</v>
      </c>
      <c r="O147" s="298" t="s">
        <v>1160</v>
      </c>
      <c r="P147" s="293" t="s">
        <v>1259</v>
      </c>
      <c r="Q147" s="302" t="s">
        <v>1260</v>
      </c>
      <c r="R147" s="295"/>
      <c r="S147" s="295"/>
      <c r="T147" s="295"/>
      <c r="U147" s="328"/>
      <c r="V147" s="296" t="b">
        <v>1</v>
      </c>
      <c r="W147" s="297" t="b">
        <v>0</v>
      </c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</row>
    <row r="148">
      <c r="A148" s="316" t="s">
        <v>1155</v>
      </c>
      <c r="B148" s="319" t="s">
        <v>212</v>
      </c>
      <c r="C148" s="320"/>
      <c r="D148" s="283" t="s">
        <v>211</v>
      </c>
      <c r="E148" s="322" t="s">
        <v>805</v>
      </c>
      <c r="F148" s="320"/>
      <c r="G148" s="320"/>
      <c r="H148" s="285" t="s">
        <v>572</v>
      </c>
      <c r="I148" s="285" t="s">
        <v>4103</v>
      </c>
      <c r="J148" s="278" t="str">
        <f>IF(COUNTIF(J149:J158, TRUE) = COUNTA(J149:J158), "Complete!", IF(COUNTIF(J149:J158, TRUE) &gt; 0, "Partial", "Not Started"))</f>
        <v>Complete!</v>
      </c>
      <c r="K148" s="279"/>
      <c r="L148" s="280">
        <v>10.0</v>
      </c>
      <c r="M148" s="291"/>
      <c r="N148" s="303" t="s">
        <v>1262</v>
      </c>
      <c r="O148" s="306" t="s">
        <v>1166</v>
      </c>
      <c r="P148" s="304" t="s">
        <v>1263</v>
      </c>
      <c r="Q148" s="308" t="s">
        <v>1264</v>
      </c>
      <c r="R148" s="209"/>
      <c r="S148" s="209"/>
      <c r="T148" s="209"/>
      <c r="U148" s="325"/>
      <c r="V148" s="300" t="b">
        <v>1</v>
      </c>
      <c r="W148" s="301" t="b">
        <v>0</v>
      </c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</row>
    <row r="149">
      <c r="A149" s="291"/>
      <c r="B149" s="292" t="s">
        <v>1265</v>
      </c>
      <c r="C149" s="293" t="s">
        <v>449</v>
      </c>
      <c r="D149" s="293" t="s">
        <v>1266</v>
      </c>
      <c r="E149" s="294">
        <v>8.10115971955E11</v>
      </c>
      <c r="F149" s="295"/>
      <c r="G149" s="295"/>
      <c r="H149" s="295"/>
      <c r="I149" s="295"/>
      <c r="J149" s="296" t="b">
        <v>1</v>
      </c>
      <c r="K149" s="297" t="b">
        <v>0</v>
      </c>
      <c r="L149" s="209"/>
      <c r="M149" s="291"/>
      <c r="N149" s="303" t="s">
        <v>1267</v>
      </c>
      <c r="O149" s="306" t="s">
        <v>1268</v>
      </c>
      <c r="P149" s="304" t="s">
        <v>1269</v>
      </c>
      <c r="Q149" s="308" t="s">
        <v>1270</v>
      </c>
      <c r="R149" s="209"/>
      <c r="S149" s="209"/>
      <c r="T149" s="209"/>
      <c r="U149" s="325"/>
      <c r="V149" s="300" t="b">
        <v>1</v>
      </c>
      <c r="W149" s="301" t="b">
        <v>0</v>
      </c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</row>
    <row r="150">
      <c r="A150" s="291"/>
      <c r="B150" s="303" t="s">
        <v>1271</v>
      </c>
      <c r="C150" s="304" t="s">
        <v>487</v>
      </c>
      <c r="D150" s="304" t="s">
        <v>1272</v>
      </c>
      <c r="E150" s="305">
        <v>8.10115971931E11</v>
      </c>
      <c r="F150" s="209"/>
      <c r="G150" s="209"/>
      <c r="H150" s="209"/>
      <c r="I150" s="209"/>
      <c r="J150" s="296" t="b">
        <v>1</v>
      </c>
      <c r="K150" s="301" t="b">
        <v>0</v>
      </c>
      <c r="L150" s="209"/>
      <c r="M150" s="291"/>
      <c r="N150" s="303" t="s">
        <v>1273</v>
      </c>
      <c r="O150" s="306" t="s">
        <v>1172</v>
      </c>
      <c r="P150" s="304" t="s">
        <v>1274</v>
      </c>
      <c r="Q150" s="308" t="s">
        <v>1275</v>
      </c>
      <c r="R150" s="209"/>
      <c r="S150" s="209"/>
      <c r="T150" s="209"/>
      <c r="U150" s="325"/>
      <c r="V150" s="300" t="b">
        <v>1</v>
      </c>
      <c r="W150" s="301" t="b">
        <v>0</v>
      </c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</row>
    <row r="151">
      <c r="A151" s="291"/>
      <c r="B151" s="303" t="s">
        <v>1276</v>
      </c>
      <c r="C151" s="304" t="s">
        <v>440</v>
      </c>
      <c r="D151" s="304" t="s">
        <v>1277</v>
      </c>
      <c r="E151" s="305">
        <v>8.10115971924E11</v>
      </c>
      <c r="F151" s="209"/>
      <c r="G151" s="209"/>
      <c r="H151" s="209"/>
      <c r="I151" s="209"/>
      <c r="J151" s="296" t="b">
        <v>1</v>
      </c>
      <c r="K151" s="301" t="b">
        <v>0</v>
      </c>
      <c r="L151" s="209"/>
      <c r="M151" s="291"/>
      <c r="N151" s="303" t="s">
        <v>1278</v>
      </c>
      <c r="O151" s="306" t="s">
        <v>1178</v>
      </c>
      <c r="P151" s="304" t="s">
        <v>1279</v>
      </c>
      <c r="Q151" s="308" t="s">
        <v>1280</v>
      </c>
      <c r="R151" s="209"/>
      <c r="S151" s="209"/>
      <c r="T151" s="209"/>
      <c r="U151" s="325"/>
      <c r="V151" s="300" t="b">
        <v>1</v>
      </c>
      <c r="W151" s="301" t="b">
        <v>0</v>
      </c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</row>
    <row r="152">
      <c r="A152" s="291"/>
      <c r="B152" s="303" t="s">
        <v>1281</v>
      </c>
      <c r="C152" s="304" t="s">
        <v>458</v>
      </c>
      <c r="D152" s="304" t="s">
        <v>1282</v>
      </c>
      <c r="E152" s="305">
        <v>8.10115972563E11</v>
      </c>
      <c r="F152" s="209"/>
      <c r="G152" s="209"/>
      <c r="H152" s="209"/>
      <c r="I152" s="209"/>
      <c r="J152" s="296" t="b">
        <v>1</v>
      </c>
      <c r="K152" s="301" t="b">
        <v>0</v>
      </c>
      <c r="L152" s="209"/>
      <c r="M152" s="291"/>
      <c r="N152" s="310" t="s">
        <v>1283</v>
      </c>
      <c r="O152" s="317" t="s">
        <v>400</v>
      </c>
      <c r="P152" s="311" t="s">
        <v>1284</v>
      </c>
      <c r="Q152" s="318">
        <v>8.40472503445E11</v>
      </c>
      <c r="R152" s="313"/>
      <c r="S152" s="313"/>
      <c r="T152" s="313"/>
      <c r="U152" s="331"/>
      <c r="V152" s="350" t="b">
        <v>1</v>
      </c>
      <c r="W152" s="314" t="b">
        <v>0</v>
      </c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</row>
    <row r="153">
      <c r="A153" s="291"/>
      <c r="B153" s="303" t="s">
        <v>1285</v>
      </c>
      <c r="C153" s="304" t="s">
        <v>505</v>
      </c>
      <c r="D153" s="304" t="s">
        <v>1286</v>
      </c>
      <c r="E153" s="305">
        <v>8.10115971894E11</v>
      </c>
      <c r="F153" s="209"/>
      <c r="G153" s="209"/>
      <c r="H153" s="209"/>
      <c r="I153" s="209"/>
      <c r="J153" s="296" t="b">
        <v>1</v>
      </c>
      <c r="K153" s="301" t="b">
        <v>0</v>
      </c>
      <c r="L153" s="209"/>
      <c r="M153" s="209"/>
      <c r="N153" s="209"/>
      <c r="O153" s="209"/>
      <c r="P153" s="209"/>
      <c r="Q153" s="209"/>
      <c r="R153" s="344"/>
      <c r="S153" s="344"/>
      <c r="T153" s="344"/>
      <c r="U153" s="325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</row>
    <row r="154">
      <c r="A154" s="291"/>
      <c r="B154" s="303" t="s">
        <v>1287</v>
      </c>
      <c r="C154" s="304" t="s">
        <v>1026</v>
      </c>
      <c r="D154" s="304" t="s">
        <v>1288</v>
      </c>
      <c r="E154" s="305">
        <v>8.4047250307E11</v>
      </c>
      <c r="F154" s="209"/>
      <c r="G154" s="209"/>
      <c r="H154" s="209"/>
      <c r="I154" s="304" t="s">
        <v>4059</v>
      </c>
      <c r="J154" s="296" t="b">
        <v>1</v>
      </c>
      <c r="K154" s="301" t="b">
        <v>0</v>
      </c>
      <c r="L154" s="209"/>
      <c r="M154" s="281" t="s">
        <v>1289</v>
      </c>
      <c r="N154" s="319" t="s">
        <v>1290</v>
      </c>
      <c r="O154" s="320"/>
      <c r="P154" s="283" t="s">
        <v>1291</v>
      </c>
      <c r="Q154" s="362" t="s">
        <v>1292</v>
      </c>
      <c r="R154" s="320"/>
      <c r="S154" s="320"/>
      <c r="T154" s="276" t="s">
        <v>376</v>
      </c>
      <c r="U154" s="367" t="s">
        <v>4104</v>
      </c>
      <c r="V154" s="278" t="str">
        <f>IF(COUNTIF(V155:V159, TRUE) = COUNTA(V155:V159), "Complete!", IF(COUNTIF(V155:V159, TRUE) &gt; 0, "Partial", "Not Started"))</f>
        <v>Complete!</v>
      </c>
      <c r="W154" s="279"/>
      <c r="X154" s="280">
        <v>5.0</v>
      </c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</row>
    <row r="155">
      <c r="A155" s="291"/>
      <c r="B155" s="303" t="s">
        <v>1294</v>
      </c>
      <c r="C155" s="304" t="s">
        <v>539</v>
      </c>
      <c r="D155" s="304" t="s">
        <v>1295</v>
      </c>
      <c r="E155" s="305">
        <v>8.10115971856E11</v>
      </c>
      <c r="F155" s="304" t="s">
        <v>1057</v>
      </c>
      <c r="G155" s="209"/>
      <c r="H155" s="209"/>
      <c r="I155" s="209"/>
      <c r="J155" s="296" t="b">
        <v>1</v>
      </c>
      <c r="K155" s="301" t="b">
        <v>1</v>
      </c>
      <c r="L155" s="209"/>
      <c r="M155" s="291"/>
      <c r="N155" s="292" t="s">
        <v>1296</v>
      </c>
      <c r="O155" s="298" t="s">
        <v>1297</v>
      </c>
      <c r="P155" s="293" t="s">
        <v>1298</v>
      </c>
      <c r="Q155" s="302" t="s">
        <v>1299</v>
      </c>
      <c r="R155" s="295"/>
      <c r="S155" s="295"/>
      <c r="T155" s="295"/>
      <c r="U155" s="295"/>
      <c r="V155" s="296" t="b">
        <v>1</v>
      </c>
      <c r="W155" s="297" t="b">
        <v>0</v>
      </c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</row>
    <row r="156">
      <c r="A156" s="291"/>
      <c r="B156" s="303" t="s">
        <v>1300</v>
      </c>
      <c r="C156" s="304" t="s">
        <v>547</v>
      </c>
      <c r="D156" s="304" t="s">
        <v>1301</v>
      </c>
      <c r="E156" s="305">
        <v>8.10115971832E11</v>
      </c>
      <c r="F156" s="304" t="s">
        <v>1057</v>
      </c>
      <c r="G156" s="209"/>
      <c r="H156" s="209"/>
      <c r="I156" s="209"/>
      <c r="J156" s="296" t="b">
        <v>1</v>
      </c>
      <c r="K156" s="301" t="b">
        <v>1</v>
      </c>
      <c r="L156" s="209"/>
      <c r="M156" s="291"/>
      <c r="N156" s="303" t="s">
        <v>1302</v>
      </c>
      <c r="O156" s="306" t="s">
        <v>1303</v>
      </c>
      <c r="P156" s="304" t="s">
        <v>1304</v>
      </c>
      <c r="Q156" s="308" t="s">
        <v>1305</v>
      </c>
      <c r="R156" s="209"/>
      <c r="S156" s="209"/>
      <c r="T156" s="209"/>
      <c r="U156" s="209"/>
      <c r="V156" s="300" t="b">
        <v>1</v>
      </c>
      <c r="W156" s="301" t="b">
        <v>0</v>
      </c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</row>
    <row r="157">
      <c r="A157" s="291"/>
      <c r="B157" s="303" t="s">
        <v>1306</v>
      </c>
      <c r="C157" s="304" t="s">
        <v>1003</v>
      </c>
      <c r="D157" s="304" t="s">
        <v>1307</v>
      </c>
      <c r="E157" s="305">
        <v>8.40472503087E11</v>
      </c>
      <c r="F157" s="304" t="s">
        <v>1057</v>
      </c>
      <c r="G157" s="209"/>
      <c r="H157" s="209"/>
      <c r="I157" s="304" t="s">
        <v>4059</v>
      </c>
      <c r="J157" s="296" t="b">
        <v>1</v>
      </c>
      <c r="K157" s="301" t="b">
        <v>1</v>
      </c>
      <c r="L157" s="209"/>
      <c r="M157" s="291"/>
      <c r="N157" s="303" t="s">
        <v>1308</v>
      </c>
      <c r="O157" s="306" t="s">
        <v>1309</v>
      </c>
      <c r="P157" s="304" t="s">
        <v>1310</v>
      </c>
      <c r="Q157" s="308" t="s">
        <v>1311</v>
      </c>
      <c r="R157" s="209"/>
      <c r="S157" s="209"/>
      <c r="T157" s="209"/>
      <c r="U157" s="325"/>
      <c r="V157" s="300" t="b">
        <v>1</v>
      </c>
      <c r="W157" s="301" t="b">
        <v>0</v>
      </c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</row>
    <row r="158">
      <c r="A158" s="309"/>
      <c r="B158" s="310" t="s">
        <v>1312</v>
      </c>
      <c r="C158" s="311" t="s">
        <v>641</v>
      </c>
      <c r="D158" s="311" t="s">
        <v>1313</v>
      </c>
      <c r="E158" s="312">
        <v>8.10115971818E11</v>
      </c>
      <c r="F158" s="304" t="s">
        <v>1057</v>
      </c>
      <c r="G158" s="313"/>
      <c r="H158" s="313"/>
      <c r="I158" s="313"/>
      <c r="J158" s="296" t="b">
        <v>1</v>
      </c>
      <c r="K158" s="314" t="b">
        <v>1</v>
      </c>
      <c r="L158" s="209"/>
      <c r="M158" s="291"/>
      <c r="N158" s="303" t="s">
        <v>1314</v>
      </c>
      <c r="O158" s="209"/>
      <c r="P158" s="304" t="s">
        <v>1316</v>
      </c>
      <c r="Q158" s="307">
        <v>8.40472503438E11</v>
      </c>
      <c r="R158" s="209"/>
      <c r="S158" s="209"/>
      <c r="T158" s="209"/>
      <c r="U158" s="325"/>
      <c r="V158" s="300" t="b">
        <v>1</v>
      </c>
      <c r="W158" s="301" t="b">
        <v>0</v>
      </c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</row>
    <row r="159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91"/>
      <c r="N159" s="310" t="s">
        <v>1317</v>
      </c>
      <c r="O159" s="313"/>
      <c r="P159" s="311" t="s">
        <v>1318</v>
      </c>
      <c r="Q159" s="318">
        <v>8.40472503421E11</v>
      </c>
      <c r="R159" s="313"/>
      <c r="S159" s="313"/>
      <c r="T159" s="313"/>
      <c r="U159" s="331"/>
      <c r="V159" s="350" t="b">
        <v>1</v>
      </c>
      <c r="W159" s="314" t="b">
        <v>0</v>
      </c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</row>
    <row r="160">
      <c r="A160" s="316" t="s">
        <v>1190</v>
      </c>
      <c r="B160" s="282" t="s">
        <v>264</v>
      </c>
      <c r="C160" s="273"/>
      <c r="D160" s="274" t="s">
        <v>263</v>
      </c>
      <c r="E160" s="275" t="s">
        <v>805</v>
      </c>
      <c r="F160" s="273"/>
      <c r="G160" s="273"/>
      <c r="H160" s="276" t="s">
        <v>370</v>
      </c>
      <c r="I160" s="276" t="s">
        <v>4105</v>
      </c>
      <c r="J160" s="278" t="str">
        <f>IF(COUNTIF(J161:J171, TRUE) = COUNTA(J161:J171), "Complete!", IF(COUNTIF(J161:J171, TRUE) &gt; 0, "Partial", "Not Started"))</f>
        <v>Complete!</v>
      </c>
      <c r="K160" s="279"/>
      <c r="L160" s="280">
        <v>11.0</v>
      </c>
      <c r="M160" s="209"/>
      <c r="N160" s="209"/>
      <c r="O160" s="209"/>
      <c r="P160" s="209"/>
      <c r="Q160" s="209"/>
      <c r="R160" s="344"/>
      <c r="S160" s="344"/>
      <c r="T160" s="344"/>
      <c r="U160" s="325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</row>
    <row r="161">
      <c r="A161" s="291"/>
      <c r="B161" s="292" t="s">
        <v>1320</v>
      </c>
      <c r="C161" s="293" t="s">
        <v>952</v>
      </c>
      <c r="D161" s="293" t="s">
        <v>1321</v>
      </c>
      <c r="E161" s="294">
        <v>8.10115972907E11</v>
      </c>
      <c r="F161" s="295"/>
      <c r="G161" s="295"/>
      <c r="H161" s="295"/>
      <c r="I161" s="295"/>
      <c r="J161" s="296" t="b">
        <v>1</v>
      </c>
      <c r="K161" s="297" t="b">
        <v>0</v>
      </c>
      <c r="L161" s="209"/>
      <c r="M161" s="281" t="s">
        <v>1322</v>
      </c>
      <c r="N161" s="319" t="s">
        <v>1323</v>
      </c>
      <c r="O161" s="320"/>
      <c r="P161" s="283" t="s">
        <v>1324</v>
      </c>
      <c r="Q161" s="362" t="s">
        <v>1292</v>
      </c>
      <c r="R161" s="320"/>
      <c r="S161" s="320"/>
      <c r="T161" s="276" t="s">
        <v>370</v>
      </c>
      <c r="U161" s="367" t="s">
        <v>1325</v>
      </c>
      <c r="V161" s="278" t="str">
        <f>IF(COUNTIF(V162:V167, TRUE) = COUNTA(V162:V167), "Complete!", IF(COUNTIF(V162:V167, TRUE) &gt; 0, "Partial", "Not Started"))</f>
        <v>Complete!</v>
      </c>
      <c r="W161" s="279"/>
      <c r="X161" s="280">
        <v>6.0</v>
      </c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</row>
    <row r="162">
      <c r="A162" s="291"/>
      <c r="B162" s="303" t="s">
        <v>1326</v>
      </c>
      <c r="C162" s="304" t="s">
        <v>958</v>
      </c>
      <c r="D162" s="304" t="s">
        <v>1327</v>
      </c>
      <c r="E162" s="305">
        <v>8.10115972808E11</v>
      </c>
      <c r="F162" s="209"/>
      <c r="G162" s="209"/>
      <c r="H162" s="209"/>
      <c r="I162" s="209"/>
      <c r="J162" s="296" t="b">
        <v>1</v>
      </c>
      <c r="K162" s="301" t="b">
        <v>0</v>
      </c>
      <c r="L162" s="209"/>
      <c r="M162" s="291"/>
      <c r="N162" s="292" t="s">
        <v>1328</v>
      </c>
      <c r="O162" s="298" t="s">
        <v>1315</v>
      </c>
      <c r="P162" s="293" t="s">
        <v>1329</v>
      </c>
      <c r="Q162" s="302" t="s">
        <v>1330</v>
      </c>
      <c r="R162" s="295"/>
      <c r="S162" s="295"/>
      <c r="T162" s="295"/>
      <c r="U162" s="328"/>
      <c r="V162" s="296" t="b">
        <v>1</v>
      </c>
      <c r="W162" s="297" t="b">
        <v>0</v>
      </c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</row>
    <row r="163">
      <c r="A163" s="291"/>
      <c r="B163" s="303" t="s">
        <v>1331</v>
      </c>
      <c r="C163" s="304" t="s">
        <v>513</v>
      </c>
      <c r="D163" s="304" t="s">
        <v>1332</v>
      </c>
      <c r="E163" s="305">
        <v>8.101159719E11</v>
      </c>
      <c r="F163" s="209"/>
      <c r="G163" s="209"/>
      <c r="H163" s="209"/>
      <c r="I163" s="209"/>
      <c r="J163" s="296" t="b">
        <v>1</v>
      </c>
      <c r="K163" s="301" t="b">
        <v>0</v>
      </c>
      <c r="L163" s="209"/>
      <c r="M163" s="291"/>
      <c r="N163" s="303" t="s">
        <v>1333</v>
      </c>
      <c r="O163" s="306" t="s">
        <v>1334</v>
      </c>
      <c r="P163" s="304" t="s">
        <v>1335</v>
      </c>
      <c r="Q163" s="308" t="s">
        <v>1336</v>
      </c>
      <c r="R163" s="209"/>
      <c r="S163" s="209"/>
      <c r="T163" s="209"/>
      <c r="U163" s="325"/>
      <c r="V163" s="300" t="b">
        <v>1</v>
      </c>
      <c r="W163" s="301" t="b">
        <v>0</v>
      </c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</row>
    <row r="164">
      <c r="A164" s="291"/>
      <c r="B164" s="303" t="s">
        <v>1337</v>
      </c>
      <c r="C164" s="304" t="s">
        <v>522</v>
      </c>
      <c r="D164" s="304" t="s">
        <v>1338</v>
      </c>
      <c r="E164" s="305">
        <v>8.10115971887E11</v>
      </c>
      <c r="F164" s="209"/>
      <c r="G164" s="209"/>
      <c r="H164" s="209"/>
      <c r="I164" s="209"/>
      <c r="J164" s="296" t="b">
        <v>1</v>
      </c>
      <c r="K164" s="301" t="b">
        <v>0</v>
      </c>
      <c r="L164" s="209"/>
      <c r="M164" s="291"/>
      <c r="N164" s="303" t="s">
        <v>1339</v>
      </c>
      <c r="O164" s="306" t="s">
        <v>1340</v>
      </c>
      <c r="P164" s="304" t="s">
        <v>1341</v>
      </c>
      <c r="Q164" s="308" t="s">
        <v>1342</v>
      </c>
      <c r="R164" s="209"/>
      <c r="S164" s="209"/>
      <c r="T164" s="209"/>
      <c r="U164" s="325"/>
      <c r="V164" s="300" t="b">
        <v>1</v>
      </c>
      <c r="W164" s="301" t="b">
        <v>0</v>
      </c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</row>
    <row r="165">
      <c r="A165" s="291"/>
      <c r="B165" s="303" t="s">
        <v>1343</v>
      </c>
      <c r="C165" s="304" t="s">
        <v>529</v>
      </c>
      <c r="D165" s="304" t="s">
        <v>1344</v>
      </c>
      <c r="E165" s="305">
        <v>8.10115971863E11</v>
      </c>
      <c r="F165" s="209"/>
      <c r="G165" s="209"/>
      <c r="H165" s="209"/>
      <c r="I165" s="209"/>
      <c r="J165" s="296" t="b">
        <v>1</v>
      </c>
      <c r="K165" s="301" t="b">
        <v>0</v>
      </c>
      <c r="L165" s="209"/>
      <c r="M165" s="291"/>
      <c r="N165" s="303" t="s">
        <v>1345</v>
      </c>
      <c r="O165" s="209"/>
      <c r="P165" s="304" t="s">
        <v>1346</v>
      </c>
      <c r="Q165" s="307">
        <v>8.40472503391E11</v>
      </c>
      <c r="R165" s="304" t="s">
        <v>1062</v>
      </c>
      <c r="S165" s="209"/>
      <c r="T165" s="209"/>
      <c r="U165" s="325"/>
      <c r="V165" s="300" t="b">
        <v>1</v>
      </c>
      <c r="W165" s="301" t="b">
        <v>0</v>
      </c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</row>
    <row r="166">
      <c r="A166" s="291"/>
      <c r="B166" s="303" t="s">
        <v>1347</v>
      </c>
      <c r="C166" s="304" t="s">
        <v>989</v>
      </c>
      <c r="D166" s="304" t="s">
        <v>1348</v>
      </c>
      <c r="E166" s="305">
        <v>8.40472502622E11</v>
      </c>
      <c r="F166" s="209"/>
      <c r="G166" s="209"/>
      <c r="H166" s="209"/>
      <c r="I166" s="209"/>
      <c r="J166" s="296" t="b">
        <v>1</v>
      </c>
      <c r="K166" s="301" t="b">
        <v>0</v>
      </c>
      <c r="L166" s="209"/>
      <c r="M166" s="291"/>
      <c r="N166" s="303" t="s">
        <v>1349</v>
      </c>
      <c r="O166" s="209"/>
      <c r="P166" s="304" t="s">
        <v>1350</v>
      </c>
      <c r="Q166" s="307">
        <v>8.40472503407E11</v>
      </c>
      <c r="R166" s="304" t="s">
        <v>1062</v>
      </c>
      <c r="S166" s="209"/>
      <c r="T166" s="209"/>
      <c r="U166" s="325"/>
      <c r="V166" s="300" t="b">
        <v>1</v>
      </c>
      <c r="W166" s="301" t="b">
        <v>0</v>
      </c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</row>
    <row r="167">
      <c r="A167" s="291"/>
      <c r="B167" s="303" t="s">
        <v>1351</v>
      </c>
      <c r="C167" s="304" t="s">
        <v>1044</v>
      </c>
      <c r="D167" s="304" t="s">
        <v>1352</v>
      </c>
      <c r="E167" s="305">
        <v>8.10115972556E11</v>
      </c>
      <c r="F167" s="209"/>
      <c r="G167" s="209"/>
      <c r="H167" s="209"/>
      <c r="I167" s="209"/>
      <c r="J167" s="296" t="b">
        <v>1</v>
      </c>
      <c r="K167" s="301" t="b">
        <v>0</v>
      </c>
      <c r="L167" s="209"/>
      <c r="M167" s="291"/>
      <c r="N167" s="310" t="s">
        <v>1353</v>
      </c>
      <c r="O167" s="313"/>
      <c r="P167" s="311" t="s">
        <v>1354</v>
      </c>
      <c r="Q167" s="318">
        <v>8.40472503414E11</v>
      </c>
      <c r="R167" s="311" t="s">
        <v>1062</v>
      </c>
      <c r="S167" s="313"/>
      <c r="T167" s="313"/>
      <c r="U167" s="331"/>
      <c r="V167" s="300" t="b">
        <v>1</v>
      </c>
      <c r="W167" s="314" t="b">
        <v>0</v>
      </c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</row>
    <row r="168">
      <c r="A168" s="291"/>
      <c r="B168" s="303" t="s">
        <v>1355</v>
      </c>
      <c r="C168" s="304" t="s">
        <v>997</v>
      </c>
      <c r="D168" s="304" t="s">
        <v>1356</v>
      </c>
      <c r="E168" s="305">
        <v>8.40472502585E11</v>
      </c>
      <c r="F168" s="209"/>
      <c r="G168" s="209"/>
      <c r="H168" s="209"/>
      <c r="I168" s="209"/>
      <c r="J168" s="296" t="b">
        <v>1</v>
      </c>
      <c r="K168" s="301" t="b">
        <v>0</v>
      </c>
      <c r="L168" s="209"/>
      <c r="M168" s="209"/>
      <c r="N168" s="209"/>
      <c r="O168" s="209"/>
      <c r="P168" s="209"/>
      <c r="Q168" s="209"/>
      <c r="R168" s="344"/>
      <c r="S168" s="344"/>
      <c r="T168" s="344"/>
      <c r="U168" s="325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</row>
    <row r="169">
      <c r="A169" s="291"/>
      <c r="B169" s="303" t="s">
        <v>1357</v>
      </c>
      <c r="C169" s="304" t="s">
        <v>1049</v>
      </c>
      <c r="D169" s="304" t="s">
        <v>1358</v>
      </c>
      <c r="E169" s="305">
        <v>8.10115972549E11</v>
      </c>
      <c r="F169" s="209"/>
      <c r="G169" s="209"/>
      <c r="H169" s="209"/>
      <c r="I169" s="209"/>
      <c r="J169" s="296" t="b">
        <v>1</v>
      </c>
      <c r="K169" s="301" t="b">
        <v>0</v>
      </c>
      <c r="L169" s="209"/>
      <c r="M169" s="281" t="s">
        <v>1359</v>
      </c>
      <c r="N169" s="282" t="s">
        <v>1360</v>
      </c>
      <c r="O169" s="273"/>
      <c r="P169" s="274" t="s">
        <v>1361</v>
      </c>
      <c r="Q169" s="284" t="s">
        <v>122</v>
      </c>
      <c r="R169" s="273"/>
      <c r="S169" s="273"/>
      <c r="T169" s="276" t="s">
        <v>468</v>
      </c>
      <c r="U169" s="276" t="s">
        <v>2143</v>
      </c>
      <c r="V169" s="278" t="str">
        <f>IF(COUNTIF(V170:V176, TRUE) = COUNTA(V170:V176), "Complete!", IF(COUNTIF(V170:V176, TRUE) &gt; 0, "Partial", "Not Started"))</f>
        <v>Complete!</v>
      </c>
      <c r="W169" s="279"/>
      <c r="X169" s="280">
        <v>12.0</v>
      </c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</row>
    <row r="170">
      <c r="A170" s="291"/>
      <c r="B170" s="303" t="s">
        <v>4106</v>
      </c>
      <c r="C170" s="304" t="s">
        <v>1060</v>
      </c>
      <c r="D170" s="304" t="s">
        <v>4107</v>
      </c>
      <c r="E170" s="305">
        <v>8.40472506316E11</v>
      </c>
      <c r="F170" s="209"/>
      <c r="G170" s="209"/>
      <c r="H170" s="209"/>
      <c r="I170" s="304" t="s">
        <v>4051</v>
      </c>
      <c r="J170" s="296" t="b">
        <v>1</v>
      </c>
      <c r="K170" s="301" t="b">
        <v>0</v>
      </c>
      <c r="L170" s="209"/>
      <c r="M170" s="291"/>
      <c r="N170" s="292" t="s">
        <v>1365</v>
      </c>
      <c r="O170" s="298" t="s">
        <v>1366</v>
      </c>
      <c r="P170" s="293" t="s">
        <v>1367</v>
      </c>
      <c r="Q170" s="357">
        <v>8.1011597624E11</v>
      </c>
      <c r="R170" s="295"/>
      <c r="S170" s="295"/>
      <c r="T170" s="295"/>
      <c r="U170" s="328"/>
      <c r="V170" s="296" t="b">
        <v>1</v>
      </c>
      <c r="W170" s="297" t="b">
        <v>0</v>
      </c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</row>
    <row r="171">
      <c r="A171" s="309"/>
      <c r="B171" s="310" t="s">
        <v>1368</v>
      </c>
      <c r="C171" s="311" t="s">
        <v>1113</v>
      </c>
      <c r="D171" s="311" t="s">
        <v>1369</v>
      </c>
      <c r="E171" s="312">
        <v>8.40472507566E11</v>
      </c>
      <c r="F171" s="313"/>
      <c r="G171" s="313"/>
      <c r="H171" s="313"/>
      <c r="I171" s="311" t="s">
        <v>4051</v>
      </c>
      <c r="J171" s="296" t="b">
        <v>1</v>
      </c>
      <c r="K171" s="314" t="b">
        <v>0</v>
      </c>
      <c r="L171" s="209"/>
      <c r="M171" s="291"/>
      <c r="N171" s="303" t="s">
        <v>1370</v>
      </c>
      <c r="O171" s="306" t="s">
        <v>1371</v>
      </c>
      <c r="P171" s="304" t="s">
        <v>1372</v>
      </c>
      <c r="Q171" s="358">
        <v>8.10115976226E11</v>
      </c>
      <c r="R171" s="209"/>
      <c r="S171" s="209"/>
      <c r="T171" s="209"/>
      <c r="U171" s="325"/>
      <c r="V171" s="300" t="b">
        <v>1</v>
      </c>
      <c r="W171" s="301" t="b">
        <v>0</v>
      </c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</row>
    <row r="172">
      <c r="A172" s="209"/>
      <c r="B172" s="209"/>
      <c r="C172" s="209"/>
      <c r="D172" s="209"/>
      <c r="E172" s="209"/>
      <c r="F172" s="209"/>
      <c r="G172" s="209"/>
      <c r="H172" s="209"/>
      <c r="I172" s="209"/>
      <c r="J172" s="313"/>
      <c r="K172" s="209"/>
      <c r="L172" s="209"/>
      <c r="M172" s="291"/>
      <c r="N172" s="303" t="s">
        <v>1373</v>
      </c>
      <c r="O172" s="306" t="s">
        <v>384</v>
      </c>
      <c r="P172" s="304" t="s">
        <v>1374</v>
      </c>
      <c r="Q172" s="358">
        <v>8.10115976219E11</v>
      </c>
      <c r="R172" s="209"/>
      <c r="S172" s="209"/>
      <c r="T172" s="209"/>
      <c r="U172" s="325"/>
      <c r="V172" s="300" t="b">
        <v>1</v>
      </c>
      <c r="W172" s="301" t="b">
        <v>0</v>
      </c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09"/>
    </row>
    <row r="173">
      <c r="A173" s="316" t="s">
        <v>1226</v>
      </c>
      <c r="B173" s="282" t="s">
        <v>1375</v>
      </c>
      <c r="C173" s="273"/>
      <c r="D173" s="274" t="s">
        <v>4108</v>
      </c>
      <c r="E173" s="275" t="s">
        <v>805</v>
      </c>
      <c r="F173" s="273"/>
      <c r="G173" s="273"/>
      <c r="H173" s="276" t="s">
        <v>370</v>
      </c>
      <c r="I173" s="277" t="s">
        <v>4109</v>
      </c>
      <c r="J173" s="278" t="str">
        <f>IF(COUNTIF(J174:J182, TRUE) = COUNTA(J174:J182), "Complete!", IF(COUNTIF(J174:J182, TRUE) &gt; 0, "Partial", "Not Started"))</f>
        <v>Complete!</v>
      </c>
      <c r="K173" s="279"/>
      <c r="L173" s="280">
        <v>9.0</v>
      </c>
      <c r="M173" s="291"/>
      <c r="N173" s="303" t="s">
        <v>1379</v>
      </c>
      <c r="O173" s="306" t="s">
        <v>602</v>
      </c>
      <c r="P173" s="304" t="s">
        <v>1380</v>
      </c>
      <c r="Q173" s="358">
        <v>8.10115976233E11</v>
      </c>
      <c r="R173" s="209"/>
      <c r="S173" s="209"/>
      <c r="T173" s="209"/>
      <c r="U173" s="325"/>
      <c r="V173" s="300" t="b">
        <v>1</v>
      </c>
      <c r="W173" s="301" t="b">
        <v>0</v>
      </c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</row>
    <row r="174">
      <c r="A174" s="291"/>
      <c r="B174" s="292" t="s">
        <v>1381</v>
      </c>
      <c r="C174" s="293" t="s">
        <v>1382</v>
      </c>
      <c r="D174" s="293" t="s">
        <v>1383</v>
      </c>
      <c r="E174" s="294">
        <v>8.10115972754E11</v>
      </c>
      <c r="F174" s="295"/>
      <c r="G174" s="295"/>
      <c r="H174" s="295"/>
      <c r="I174" s="295"/>
      <c r="J174" s="296" t="b">
        <v>1</v>
      </c>
      <c r="K174" s="297" t="b">
        <v>0</v>
      </c>
      <c r="L174" s="209"/>
      <c r="M174" s="291"/>
      <c r="N174" s="303" t="s">
        <v>1384</v>
      </c>
      <c r="O174" s="306" t="s">
        <v>390</v>
      </c>
      <c r="P174" s="304" t="s">
        <v>1385</v>
      </c>
      <c r="Q174" s="358">
        <v>8.10115976257E11</v>
      </c>
      <c r="R174" s="209"/>
      <c r="S174" s="209"/>
      <c r="T174" s="209"/>
      <c r="U174" s="325"/>
      <c r="V174" s="300" t="b">
        <v>1</v>
      </c>
      <c r="W174" s="301" t="b">
        <v>0</v>
      </c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</row>
    <row r="175">
      <c r="A175" s="291"/>
      <c r="B175" s="303" t="s">
        <v>1386</v>
      </c>
      <c r="C175" s="304" t="s">
        <v>1387</v>
      </c>
      <c r="D175" s="304" t="s">
        <v>1388</v>
      </c>
      <c r="E175" s="305">
        <v>8.10115972242E11</v>
      </c>
      <c r="F175" s="304" t="s">
        <v>1057</v>
      </c>
      <c r="G175" s="209"/>
      <c r="H175" s="209"/>
      <c r="I175" s="209"/>
      <c r="J175" s="296" t="b">
        <v>1</v>
      </c>
      <c r="K175" s="301" t="b">
        <v>1</v>
      </c>
      <c r="L175" s="209"/>
      <c r="M175" s="291"/>
      <c r="N175" s="303" t="s">
        <v>1389</v>
      </c>
      <c r="O175" s="306" t="s">
        <v>1390</v>
      </c>
      <c r="P175" s="304" t="s">
        <v>1391</v>
      </c>
      <c r="Q175" s="358">
        <v>8.10115976202E11</v>
      </c>
      <c r="R175" s="209"/>
      <c r="S175" s="209"/>
      <c r="T175" s="209"/>
      <c r="U175" s="325"/>
      <c r="V175" s="300" t="b">
        <v>1</v>
      </c>
      <c r="W175" s="301" t="b">
        <v>0</v>
      </c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</row>
    <row r="176">
      <c r="A176" s="291"/>
      <c r="B176" s="303" t="s">
        <v>1392</v>
      </c>
      <c r="C176" s="347" t="s">
        <v>682</v>
      </c>
      <c r="D176" s="347" t="s">
        <v>1393</v>
      </c>
      <c r="E176" s="305">
        <v>8.1011597202E11</v>
      </c>
      <c r="F176" s="209"/>
      <c r="G176" s="209"/>
      <c r="H176" s="209"/>
      <c r="I176" s="209"/>
      <c r="J176" s="296" t="b">
        <v>1</v>
      </c>
      <c r="K176" s="301" t="b">
        <v>0</v>
      </c>
      <c r="L176" s="209"/>
      <c r="M176" s="291"/>
      <c r="N176" s="303" t="s">
        <v>1394</v>
      </c>
      <c r="O176" s="306" t="s">
        <v>1390</v>
      </c>
      <c r="P176" s="304" t="s">
        <v>1395</v>
      </c>
      <c r="Q176" s="358">
        <v>8.10115976196E11</v>
      </c>
      <c r="R176" s="209"/>
      <c r="S176" s="209"/>
      <c r="T176" s="209"/>
      <c r="U176" s="325"/>
      <c r="V176" s="300" t="b">
        <v>1</v>
      </c>
      <c r="W176" s="301" t="b">
        <v>0</v>
      </c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</row>
    <row r="177">
      <c r="A177" s="291"/>
      <c r="B177" s="303" t="s">
        <v>1396</v>
      </c>
      <c r="C177" s="304" t="s">
        <v>662</v>
      </c>
      <c r="D177" s="304" t="s">
        <v>1397</v>
      </c>
      <c r="E177" s="305">
        <v>8.10115972051E11</v>
      </c>
      <c r="F177" s="209"/>
      <c r="G177" s="209"/>
      <c r="H177" s="209"/>
      <c r="I177" s="209"/>
      <c r="J177" s="296" t="b">
        <v>1</v>
      </c>
      <c r="K177" s="301" t="b">
        <v>0</v>
      </c>
      <c r="L177" s="209"/>
      <c r="M177" s="291"/>
      <c r="N177" s="303" t="s">
        <v>1398</v>
      </c>
      <c r="O177" s="304" t="s">
        <v>431</v>
      </c>
      <c r="P177" s="209"/>
      <c r="Q177" s="307">
        <v>8.4047250125E11</v>
      </c>
      <c r="R177" s="209"/>
      <c r="S177" s="209"/>
      <c r="T177" s="209"/>
      <c r="U177" s="325"/>
      <c r="V177" s="300" t="b">
        <v>1</v>
      </c>
      <c r="W177" s="301" t="b">
        <v>0</v>
      </c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</row>
    <row r="178">
      <c r="A178" s="291"/>
      <c r="B178" s="303" t="s">
        <v>1400</v>
      </c>
      <c r="C178" s="304" t="s">
        <v>434</v>
      </c>
      <c r="D178" s="304" t="s">
        <v>1401</v>
      </c>
      <c r="E178" s="305">
        <v>8.10115972129E11</v>
      </c>
      <c r="F178" s="209"/>
      <c r="G178" s="209"/>
      <c r="H178" s="209"/>
      <c r="I178" s="209"/>
      <c r="J178" s="296" t="b">
        <v>1</v>
      </c>
      <c r="K178" s="301" t="b">
        <v>0</v>
      </c>
      <c r="L178" s="209"/>
      <c r="M178" s="291"/>
      <c r="N178" s="354" t="s">
        <v>1402</v>
      </c>
      <c r="O178" s="304" t="s">
        <v>400</v>
      </c>
      <c r="P178" s="209"/>
      <c r="Q178" s="307">
        <v>8.40472501267E11</v>
      </c>
      <c r="R178" s="209"/>
      <c r="S178" s="209"/>
      <c r="T178" s="209"/>
      <c r="U178" s="325"/>
      <c r="V178" s="300" t="b">
        <v>1</v>
      </c>
      <c r="W178" s="301" t="b">
        <v>0</v>
      </c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</row>
    <row r="179">
      <c r="A179" s="291"/>
      <c r="B179" s="303" t="s">
        <v>1404</v>
      </c>
      <c r="C179" s="304" t="s">
        <v>671</v>
      </c>
      <c r="D179" s="304" t="s">
        <v>1405</v>
      </c>
      <c r="E179" s="305">
        <v>8.10115972587E11</v>
      </c>
      <c r="F179" s="209"/>
      <c r="G179" s="209"/>
      <c r="H179" s="209"/>
      <c r="I179" s="209"/>
      <c r="J179" s="296" t="b">
        <v>1</v>
      </c>
      <c r="K179" s="301" t="b">
        <v>0</v>
      </c>
      <c r="L179" s="209"/>
      <c r="M179" s="291"/>
      <c r="N179" s="303" t="s">
        <v>1406</v>
      </c>
      <c r="O179" s="304" t="s">
        <v>588</v>
      </c>
      <c r="P179" s="209"/>
      <c r="Q179" s="307">
        <v>8.40472501274E11</v>
      </c>
      <c r="R179" s="209"/>
      <c r="S179" s="209"/>
      <c r="T179" s="209"/>
      <c r="U179" s="325"/>
      <c r="V179" s="300" t="b">
        <v>1</v>
      </c>
      <c r="W179" s="301" t="b">
        <v>0</v>
      </c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</row>
    <row r="180">
      <c r="A180" s="291"/>
      <c r="B180" s="303" t="s">
        <v>1408</v>
      </c>
      <c r="C180" s="304" t="s">
        <v>1409</v>
      </c>
      <c r="D180" s="304" t="s">
        <v>1410</v>
      </c>
      <c r="E180" s="305">
        <v>8.1011597257E11</v>
      </c>
      <c r="F180" s="209"/>
      <c r="G180" s="209"/>
      <c r="H180" s="209"/>
      <c r="I180" s="304" t="s">
        <v>4051</v>
      </c>
      <c r="J180" s="296" t="b">
        <v>1</v>
      </c>
      <c r="K180" s="301" t="b">
        <v>0</v>
      </c>
      <c r="L180" s="209"/>
      <c r="M180" s="291"/>
      <c r="N180" s="303" t="s">
        <v>1411</v>
      </c>
      <c r="O180" s="304" t="s">
        <v>1412</v>
      </c>
      <c r="P180" s="209"/>
      <c r="Q180" s="307">
        <v>8.40472501281E11</v>
      </c>
      <c r="R180" s="209"/>
      <c r="S180" s="209"/>
      <c r="T180" s="209"/>
      <c r="U180" s="325"/>
      <c r="V180" s="300" t="b">
        <v>1</v>
      </c>
      <c r="W180" s="301" t="b">
        <v>0</v>
      </c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</row>
    <row r="181">
      <c r="A181" s="291"/>
      <c r="B181" s="303" t="s">
        <v>1414</v>
      </c>
      <c r="C181" s="304" t="s">
        <v>679</v>
      </c>
      <c r="D181" s="304" t="s">
        <v>1415</v>
      </c>
      <c r="E181" s="305">
        <v>8.10115972204E11</v>
      </c>
      <c r="F181" s="209"/>
      <c r="G181" s="209"/>
      <c r="H181" s="209"/>
      <c r="I181" s="209"/>
      <c r="J181" s="296" t="b">
        <v>1</v>
      </c>
      <c r="K181" s="301" t="b">
        <v>0</v>
      </c>
      <c r="L181" s="209"/>
      <c r="M181" s="291"/>
      <c r="N181" s="310" t="s">
        <v>1416</v>
      </c>
      <c r="O181" s="311" t="s">
        <v>692</v>
      </c>
      <c r="P181" s="313"/>
      <c r="Q181" s="318">
        <v>8.40472501298E11</v>
      </c>
      <c r="R181" s="313"/>
      <c r="S181" s="313"/>
      <c r="T181" s="313"/>
      <c r="U181" s="331"/>
      <c r="V181" s="350" t="b">
        <v>1</v>
      </c>
      <c r="W181" s="314" t="b">
        <v>0</v>
      </c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</row>
    <row r="182">
      <c r="A182" s="309"/>
      <c r="B182" s="310" t="s">
        <v>1418</v>
      </c>
      <c r="C182" s="311" t="s">
        <v>1419</v>
      </c>
      <c r="D182" s="311" t="s">
        <v>1420</v>
      </c>
      <c r="E182" s="312">
        <v>8.10115972273E11</v>
      </c>
      <c r="F182" s="311" t="s">
        <v>1057</v>
      </c>
      <c r="G182" s="313"/>
      <c r="H182" s="313"/>
      <c r="I182" s="311" t="s">
        <v>4110</v>
      </c>
      <c r="J182" s="296" t="b">
        <v>1</v>
      </c>
      <c r="K182" s="314" t="b">
        <v>1</v>
      </c>
      <c r="L182" s="209"/>
      <c r="M182" s="209"/>
      <c r="N182" s="209"/>
      <c r="O182" s="209"/>
      <c r="P182" s="209"/>
      <c r="Q182" s="209"/>
      <c r="R182" s="344"/>
      <c r="S182" s="344"/>
      <c r="T182" s="344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</row>
    <row r="183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327" t="s">
        <v>1421</v>
      </c>
      <c r="N183" s="319" t="s">
        <v>1422</v>
      </c>
      <c r="O183" s="320"/>
      <c r="P183" s="283" t="s">
        <v>1423</v>
      </c>
      <c r="Q183" s="336" t="s">
        <v>1424</v>
      </c>
      <c r="R183" s="320"/>
      <c r="S183" s="320"/>
      <c r="T183" s="276" t="s">
        <v>370</v>
      </c>
      <c r="U183" s="372" t="s">
        <v>4111</v>
      </c>
      <c r="V183" s="278" t="str">
        <f>IF(COUNTIF(V184:V195, TRUE) = COUNTA(V184:V195), "Complete!", IF(COUNTIF(V184:V195, TRUE) &gt; 0, "Partial", "Not Started"))</f>
        <v>Complete!</v>
      </c>
      <c r="W183" s="279"/>
      <c r="X183" s="280">
        <v>12.0</v>
      </c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</row>
    <row r="184">
      <c r="A184" s="316" t="s">
        <v>1255</v>
      </c>
      <c r="B184" s="319" t="s">
        <v>267</v>
      </c>
      <c r="C184" s="320"/>
      <c r="D184" s="283" t="s">
        <v>266</v>
      </c>
      <c r="E184" s="275" t="s">
        <v>805</v>
      </c>
      <c r="F184" s="320"/>
      <c r="G184" s="320"/>
      <c r="H184" s="283" t="s">
        <v>572</v>
      </c>
      <c r="I184" s="283" t="s">
        <v>4112</v>
      </c>
      <c r="J184" s="278" t="str">
        <f>IF(COUNTIF(J185:J193, TRUE) = COUNTA(J185:J193), "Complete!", IF(COUNTIF(J185:J193, TRUE) &gt; 0, "Partial", "Not Started"))</f>
        <v>Complete!</v>
      </c>
      <c r="K184" s="279"/>
      <c r="L184" s="280">
        <v>9.0</v>
      </c>
      <c r="N184" s="292" t="s">
        <v>1427</v>
      </c>
      <c r="O184" s="298" t="s">
        <v>1428</v>
      </c>
      <c r="P184" s="293" t="s">
        <v>1429</v>
      </c>
      <c r="Q184" s="295"/>
      <c r="R184" s="295"/>
      <c r="S184" s="295"/>
      <c r="T184" s="295"/>
      <c r="U184" s="328"/>
      <c r="V184" s="296" t="b">
        <v>1</v>
      </c>
      <c r="W184" s="297" t="b">
        <v>0</v>
      </c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</row>
    <row r="185">
      <c r="A185" s="291"/>
      <c r="B185" s="292" t="s">
        <v>1430</v>
      </c>
      <c r="C185" s="293" t="s">
        <v>630</v>
      </c>
      <c r="D185" s="293" t="s">
        <v>1431</v>
      </c>
      <c r="E185" s="294">
        <v>8.40472503162E11</v>
      </c>
      <c r="F185" s="295"/>
      <c r="G185" s="295"/>
      <c r="H185" s="295"/>
      <c r="I185" s="293" t="s">
        <v>4059</v>
      </c>
      <c r="J185" s="296" t="b">
        <v>1</v>
      </c>
      <c r="K185" s="297" t="b">
        <v>0</v>
      </c>
      <c r="L185" s="209"/>
      <c r="N185" s="354" t="s">
        <v>1434</v>
      </c>
      <c r="O185" s="306" t="s">
        <v>1435</v>
      </c>
      <c r="P185" s="304" t="s">
        <v>1436</v>
      </c>
      <c r="Q185" s="209"/>
      <c r="R185" s="209"/>
      <c r="S185" s="209"/>
      <c r="T185" s="209"/>
      <c r="U185" s="325"/>
      <c r="V185" s="300" t="b">
        <v>1</v>
      </c>
      <c r="W185" s="301" t="b">
        <v>0</v>
      </c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</row>
    <row r="186">
      <c r="A186" s="291"/>
      <c r="B186" s="303" t="s">
        <v>1437</v>
      </c>
      <c r="C186" s="304" t="s">
        <v>848</v>
      </c>
      <c r="D186" s="304" t="s">
        <v>1438</v>
      </c>
      <c r="E186" s="305">
        <v>8.40472503155E11</v>
      </c>
      <c r="F186" s="209"/>
      <c r="G186" s="209"/>
      <c r="H186" s="209"/>
      <c r="I186" s="304" t="s">
        <v>4059</v>
      </c>
      <c r="J186" s="296" t="b">
        <v>1</v>
      </c>
      <c r="K186" s="301" t="b">
        <v>0</v>
      </c>
      <c r="L186" s="209"/>
      <c r="N186" s="303" t="s">
        <v>1439</v>
      </c>
      <c r="O186" s="306" t="s">
        <v>1440</v>
      </c>
      <c r="P186" s="304" t="s">
        <v>1441</v>
      </c>
      <c r="Q186" s="209"/>
      <c r="R186" s="209"/>
      <c r="S186" s="209"/>
      <c r="T186" s="209"/>
      <c r="U186" s="325"/>
      <c r="V186" s="300" t="b">
        <v>1</v>
      </c>
      <c r="W186" s="301" t="b">
        <v>0</v>
      </c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</row>
    <row r="187">
      <c r="A187" s="291"/>
      <c r="B187" s="303" t="s">
        <v>1442</v>
      </c>
      <c r="C187" s="304" t="s">
        <v>682</v>
      </c>
      <c r="D187" s="304" t="s">
        <v>1443</v>
      </c>
      <c r="E187" s="305">
        <v>8.40472503148E11</v>
      </c>
      <c r="F187" s="209"/>
      <c r="G187" s="209"/>
      <c r="H187" s="209"/>
      <c r="I187" s="304" t="s">
        <v>4059</v>
      </c>
      <c r="J187" s="296" t="b">
        <v>1</v>
      </c>
      <c r="K187" s="301" t="b">
        <v>0</v>
      </c>
      <c r="L187" s="209"/>
      <c r="N187" s="303" t="s">
        <v>1444</v>
      </c>
      <c r="O187" s="306" t="s">
        <v>1445</v>
      </c>
      <c r="P187" s="304" t="s">
        <v>1446</v>
      </c>
      <c r="Q187" s="209"/>
      <c r="R187" s="209"/>
      <c r="S187" s="209"/>
      <c r="T187" s="209"/>
      <c r="U187" s="325"/>
      <c r="V187" s="300" t="b">
        <v>1</v>
      </c>
      <c r="W187" s="301" t="b">
        <v>0</v>
      </c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</row>
    <row r="188">
      <c r="A188" s="291"/>
      <c r="B188" s="303" t="s">
        <v>1447</v>
      </c>
      <c r="C188" s="304" t="s">
        <v>434</v>
      </c>
      <c r="D188" s="304" t="s">
        <v>1448</v>
      </c>
      <c r="E188" s="305">
        <v>8.40472503131E11</v>
      </c>
      <c r="F188" s="209"/>
      <c r="G188" s="209"/>
      <c r="H188" s="209"/>
      <c r="I188" s="304" t="s">
        <v>4059</v>
      </c>
      <c r="J188" s="296" t="b">
        <v>1</v>
      </c>
      <c r="K188" s="301" t="b">
        <v>0</v>
      </c>
      <c r="L188" s="209"/>
      <c r="N188" s="303" t="s">
        <v>1449</v>
      </c>
      <c r="O188" s="306" t="s">
        <v>1450</v>
      </c>
      <c r="P188" s="304" t="s">
        <v>1451</v>
      </c>
      <c r="Q188" s="307">
        <v>8.4047250097E11</v>
      </c>
      <c r="R188" s="209"/>
      <c r="S188" s="209"/>
      <c r="T188" s="209"/>
      <c r="U188" s="325"/>
      <c r="V188" s="300" t="b">
        <v>1</v>
      </c>
      <c r="W188" s="301" t="b">
        <v>0</v>
      </c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</row>
    <row r="189">
      <c r="A189" s="291"/>
      <c r="B189" s="303" t="s">
        <v>1452</v>
      </c>
      <c r="C189" s="304" t="s">
        <v>796</v>
      </c>
      <c r="D189" s="304" t="s">
        <v>1453</v>
      </c>
      <c r="E189" s="305">
        <v>8.40472503124E11</v>
      </c>
      <c r="F189" s="209"/>
      <c r="G189" s="209"/>
      <c r="H189" s="209"/>
      <c r="I189" s="304" t="s">
        <v>4059</v>
      </c>
      <c r="J189" s="296" t="b">
        <v>1</v>
      </c>
      <c r="K189" s="301" t="b">
        <v>0</v>
      </c>
      <c r="L189" s="209"/>
      <c r="N189" s="303" t="s">
        <v>1454</v>
      </c>
      <c r="O189" s="306" t="s">
        <v>1455</v>
      </c>
      <c r="P189" s="304" t="s">
        <v>1456</v>
      </c>
      <c r="Q189" s="307">
        <v>8.40472501007E11</v>
      </c>
      <c r="R189" s="209"/>
      <c r="S189" s="209"/>
      <c r="T189" s="209"/>
      <c r="U189" s="325"/>
      <c r="V189" s="300" t="b">
        <v>1</v>
      </c>
      <c r="W189" s="301" t="b">
        <v>0</v>
      </c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</row>
    <row r="190">
      <c r="A190" s="291"/>
      <c r="B190" s="303" t="s">
        <v>1457</v>
      </c>
      <c r="C190" s="304" t="s">
        <v>1169</v>
      </c>
      <c r="D190" s="304" t="s">
        <v>1458</v>
      </c>
      <c r="E190" s="305">
        <v>8.40472503117E11</v>
      </c>
      <c r="F190" s="209"/>
      <c r="G190" s="209"/>
      <c r="H190" s="209"/>
      <c r="I190" s="304" t="s">
        <v>4059</v>
      </c>
      <c r="J190" s="296" t="b">
        <v>1</v>
      </c>
      <c r="K190" s="301" t="b">
        <v>0</v>
      </c>
      <c r="L190" s="209"/>
      <c r="N190" s="303" t="s">
        <v>1459</v>
      </c>
      <c r="O190" s="306" t="s">
        <v>1460</v>
      </c>
      <c r="P190" s="304" t="s">
        <v>1461</v>
      </c>
      <c r="Q190" s="307">
        <v>8.40472501021E11</v>
      </c>
      <c r="R190" s="209"/>
      <c r="S190" s="209"/>
      <c r="T190" s="209"/>
      <c r="U190" s="325"/>
      <c r="V190" s="300" t="b">
        <v>1</v>
      </c>
      <c r="W190" s="301" t="b">
        <v>0</v>
      </c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</row>
    <row r="191">
      <c r="A191" s="291"/>
      <c r="B191" s="303" t="s">
        <v>1462</v>
      </c>
      <c r="C191" s="304" t="s">
        <v>431</v>
      </c>
      <c r="D191" s="304" t="s">
        <v>1463</v>
      </c>
      <c r="E191" s="305">
        <v>8.10115972235E11</v>
      </c>
      <c r="F191" s="209"/>
      <c r="G191" s="209"/>
      <c r="H191" s="209"/>
      <c r="I191" s="209"/>
      <c r="J191" s="296" t="b">
        <v>1</v>
      </c>
      <c r="K191" s="301" t="b">
        <v>0</v>
      </c>
      <c r="L191" s="209"/>
      <c r="N191" s="303" t="s">
        <v>1464</v>
      </c>
      <c r="O191" s="306" t="s">
        <v>1465</v>
      </c>
      <c r="P191" s="304" t="s">
        <v>1466</v>
      </c>
      <c r="Q191" s="307">
        <v>8.40472501038E11</v>
      </c>
      <c r="R191" s="209"/>
      <c r="S191" s="209"/>
      <c r="T191" s="209"/>
      <c r="U191" s="325"/>
      <c r="V191" s="300" t="b">
        <v>1</v>
      </c>
      <c r="W191" s="301" t="b">
        <v>0</v>
      </c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</row>
    <row r="192">
      <c r="A192" s="291"/>
      <c r="B192" s="303" t="s">
        <v>1467</v>
      </c>
      <c r="C192" s="304" t="s">
        <v>1175</v>
      </c>
      <c r="D192" s="304" t="s">
        <v>1468</v>
      </c>
      <c r="E192" s="305">
        <v>8.404725031E11</v>
      </c>
      <c r="F192" s="209"/>
      <c r="G192" s="209"/>
      <c r="H192" s="209"/>
      <c r="I192" s="304" t="s">
        <v>4059</v>
      </c>
      <c r="J192" s="296" t="b">
        <v>1</v>
      </c>
      <c r="K192" s="301" t="b">
        <v>0</v>
      </c>
      <c r="L192" s="209"/>
      <c r="N192" s="303" t="s">
        <v>1469</v>
      </c>
      <c r="O192" s="306" t="s">
        <v>1470</v>
      </c>
      <c r="P192" s="304" t="s">
        <v>1471</v>
      </c>
      <c r="Q192" s="307">
        <v>8.40472501137E11</v>
      </c>
      <c r="R192" s="209"/>
      <c r="S192" s="209"/>
      <c r="T192" s="209"/>
      <c r="U192" s="325"/>
      <c r="V192" s="300" t="b">
        <v>1</v>
      </c>
      <c r="W192" s="301" t="b">
        <v>0</v>
      </c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</row>
    <row r="193">
      <c r="A193" s="309"/>
      <c r="B193" s="310" t="s">
        <v>1472</v>
      </c>
      <c r="C193" s="311" t="s">
        <v>870</v>
      </c>
      <c r="D193" s="311" t="s">
        <v>1473</v>
      </c>
      <c r="E193" s="312">
        <v>8.40472503094E11</v>
      </c>
      <c r="F193" s="313"/>
      <c r="G193" s="313"/>
      <c r="H193" s="313"/>
      <c r="I193" s="311" t="s">
        <v>4059</v>
      </c>
      <c r="J193" s="296" t="b">
        <v>1</v>
      </c>
      <c r="K193" s="314" t="b">
        <v>0</v>
      </c>
      <c r="L193" s="209"/>
      <c r="N193" s="303" t="s">
        <v>1474</v>
      </c>
      <c r="O193" s="306" t="s">
        <v>1475</v>
      </c>
      <c r="P193" s="304" t="s">
        <v>1476</v>
      </c>
      <c r="Q193" s="307">
        <v>8.40472501144E11</v>
      </c>
      <c r="R193" s="209"/>
      <c r="S193" s="209"/>
      <c r="T193" s="209"/>
      <c r="U193" s="325"/>
      <c r="V193" s="300" t="b">
        <v>1</v>
      </c>
      <c r="W193" s="301" t="b">
        <v>0</v>
      </c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</row>
    <row r="194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N194" s="303" t="s">
        <v>1477</v>
      </c>
      <c r="O194" s="306" t="s">
        <v>1478</v>
      </c>
      <c r="P194" s="304" t="s">
        <v>1479</v>
      </c>
      <c r="Q194" s="307">
        <v>8.40472501182E11</v>
      </c>
      <c r="R194" s="209"/>
      <c r="S194" s="209"/>
      <c r="T194" s="209"/>
      <c r="U194" s="325"/>
      <c r="V194" s="300" t="b">
        <v>1</v>
      </c>
      <c r="W194" s="301" t="b">
        <v>0</v>
      </c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</row>
    <row r="195">
      <c r="A195" s="316" t="s">
        <v>1289</v>
      </c>
      <c r="B195" s="319" t="s">
        <v>270</v>
      </c>
      <c r="C195" s="320"/>
      <c r="D195" s="283" t="s">
        <v>269</v>
      </c>
      <c r="E195" s="275" t="s">
        <v>805</v>
      </c>
      <c r="F195" s="320"/>
      <c r="G195" s="320"/>
      <c r="H195" s="283" t="s">
        <v>572</v>
      </c>
      <c r="I195" s="283" t="s">
        <v>4113</v>
      </c>
      <c r="J195" s="278" t="str">
        <f>IF(COUNTIF(J196:J204, TRUE) = COUNTA(J196:J204), "Complete!", IF(COUNTIF(J196:J204, TRUE) &gt; 0, "Partial", "Not Started"))</f>
        <v>Complete!</v>
      </c>
      <c r="K195" s="279"/>
      <c r="L195" s="280">
        <v>9.0</v>
      </c>
      <c r="N195" s="310" t="s">
        <v>1481</v>
      </c>
      <c r="O195" s="317" t="s">
        <v>1482</v>
      </c>
      <c r="P195" s="311" t="s">
        <v>1483</v>
      </c>
      <c r="Q195" s="318">
        <v>8.40472501205E11</v>
      </c>
      <c r="R195" s="313"/>
      <c r="S195" s="313"/>
      <c r="T195" s="313"/>
      <c r="U195" s="331"/>
      <c r="V195" s="350" t="b">
        <v>1</v>
      </c>
      <c r="W195" s="314" t="b">
        <v>0</v>
      </c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</row>
    <row r="196">
      <c r="A196" s="291"/>
      <c r="B196" s="292" t="s">
        <v>1484</v>
      </c>
      <c r="C196" s="293" t="s">
        <v>662</v>
      </c>
      <c r="D196" s="293" t="s">
        <v>1485</v>
      </c>
      <c r="E196" s="294">
        <v>8.4047250323E11</v>
      </c>
      <c r="F196" s="295"/>
      <c r="G196" s="295"/>
      <c r="H196" s="295"/>
      <c r="I196" s="293" t="s">
        <v>4059</v>
      </c>
      <c r="J196" s="296" t="b">
        <v>1</v>
      </c>
      <c r="K196" s="297" t="b">
        <v>0</v>
      </c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</row>
    <row r="197">
      <c r="A197" s="291"/>
      <c r="B197" s="303" t="s">
        <v>1486</v>
      </c>
      <c r="C197" s="304" t="s">
        <v>775</v>
      </c>
      <c r="D197" s="304" t="s">
        <v>1487</v>
      </c>
      <c r="E197" s="305">
        <v>8.40472503247E11</v>
      </c>
      <c r="F197" s="209"/>
      <c r="G197" s="209"/>
      <c r="H197" s="209"/>
      <c r="I197" s="304" t="s">
        <v>4059</v>
      </c>
      <c r="J197" s="296" t="b">
        <v>1</v>
      </c>
      <c r="K197" s="301" t="b">
        <v>0</v>
      </c>
      <c r="L197" s="209"/>
      <c r="M197" s="327" t="s">
        <v>1488</v>
      </c>
      <c r="N197" s="319" t="s">
        <v>1489</v>
      </c>
      <c r="O197" s="320"/>
      <c r="P197" s="283" t="s">
        <v>1490</v>
      </c>
      <c r="Q197" s="336" t="s">
        <v>1424</v>
      </c>
      <c r="R197" s="320"/>
      <c r="S197" s="320"/>
      <c r="T197" s="283" t="s">
        <v>563</v>
      </c>
      <c r="U197" s="283" t="s">
        <v>1959</v>
      </c>
      <c r="V197" s="278" t="str">
        <f>IF(COUNTIF(V198:V209, TRUE) = COUNTA(V198:V209), "Complete!", IF(COUNTIF(V198:V209, TRUE) &gt; 0, "Partial", "Not Started"))</f>
        <v>Complete!</v>
      </c>
      <c r="W197" s="279"/>
      <c r="X197" s="280">
        <v>12.0</v>
      </c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</row>
    <row r="198">
      <c r="A198" s="291"/>
      <c r="B198" s="303" t="s">
        <v>1492</v>
      </c>
      <c r="C198" s="304" t="s">
        <v>697</v>
      </c>
      <c r="D198" s="304" t="s">
        <v>1493</v>
      </c>
      <c r="E198" s="305">
        <v>8.40472503223E11</v>
      </c>
      <c r="F198" s="209"/>
      <c r="G198" s="209"/>
      <c r="H198" s="209"/>
      <c r="I198" s="304" t="s">
        <v>4059</v>
      </c>
      <c r="J198" s="296" t="b">
        <v>1</v>
      </c>
      <c r="K198" s="301" t="b">
        <v>0</v>
      </c>
      <c r="L198" s="209"/>
      <c r="N198" s="292" t="s">
        <v>1494</v>
      </c>
      <c r="O198" s="298" t="s">
        <v>1495</v>
      </c>
      <c r="P198" s="293" t="s">
        <v>1496</v>
      </c>
      <c r="Q198" s="295"/>
      <c r="R198" s="295"/>
      <c r="S198" s="295"/>
      <c r="T198" s="295"/>
      <c r="U198" s="328"/>
      <c r="V198" s="296" t="b">
        <v>1</v>
      </c>
      <c r="W198" s="297" t="b">
        <v>0</v>
      </c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</row>
    <row r="199">
      <c r="A199" s="291"/>
      <c r="B199" s="303" t="s">
        <v>1497</v>
      </c>
      <c r="C199" s="304" t="s">
        <v>671</v>
      </c>
      <c r="D199" s="304" t="s">
        <v>1498</v>
      </c>
      <c r="E199" s="305">
        <v>8.40472503216E11</v>
      </c>
      <c r="F199" s="209"/>
      <c r="G199" s="209"/>
      <c r="H199" s="209"/>
      <c r="I199" s="304" t="s">
        <v>4059</v>
      </c>
      <c r="J199" s="296" t="b">
        <v>1</v>
      </c>
      <c r="K199" s="301" t="b">
        <v>0</v>
      </c>
      <c r="L199" s="209"/>
      <c r="N199" s="354" t="s">
        <v>1499</v>
      </c>
      <c r="O199" s="306" t="s">
        <v>1500</v>
      </c>
      <c r="P199" s="304" t="s">
        <v>1501</v>
      </c>
      <c r="Q199" s="209"/>
      <c r="R199" s="209"/>
      <c r="S199" s="209"/>
      <c r="T199" s="209"/>
      <c r="U199" s="325"/>
      <c r="V199" s="300" t="b">
        <v>1</v>
      </c>
      <c r="W199" s="301" t="b">
        <v>0</v>
      </c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</row>
    <row r="200">
      <c r="A200" s="291"/>
      <c r="B200" s="303" t="s">
        <v>1502</v>
      </c>
      <c r="C200" s="304" t="s">
        <v>705</v>
      </c>
      <c r="D200" s="304" t="s">
        <v>1503</v>
      </c>
      <c r="E200" s="305">
        <v>8.40472503209E11</v>
      </c>
      <c r="F200" s="209"/>
      <c r="G200" s="209"/>
      <c r="H200" s="209"/>
      <c r="I200" s="304" t="s">
        <v>4059</v>
      </c>
      <c r="J200" s="296" t="b">
        <v>1</v>
      </c>
      <c r="K200" s="301" t="b">
        <v>0</v>
      </c>
      <c r="L200" s="209"/>
      <c r="N200" s="303" t="s">
        <v>1504</v>
      </c>
      <c r="O200" s="306" t="s">
        <v>1505</v>
      </c>
      <c r="P200" s="304" t="s">
        <v>1506</v>
      </c>
      <c r="Q200" s="307">
        <v>8.40472500987E11</v>
      </c>
      <c r="R200" s="209"/>
      <c r="S200" s="209"/>
      <c r="T200" s="209"/>
      <c r="U200" s="325"/>
      <c r="V200" s="300" t="b">
        <v>1</v>
      </c>
      <c r="W200" s="301" t="b">
        <v>0</v>
      </c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</row>
    <row r="201">
      <c r="A201" s="291"/>
      <c r="B201" s="303" t="s">
        <v>1507</v>
      </c>
      <c r="C201" s="304" t="s">
        <v>679</v>
      </c>
      <c r="D201" s="304" t="s">
        <v>1508</v>
      </c>
      <c r="E201" s="305">
        <v>8.40472503193E11</v>
      </c>
      <c r="F201" s="209"/>
      <c r="G201" s="209"/>
      <c r="H201" s="209"/>
      <c r="I201" s="304" t="s">
        <v>4059</v>
      </c>
      <c r="J201" s="296" t="b">
        <v>1</v>
      </c>
      <c r="K201" s="301" t="b">
        <v>0</v>
      </c>
      <c r="L201" s="209"/>
      <c r="N201" s="303" t="s">
        <v>1509</v>
      </c>
      <c r="O201" s="306" t="s">
        <v>1510</v>
      </c>
      <c r="P201" s="304" t="s">
        <v>1511</v>
      </c>
      <c r="Q201" s="307">
        <v>8.40472501045E11</v>
      </c>
      <c r="R201" s="209"/>
      <c r="S201" s="209"/>
      <c r="T201" s="209"/>
      <c r="U201" s="325"/>
      <c r="V201" s="300" t="b">
        <v>1</v>
      </c>
      <c r="W201" s="301" t="b">
        <v>0</v>
      </c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</row>
    <row r="202">
      <c r="A202" s="291"/>
      <c r="B202" s="303" t="s">
        <v>1512</v>
      </c>
      <c r="C202" s="304" t="s">
        <v>1419</v>
      </c>
      <c r="D202" s="304" t="s">
        <v>1513</v>
      </c>
      <c r="E202" s="305">
        <v>8.40472503186E11</v>
      </c>
      <c r="F202" s="209"/>
      <c r="G202" s="209"/>
      <c r="H202" s="209"/>
      <c r="I202" s="304" t="s">
        <v>4059</v>
      </c>
      <c r="J202" s="296" t="b">
        <v>1</v>
      </c>
      <c r="K202" s="301" t="b">
        <v>0</v>
      </c>
      <c r="L202" s="209"/>
      <c r="N202" s="303" t="s">
        <v>1514</v>
      </c>
      <c r="O202" s="306" t="s">
        <v>1515</v>
      </c>
      <c r="P202" s="304" t="s">
        <v>1516</v>
      </c>
      <c r="Q202" s="307">
        <v>8.40472501052E11</v>
      </c>
      <c r="R202" s="209"/>
      <c r="S202" s="209"/>
      <c r="T202" s="209"/>
      <c r="U202" s="325"/>
      <c r="V202" s="300" t="b">
        <v>1</v>
      </c>
      <c r="W202" s="301" t="b">
        <v>0</v>
      </c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</row>
    <row r="203">
      <c r="A203" s="291"/>
      <c r="B203" s="303" t="s">
        <v>1517</v>
      </c>
      <c r="C203" s="304" t="s">
        <v>1387</v>
      </c>
      <c r="D203" s="304" t="s">
        <v>1518</v>
      </c>
      <c r="E203" s="305">
        <v>8.40472503179E11</v>
      </c>
      <c r="F203" s="209"/>
      <c r="G203" s="209"/>
      <c r="H203" s="209"/>
      <c r="I203" s="304" t="s">
        <v>4059</v>
      </c>
      <c r="J203" s="296" t="b">
        <v>1</v>
      </c>
      <c r="K203" s="301" t="b">
        <v>0</v>
      </c>
      <c r="L203" s="209"/>
      <c r="N203" s="303" t="s">
        <v>1519</v>
      </c>
      <c r="O203" s="306" t="s">
        <v>1520</v>
      </c>
      <c r="P203" s="304" t="s">
        <v>1521</v>
      </c>
      <c r="Q203" s="307">
        <v>8.40472501069E11</v>
      </c>
      <c r="R203" s="209"/>
      <c r="S203" s="209"/>
      <c r="T203" s="209"/>
      <c r="U203" s="325"/>
      <c r="V203" s="300" t="b">
        <v>1</v>
      </c>
      <c r="W203" s="301" t="b">
        <v>0</v>
      </c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</row>
    <row r="204">
      <c r="A204" s="309"/>
      <c r="B204" s="310" t="s">
        <v>1522</v>
      </c>
      <c r="C204" s="311" t="s">
        <v>421</v>
      </c>
      <c r="D204" s="311" t="s">
        <v>1523</v>
      </c>
      <c r="E204" s="312">
        <v>8.10115971962E11</v>
      </c>
      <c r="F204" s="313"/>
      <c r="G204" s="313"/>
      <c r="H204" s="313"/>
      <c r="I204" s="313"/>
      <c r="J204" s="296" t="b">
        <v>1</v>
      </c>
      <c r="K204" s="314" t="b">
        <v>0</v>
      </c>
      <c r="L204" s="209"/>
      <c r="N204" s="303" t="s">
        <v>1524</v>
      </c>
      <c r="O204" s="306" t="s">
        <v>1525</v>
      </c>
      <c r="P204" s="304" t="s">
        <v>1526</v>
      </c>
      <c r="Q204" s="307">
        <v>8.40472501076E11</v>
      </c>
      <c r="R204" s="209"/>
      <c r="S204" s="209"/>
      <c r="T204" s="209"/>
      <c r="U204" s="325"/>
      <c r="V204" s="300" t="b">
        <v>1</v>
      </c>
      <c r="W204" s="301" t="b">
        <v>0</v>
      </c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</row>
    <row r="205">
      <c r="A205" s="209"/>
      <c r="B205" s="209"/>
      <c r="C205" s="209"/>
      <c r="D205" s="209"/>
      <c r="E205" s="209"/>
      <c r="F205" s="209"/>
      <c r="G205" s="209"/>
      <c r="H205" s="209"/>
      <c r="I205" s="209"/>
      <c r="J205" s="313"/>
      <c r="K205" s="209"/>
      <c r="L205" s="209"/>
      <c r="N205" s="303" t="s">
        <v>1527</v>
      </c>
      <c r="O205" s="306" t="s">
        <v>1528</v>
      </c>
      <c r="P205" s="304" t="s">
        <v>1529</v>
      </c>
      <c r="Q205" s="307">
        <v>8.40472501083E11</v>
      </c>
      <c r="R205" s="209"/>
      <c r="S205" s="209"/>
      <c r="T205" s="209"/>
      <c r="U205" s="325"/>
      <c r="V205" s="300" t="b">
        <v>1</v>
      </c>
      <c r="W205" s="301" t="b">
        <v>0</v>
      </c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</row>
    <row r="206">
      <c r="A206" s="316" t="s">
        <v>1322</v>
      </c>
      <c r="B206" s="319" t="s">
        <v>301</v>
      </c>
      <c r="C206" s="320"/>
      <c r="D206" s="283" t="s">
        <v>300</v>
      </c>
      <c r="E206" s="322" t="s">
        <v>1530</v>
      </c>
      <c r="F206" s="320"/>
      <c r="G206" s="320"/>
      <c r="H206" s="285" t="s">
        <v>468</v>
      </c>
      <c r="I206" s="285" t="s">
        <v>4114</v>
      </c>
      <c r="J206" s="278" t="str">
        <f>IF(COUNTIF(J207:J216, TRUE) = COUNTA(J207:J216), "Complete!", IF(COUNTIF(J207:J216, TRUE) &gt; 0, "Partial", "Not Started"))</f>
        <v>Complete!</v>
      </c>
      <c r="K206" s="279"/>
      <c r="L206" s="280">
        <v>10.0</v>
      </c>
      <c r="N206" s="303" t="s">
        <v>1532</v>
      </c>
      <c r="O206" s="306" t="s">
        <v>1533</v>
      </c>
      <c r="P206" s="304" t="s">
        <v>1534</v>
      </c>
      <c r="Q206" s="307">
        <v>8.40472501212E11</v>
      </c>
      <c r="R206" s="209"/>
      <c r="S206" s="209"/>
      <c r="T206" s="209"/>
      <c r="U206" s="325"/>
      <c r="V206" s="300" t="b">
        <v>1</v>
      </c>
      <c r="W206" s="301" t="b">
        <v>0</v>
      </c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</row>
    <row r="207">
      <c r="A207" s="291"/>
      <c r="B207" s="292" t="s">
        <v>1535</v>
      </c>
      <c r="C207" s="293" t="s">
        <v>384</v>
      </c>
      <c r="D207" s="304" t="s">
        <v>1536</v>
      </c>
      <c r="E207" s="374" t="s">
        <v>1537</v>
      </c>
      <c r="F207" s="325"/>
      <c r="G207" s="325"/>
      <c r="H207" s="325"/>
      <c r="I207" s="325"/>
      <c r="J207" s="300" t="b">
        <v>1</v>
      </c>
      <c r="K207" s="301" t="b">
        <v>0</v>
      </c>
      <c r="L207" s="209"/>
      <c r="N207" s="303" t="s">
        <v>1538</v>
      </c>
      <c r="O207" s="306" t="s">
        <v>1539</v>
      </c>
      <c r="P207" s="304" t="s">
        <v>1540</v>
      </c>
      <c r="Q207" s="307">
        <v>8.40472501229E11</v>
      </c>
      <c r="R207" s="209"/>
      <c r="S207" s="209"/>
      <c r="T207" s="209"/>
      <c r="U207" s="325"/>
      <c r="V207" s="300" t="b">
        <v>1</v>
      </c>
      <c r="W207" s="301" t="b">
        <v>0</v>
      </c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</row>
    <row r="208">
      <c r="A208" s="291"/>
      <c r="B208" s="303" t="s">
        <v>1541</v>
      </c>
      <c r="C208" s="304" t="s">
        <v>404</v>
      </c>
      <c r="D208" s="304" t="s">
        <v>1542</v>
      </c>
      <c r="E208" s="375" t="s">
        <v>1543</v>
      </c>
      <c r="F208" s="325"/>
      <c r="G208" s="325"/>
      <c r="H208" s="325"/>
      <c r="I208" s="325"/>
      <c r="J208" s="300" t="b">
        <v>1</v>
      </c>
      <c r="K208" s="301" t="b">
        <v>0</v>
      </c>
      <c r="L208" s="209"/>
      <c r="N208" s="303" t="s">
        <v>1544</v>
      </c>
      <c r="O208" s="306" t="s">
        <v>1545</v>
      </c>
      <c r="P208" s="304" t="s">
        <v>1546</v>
      </c>
      <c r="Q208" s="307">
        <v>8.40472501236E11</v>
      </c>
      <c r="R208" s="209"/>
      <c r="S208" s="209"/>
      <c r="T208" s="209"/>
      <c r="U208" s="325"/>
      <c r="V208" s="300" t="b">
        <v>1</v>
      </c>
      <c r="W208" s="301" t="b">
        <v>0</v>
      </c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</row>
    <row r="209">
      <c r="A209" s="291"/>
      <c r="B209" s="303" t="s">
        <v>1547</v>
      </c>
      <c r="C209" s="304" t="s">
        <v>390</v>
      </c>
      <c r="D209" s="304" t="s">
        <v>1548</v>
      </c>
      <c r="E209" s="375" t="s">
        <v>1549</v>
      </c>
      <c r="F209" s="325"/>
      <c r="G209" s="325"/>
      <c r="H209" s="325"/>
      <c r="I209" s="325"/>
      <c r="J209" s="300" t="b">
        <v>1</v>
      </c>
      <c r="K209" s="301" t="b">
        <v>0</v>
      </c>
      <c r="L209" s="209"/>
      <c r="N209" s="310" t="s">
        <v>1550</v>
      </c>
      <c r="O209" s="317" t="s">
        <v>1551</v>
      </c>
      <c r="P209" s="311" t="s">
        <v>1552</v>
      </c>
      <c r="Q209" s="318">
        <v>8.40472501243E11</v>
      </c>
      <c r="R209" s="313"/>
      <c r="S209" s="313"/>
      <c r="T209" s="313"/>
      <c r="U209" s="331"/>
      <c r="V209" s="350" t="b">
        <v>1</v>
      </c>
      <c r="W209" s="314" t="b">
        <v>0</v>
      </c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</row>
    <row r="210">
      <c r="A210" s="291"/>
      <c r="B210" s="376" t="s">
        <v>1553</v>
      </c>
      <c r="C210" s="377" t="s">
        <v>662</v>
      </c>
      <c r="D210" s="209"/>
      <c r="E210" s="353"/>
      <c r="F210" s="325"/>
      <c r="G210" s="325"/>
      <c r="H210" s="325"/>
      <c r="I210" s="325"/>
      <c r="J210" s="300" t="b">
        <v>1</v>
      </c>
      <c r="K210" s="301" t="b">
        <v>0</v>
      </c>
      <c r="L210" s="209"/>
      <c r="M210" s="209"/>
      <c r="N210" s="209"/>
      <c r="O210" s="209"/>
      <c r="P210" s="209"/>
      <c r="Q210" s="209"/>
      <c r="R210" s="344"/>
      <c r="S210" s="344"/>
      <c r="T210" s="344"/>
      <c r="U210" s="325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</row>
    <row r="211">
      <c r="A211" s="291"/>
      <c r="B211" s="376" t="s">
        <v>1555</v>
      </c>
      <c r="C211" s="377" t="s">
        <v>400</v>
      </c>
      <c r="D211" s="304" t="s">
        <v>1556</v>
      </c>
      <c r="E211" s="375" t="s">
        <v>1557</v>
      </c>
      <c r="F211" s="325"/>
      <c r="G211" s="325"/>
      <c r="H211" s="325"/>
      <c r="I211" s="325"/>
      <c r="J211" s="300" t="b">
        <v>1</v>
      </c>
      <c r="K211" s="301" t="b">
        <v>0</v>
      </c>
      <c r="L211" s="209"/>
      <c r="M211" s="327" t="s">
        <v>1558</v>
      </c>
      <c r="N211" s="319" t="s">
        <v>1559</v>
      </c>
      <c r="O211" s="320"/>
      <c r="P211" s="283" t="s">
        <v>1560</v>
      </c>
      <c r="Q211" s="336" t="s">
        <v>1424</v>
      </c>
      <c r="R211" s="320"/>
      <c r="S211" s="320"/>
      <c r="T211" s="276" t="s">
        <v>4115</v>
      </c>
      <c r="U211" s="372" t="s">
        <v>4116</v>
      </c>
      <c r="V211" s="278" t="str">
        <f>IF(COUNTIF(V212:V223, TRUE) = COUNTA(V212:V223), "Complete!", IF(COUNTIF(V212:V223, TRUE) &gt; 0, "Partial", "Not Started"))</f>
        <v>Complete!</v>
      </c>
      <c r="W211" s="279"/>
      <c r="X211" s="280">
        <v>12.0</v>
      </c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</row>
    <row r="212">
      <c r="A212" s="291"/>
      <c r="B212" s="303" t="s">
        <v>1562</v>
      </c>
      <c r="C212" s="304" t="s">
        <v>412</v>
      </c>
      <c r="D212" s="304" t="s">
        <v>1563</v>
      </c>
      <c r="E212" s="375" t="s">
        <v>1564</v>
      </c>
      <c r="F212" s="325"/>
      <c r="G212" s="325"/>
      <c r="H212" s="325"/>
      <c r="I212" s="325"/>
      <c r="J212" s="300" t="b">
        <v>1</v>
      </c>
      <c r="K212" s="301" t="b">
        <v>0</v>
      </c>
      <c r="L212" s="209"/>
      <c r="N212" s="292" t="s">
        <v>1565</v>
      </c>
      <c r="O212" s="298" t="s">
        <v>1566</v>
      </c>
      <c r="P212" s="293" t="s">
        <v>1567</v>
      </c>
      <c r="Q212" s="295"/>
      <c r="R212" s="295"/>
      <c r="S212" s="295"/>
      <c r="T212" s="295"/>
      <c r="U212" s="328"/>
      <c r="V212" s="296" t="b">
        <v>1</v>
      </c>
      <c r="W212" s="297" t="b">
        <v>0</v>
      </c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</row>
    <row r="213">
      <c r="A213" s="291"/>
      <c r="B213" s="303" t="s">
        <v>1568</v>
      </c>
      <c r="C213" s="304" t="s">
        <v>679</v>
      </c>
      <c r="D213" s="209"/>
      <c r="E213" s="353"/>
      <c r="F213" s="325"/>
      <c r="G213" s="325"/>
      <c r="H213" s="325"/>
      <c r="I213" s="325"/>
      <c r="J213" s="300" t="b">
        <v>1</v>
      </c>
      <c r="K213" s="301" t="b">
        <v>0</v>
      </c>
      <c r="L213" s="209"/>
      <c r="N213" s="354" t="s">
        <v>1570</v>
      </c>
      <c r="O213" s="306" t="s">
        <v>1571</v>
      </c>
      <c r="P213" s="304" t="s">
        <v>1572</v>
      </c>
      <c r="Q213" s="209"/>
      <c r="R213" s="209"/>
      <c r="S213" s="209"/>
      <c r="T213" s="209"/>
      <c r="U213" s="325"/>
      <c r="V213" s="296" t="b">
        <v>1</v>
      </c>
      <c r="W213" s="301" t="b">
        <v>0</v>
      </c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</row>
    <row r="214">
      <c r="A214" s="291"/>
      <c r="B214" s="303" t="s">
        <v>1573</v>
      </c>
      <c r="C214" s="304" t="s">
        <v>1574</v>
      </c>
      <c r="D214" s="304" t="s">
        <v>1575</v>
      </c>
      <c r="E214" s="375" t="s">
        <v>1576</v>
      </c>
      <c r="F214" s="325"/>
      <c r="G214" s="325"/>
      <c r="H214" s="325"/>
      <c r="I214" s="325"/>
      <c r="J214" s="300" t="b">
        <v>1</v>
      </c>
      <c r="K214" s="301" t="b">
        <v>0</v>
      </c>
      <c r="L214" s="209"/>
      <c r="N214" s="303" t="s">
        <v>1577</v>
      </c>
      <c r="O214" s="306" t="s">
        <v>1578</v>
      </c>
      <c r="P214" s="304" t="s">
        <v>1579</v>
      </c>
      <c r="Q214" s="209"/>
      <c r="R214" s="209"/>
      <c r="S214" s="209"/>
      <c r="T214" s="209"/>
      <c r="U214" s="325"/>
      <c r="V214" s="296" t="b">
        <v>1</v>
      </c>
      <c r="W214" s="301" t="b">
        <v>0</v>
      </c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</row>
    <row r="215">
      <c r="A215" s="291"/>
      <c r="B215" s="303" t="s">
        <v>1580</v>
      </c>
      <c r="C215" s="304" t="s">
        <v>612</v>
      </c>
      <c r="D215" s="304" t="s">
        <v>1581</v>
      </c>
      <c r="E215" s="375" t="s">
        <v>1582</v>
      </c>
      <c r="F215" s="325"/>
      <c r="G215" s="325"/>
      <c r="H215" s="325"/>
      <c r="I215" s="325"/>
      <c r="J215" s="300" t="b">
        <v>1</v>
      </c>
      <c r="K215" s="301" t="b">
        <v>0</v>
      </c>
      <c r="L215" s="209"/>
      <c r="N215" s="303" t="s">
        <v>1583</v>
      </c>
      <c r="O215" s="306" t="s">
        <v>1584</v>
      </c>
      <c r="P215" s="304" t="s">
        <v>1585</v>
      </c>
      <c r="Q215" s="209"/>
      <c r="R215" s="209"/>
      <c r="S215" s="209"/>
      <c r="T215" s="209"/>
      <c r="U215" s="325"/>
      <c r="V215" s="296" t="b">
        <v>1</v>
      </c>
      <c r="W215" s="301" t="b">
        <v>0</v>
      </c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</row>
    <row r="216">
      <c r="A216" s="309"/>
      <c r="B216" s="378" t="s">
        <v>1586</v>
      </c>
      <c r="C216" s="379" t="s">
        <v>449</v>
      </c>
      <c r="D216" s="311" t="s">
        <v>1587</v>
      </c>
      <c r="E216" s="380" t="s">
        <v>1588</v>
      </c>
      <c r="F216" s="331"/>
      <c r="G216" s="331"/>
      <c r="H216" s="331"/>
      <c r="I216" s="331"/>
      <c r="J216" s="300" t="b">
        <v>1</v>
      </c>
      <c r="K216" s="381" t="b">
        <v>0</v>
      </c>
      <c r="L216" s="209"/>
      <c r="N216" s="303" t="s">
        <v>1589</v>
      </c>
      <c r="O216" s="306" t="s">
        <v>1590</v>
      </c>
      <c r="P216" s="304" t="s">
        <v>1591</v>
      </c>
      <c r="Q216" s="209"/>
      <c r="R216" s="209"/>
      <c r="S216" s="209"/>
      <c r="T216" s="209"/>
      <c r="U216" s="325"/>
      <c r="V216" s="296" t="b">
        <v>1</v>
      </c>
      <c r="W216" s="301" t="b">
        <v>0</v>
      </c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</row>
    <row r="217">
      <c r="A217" s="209"/>
      <c r="B217" s="209"/>
      <c r="C217" s="209"/>
      <c r="D217" s="209"/>
      <c r="E217" s="209"/>
      <c r="F217" s="209"/>
      <c r="G217" s="209"/>
      <c r="H217" s="209"/>
      <c r="I217" s="209"/>
      <c r="J217" s="313"/>
      <c r="K217" s="209"/>
      <c r="L217" s="209"/>
      <c r="N217" s="303" t="s">
        <v>1592</v>
      </c>
      <c r="O217" s="306" t="s">
        <v>1593</v>
      </c>
      <c r="P217" s="304" t="s">
        <v>1594</v>
      </c>
      <c r="Q217" s="209"/>
      <c r="R217" s="209"/>
      <c r="S217" s="209"/>
      <c r="T217" s="209"/>
      <c r="U217" s="325"/>
      <c r="V217" s="296" t="b">
        <v>1</v>
      </c>
      <c r="W217" s="301" t="b">
        <v>0</v>
      </c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</row>
    <row r="218">
      <c r="A218" s="316" t="s">
        <v>1359</v>
      </c>
      <c r="B218" s="319" t="s">
        <v>258</v>
      </c>
      <c r="C218" s="320"/>
      <c r="D218" s="283" t="s">
        <v>257</v>
      </c>
      <c r="E218" s="322" t="s">
        <v>1595</v>
      </c>
      <c r="F218" s="320"/>
      <c r="G218" s="320"/>
      <c r="H218" s="285" t="s">
        <v>888</v>
      </c>
      <c r="I218" s="285" t="s">
        <v>889</v>
      </c>
      <c r="J218" s="278" t="str">
        <f>IF(COUNTIF(J219:J229, TRUE) = COUNTA(J219:J229), "Complete!", IF(COUNTIF(J219:J229, TRUE) &gt; 0, "Partial", "Not Started"))</f>
        <v>Complete!</v>
      </c>
      <c r="K218" s="279"/>
      <c r="L218" s="280">
        <v>11.0</v>
      </c>
      <c r="N218" s="303" t="s">
        <v>1597</v>
      </c>
      <c r="O218" s="306" t="s">
        <v>1598</v>
      </c>
      <c r="P218" s="304" t="s">
        <v>1599</v>
      </c>
      <c r="Q218" s="307">
        <v>8.40472500963E11</v>
      </c>
      <c r="R218" s="209"/>
      <c r="S218" s="209"/>
      <c r="T218" s="209"/>
      <c r="U218" s="325"/>
      <c r="V218" s="296" t="b">
        <v>1</v>
      </c>
      <c r="W218" s="301" t="b">
        <v>0</v>
      </c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</row>
    <row r="219">
      <c r="A219" s="291"/>
      <c r="B219" s="382" t="s">
        <v>1600</v>
      </c>
      <c r="C219" s="442"/>
      <c r="D219" s="442"/>
      <c r="E219" s="442"/>
      <c r="F219" s="295"/>
      <c r="G219" s="295"/>
      <c r="H219" s="295"/>
      <c r="I219" s="295"/>
      <c r="J219" s="296" t="b">
        <v>1</v>
      </c>
      <c r="K219" s="297" t="b">
        <v>0</v>
      </c>
      <c r="L219" s="209"/>
      <c r="N219" s="303" t="s">
        <v>1602</v>
      </c>
      <c r="O219" s="306" t="s">
        <v>1603</v>
      </c>
      <c r="P219" s="304" t="s">
        <v>1604</v>
      </c>
      <c r="Q219" s="307">
        <v>8.40472501014E11</v>
      </c>
      <c r="R219" s="209"/>
      <c r="S219" s="209"/>
      <c r="T219" s="209"/>
      <c r="U219" s="325"/>
      <c r="V219" s="296" t="b">
        <v>1</v>
      </c>
      <c r="W219" s="301" t="b">
        <v>0</v>
      </c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</row>
    <row r="220">
      <c r="A220" s="291"/>
      <c r="B220" s="303" t="s">
        <v>1605</v>
      </c>
      <c r="C220" s="344"/>
      <c r="D220" s="344"/>
      <c r="E220" s="344"/>
      <c r="F220" s="209"/>
      <c r="G220" s="209"/>
      <c r="H220" s="209"/>
      <c r="I220" s="209"/>
      <c r="J220" s="300" t="b">
        <v>1</v>
      </c>
      <c r="K220" s="301" t="b">
        <v>0</v>
      </c>
      <c r="L220" s="209"/>
      <c r="N220" s="303" t="s">
        <v>1607</v>
      </c>
      <c r="O220" s="306" t="s">
        <v>1608</v>
      </c>
      <c r="P220" s="304" t="s">
        <v>1609</v>
      </c>
      <c r="Q220" s="307">
        <v>8.40472501151E11</v>
      </c>
      <c r="R220" s="209"/>
      <c r="S220" s="209"/>
      <c r="T220" s="209"/>
      <c r="U220" s="325"/>
      <c r="V220" s="296" t="b">
        <v>1</v>
      </c>
      <c r="W220" s="301" t="b">
        <v>0</v>
      </c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</row>
    <row r="221">
      <c r="A221" s="291"/>
      <c r="B221" s="303" t="s">
        <v>1610</v>
      </c>
      <c r="C221" s="209"/>
      <c r="D221" s="209"/>
      <c r="E221" s="209"/>
      <c r="F221" s="209"/>
      <c r="G221" s="209"/>
      <c r="H221" s="209"/>
      <c r="I221" s="209"/>
      <c r="J221" s="300" t="b">
        <v>1</v>
      </c>
      <c r="K221" s="301" t="b">
        <v>0</v>
      </c>
      <c r="L221" s="209"/>
      <c r="N221" s="303" t="s">
        <v>1613</v>
      </c>
      <c r="O221" s="306" t="s">
        <v>1614</v>
      </c>
      <c r="P221" s="304" t="s">
        <v>1615</v>
      </c>
      <c r="Q221" s="307">
        <v>8.40472501168E11</v>
      </c>
      <c r="R221" s="209"/>
      <c r="S221" s="209"/>
      <c r="T221" s="209"/>
      <c r="U221" s="325"/>
      <c r="V221" s="296" t="b">
        <v>1</v>
      </c>
      <c r="W221" s="301" t="b">
        <v>0</v>
      </c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</row>
    <row r="222">
      <c r="A222" s="291"/>
      <c r="B222" s="303" t="s">
        <v>1616</v>
      </c>
      <c r="C222" s="209"/>
      <c r="D222" s="209"/>
      <c r="E222" s="209"/>
      <c r="F222" s="209"/>
      <c r="G222" s="209"/>
      <c r="H222" s="209"/>
      <c r="I222" s="209"/>
      <c r="J222" s="300" t="b">
        <v>1</v>
      </c>
      <c r="K222" s="301" t="b">
        <v>0</v>
      </c>
      <c r="L222" s="209"/>
      <c r="N222" s="303" t="s">
        <v>1618</v>
      </c>
      <c r="O222" s="306" t="s">
        <v>1619</v>
      </c>
      <c r="P222" s="304" t="s">
        <v>1620</v>
      </c>
      <c r="Q222" s="307">
        <v>8.40472501175E11</v>
      </c>
      <c r="R222" s="209"/>
      <c r="S222" s="209"/>
      <c r="T222" s="209"/>
      <c r="U222" s="325"/>
      <c r="V222" s="296" t="b">
        <v>1</v>
      </c>
      <c r="W222" s="301" t="b">
        <v>0</v>
      </c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</row>
    <row r="223">
      <c r="A223" s="291"/>
      <c r="B223" s="303" t="s">
        <v>1621</v>
      </c>
      <c r="C223" s="209"/>
      <c r="D223" s="209"/>
      <c r="E223" s="209"/>
      <c r="F223" s="209"/>
      <c r="G223" s="209"/>
      <c r="H223" s="209"/>
      <c r="I223" s="209"/>
      <c r="J223" s="300" t="b">
        <v>1</v>
      </c>
      <c r="K223" s="301" t="b">
        <v>0</v>
      </c>
      <c r="L223" s="209"/>
      <c r="N223" s="310" t="s">
        <v>1623</v>
      </c>
      <c r="O223" s="317" t="s">
        <v>1624</v>
      </c>
      <c r="P223" s="311" t="s">
        <v>1625</v>
      </c>
      <c r="Q223" s="318">
        <v>8.40472501199E11</v>
      </c>
      <c r="R223" s="313"/>
      <c r="S223" s="313"/>
      <c r="T223" s="313"/>
      <c r="U223" s="331"/>
      <c r="V223" s="296" t="b">
        <v>1</v>
      </c>
      <c r="W223" s="314" t="b">
        <v>0</v>
      </c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</row>
    <row r="224">
      <c r="A224" s="291"/>
      <c r="B224" s="303" t="s">
        <v>1626</v>
      </c>
      <c r="C224" s="209"/>
      <c r="D224" s="209"/>
      <c r="E224" s="209"/>
      <c r="F224" s="209"/>
      <c r="G224" s="209"/>
      <c r="H224" s="209"/>
      <c r="I224" s="209"/>
      <c r="J224" s="300" t="b">
        <v>1</v>
      </c>
      <c r="K224" s="301" t="b">
        <v>0</v>
      </c>
      <c r="L224" s="209"/>
      <c r="M224" s="209"/>
      <c r="N224" s="209"/>
      <c r="O224" s="209"/>
      <c r="P224" s="209"/>
      <c r="Q224" s="209"/>
      <c r="R224" s="344"/>
      <c r="S224" s="344"/>
      <c r="T224" s="344"/>
      <c r="U224" s="325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</row>
    <row r="225">
      <c r="A225" s="291"/>
      <c r="B225" s="303" t="s">
        <v>1628</v>
      </c>
      <c r="C225" s="209"/>
      <c r="D225" s="209"/>
      <c r="E225" s="209"/>
      <c r="F225" s="209"/>
      <c r="G225" s="209"/>
      <c r="H225" s="209"/>
      <c r="I225" s="209"/>
      <c r="J225" s="300" t="b">
        <v>1</v>
      </c>
      <c r="K225" s="301" t="b">
        <v>0</v>
      </c>
      <c r="L225" s="209"/>
      <c r="M225" s="327" t="s">
        <v>1630</v>
      </c>
      <c r="N225" s="319" t="s">
        <v>1631</v>
      </c>
      <c r="O225" s="320"/>
      <c r="P225" s="283" t="s">
        <v>1632</v>
      </c>
      <c r="Q225" s="336" t="s">
        <v>1424</v>
      </c>
      <c r="R225" s="320"/>
      <c r="S225" s="320"/>
      <c r="T225" s="276" t="s">
        <v>4115</v>
      </c>
      <c r="U225" s="372" t="s">
        <v>4117</v>
      </c>
      <c r="V225" s="278" t="str">
        <f>IF(COUNTIF(V226:V236, TRUE) = COUNTA(V226:V236), "Complete!", IF(COUNTIF(V226:V236, TRUE) &gt; 0, "Partial", "Not Started"))</f>
        <v>Complete!</v>
      </c>
      <c r="W225" s="279"/>
      <c r="X225" s="280">
        <v>11.0</v>
      </c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</row>
    <row r="226">
      <c r="A226" s="291"/>
      <c r="B226" s="303" t="s">
        <v>1634</v>
      </c>
      <c r="C226" s="209"/>
      <c r="D226" s="209"/>
      <c r="E226" s="209"/>
      <c r="F226" s="209"/>
      <c r="G226" s="209"/>
      <c r="H226" s="209"/>
      <c r="I226" s="209"/>
      <c r="J226" s="300" t="b">
        <v>1</v>
      </c>
      <c r="K226" s="301" t="b">
        <v>0</v>
      </c>
      <c r="L226" s="209"/>
      <c r="N226" s="292" t="s">
        <v>1636</v>
      </c>
      <c r="O226" s="298" t="s">
        <v>1637</v>
      </c>
      <c r="P226" s="293" t="s">
        <v>1638</v>
      </c>
      <c r="Q226" s="295"/>
      <c r="R226" s="295"/>
      <c r="S226" s="295"/>
      <c r="T226" s="295"/>
      <c r="U226" s="328"/>
      <c r="V226" s="296" t="b">
        <v>1</v>
      </c>
      <c r="W226" s="297" t="b">
        <v>0</v>
      </c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</row>
    <row r="227">
      <c r="A227" s="291"/>
      <c r="B227" s="303" t="s">
        <v>1639</v>
      </c>
      <c r="C227" s="209"/>
      <c r="D227" s="209"/>
      <c r="E227" s="209"/>
      <c r="F227" s="209"/>
      <c r="G227" s="209"/>
      <c r="H227" s="209"/>
      <c r="I227" s="209"/>
      <c r="J227" s="300" t="b">
        <v>1</v>
      </c>
      <c r="K227" s="301" t="b">
        <v>0</v>
      </c>
      <c r="L227" s="209"/>
      <c r="N227" s="354" t="s">
        <v>1641</v>
      </c>
      <c r="O227" s="306" t="s">
        <v>1642</v>
      </c>
      <c r="P227" s="304" t="s">
        <v>1643</v>
      </c>
      <c r="Q227" s="209"/>
      <c r="R227" s="209"/>
      <c r="S227" s="209"/>
      <c r="T227" s="209"/>
      <c r="U227" s="325"/>
      <c r="V227" s="296" t="b">
        <v>1</v>
      </c>
      <c r="W227" s="301" t="b">
        <v>0</v>
      </c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</row>
    <row r="228">
      <c r="A228" s="291"/>
      <c r="B228" s="303" t="s">
        <v>1644</v>
      </c>
      <c r="C228" s="209"/>
      <c r="D228" s="209"/>
      <c r="E228" s="209"/>
      <c r="F228" s="209"/>
      <c r="G228" s="209"/>
      <c r="H228" s="209"/>
      <c r="I228" s="209"/>
      <c r="J228" s="300" t="b">
        <v>1</v>
      </c>
      <c r="K228" s="301" t="b">
        <v>0</v>
      </c>
      <c r="L228" s="209"/>
      <c r="N228" s="303" t="s">
        <v>1646</v>
      </c>
      <c r="O228" s="306" t="s">
        <v>1647</v>
      </c>
      <c r="P228" s="304" t="s">
        <v>1648</v>
      </c>
      <c r="Q228" s="209"/>
      <c r="R228" s="209"/>
      <c r="S228" s="209"/>
      <c r="T228" s="209"/>
      <c r="U228" s="325"/>
      <c r="V228" s="296" t="b">
        <v>1</v>
      </c>
      <c r="W228" s="301" t="b">
        <v>0</v>
      </c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</row>
    <row r="229">
      <c r="A229" s="309"/>
      <c r="B229" s="310" t="s">
        <v>1649</v>
      </c>
      <c r="C229" s="313"/>
      <c r="D229" s="313"/>
      <c r="E229" s="313"/>
      <c r="F229" s="209"/>
      <c r="G229" s="313"/>
      <c r="H229" s="313"/>
      <c r="I229" s="313"/>
      <c r="J229" s="300" t="b">
        <v>1</v>
      </c>
      <c r="K229" s="314" t="b">
        <v>0</v>
      </c>
      <c r="L229" s="209"/>
      <c r="N229" s="303" t="s">
        <v>1651</v>
      </c>
      <c r="O229" s="306" t="s">
        <v>1652</v>
      </c>
      <c r="P229" s="304" t="s">
        <v>1653</v>
      </c>
      <c r="Q229" s="209"/>
      <c r="R229" s="209"/>
      <c r="S229" s="209"/>
      <c r="T229" s="209"/>
      <c r="U229" s="325"/>
      <c r="V229" s="296" t="b">
        <v>1</v>
      </c>
      <c r="W229" s="301" t="b">
        <v>0</v>
      </c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</row>
    <row r="230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N230" s="303" t="s">
        <v>1654</v>
      </c>
      <c r="O230" s="306" t="s">
        <v>1655</v>
      </c>
      <c r="P230" s="304" t="s">
        <v>1656</v>
      </c>
      <c r="Q230" s="307">
        <v>8.40472500949E11</v>
      </c>
      <c r="R230" s="209"/>
      <c r="S230" s="209"/>
      <c r="T230" s="209"/>
      <c r="U230" s="325"/>
      <c r="V230" s="296" t="b">
        <v>1</v>
      </c>
      <c r="W230" s="301" t="b">
        <v>0</v>
      </c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</row>
    <row r="231">
      <c r="A231" s="316" t="s">
        <v>1421</v>
      </c>
      <c r="B231" s="319" t="s">
        <v>261</v>
      </c>
      <c r="C231" s="320"/>
      <c r="D231" s="283" t="s">
        <v>260</v>
      </c>
      <c r="E231" s="322" t="s">
        <v>1595</v>
      </c>
      <c r="F231" s="320"/>
      <c r="G231" s="320"/>
      <c r="H231" s="276" t="s">
        <v>1847</v>
      </c>
      <c r="I231" s="285" t="s">
        <v>4118</v>
      </c>
      <c r="J231" s="278" t="str">
        <f>IF(COUNTIF(J232:J240, TRUE) = COUNTA(J232:J240), "Complete!", IF(COUNTIF(J232:J240, TRUE) &gt; 0, "Partial", "Not Started"))</f>
        <v>Complete!</v>
      </c>
      <c r="K231" s="279"/>
      <c r="L231" s="280">
        <v>9.0</v>
      </c>
      <c r="N231" s="303" t="s">
        <v>1657</v>
      </c>
      <c r="O231" s="306" t="s">
        <v>1658</v>
      </c>
      <c r="P231" s="304" t="s">
        <v>1659</v>
      </c>
      <c r="Q231" s="307">
        <v>8.40472500956E11</v>
      </c>
      <c r="R231" s="209"/>
      <c r="S231" s="209"/>
      <c r="T231" s="209"/>
      <c r="U231" s="325"/>
      <c r="V231" s="296" t="b">
        <v>1</v>
      </c>
      <c r="W231" s="301" t="b">
        <v>0</v>
      </c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</row>
    <row r="232">
      <c r="A232" s="291"/>
      <c r="B232" s="382" t="s">
        <v>1660</v>
      </c>
      <c r="C232" s="295"/>
      <c r="D232" s="295"/>
      <c r="E232" s="295"/>
      <c r="F232" s="295"/>
      <c r="G232" s="295"/>
      <c r="H232" s="295"/>
      <c r="I232" s="295"/>
      <c r="J232" s="296" t="b">
        <v>1</v>
      </c>
      <c r="K232" s="297" t="b">
        <v>0</v>
      </c>
      <c r="L232" s="209"/>
      <c r="N232" s="303" t="s">
        <v>1662</v>
      </c>
      <c r="O232" s="306" t="s">
        <v>1663</v>
      </c>
      <c r="P232" s="304" t="s">
        <v>1664</v>
      </c>
      <c r="Q232" s="307">
        <v>8.40472500994E11</v>
      </c>
      <c r="R232" s="209"/>
      <c r="S232" s="209"/>
      <c r="T232" s="209"/>
      <c r="U232" s="325"/>
      <c r="V232" s="296" t="b">
        <v>1</v>
      </c>
      <c r="W232" s="301" t="b">
        <v>0</v>
      </c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</row>
    <row r="233">
      <c r="A233" s="291"/>
      <c r="B233" s="303" t="s">
        <v>1665</v>
      </c>
      <c r="C233" s="209"/>
      <c r="D233" s="209"/>
      <c r="E233" s="209"/>
      <c r="F233" s="209"/>
      <c r="G233" s="209"/>
      <c r="H233" s="209"/>
      <c r="I233" s="209"/>
      <c r="J233" s="300" t="b">
        <v>1</v>
      </c>
      <c r="K233" s="301" t="b">
        <v>0</v>
      </c>
      <c r="L233" s="209"/>
      <c r="N233" s="303" t="s">
        <v>1667</v>
      </c>
      <c r="O233" s="306" t="s">
        <v>1668</v>
      </c>
      <c r="P233" s="304" t="s">
        <v>1669</v>
      </c>
      <c r="Q233" s="307">
        <v>8.4047250109E11</v>
      </c>
      <c r="R233" s="209"/>
      <c r="S233" s="209"/>
      <c r="T233" s="209"/>
      <c r="U233" s="325"/>
      <c r="V233" s="296" t="b">
        <v>1</v>
      </c>
      <c r="W233" s="301" t="b">
        <v>0</v>
      </c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</row>
    <row r="234">
      <c r="A234" s="291"/>
      <c r="B234" s="303" t="s">
        <v>1670</v>
      </c>
      <c r="C234" s="209"/>
      <c r="D234" s="209"/>
      <c r="E234" s="209"/>
      <c r="F234" s="209"/>
      <c r="G234" s="209"/>
      <c r="H234" s="209"/>
      <c r="I234" s="209"/>
      <c r="J234" s="300" t="b">
        <v>1</v>
      </c>
      <c r="K234" s="301" t="b">
        <v>0</v>
      </c>
      <c r="L234" s="209"/>
      <c r="N234" s="303" t="s">
        <v>1672</v>
      </c>
      <c r="O234" s="306" t="s">
        <v>1673</v>
      </c>
      <c r="P234" s="304" t="s">
        <v>1674</v>
      </c>
      <c r="Q234" s="307">
        <v>8.40472501106E11</v>
      </c>
      <c r="R234" s="209"/>
      <c r="S234" s="209"/>
      <c r="T234" s="209"/>
      <c r="U234" s="325"/>
      <c r="V234" s="296" t="b">
        <v>1</v>
      </c>
      <c r="W234" s="301" t="b">
        <v>0</v>
      </c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</row>
    <row r="235">
      <c r="A235" s="291"/>
      <c r="B235" s="303" t="s">
        <v>1675</v>
      </c>
      <c r="C235" s="209"/>
      <c r="D235" s="209"/>
      <c r="E235" s="209"/>
      <c r="F235" s="209"/>
      <c r="G235" s="209"/>
      <c r="H235" s="209"/>
      <c r="I235" s="209"/>
      <c r="J235" s="300" t="b">
        <v>1</v>
      </c>
      <c r="K235" s="301" t="b">
        <v>0</v>
      </c>
      <c r="L235" s="209"/>
      <c r="N235" s="303" t="s">
        <v>1677</v>
      </c>
      <c r="O235" s="306" t="s">
        <v>1678</v>
      </c>
      <c r="P235" s="304" t="s">
        <v>1679</v>
      </c>
      <c r="Q235" s="307">
        <v>8.40472501113E11</v>
      </c>
      <c r="R235" s="209"/>
      <c r="S235" s="209"/>
      <c r="T235" s="209"/>
      <c r="U235" s="325"/>
      <c r="V235" s="296" t="b">
        <v>1</v>
      </c>
      <c r="W235" s="301" t="b">
        <v>0</v>
      </c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</row>
    <row r="236">
      <c r="A236" s="291"/>
      <c r="B236" s="303" t="s">
        <v>1680</v>
      </c>
      <c r="C236" s="209"/>
      <c r="D236" s="209"/>
      <c r="E236" s="209"/>
      <c r="F236" s="209"/>
      <c r="G236" s="209"/>
      <c r="H236" s="209"/>
      <c r="I236" s="209"/>
      <c r="J236" s="300" t="b">
        <v>1</v>
      </c>
      <c r="K236" s="301" t="b">
        <v>0</v>
      </c>
      <c r="L236" s="209"/>
      <c r="N236" s="310" t="s">
        <v>1682</v>
      </c>
      <c r="O236" s="317" t="s">
        <v>1683</v>
      </c>
      <c r="P236" s="311" t="s">
        <v>1684</v>
      </c>
      <c r="Q236" s="318">
        <v>8.4047250112E11</v>
      </c>
      <c r="R236" s="313"/>
      <c r="S236" s="313"/>
      <c r="T236" s="313"/>
      <c r="U236" s="331"/>
      <c r="V236" s="296" t="b">
        <v>1</v>
      </c>
      <c r="W236" s="314" t="b">
        <v>0</v>
      </c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</row>
    <row r="237">
      <c r="A237" s="291"/>
      <c r="B237" s="303" t="s">
        <v>1685</v>
      </c>
      <c r="C237" s="209"/>
      <c r="D237" s="209"/>
      <c r="E237" s="209"/>
      <c r="F237" s="209"/>
      <c r="G237" s="209"/>
      <c r="H237" s="209"/>
      <c r="I237" s="209"/>
      <c r="J237" s="300" t="b">
        <v>1</v>
      </c>
      <c r="K237" s="301" t="b">
        <v>0</v>
      </c>
      <c r="L237" s="209"/>
      <c r="M237" s="209"/>
      <c r="N237" s="209"/>
      <c r="O237" s="209"/>
      <c r="P237" s="209"/>
      <c r="Q237" s="209"/>
      <c r="R237" s="344"/>
      <c r="S237" s="344"/>
      <c r="T237" s="344"/>
      <c r="U237" s="325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</row>
    <row r="238">
      <c r="A238" s="291"/>
      <c r="B238" s="303" t="s">
        <v>1687</v>
      </c>
      <c r="C238" s="209"/>
      <c r="D238" s="209"/>
      <c r="E238" s="209"/>
      <c r="F238" s="209"/>
      <c r="G238" s="209"/>
      <c r="H238" s="209"/>
      <c r="I238" s="209"/>
      <c r="J238" s="300" t="b">
        <v>1</v>
      </c>
      <c r="K238" s="301" t="b">
        <v>0</v>
      </c>
      <c r="L238" s="209"/>
      <c r="M238" s="327" t="s">
        <v>1689</v>
      </c>
      <c r="N238" s="443" t="s">
        <v>1725</v>
      </c>
      <c r="O238" s="273"/>
      <c r="P238" s="273"/>
      <c r="Q238" s="387" t="s">
        <v>1424</v>
      </c>
      <c r="R238" s="320"/>
      <c r="S238" s="320"/>
      <c r="T238" s="276" t="s">
        <v>888</v>
      </c>
      <c r="U238" s="274" t="s">
        <v>1009</v>
      </c>
      <c r="V238" s="278" t="str">
        <f>IF(COUNTIF(V239:V244, TRUE) = COUNTA(V239:V244), "Complete!", IF(COUNTIF(V239:V244, TRUE) &gt; 0, "Partial", "Not Started"))</f>
        <v>Complete!</v>
      </c>
      <c r="W238" s="279"/>
      <c r="X238" s="280">
        <v>6.0</v>
      </c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</row>
    <row r="239">
      <c r="A239" s="291"/>
      <c r="B239" s="303" t="s">
        <v>1692</v>
      </c>
      <c r="C239" s="209"/>
      <c r="D239" s="209"/>
      <c r="E239" s="209"/>
      <c r="F239" s="209"/>
      <c r="G239" s="209"/>
      <c r="H239" s="209"/>
      <c r="I239" s="209"/>
      <c r="J239" s="300" t="b">
        <v>1</v>
      </c>
      <c r="K239" s="301" t="b">
        <v>0</v>
      </c>
      <c r="L239" s="209"/>
      <c r="N239" s="292" t="s">
        <v>1694</v>
      </c>
      <c r="O239" s="293" t="s">
        <v>4119</v>
      </c>
      <c r="P239" s="293" t="s">
        <v>1696</v>
      </c>
      <c r="Q239" s="295"/>
      <c r="R239" s="295"/>
      <c r="S239" s="295"/>
      <c r="T239" s="295"/>
      <c r="U239" s="293" t="s">
        <v>4120</v>
      </c>
      <c r="V239" s="296" t="b">
        <v>1</v>
      </c>
      <c r="W239" s="297" t="b">
        <v>0</v>
      </c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</row>
    <row r="240">
      <c r="A240" s="309"/>
      <c r="B240" s="310" t="s">
        <v>1697</v>
      </c>
      <c r="C240" s="313"/>
      <c r="D240" s="313"/>
      <c r="E240" s="313"/>
      <c r="F240" s="209"/>
      <c r="G240" s="313"/>
      <c r="H240" s="313"/>
      <c r="I240" s="313"/>
      <c r="J240" s="300" t="b">
        <v>1</v>
      </c>
      <c r="K240" s="314" t="b">
        <v>0</v>
      </c>
      <c r="L240" s="209"/>
      <c r="N240" s="303" t="s">
        <v>1699</v>
      </c>
      <c r="O240" s="304" t="s">
        <v>4121</v>
      </c>
      <c r="P240" s="304" t="s">
        <v>1701</v>
      </c>
      <c r="Q240" s="209"/>
      <c r="R240" s="209"/>
      <c r="S240" s="209"/>
      <c r="T240" s="209"/>
      <c r="U240" s="293" t="s">
        <v>4120</v>
      </c>
      <c r="V240" s="296" t="b">
        <v>1</v>
      </c>
      <c r="W240" s="301" t="b">
        <v>0</v>
      </c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</row>
    <row r="24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N241" s="303" t="s">
        <v>1702</v>
      </c>
      <c r="O241" s="304" t="s">
        <v>4122</v>
      </c>
      <c r="P241" s="304" t="s">
        <v>1704</v>
      </c>
      <c r="Q241" s="209"/>
      <c r="R241" s="209"/>
      <c r="S241" s="209"/>
      <c r="T241" s="209"/>
      <c r="U241" s="293" t="s">
        <v>4120</v>
      </c>
      <c r="V241" s="296" t="b">
        <v>1</v>
      </c>
      <c r="W241" s="301" t="b">
        <v>0</v>
      </c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</row>
    <row r="242">
      <c r="A242" s="316" t="s">
        <v>1488</v>
      </c>
      <c r="B242" s="319" t="s">
        <v>221</v>
      </c>
      <c r="C242" s="320"/>
      <c r="D242" s="388" t="s">
        <v>220</v>
      </c>
      <c r="E242" s="322" t="s">
        <v>1705</v>
      </c>
      <c r="F242" s="273"/>
      <c r="G242" s="273"/>
      <c r="H242" s="276" t="s">
        <v>1847</v>
      </c>
      <c r="I242" s="285" t="s">
        <v>3414</v>
      </c>
      <c r="J242" s="278" t="str">
        <f>IF(COUNTIF(J243:J249, TRUE) = COUNTA(J243:J249), "Complete!", IF(COUNTIF(J243:J249, TRUE) &gt; 0, "Partial", "Not Started"))</f>
        <v>Complete!</v>
      </c>
      <c r="K242" s="279"/>
      <c r="L242" s="280">
        <v>7.0</v>
      </c>
      <c r="N242" s="303" t="s">
        <v>1707</v>
      </c>
      <c r="O242" s="304" t="s">
        <v>4123</v>
      </c>
      <c r="P242" s="304" t="s">
        <v>1709</v>
      </c>
      <c r="Q242" s="209"/>
      <c r="R242" s="209"/>
      <c r="S242" s="209"/>
      <c r="T242" s="209"/>
      <c r="U242" s="293" t="s">
        <v>4120</v>
      </c>
      <c r="V242" s="296" t="b">
        <v>1</v>
      </c>
      <c r="W242" s="301" t="b">
        <v>0</v>
      </c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</row>
    <row r="243">
      <c r="A243" s="291"/>
      <c r="B243" s="292" t="s">
        <v>1710</v>
      </c>
      <c r="C243" s="295"/>
      <c r="D243" s="295"/>
      <c r="E243" s="295"/>
      <c r="F243" s="295"/>
      <c r="G243" s="295"/>
      <c r="H243" s="295"/>
      <c r="I243" s="295"/>
      <c r="J243" s="296" t="b">
        <v>1</v>
      </c>
      <c r="K243" s="297" t="b">
        <v>0</v>
      </c>
      <c r="L243" s="209"/>
      <c r="N243" s="303" t="s">
        <v>1712</v>
      </c>
      <c r="O243" s="304" t="s">
        <v>4124</v>
      </c>
      <c r="P243" s="304" t="s">
        <v>1714</v>
      </c>
      <c r="Q243" s="209"/>
      <c r="R243" s="209"/>
      <c r="S243" s="209"/>
      <c r="T243" s="209"/>
      <c r="U243" s="293" t="s">
        <v>4120</v>
      </c>
      <c r="V243" s="296" t="b">
        <v>1</v>
      </c>
      <c r="W243" s="301" t="b">
        <v>0</v>
      </c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</row>
    <row r="244">
      <c r="A244" s="291"/>
      <c r="B244" s="303" t="s">
        <v>1715</v>
      </c>
      <c r="C244" s="209"/>
      <c r="D244" s="209"/>
      <c r="E244" s="209"/>
      <c r="F244" s="209"/>
      <c r="G244" s="209"/>
      <c r="H244" s="209"/>
      <c r="I244" s="209"/>
      <c r="J244" s="300" t="b">
        <v>1</v>
      </c>
      <c r="K244" s="301" t="b">
        <v>0</v>
      </c>
      <c r="L244" s="209"/>
      <c r="N244" s="310" t="s">
        <v>1717</v>
      </c>
      <c r="O244" s="317" t="s">
        <v>4125</v>
      </c>
      <c r="P244" s="311" t="s">
        <v>1719</v>
      </c>
      <c r="Q244" s="364">
        <v>8.10115970682E11</v>
      </c>
      <c r="R244" s="313"/>
      <c r="S244" s="313"/>
      <c r="T244" s="313"/>
      <c r="U244" s="293" t="s">
        <v>4120</v>
      </c>
      <c r="V244" s="296" t="b">
        <v>1</v>
      </c>
      <c r="W244" s="314" t="b">
        <v>0</v>
      </c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</row>
    <row r="245">
      <c r="A245" s="291"/>
      <c r="B245" s="303" t="s">
        <v>1720</v>
      </c>
      <c r="C245" s="209"/>
      <c r="D245" s="209"/>
      <c r="E245" s="209"/>
      <c r="F245" s="209"/>
      <c r="G245" s="209"/>
      <c r="H245" s="209"/>
      <c r="I245" s="209"/>
      <c r="J245" s="300" t="b">
        <v>1</v>
      </c>
      <c r="K245" s="301" t="b">
        <v>0</v>
      </c>
      <c r="L245" s="209"/>
      <c r="M245" s="209"/>
      <c r="N245" s="209"/>
      <c r="O245" s="209"/>
      <c r="P245" s="209"/>
      <c r="Q245" s="209"/>
      <c r="R245" s="344"/>
      <c r="S245" s="344"/>
      <c r="T245" s="344"/>
      <c r="U245" s="325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</row>
    <row r="246">
      <c r="A246" s="291"/>
      <c r="B246" s="303" t="s">
        <v>1722</v>
      </c>
      <c r="C246" s="209"/>
      <c r="D246" s="209"/>
      <c r="E246" s="209"/>
      <c r="F246" s="209"/>
      <c r="G246" s="209"/>
      <c r="H246" s="209"/>
      <c r="I246" s="209"/>
      <c r="J246" s="300" t="b">
        <v>1</v>
      </c>
      <c r="K246" s="301" t="b">
        <v>0</v>
      </c>
      <c r="L246" s="209"/>
      <c r="M246" s="327" t="s">
        <v>1724</v>
      </c>
      <c r="N246" s="443" t="s">
        <v>1725</v>
      </c>
      <c r="O246" s="273"/>
      <c r="P246" s="273"/>
      <c r="Q246" s="387" t="s">
        <v>1424</v>
      </c>
      <c r="R246" s="320"/>
      <c r="S246" s="320"/>
      <c r="T246" s="276" t="s">
        <v>888</v>
      </c>
      <c r="U246" s="274" t="s">
        <v>1009</v>
      </c>
      <c r="V246" s="278" t="str">
        <f>IF(COUNTIF(V247:V251, TRUE) = COUNTA(V247:V251), "Complete!", IF(COUNTIF(V247:V251, TRUE) &gt; 0, "Partial", "Not Started"))</f>
        <v>Complete!</v>
      </c>
      <c r="W246" s="279"/>
      <c r="X246" s="280">
        <v>5.0</v>
      </c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</row>
    <row r="247">
      <c r="A247" s="291"/>
      <c r="B247" s="303" t="s">
        <v>1727</v>
      </c>
      <c r="C247" s="209"/>
      <c r="D247" s="209"/>
      <c r="E247" s="209"/>
      <c r="F247" s="209"/>
      <c r="G247" s="209"/>
      <c r="H247" s="209"/>
      <c r="I247" s="209"/>
      <c r="J247" s="300" t="b">
        <v>1</v>
      </c>
      <c r="K247" s="301" t="b">
        <v>0</v>
      </c>
      <c r="L247" s="209"/>
      <c r="N247" s="292" t="s">
        <v>1730</v>
      </c>
      <c r="O247" s="295"/>
      <c r="P247" s="293" t="s">
        <v>1731</v>
      </c>
      <c r="Q247" s="295"/>
      <c r="R247" s="295"/>
      <c r="S247" s="295"/>
      <c r="T247" s="295"/>
      <c r="U247" s="293" t="s">
        <v>4120</v>
      </c>
      <c r="V247" s="296" t="b">
        <v>1</v>
      </c>
      <c r="W247" s="297" t="b">
        <v>0</v>
      </c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</row>
    <row r="248">
      <c r="A248" s="291"/>
      <c r="B248" s="303" t="s">
        <v>1732</v>
      </c>
      <c r="C248" s="209"/>
      <c r="D248" s="209"/>
      <c r="E248" s="209"/>
      <c r="F248" s="209"/>
      <c r="G248" s="209"/>
      <c r="H248" s="209"/>
      <c r="I248" s="209"/>
      <c r="J248" s="300" t="b">
        <v>1</v>
      </c>
      <c r="K248" s="301" t="b">
        <v>0</v>
      </c>
      <c r="L248" s="209"/>
      <c r="N248" s="303" t="s">
        <v>1733</v>
      </c>
      <c r="O248" s="209"/>
      <c r="P248" s="304" t="s">
        <v>1734</v>
      </c>
      <c r="Q248" s="209"/>
      <c r="R248" s="209"/>
      <c r="S248" s="209"/>
      <c r="T248" s="209"/>
      <c r="U248" s="293" t="s">
        <v>4120</v>
      </c>
      <c r="V248" s="300" t="b">
        <v>1</v>
      </c>
      <c r="W248" s="301" t="b">
        <v>0</v>
      </c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</row>
    <row r="249">
      <c r="A249" s="309"/>
      <c r="B249" s="310" t="s">
        <v>1735</v>
      </c>
      <c r="C249" s="313"/>
      <c r="D249" s="313"/>
      <c r="E249" s="313"/>
      <c r="F249" s="209"/>
      <c r="G249" s="313"/>
      <c r="H249" s="313"/>
      <c r="I249" s="313"/>
      <c r="J249" s="300" t="b">
        <v>1</v>
      </c>
      <c r="K249" s="314" t="b">
        <v>0</v>
      </c>
      <c r="L249" s="209"/>
      <c r="N249" s="303" t="s">
        <v>1737</v>
      </c>
      <c r="O249" s="209"/>
      <c r="P249" s="304" t="s">
        <v>1738</v>
      </c>
      <c r="Q249" s="209"/>
      <c r="R249" s="209"/>
      <c r="S249" s="209"/>
      <c r="T249" s="209"/>
      <c r="U249" s="293" t="s">
        <v>4120</v>
      </c>
      <c r="V249" s="300" t="b">
        <v>1</v>
      </c>
      <c r="W249" s="301" t="b">
        <v>0</v>
      </c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</row>
    <row r="250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N250" s="303" t="s">
        <v>1739</v>
      </c>
      <c r="O250" s="209"/>
      <c r="P250" s="304" t="s">
        <v>1740</v>
      </c>
      <c r="Q250" s="209"/>
      <c r="R250" s="209"/>
      <c r="S250" s="209"/>
      <c r="T250" s="209"/>
      <c r="U250" s="293" t="s">
        <v>4120</v>
      </c>
      <c r="V250" s="300" t="b">
        <v>1</v>
      </c>
      <c r="W250" s="301" t="b">
        <v>0</v>
      </c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</row>
    <row r="25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N251" s="310" t="s">
        <v>1741</v>
      </c>
      <c r="O251" s="313"/>
      <c r="P251" s="311" t="s">
        <v>1742</v>
      </c>
      <c r="Q251" s="313"/>
      <c r="R251" s="313"/>
      <c r="S251" s="313"/>
      <c r="T251" s="313"/>
      <c r="U251" s="293" t="s">
        <v>4120</v>
      </c>
      <c r="V251" s="350" t="b">
        <v>1</v>
      </c>
      <c r="W251" s="314" t="b">
        <v>0</v>
      </c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</row>
    <row r="25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</row>
    <row r="253">
      <c r="A253" s="316" t="s">
        <v>1558</v>
      </c>
      <c r="B253" s="319" t="s">
        <v>225</v>
      </c>
      <c r="C253" s="320"/>
      <c r="D253" s="388" t="s">
        <v>224</v>
      </c>
      <c r="E253" s="322" t="s">
        <v>1705</v>
      </c>
      <c r="F253" s="273"/>
      <c r="G253" s="273"/>
      <c r="H253" s="276" t="s">
        <v>888</v>
      </c>
      <c r="I253" s="285" t="s">
        <v>889</v>
      </c>
      <c r="J253" s="278" t="str">
        <f>IF(COUNTIF(J254:J260, TRUE) = COUNTA(J254:J260), "Complete!", IF(COUNTIF(J254:J260, TRUE) &gt; 0, "Partial", "Not Started"))</f>
        <v>Complete!</v>
      </c>
      <c r="K253" s="279"/>
      <c r="L253" s="280">
        <v>7.0</v>
      </c>
      <c r="M253" s="281" t="s">
        <v>1747</v>
      </c>
      <c r="N253" s="319" t="s">
        <v>1748</v>
      </c>
      <c r="O253" s="320"/>
      <c r="P253" s="283" t="s">
        <v>1749</v>
      </c>
      <c r="Q253" s="336" t="s">
        <v>116</v>
      </c>
      <c r="R253" s="320"/>
      <c r="S253" s="320"/>
      <c r="T253" s="276" t="s">
        <v>2803</v>
      </c>
      <c r="U253" s="372" t="s">
        <v>4049</v>
      </c>
      <c r="V253" s="278" t="str">
        <f>IF(COUNTIF(V254:V257, TRUE) = COUNTA(V254:V257), "Complete!", IF(COUNTIF(V254:V257, TRUE) &gt; 0, "Partial", "Not Started"))</f>
        <v>Complete!</v>
      </c>
      <c r="W253" s="279"/>
      <c r="X253" s="280">
        <v>4.0</v>
      </c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</row>
    <row r="254">
      <c r="A254" s="291"/>
      <c r="B254" s="292" t="s">
        <v>1743</v>
      </c>
      <c r="C254" s="295"/>
      <c r="D254" s="295"/>
      <c r="E254" s="295"/>
      <c r="F254" s="295"/>
      <c r="G254" s="295"/>
      <c r="H254" s="295"/>
      <c r="I254" s="295"/>
      <c r="J254" s="296" t="b">
        <v>1</v>
      </c>
      <c r="K254" s="297" t="b">
        <v>0</v>
      </c>
      <c r="L254" s="209"/>
      <c r="M254" s="291"/>
      <c r="N254" s="389" t="s">
        <v>1754</v>
      </c>
      <c r="O254" s="298" t="s">
        <v>588</v>
      </c>
      <c r="P254" s="293" t="s">
        <v>1755</v>
      </c>
      <c r="Q254" s="299">
        <v>8.40472500109E11</v>
      </c>
      <c r="R254" s="295"/>
      <c r="S254" s="295"/>
      <c r="T254" s="295"/>
      <c r="U254" s="328"/>
      <c r="V254" s="300" t="b">
        <v>1</v>
      </c>
      <c r="W254" s="301" t="b">
        <v>0</v>
      </c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</row>
    <row r="255">
      <c r="A255" s="291"/>
      <c r="B255" s="303" t="s">
        <v>1745</v>
      </c>
      <c r="C255" s="209"/>
      <c r="D255" s="209"/>
      <c r="E255" s="209"/>
      <c r="F255" s="209"/>
      <c r="G255" s="209"/>
      <c r="H255" s="209"/>
      <c r="I255" s="209"/>
      <c r="J255" s="300" t="b">
        <v>1</v>
      </c>
      <c r="K255" s="301" t="b">
        <v>0</v>
      </c>
      <c r="L255" s="209"/>
      <c r="M255" s="291"/>
      <c r="N255" s="303" t="s">
        <v>1758</v>
      </c>
      <c r="O255" s="306" t="s">
        <v>588</v>
      </c>
      <c r="P255" s="304" t="s">
        <v>1759</v>
      </c>
      <c r="Q255" s="307">
        <v>8.40472500116E11</v>
      </c>
      <c r="R255" s="209"/>
      <c r="S255" s="209"/>
      <c r="T255" s="209"/>
      <c r="U255" s="325"/>
      <c r="V255" s="300" t="b">
        <v>1</v>
      </c>
      <c r="W255" s="301" t="b">
        <v>0</v>
      </c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</row>
    <row r="256">
      <c r="A256" s="291"/>
      <c r="B256" s="303" t="s">
        <v>1752</v>
      </c>
      <c r="C256" s="209"/>
      <c r="D256" s="209"/>
      <c r="E256" s="209"/>
      <c r="F256" s="209"/>
      <c r="G256" s="209"/>
      <c r="H256" s="209"/>
      <c r="I256" s="209"/>
      <c r="J256" s="300" t="b">
        <v>1</v>
      </c>
      <c r="K256" s="301" t="b">
        <v>0</v>
      </c>
      <c r="L256" s="209"/>
      <c r="M256" s="291"/>
      <c r="N256" s="354" t="s">
        <v>1762</v>
      </c>
      <c r="O256" s="306" t="s">
        <v>588</v>
      </c>
      <c r="P256" s="304" t="s">
        <v>1763</v>
      </c>
      <c r="Q256" s="209"/>
      <c r="R256" s="209"/>
      <c r="S256" s="209"/>
      <c r="T256" s="209"/>
      <c r="U256" s="325"/>
      <c r="V256" s="300" t="b">
        <v>1</v>
      </c>
      <c r="W256" s="301" t="b">
        <v>0</v>
      </c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</row>
    <row r="257">
      <c r="A257" s="291"/>
      <c r="B257" s="303" t="s">
        <v>1756</v>
      </c>
      <c r="C257" s="209"/>
      <c r="D257" s="209"/>
      <c r="E257" s="209"/>
      <c r="F257" s="209"/>
      <c r="G257" s="209"/>
      <c r="H257" s="209"/>
      <c r="I257" s="209"/>
      <c r="J257" s="300" t="b">
        <v>1</v>
      </c>
      <c r="K257" s="301" t="b">
        <v>0</v>
      </c>
      <c r="L257" s="209"/>
      <c r="M257" s="309"/>
      <c r="N257" s="310" t="s">
        <v>1766</v>
      </c>
      <c r="O257" s="317" t="s">
        <v>588</v>
      </c>
      <c r="P257" s="311" t="s">
        <v>1767</v>
      </c>
      <c r="Q257" s="318">
        <v>8.40472500123E11</v>
      </c>
      <c r="R257" s="313"/>
      <c r="S257" s="313"/>
      <c r="T257" s="313"/>
      <c r="U257" s="331"/>
      <c r="V257" s="350" t="b">
        <v>1</v>
      </c>
      <c r="W257" s="314" t="b">
        <v>0</v>
      </c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</row>
    <row r="258">
      <c r="A258" s="291"/>
      <c r="B258" s="303" t="s">
        <v>1760</v>
      </c>
      <c r="C258" s="209"/>
      <c r="D258" s="209"/>
      <c r="E258" s="209"/>
      <c r="F258" s="209"/>
      <c r="G258" s="209"/>
      <c r="H258" s="209"/>
      <c r="I258" s="209"/>
      <c r="J258" s="300" t="b">
        <v>1</v>
      </c>
      <c r="K258" s="301" t="b">
        <v>0</v>
      </c>
      <c r="L258" s="209"/>
      <c r="M258" s="209"/>
      <c r="N258" s="209"/>
      <c r="O258" s="209"/>
      <c r="P258" s="209"/>
      <c r="Q258" s="209"/>
      <c r="R258" s="344"/>
      <c r="S258" s="344"/>
      <c r="T258" s="344"/>
      <c r="U258" s="325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</row>
    <row r="259">
      <c r="A259" s="291"/>
      <c r="B259" s="303" t="s">
        <v>1764</v>
      </c>
      <c r="C259" s="209"/>
      <c r="D259" s="209"/>
      <c r="E259" s="209"/>
      <c r="F259" s="209"/>
      <c r="G259" s="209"/>
      <c r="H259" s="209"/>
      <c r="I259" s="209"/>
      <c r="J259" s="300" t="b">
        <v>1</v>
      </c>
      <c r="K259" s="301" t="b">
        <v>0</v>
      </c>
      <c r="L259" s="209"/>
      <c r="M259" s="281" t="s">
        <v>1770</v>
      </c>
      <c r="N259" s="319" t="s">
        <v>1771</v>
      </c>
      <c r="O259" s="320"/>
      <c r="P259" s="283" t="s">
        <v>1772</v>
      </c>
      <c r="Q259" s="336" t="s">
        <v>116</v>
      </c>
      <c r="R259" s="320"/>
      <c r="S259" s="320"/>
      <c r="T259" s="276" t="s">
        <v>376</v>
      </c>
      <c r="U259" s="372" t="s">
        <v>4126</v>
      </c>
      <c r="V259" s="278" t="str">
        <f>IF(COUNTIF(V260:V263, TRUE) = COUNTA(V260:V263), "Complete!", IF(COUNTIF(V260:V263, TRUE) &gt; 0, "Partial", "Not Started"))</f>
        <v>Complete!</v>
      </c>
      <c r="W259" s="279"/>
      <c r="X259" s="280">
        <v>4.0</v>
      </c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</row>
    <row r="260">
      <c r="A260" s="309"/>
      <c r="B260" s="310" t="s">
        <v>1768</v>
      </c>
      <c r="C260" s="313"/>
      <c r="D260" s="313"/>
      <c r="E260" s="313"/>
      <c r="F260" s="209"/>
      <c r="G260" s="313"/>
      <c r="H260" s="313"/>
      <c r="I260" s="313"/>
      <c r="J260" s="300" t="b">
        <v>1</v>
      </c>
      <c r="K260" s="314" t="b">
        <v>0</v>
      </c>
      <c r="L260" s="209"/>
      <c r="M260" s="291"/>
      <c r="N260" s="389" t="s">
        <v>1775</v>
      </c>
      <c r="O260" s="298" t="s">
        <v>394</v>
      </c>
      <c r="P260" s="293" t="s">
        <v>1776</v>
      </c>
      <c r="Q260" s="299">
        <v>8.40472500147E11</v>
      </c>
      <c r="R260" s="295"/>
      <c r="S260" s="295"/>
      <c r="T260" s="295"/>
      <c r="U260" s="328"/>
      <c r="V260" s="300" t="b">
        <v>1</v>
      </c>
      <c r="W260" s="301" t="b">
        <v>0</v>
      </c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</row>
    <row r="26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91"/>
      <c r="N261" s="303" t="s">
        <v>1779</v>
      </c>
      <c r="O261" s="306" t="s">
        <v>394</v>
      </c>
      <c r="P261" s="304" t="s">
        <v>1780</v>
      </c>
      <c r="Q261" s="307">
        <v>8.40472500154E11</v>
      </c>
      <c r="R261" s="209"/>
      <c r="S261" s="209"/>
      <c r="T261" s="209"/>
      <c r="U261" s="325"/>
      <c r="V261" s="300" t="b">
        <v>1</v>
      </c>
      <c r="W261" s="301" t="b">
        <v>0</v>
      </c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</row>
    <row r="262">
      <c r="A262" s="316" t="s">
        <v>1630</v>
      </c>
      <c r="B262" s="319" t="s">
        <v>252</v>
      </c>
      <c r="C262" s="320"/>
      <c r="D262" s="388" t="s">
        <v>251</v>
      </c>
      <c r="E262" s="322" t="s">
        <v>1773</v>
      </c>
      <c r="F262" s="273"/>
      <c r="G262" s="273"/>
      <c r="H262" s="276" t="s">
        <v>1847</v>
      </c>
      <c r="I262" s="285" t="s">
        <v>1848</v>
      </c>
      <c r="J262" s="278" t="str">
        <f>IF(COUNTIF(J263:J278, TRUE) = COUNTA(J263:J278), "Complete!", IF(COUNTIF(J263:J278, TRUE) &gt; 0, "Partial", "Not Started"))</f>
        <v>Complete!</v>
      </c>
      <c r="K262" s="279"/>
      <c r="L262" s="280">
        <v>16.0</v>
      </c>
      <c r="M262" s="291"/>
      <c r="N262" s="354" t="s">
        <v>1783</v>
      </c>
      <c r="O262" s="306" t="s">
        <v>394</v>
      </c>
      <c r="P262" s="304" t="s">
        <v>1784</v>
      </c>
      <c r="Q262" s="209"/>
      <c r="R262" s="209"/>
      <c r="S262" s="209"/>
      <c r="T262" s="209"/>
      <c r="U262" s="325"/>
      <c r="V262" s="300" t="b">
        <v>1</v>
      </c>
      <c r="W262" s="301" t="b">
        <v>0</v>
      </c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</row>
    <row r="263">
      <c r="A263" s="291"/>
      <c r="B263" s="292" t="s">
        <v>1777</v>
      </c>
      <c r="C263" s="295"/>
      <c r="D263" s="295"/>
      <c r="E263" s="295"/>
      <c r="F263" s="295"/>
      <c r="G263" s="295"/>
      <c r="H263" s="295"/>
      <c r="I263" s="295"/>
      <c r="J263" s="296" t="b">
        <v>1</v>
      </c>
      <c r="K263" s="297" t="b">
        <v>0</v>
      </c>
      <c r="L263" s="209"/>
      <c r="M263" s="309"/>
      <c r="N263" s="310" t="s">
        <v>1787</v>
      </c>
      <c r="O263" s="317" t="s">
        <v>394</v>
      </c>
      <c r="P263" s="311" t="s">
        <v>1788</v>
      </c>
      <c r="Q263" s="318">
        <v>8.40472500161E11</v>
      </c>
      <c r="R263" s="313"/>
      <c r="S263" s="313"/>
      <c r="T263" s="313"/>
      <c r="U263" s="331"/>
      <c r="V263" s="350" t="b">
        <v>1</v>
      </c>
      <c r="W263" s="314" t="b">
        <v>0</v>
      </c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</row>
    <row r="264">
      <c r="A264" s="291"/>
      <c r="B264" s="303" t="s">
        <v>1781</v>
      </c>
      <c r="C264" s="209"/>
      <c r="D264" s="209"/>
      <c r="E264" s="209"/>
      <c r="F264" s="209"/>
      <c r="G264" s="209"/>
      <c r="H264" s="209"/>
      <c r="I264" s="209"/>
      <c r="J264" s="300" t="b">
        <v>1</v>
      </c>
      <c r="K264" s="301" t="b">
        <v>0</v>
      </c>
      <c r="L264" s="209"/>
      <c r="M264" s="209"/>
      <c r="N264" s="209"/>
      <c r="O264" s="209"/>
      <c r="P264" s="209"/>
      <c r="Q264" s="209"/>
      <c r="R264" s="344"/>
      <c r="S264" s="344"/>
      <c r="T264" s="344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</row>
    <row r="265">
      <c r="A265" s="291"/>
      <c r="B265" s="303" t="s">
        <v>1785</v>
      </c>
      <c r="C265" s="209"/>
      <c r="D265" s="209"/>
      <c r="E265" s="209"/>
      <c r="F265" s="209"/>
      <c r="G265" s="209"/>
      <c r="H265" s="209"/>
      <c r="I265" s="209"/>
      <c r="J265" s="300" t="b">
        <v>1</v>
      </c>
      <c r="K265" s="301" t="b">
        <v>0</v>
      </c>
      <c r="L265" s="209"/>
      <c r="M265" s="281" t="s">
        <v>1793</v>
      </c>
      <c r="N265" s="319" t="s">
        <v>1794</v>
      </c>
      <c r="O265" s="320"/>
      <c r="P265" s="283" t="s">
        <v>1795</v>
      </c>
      <c r="Q265" s="336" t="s">
        <v>116</v>
      </c>
      <c r="R265" s="320"/>
      <c r="S265" s="320"/>
      <c r="T265" s="276" t="s">
        <v>4127</v>
      </c>
      <c r="U265" s="372" t="s">
        <v>1848</v>
      </c>
      <c r="V265" s="278" t="str">
        <f>IF(COUNTIF(V266:V269, TRUE) = COUNTA(V266:V269), "Complete!", IF(COUNTIF(V266:V269, TRUE) &gt; 0, "Partial", "Not Started"))</f>
        <v>Complete!</v>
      </c>
      <c r="W265" s="279"/>
      <c r="X265" s="280">
        <v>4.0</v>
      </c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</row>
    <row r="266">
      <c r="A266" s="291"/>
      <c r="B266" s="303" t="s">
        <v>1789</v>
      </c>
      <c r="C266" s="209"/>
      <c r="D266" s="209"/>
      <c r="E266" s="209"/>
      <c r="F266" s="209"/>
      <c r="G266" s="209"/>
      <c r="H266" s="209"/>
      <c r="I266" s="209"/>
      <c r="J266" s="300" t="b">
        <v>1</v>
      </c>
      <c r="K266" s="301" t="b">
        <v>0</v>
      </c>
      <c r="L266" s="209"/>
      <c r="M266" s="291"/>
      <c r="N266" s="389" t="s">
        <v>1800</v>
      </c>
      <c r="O266" s="298" t="s">
        <v>662</v>
      </c>
      <c r="P266" s="293" t="s">
        <v>1801</v>
      </c>
      <c r="Q266" s="299">
        <v>8.40472500185E11</v>
      </c>
      <c r="R266" s="295"/>
      <c r="S266" s="295"/>
      <c r="T266" s="295"/>
      <c r="U266" s="328"/>
      <c r="V266" s="300" t="b">
        <v>1</v>
      </c>
      <c r="W266" s="301" t="b">
        <v>0</v>
      </c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</row>
    <row r="267">
      <c r="A267" s="291"/>
      <c r="B267" s="303" t="s">
        <v>1791</v>
      </c>
      <c r="C267" s="209"/>
      <c r="D267" s="209"/>
      <c r="E267" s="209"/>
      <c r="F267" s="209"/>
      <c r="G267" s="209"/>
      <c r="H267" s="209"/>
      <c r="I267" s="209"/>
      <c r="J267" s="300" t="b">
        <v>1</v>
      </c>
      <c r="K267" s="301" t="b">
        <v>0</v>
      </c>
      <c r="L267" s="209"/>
      <c r="M267" s="291"/>
      <c r="N267" s="303" t="s">
        <v>1804</v>
      </c>
      <c r="O267" s="306" t="s">
        <v>662</v>
      </c>
      <c r="P267" s="304" t="s">
        <v>1805</v>
      </c>
      <c r="Q267" s="307">
        <v>8.40472500192E11</v>
      </c>
      <c r="R267" s="209"/>
      <c r="S267" s="209"/>
      <c r="T267" s="209"/>
      <c r="U267" s="325"/>
      <c r="V267" s="300" t="b">
        <v>1</v>
      </c>
      <c r="W267" s="301" t="b">
        <v>0</v>
      </c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</row>
    <row r="268">
      <c r="A268" s="291"/>
      <c r="B268" s="303" t="s">
        <v>1798</v>
      </c>
      <c r="C268" s="209"/>
      <c r="D268" s="209"/>
      <c r="E268" s="209"/>
      <c r="F268" s="209"/>
      <c r="G268" s="209"/>
      <c r="H268" s="209"/>
      <c r="I268" s="209"/>
      <c r="J268" s="300" t="b">
        <v>1</v>
      </c>
      <c r="K268" s="301" t="b">
        <v>0</v>
      </c>
      <c r="L268" s="209"/>
      <c r="M268" s="291"/>
      <c r="N268" s="354" t="s">
        <v>1808</v>
      </c>
      <c r="O268" s="306" t="s">
        <v>662</v>
      </c>
      <c r="P268" s="304" t="s">
        <v>1809</v>
      </c>
      <c r="Q268" s="209"/>
      <c r="R268" s="209"/>
      <c r="S268" s="209"/>
      <c r="T268" s="209"/>
      <c r="U268" s="325"/>
      <c r="V268" s="300" t="b">
        <v>1</v>
      </c>
      <c r="W268" s="301" t="b">
        <v>0</v>
      </c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</row>
    <row r="269">
      <c r="A269" s="291"/>
      <c r="B269" s="303" t="s">
        <v>1802</v>
      </c>
      <c r="C269" s="209"/>
      <c r="D269" s="209"/>
      <c r="E269" s="209"/>
      <c r="F269" s="209"/>
      <c r="G269" s="209"/>
      <c r="H269" s="209"/>
      <c r="I269" s="209"/>
      <c r="J269" s="300" t="b">
        <v>1</v>
      </c>
      <c r="K269" s="301" t="b">
        <v>0</v>
      </c>
      <c r="L269" s="209"/>
      <c r="M269" s="309"/>
      <c r="N269" s="310" t="s">
        <v>1812</v>
      </c>
      <c r="O269" s="317" t="s">
        <v>662</v>
      </c>
      <c r="P269" s="311" t="s">
        <v>1813</v>
      </c>
      <c r="Q269" s="318">
        <v>8.40472500208E11</v>
      </c>
      <c r="R269" s="313"/>
      <c r="S269" s="313"/>
      <c r="T269" s="313"/>
      <c r="U269" s="331"/>
      <c r="V269" s="350" t="b">
        <v>1</v>
      </c>
      <c r="W269" s="314" t="b">
        <v>0</v>
      </c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</row>
    <row r="270">
      <c r="A270" s="291"/>
      <c r="B270" s="303" t="s">
        <v>1806</v>
      </c>
      <c r="C270" s="209"/>
      <c r="D270" s="209"/>
      <c r="E270" s="209"/>
      <c r="F270" s="209"/>
      <c r="G270" s="209"/>
      <c r="H270" s="209"/>
      <c r="I270" s="209"/>
      <c r="J270" s="300" t="b">
        <v>1</v>
      </c>
      <c r="K270" s="301" t="b">
        <v>0</v>
      </c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</row>
    <row r="271">
      <c r="A271" s="291"/>
      <c r="B271" s="303" t="s">
        <v>1810</v>
      </c>
      <c r="C271" s="209"/>
      <c r="D271" s="209"/>
      <c r="E271" s="209"/>
      <c r="F271" s="209"/>
      <c r="G271" s="209"/>
      <c r="H271" s="209"/>
      <c r="I271" s="209"/>
      <c r="J271" s="300" t="b">
        <v>1</v>
      </c>
      <c r="K271" s="301" t="b">
        <v>0</v>
      </c>
      <c r="L271" s="209"/>
      <c r="M271" s="281" t="s">
        <v>1818</v>
      </c>
      <c r="N271" s="319" t="s">
        <v>1819</v>
      </c>
      <c r="O271" s="320"/>
      <c r="P271" s="283" t="s">
        <v>1820</v>
      </c>
      <c r="Q271" s="336" t="s">
        <v>116</v>
      </c>
      <c r="R271" s="320"/>
      <c r="S271" s="320"/>
      <c r="T271" s="283" t="s">
        <v>572</v>
      </c>
      <c r="U271" s="283" t="s">
        <v>1774</v>
      </c>
      <c r="V271" s="278" t="str">
        <f>IF(COUNTIF(V272:V275, TRUE) = COUNTA(V272:V275), "Complete!", IF(COUNTIF(V272:V275, TRUE) &gt; 0, "Partial", "Not Started"))</f>
        <v>Complete!</v>
      </c>
      <c r="W271" s="279"/>
      <c r="X271" s="280">
        <v>4.0</v>
      </c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</row>
    <row r="272">
      <c r="A272" s="291"/>
      <c r="B272" s="303" t="s">
        <v>1814</v>
      </c>
      <c r="C272" s="209"/>
      <c r="D272" s="209"/>
      <c r="E272" s="209"/>
      <c r="F272" s="209"/>
      <c r="G272" s="209"/>
      <c r="H272" s="209"/>
      <c r="I272" s="209"/>
      <c r="J272" s="300" t="b">
        <v>1</v>
      </c>
      <c r="K272" s="301" t="b">
        <v>0</v>
      </c>
      <c r="L272" s="209"/>
      <c r="M272" s="291"/>
      <c r="N272" s="389" t="s">
        <v>1824</v>
      </c>
      <c r="O272" s="298" t="s">
        <v>1825</v>
      </c>
      <c r="P272" s="293" t="s">
        <v>1826</v>
      </c>
      <c r="Q272" s="299">
        <v>8.40472500222E11</v>
      </c>
      <c r="R272" s="295"/>
      <c r="S272" s="295"/>
      <c r="T272" s="295"/>
      <c r="U272" s="328"/>
      <c r="V272" s="300" t="b">
        <v>1</v>
      </c>
      <c r="W272" s="301" t="b">
        <v>0</v>
      </c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</row>
    <row r="273">
      <c r="A273" s="291"/>
      <c r="B273" s="303" t="s">
        <v>1816</v>
      </c>
      <c r="C273" s="209"/>
      <c r="D273" s="209"/>
      <c r="E273" s="209"/>
      <c r="F273" s="209"/>
      <c r="G273" s="209"/>
      <c r="H273" s="209"/>
      <c r="I273" s="209"/>
      <c r="J273" s="300" t="b">
        <v>1</v>
      </c>
      <c r="K273" s="301" t="b">
        <v>0</v>
      </c>
      <c r="L273" s="209"/>
      <c r="M273" s="291"/>
      <c r="N273" s="303" t="s">
        <v>1829</v>
      </c>
      <c r="O273" s="306" t="s">
        <v>1825</v>
      </c>
      <c r="P273" s="304" t="s">
        <v>1830</v>
      </c>
      <c r="Q273" s="307">
        <v>8.40472500239E11</v>
      </c>
      <c r="R273" s="209"/>
      <c r="S273" s="209"/>
      <c r="T273" s="209"/>
      <c r="U273" s="325"/>
      <c r="V273" s="300" t="b">
        <v>1</v>
      </c>
      <c r="W273" s="301" t="b">
        <v>0</v>
      </c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</row>
    <row r="274">
      <c r="A274" s="291"/>
      <c r="B274" s="303" t="s">
        <v>1822</v>
      </c>
      <c r="C274" s="209"/>
      <c r="D274" s="209"/>
      <c r="E274" s="209"/>
      <c r="F274" s="209"/>
      <c r="G274" s="209"/>
      <c r="H274" s="209"/>
      <c r="I274" s="209"/>
      <c r="J274" s="300" t="b">
        <v>1</v>
      </c>
      <c r="K274" s="301" t="b">
        <v>0</v>
      </c>
      <c r="L274" s="209"/>
      <c r="M274" s="291"/>
      <c r="N274" s="354" t="s">
        <v>1833</v>
      </c>
      <c r="O274" s="306" t="s">
        <v>1825</v>
      </c>
      <c r="P274" s="304" t="s">
        <v>1834</v>
      </c>
      <c r="Q274" s="209"/>
      <c r="R274" s="209"/>
      <c r="S274" s="209"/>
      <c r="T274" s="209"/>
      <c r="U274" s="325"/>
      <c r="V274" s="300" t="b">
        <v>1</v>
      </c>
      <c r="W274" s="301" t="b">
        <v>0</v>
      </c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</row>
    <row r="275">
      <c r="A275" s="291"/>
      <c r="B275" s="303" t="s">
        <v>1827</v>
      </c>
      <c r="C275" s="209"/>
      <c r="D275" s="209"/>
      <c r="E275" s="209"/>
      <c r="F275" s="209"/>
      <c r="G275" s="209"/>
      <c r="H275" s="209"/>
      <c r="I275" s="209"/>
      <c r="J275" s="300" t="b">
        <v>1</v>
      </c>
      <c r="K275" s="301" t="b">
        <v>0</v>
      </c>
      <c r="L275" s="209"/>
      <c r="M275" s="309"/>
      <c r="N275" s="310" t="s">
        <v>1837</v>
      </c>
      <c r="O275" s="317" t="s">
        <v>1825</v>
      </c>
      <c r="P275" s="311" t="s">
        <v>1838</v>
      </c>
      <c r="Q275" s="318">
        <v>8.40472500246E11</v>
      </c>
      <c r="R275" s="313"/>
      <c r="S275" s="313"/>
      <c r="T275" s="313"/>
      <c r="U275" s="331"/>
      <c r="V275" s="350" t="b">
        <v>1</v>
      </c>
      <c r="W275" s="314" t="b">
        <v>0</v>
      </c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</row>
    <row r="276">
      <c r="A276" s="291"/>
      <c r="B276" s="303" t="s">
        <v>1831</v>
      </c>
      <c r="C276" s="209"/>
      <c r="D276" s="209"/>
      <c r="E276" s="209"/>
      <c r="F276" s="209"/>
      <c r="G276" s="209"/>
      <c r="H276" s="209"/>
      <c r="I276" s="209"/>
      <c r="J276" s="300" t="b">
        <v>1</v>
      </c>
      <c r="K276" s="301" t="b">
        <v>0</v>
      </c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</row>
    <row r="277">
      <c r="A277" s="291"/>
      <c r="B277" s="303" t="s">
        <v>1835</v>
      </c>
      <c r="C277" s="209"/>
      <c r="D277" s="209"/>
      <c r="E277" s="209"/>
      <c r="F277" s="209"/>
      <c r="G277" s="209"/>
      <c r="H277" s="209"/>
      <c r="I277" s="209"/>
      <c r="J277" s="300" t="b">
        <v>1</v>
      </c>
      <c r="K277" s="301" t="b">
        <v>0</v>
      </c>
      <c r="L277" s="209"/>
      <c r="M277" s="281" t="s">
        <v>1841</v>
      </c>
      <c r="N277" s="319" t="s">
        <v>1842</v>
      </c>
      <c r="O277" s="320"/>
      <c r="P277" s="283" t="s">
        <v>1843</v>
      </c>
      <c r="Q277" s="336" t="s">
        <v>116</v>
      </c>
      <c r="R277" s="320"/>
      <c r="S277" s="320"/>
      <c r="T277" s="283" t="s">
        <v>2790</v>
      </c>
      <c r="U277" s="283" t="s">
        <v>1845</v>
      </c>
      <c r="V277" s="278" t="str">
        <f>IF(COUNTIF(V278:V281, TRUE) = COUNTA(V278:V281), "Complete!", IF(COUNTIF(V278:V281, TRUE) &gt; 0, "Partial", "Not Started"))</f>
        <v>Complete!</v>
      </c>
      <c r="W277" s="279"/>
      <c r="X277" s="280">
        <v>4.0</v>
      </c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</row>
    <row r="278">
      <c r="A278" s="309"/>
      <c r="B278" s="310" t="s">
        <v>1839</v>
      </c>
      <c r="C278" s="313"/>
      <c r="D278" s="313"/>
      <c r="E278" s="313"/>
      <c r="F278" s="209"/>
      <c r="G278" s="313"/>
      <c r="H278" s="313"/>
      <c r="I278" s="313"/>
      <c r="J278" s="350" t="b">
        <v>1</v>
      </c>
      <c r="K278" s="314" t="b">
        <v>0</v>
      </c>
      <c r="L278" s="209"/>
      <c r="M278" s="291"/>
      <c r="N278" s="389" t="s">
        <v>1849</v>
      </c>
      <c r="O278" s="298" t="s">
        <v>685</v>
      </c>
      <c r="P278" s="293" t="s">
        <v>1850</v>
      </c>
      <c r="Q278" s="295"/>
      <c r="R278" s="295"/>
      <c r="S278" s="295"/>
      <c r="T278" s="295"/>
      <c r="U278" s="328"/>
      <c r="V278" s="300" t="b">
        <v>1</v>
      </c>
      <c r="W278" s="301" t="b">
        <v>0</v>
      </c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</row>
    <row r="279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91"/>
      <c r="N279" s="303" t="s">
        <v>1854</v>
      </c>
      <c r="O279" s="306" t="s">
        <v>685</v>
      </c>
      <c r="P279" s="304" t="s">
        <v>1855</v>
      </c>
      <c r="Q279" s="209"/>
      <c r="R279" s="209"/>
      <c r="S279" s="209"/>
      <c r="T279" s="209"/>
      <c r="U279" s="325"/>
      <c r="V279" s="300" t="b">
        <v>1</v>
      </c>
      <c r="W279" s="301" t="b">
        <v>0</v>
      </c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</row>
    <row r="280">
      <c r="A280" s="316" t="s">
        <v>1689</v>
      </c>
      <c r="B280" s="319" t="s">
        <v>255</v>
      </c>
      <c r="C280" s="320"/>
      <c r="D280" s="283" t="s">
        <v>254</v>
      </c>
      <c r="E280" s="322" t="s">
        <v>1846</v>
      </c>
      <c r="F280" s="320"/>
      <c r="G280" s="320"/>
      <c r="H280" s="285" t="s">
        <v>888</v>
      </c>
      <c r="I280" s="276" t="s">
        <v>889</v>
      </c>
      <c r="J280" s="278" t="str">
        <f>IF(COUNTIF(J281:J294, TRUE) = COUNTA(J281:J294), "Complete!", IF(COUNTIF(J281:J294, TRUE) &gt; 0, "Partial", "Not Started"))</f>
        <v>Complete!</v>
      </c>
      <c r="K280" s="279"/>
      <c r="L280" s="209"/>
      <c r="M280" s="291"/>
      <c r="N280" s="354" t="s">
        <v>1858</v>
      </c>
      <c r="O280" s="306" t="s">
        <v>685</v>
      </c>
      <c r="P280" s="304" t="s">
        <v>1859</v>
      </c>
      <c r="Q280" s="209"/>
      <c r="R280" s="209"/>
      <c r="S280" s="209"/>
      <c r="T280" s="209"/>
      <c r="U280" s="325"/>
      <c r="V280" s="300" t="b">
        <v>1</v>
      </c>
      <c r="W280" s="301" t="b">
        <v>0</v>
      </c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</row>
    <row r="281">
      <c r="A281" s="291"/>
      <c r="B281" s="292" t="s">
        <v>1851</v>
      </c>
      <c r="C281" s="295"/>
      <c r="D281" s="295"/>
      <c r="E281" s="295"/>
      <c r="F281" s="295"/>
      <c r="G281" s="295"/>
      <c r="H281" s="295"/>
      <c r="I281" s="304" t="s">
        <v>4128</v>
      </c>
      <c r="J281" s="296" t="b">
        <v>1</v>
      </c>
      <c r="K281" s="297" t="b">
        <v>0</v>
      </c>
      <c r="L281" s="209"/>
      <c r="M281" s="309"/>
      <c r="N281" s="310" t="s">
        <v>1862</v>
      </c>
      <c r="O281" s="317" t="s">
        <v>685</v>
      </c>
      <c r="P281" s="311" t="s">
        <v>1863</v>
      </c>
      <c r="Q281" s="313"/>
      <c r="R281" s="313"/>
      <c r="S281" s="313"/>
      <c r="T281" s="313"/>
      <c r="U281" s="331"/>
      <c r="V281" s="350" t="b">
        <v>1</v>
      </c>
      <c r="W281" s="314" t="b">
        <v>0</v>
      </c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</row>
    <row r="282">
      <c r="A282" s="291"/>
      <c r="B282" s="303" t="s">
        <v>1856</v>
      </c>
      <c r="C282" s="209"/>
      <c r="D282" s="209"/>
      <c r="E282" s="209"/>
      <c r="F282" s="295"/>
      <c r="G282" s="209"/>
      <c r="H282" s="209"/>
      <c r="I282" s="304" t="s">
        <v>4128</v>
      </c>
      <c r="J282" s="300" t="b">
        <v>1</v>
      </c>
      <c r="K282" s="301" t="b">
        <v>0</v>
      </c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</row>
    <row r="283">
      <c r="A283" s="291"/>
      <c r="B283" s="303" t="s">
        <v>1860</v>
      </c>
      <c r="C283" s="209"/>
      <c r="D283" s="209"/>
      <c r="E283" s="209"/>
      <c r="F283" s="295"/>
      <c r="G283" s="209"/>
      <c r="H283" s="209"/>
      <c r="I283" s="304" t="s">
        <v>4128</v>
      </c>
      <c r="J283" s="300" t="b">
        <v>1</v>
      </c>
      <c r="K283" s="301" t="b">
        <v>0</v>
      </c>
      <c r="L283" s="209"/>
      <c r="M283" s="281" t="s">
        <v>1869</v>
      </c>
      <c r="N283" s="319" t="s">
        <v>1870</v>
      </c>
      <c r="O283" s="320"/>
      <c r="P283" s="283" t="s">
        <v>1871</v>
      </c>
      <c r="Q283" s="336" t="s">
        <v>116</v>
      </c>
      <c r="R283" s="320"/>
      <c r="S283" s="320"/>
      <c r="T283" s="283" t="s">
        <v>370</v>
      </c>
      <c r="U283" s="283" t="s">
        <v>901</v>
      </c>
      <c r="V283" s="278" t="str">
        <f>IF(COUNTIF(V284:V287, TRUE) = COUNTA(V284:V287), "Complete!", IF(COUNTIF(V284:V287, TRUE) &gt; 0, "Partial", "Not Started"))</f>
        <v>Complete!</v>
      </c>
      <c r="W283" s="279"/>
      <c r="X283" s="280">
        <v>4.0</v>
      </c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</row>
    <row r="284">
      <c r="A284" s="291"/>
      <c r="B284" s="303" t="s">
        <v>1864</v>
      </c>
      <c r="C284" s="209"/>
      <c r="D284" s="209"/>
      <c r="E284" s="209"/>
      <c r="F284" s="295"/>
      <c r="G284" s="209"/>
      <c r="H284" s="209"/>
      <c r="I284" s="304" t="s">
        <v>4128</v>
      </c>
      <c r="J284" s="300" t="b">
        <v>1</v>
      </c>
      <c r="K284" s="301" t="b">
        <v>0</v>
      </c>
      <c r="L284" s="209"/>
      <c r="M284" s="291"/>
      <c r="N284" s="389" t="s">
        <v>1875</v>
      </c>
      <c r="O284" s="298" t="s">
        <v>1876</v>
      </c>
      <c r="P284" s="293" t="s">
        <v>1877</v>
      </c>
      <c r="Q284" s="299">
        <v>8.40472500628E11</v>
      </c>
      <c r="R284" s="295"/>
      <c r="S284" s="295"/>
      <c r="T284" s="295"/>
      <c r="U284" s="328"/>
      <c r="V284" s="300" t="b">
        <v>1</v>
      </c>
      <c r="W284" s="301" t="b">
        <v>0</v>
      </c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</row>
    <row r="285">
      <c r="A285" s="291"/>
      <c r="B285" s="303" t="s">
        <v>1867</v>
      </c>
      <c r="C285" s="209"/>
      <c r="D285" s="209"/>
      <c r="E285" s="209"/>
      <c r="F285" s="295"/>
      <c r="G285" s="209"/>
      <c r="H285" s="209"/>
      <c r="I285" s="304" t="s">
        <v>4128</v>
      </c>
      <c r="J285" s="300" t="b">
        <v>1</v>
      </c>
      <c r="K285" s="301" t="b">
        <v>0</v>
      </c>
      <c r="L285" s="209"/>
      <c r="M285" s="291"/>
      <c r="N285" s="303" t="s">
        <v>1880</v>
      </c>
      <c r="O285" s="306" t="s">
        <v>1876</v>
      </c>
      <c r="P285" s="304" t="s">
        <v>1881</v>
      </c>
      <c r="Q285" s="307">
        <v>8.40472500635E11</v>
      </c>
      <c r="R285" s="209"/>
      <c r="S285" s="209"/>
      <c r="T285" s="209"/>
      <c r="U285" s="325"/>
      <c r="V285" s="300" t="b">
        <v>1</v>
      </c>
      <c r="W285" s="301" t="b">
        <v>0</v>
      </c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</row>
    <row r="286">
      <c r="A286" s="291"/>
      <c r="B286" s="303" t="s">
        <v>1873</v>
      </c>
      <c r="C286" s="209"/>
      <c r="D286" s="209"/>
      <c r="E286" s="209"/>
      <c r="F286" s="295"/>
      <c r="G286" s="209"/>
      <c r="H286" s="209"/>
      <c r="I286" s="304" t="s">
        <v>4128</v>
      </c>
      <c r="J286" s="300" t="b">
        <v>1</v>
      </c>
      <c r="K286" s="301" t="b">
        <v>0</v>
      </c>
      <c r="L286" s="209"/>
      <c r="M286" s="291"/>
      <c r="N286" s="303" t="s">
        <v>1884</v>
      </c>
      <c r="O286" s="306" t="s">
        <v>1876</v>
      </c>
      <c r="P286" s="304" t="s">
        <v>1885</v>
      </c>
      <c r="Q286" s="307">
        <v>8.40472500642E11</v>
      </c>
      <c r="R286" s="209"/>
      <c r="S286" s="209"/>
      <c r="T286" s="209"/>
      <c r="U286" s="325"/>
      <c r="V286" s="300" t="b">
        <v>1</v>
      </c>
      <c r="W286" s="301" t="b">
        <v>0</v>
      </c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</row>
    <row r="287">
      <c r="A287" s="291"/>
      <c r="B287" s="303" t="s">
        <v>1878</v>
      </c>
      <c r="C287" s="209"/>
      <c r="D287" s="209"/>
      <c r="E287" s="209"/>
      <c r="F287" s="295"/>
      <c r="G287" s="209"/>
      <c r="H287" s="209"/>
      <c r="I287" s="304" t="s">
        <v>4128</v>
      </c>
      <c r="J287" s="300" t="b">
        <v>1</v>
      </c>
      <c r="K287" s="301" t="b">
        <v>0</v>
      </c>
      <c r="L287" s="209"/>
      <c r="M287" s="309"/>
      <c r="N287" s="310" t="s">
        <v>1888</v>
      </c>
      <c r="O287" s="317" t="s">
        <v>1876</v>
      </c>
      <c r="P287" s="311" t="s">
        <v>1889</v>
      </c>
      <c r="Q287" s="313"/>
      <c r="R287" s="313"/>
      <c r="S287" s="313"/>
      <c r="T287" s="313"/>
      <c r="U287" s="331"/>
      <c r="V287" s="350" t="b">
        <v>1</v>
      </c>
      <c r="W287" s="314" t="b">
        <v>0</v>
      </c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</row>
    <row r="288">
      <c r="A288" s="291"/>
      <c r="B288" s="303" t="s">
        <v>1882</v>
      </c>
      <c r="C288" s="209"/>
      <c r="D288" s="209"/>
      <c r="E288" s="209"/>
      <c r="F288" s="295"/>
      <c r="G288" s="209"/>
      <c r="H288" s="209"/>
      <c r="I288" s="304" t="s">
        <v>4128</v>
      </c>
      <c r="J288" s="300" t="b">
        <v>1</v>
      </c>
      <c r="K288" s="301" t="b">
        <v>0</v>
      </c>
      <c r="L288" s="209"/>
      <c r="M288" s="344"/>
      <c r="N288" s="209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</row>
    <row r="289">
      <c r="A289" s="291"/>
      <c r="B289" s="303" t="s">
        <v>1886</v>
      </c>
      <c r="C289" s="209"/>
      <c r="D289" s="209"/>
      <c r="E289" s="209"/>
      <c r="F289" s="295"/>
      <c r="G289" s="209"/>
      <c r="H289" s="209"/>
      <c r="I289" s="304" t="s">
        <v>4128</v>
      </c>
      <c r="J289" s="300" t="b">
        <v>1</v>
      </c>
      <c r="K289" s="301" t="b">
        <v>0</v>
      </c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</row>
    <row r="290">
      <c r="A290" s="291"/>
      <c r="B290" s="303" t="s">
        <v>1890</v>
      </c>
      <c r="C290" s="209"/>
      <c r="D290" s="209"/>
      <c r="E290" s="209"/>
      <c r="F290" s="295"/>
      <c r="G290" s="209"/>
      <c r="H290" s="209"/>
      <c r="I290" s="304" t="s">
        <v>4128</v>
      </c>
      <c r="J290" s="300" t="b">
        <v>1</v>
      </c>
      <c r="K290" s="301" t="b">
        <v>0</v>
      </c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</row>
    <row r="291">
      <c r="A291" s="291"/>
      <c r="B291" s="303" t="s">
        <v>1892</v>
      </c>
      <c r="C291" s="209"/>
      <c r="D291" s="209"/>
      <c r="E291" s="209"/>
      <c r="F291" s="295"/>
      <c r="G291" s="209"/>
      <c r="H291" s="209"/>
      <c r="I291" s="304" t="s">
        <v>4128</v>
      </c>
      <c r="J291" s="300" t="b">
        <v>1</v>
      </c>
      <c r="K291" s="301" t="b">
        <v>0</v>
      </c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</row>
    <row r="292">
      <c r="A292" s="291"/>
      <c r="B292" s="303" t="s">
        <v>1896</v>
      </c>
      <c r="C292" s="209"/>
      <c r="D292" s="209"/>
      <c r="E292" s="209"/>
      <c r="F292" s="295"/>
      <c r="G292" s="209"/>
      <c r="H292" s="209"/>
      <c r="I292" s="304" t="s">
        <v>4128</v>
      </c>
      <c r="J292" s="300" t="b">
        <v>1</v>
      </c>
      <c r="K292" s="301" t="b">
        <v>0</v>
      </c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</row>
    <row r="293">
      <c r="A293" s="291"/>
      <c r="B293" s="303" t="s">
        <v>1900</v>
      </c>
      <c r="C293" s="209"/>
      <c r="D293" s="209"/>
      <c r="E293" s="209"/>
      <c r="F293" s="295"/>
      <c r="G293" s="209"/>
      <c r="H293" s="209"/>
      <c r="I293" s="304" t="s">
        <v>4128</v>
      </c>
      <c r="J293" s="300" t="b">
        <v>1</v>
      </c>
      <c r="K293" s="301" t="b">
        <v>0</v>
      </c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</row>
    <row r="294">
      <c r="A294" s="309"/>
      <c r="B294" s="310" t="s">
        <v>1904</v>
      </c>
      <c r="C294" s="313"/>
      <c r="D294" s="313"/>
      <c r="E294" s="313"/>
      <c r="F294" s="295"/>
      <c r="G294" s="313"/>
      <c r="H294" s="313"/>
      <c r="I294" s="304" t="s">
        <v>4128</v>
      </c>
      <c r="J294" s="300" t="b">
        <v>1</v>
      </c>
      <c r="K294" s="314" t="b">
        <v>0</v>
      </c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</row>
    <row r="295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</row>
    <row r="296">
      <c r="A296" s="316" t="s">
        <v>1724</v>
      </c>
      <c r="B296" s="282" t="s">
        <v>194</v>
      </c>
      <c r="C296" s="273"/>
      <c r="D296" s="274" t="s">
        <v>193</v>
      </c>
      <c r="E296" s="275" t="s">
        <v>1910</v>
      </c>
      <c r="F296" s="273"/>
      <c r="G296" s="273"/>
      <c r="H296" s="276" t="s">
        <v>376</v>
      </c>
      <c r="I296" s="276" t="s">
        <v>4129</v>
      </c>
      <c r="J296" s="278" t="str">
        <f>IF(COUNTIF(J297:J304, TRUE) = COUNTA(J297:J304), "Complete!", IF(COUNTIF(J297:J304, TRUE) &gt; 0, "Partial", "Not Started"))</f>
        <v>Complete!</v>
      </c>
      <c r="K296" s="279"/>
      <c r="L296" s="280">
        <v>8.0</v>
      </c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</row>
    <row r="297">
      <c r="A297" s="291"/>
      <c r="B297" s="292" t="s">
        <v>1912</v>
      </c>
      <c r="C297" s="295"/>
      <c r="D297" s="295"/>
      <c r="E297" s="295"/>
      <c r="F297" s="295"/>
      <c r="G297" s="295"/>
      <c r="H297" s="295"/>
      <c r="I297" s="295"/>
      <c r="J297" s="296" t="b">
        <v>1</v>
      </c>
      <c r="K297" s="297" t="b">
        <v>0</v>
      </c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</row>
    <row r="298">
      <c r="A298" s="291"/>
      <c r="B298" s="303" t="s">
        <v>1915</v>
      </c>
      <c r="C298" s="304" t="s">
        <v>1916</v>
      </c>
      <c r="D298" s="304" t="s">
        <v>1917</v>
      </c>
      <c r="E298" s="305">
        <v>8.1011597653E11</v>
      </c>
      <c r="F298" s="209"/>
      <c r="G298" s="209"/>
      <c r="H298" s="209"/>
      <c r="I298" s="209"/>
      <c r="J298" s="300" t="b">
        <v>1</v>
      </c>
      <c r="K298" s="301" t="b">
        <v>0</v>
      </c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</row>
    <row r="299">
      <c r="A299" s="291"/>
      <c r="B299" s="303" t="s">
        <v>1920</v>
      </c>
      <c r="C299" s="304" t="s">
        <v>505</v>
      </c>
      <c r="D299" s="304" t="s">
        <v>1921</v>
      </c>
      <c r="E299" s="305">
        <v>8.1011597174E11</v>
      </c>
      <c r="F299" s="209"/>
      <c r="G299" s="209"/>
      <c r="H299" s="209"/>
      <c r="I299" s="209"/>
      <c r="J299" s="300" t="b">
        <v>1</v>
      </c>
      <c r="K299" s="301" t="b">
        <v>0</v>
      </c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</row>
    <row r="300">
      <c r="A300" s="291"/>
      <c r="B300" s="303" t="s">
        <v>1924</v>
      </c>
      <c r="C300" s="304" t="s">
        <v>522</v>
      </c>
      <c r="D300" s="304" t="s">
        <v>1925</v>
      </c>
      <c r="E300" s="305">
        <v>8.10115971771E11</v>
      </c>
      <c r="F300" s="209"/>
      <c r="G300" s="209"/>
      <c r="H300" s="209"/>
      <c r="I300" s="209"/>
      <c r="J300" s="300" t="b">
        <v>1</v>
      </c>
      <c r="K300" s="301" t="b">
        <v>0</v>
      </c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</row>
    <row r="301">
      <c r="A301" s="291"/>
      <c r="B301" s="303" t="s">
        <v>1928</v>
      </c>
      <c r="C301" s="304" t="s">
        <v>1049</v>
      </c>
      <c r="D301" s="304" t="s">
        <v>1929</v>
      </c>
      <c r="E301" s="305">
        <v>8.10115976554E11</v>
      </c>
      <c r="F301" s="209"/>
      <c r="G301" s="209"/>
      <c r="H301" s="209"/>
      <c r="I301" s="209"/>
      <c r="J301" s="300" t="b">
        <v>1</v>
      </c>
      <c r="K301" s="301" t="b">
        <v>0</v>
      </c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</row>
    <row r="302">
      <c r="A302" s="291"/>
      <c r="B302" s="303" t="s">
        <v>1932</v>
      </c>
      <c r="C302" s="304" t="s">
        <v>1060</v>
      </c>
      <c r="D302" s="304" t="s">
        <v>1933</v>
      </c>
      <c r="E302" s="305">
        <v>8.10115971795E11</v>
      </c>
      <c r="F302" s="209"/>
      <c r="G302" s="209"/>
      <c r="H302" s="209"/>
      <c r="I302" s="209"/>
      <c r="J302" s="300" t="b">
        <v>1</v>
      </c>
      <c r="K302" s="301" t="b">
        <v>0</v>
      </c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</row>
    <row r="303">
      <c r="A303" s="291"/>
      <c r="B303" s="303" t="s">
        <v>1934</v>
      </c>
      <c r="C303" s="209"/>
      <c r="D303" s="209"/>
      <c r="E303" s="209"/>
      <c r="F303" s="209"/>
      <c r="G303" s="209"/>
      <c r="H303" s="209"/>
      <c r="I303" s="209"/>
      <c r="J303" s="300" t="b">
        <v>1</v>
      </c>
      <c r="K303" s="301" t="b">
        <v>0</v>
      </c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  <c r="AI303" s="209"/>
      <c r="AJ303" s="209"/>
    </row>
    <row r="304">
      <c r="A304" s="309"/>
      <c r="B304" s="310" t="s">
        <v>1939</v>
      </c>
      <c r="C304" s="313"/>
      <c r="D304" s="313"/>
      <c r="E304" s="313"/>
      <c r="F304" s="313"/>
      <c r="G304" s="313"/>
      <c r="H304" s="313"/>
      <c r="I304" s="313"/>
      <c r="J304" s="300" t="b">
        <v>1</v>
      </c>
      <c r="K304" s="314" t="b">
        <v>0</v>
      </c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  <c r="AI304" s="209"/>
      <c r="AJ304" s="209"/>
    </row>
    <row r="305">
      <c r="A305" s="209"/>
      <c r="B305" s="209"/>
      <c r="C305" s="209"/>
      <c r="D305" s="209"/>
      <c r="E305" s="209"/>
      <c r="F305" s="209"/>
      <c r="G305" s="209"/>
      <c r="H305" s="209"/>
      <c r="I305" s="209"/>
      <c r="J305" s="313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  <c r="AI305" s="209"/>
      <c r="AJ305" s="209"/>
    </row>
    <row r="306">
      <c r="A306" s="316" t="s">
        <v>1747</v>
      </c>
      <c r="B306" s="319" t="s">
        <v>1946</v>
      </c>
      <c r="C306" s="320"/>
      <c r="D306" s="283" t="s">
        <v>1947</v>
      </c>
      <c r="E306" s="322" t="s">
        <v>1910</v>
      </c>
      <c r="F306" s="320"/>
      <c r="G306" s="320"/>
      <c r="H306" s="276" t="s">
        <v>376</v>
      </c>
      <c r="I306" s="285" t="s">
        <v>4130</v>
      </c>
      <c r="J306" s="278" t="str">
        <f>IF(COUNTIF(J307:J312, TRUE) = COUNTA(J307:J312), "Complete!", IF(COUNTIF(J307:J312, TRUE) &gt; 0, "Partial", "Not Started"))</f>
        <v>Complete!</v>
      </c>
      <c r="K306" s="279"/>
      <c r="L306" s="280">
        <v>6.0</v>
      </c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  <c r="AI306" s="209"/>
      <c r="AJ306" s="209"/>
    </row>
    <row r="307">
      <c r="A307" s="291"/>
      <c r="B307" s="303" t="s">
        <v>1950</v>
      </c>
      <c r="C307" s="304" t="s">
        <v>449</v>
      </c>
      <c r="D307" s="304" t="s">
        <v>1951</v>
      </c>
      <c r="E307" s="305">
        <v>8.10115975816E11</v>
      </c>
      <c r="F307" s="209"/>
      <c r="G307" s="209"/>
      <c r="H307" s="209"/>
      <c r="I307" s="209"/>
      <c r="J307" s="300" t="b">
        <v>1</v>
      </c>
      <c r="K307" s="301" t="b">
        <v>0</v>
      </c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  <c r="AI307" s="209"/>
      <c r="AJ307" s="209"/>
    </row>
    <row r="308">
      <c r="A308" s="291"/>
      <c r="B308" s="303" t="s">
        <v>1954</v>
      </c>
      <c r="C308" s="304" t="s">
        <v>1916</v>
      </c>
      <c r="D308" s="304" t="s">
        <v>1955</v>
      </c>
      <c r="E308" s="305">
        <v>8.10115972624E11</v>
      </c>
      <c r="F308" s="209"/>
      <c r="G308" s="209"/>
      <c r="H308" s="209"/>
      <c r="I308" s="209"/>
      <c r="J308" s="300" t="b">
        <v>1</v>
      </c>
      <c r="K308" s="301" t="b">
        <v>0</v>
      </c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  <c r="AI308" s="209"/>
      <c r="AJ308" s="209"/>
    </row>
    <row r="309">
      <c r="A309" s="291"/>
      <c r="B309" s="303" t="s">
        <v>1956</v>
      </c>
      <c r="C309" s="304" t="s">
        <v>505</v>
      </c>
      <c r="D309" s="304" t="s">
        <v>1957</v>
      </c>
      <c r="E309" s="305">
        <v>8.10115972617E11</v>
      </c>
      <c r="F309" s="209"/>
      <c r="G309" s="209"/>
      <c r="H309" s="209"/>
      <c r="I309" s="209"/>
      <c r="J309" s="300" t="b">
        <v>1</v>
      </c>
      <c r="K309" s="301" t="b">
        <v>0</v>
      </c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  <c r="AI309" s="209"/>
      <c r="AJ309" s="209"/>
    </row>
    <row r="310">
      <c r="A310" s="291"/>
      <c r="B310" s="303" t="s">
        <v>1960</v>
      </c>
      <c r="C310" s="304" t="s">
        <v>522</v>
      </c>
      <c r="D310" s="304" t="s">
        <v>1961</v>
      </c>
      <c r="E310" s="305">
        <v>8.101159726E11</v>
      </c>
      <c r="F310" s="209"/>
      <c r="G310" s="209"/>
      <c r="H310" s="209"/>
      <c r="I310" s="209"/>
      <c r="J310" s="300" t="b">
        <v>1</v>
      </c>
      <c r="K310" s="301" t="b">
        <v>0</v>
      </c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  <c r="AI310" s="209"/>
      <c r="AJ310" s="209"/>
    </row>
    <row r="311">
      <c r="A311" s="291"/>
      <c r="B311" s="303" t="s">
        <v>1965</v>
      </c>
      <c r="C311" s="304" t="s">
        <v>1049</v>
      </c>
      <c r="D311" s="304" t="s">
        <v>1966</v>
      </c>
      <c r="E311" s="305">
        <v>8.10115972655E11</v>
      </c>
      <c r="F311" s="209"/>
      <c r="G311" s="209"/>
      <c r="H311" s="209"/>
      <c r="I311" s="209"/>
      <c r="J311" s="300" t="b">
        <v>1</v>
      </c>
      <c r="K311" s="301" t="b">
        <v>0</v>
      </c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  <c r="AI311" s="209"/>
      <c r="AJ311" s="209"/>
    </row>
    <row r="312">
      <c r="A312" s="309"/>
      <c r="B312" s="310" t="s">
        <v>1969</v>
      </c>
      <c r="C312" s="311" t="s">
        <v>1060</v>
      </c>
      <c r="D312" s="311" t="s">
        <v>1970</v>
      </c>
      <c r="E312" s="312">
        <v>8.10115972648E11</v>
      </c>
      <c r="F312" s="313"/>
      <c r="G312" s="313"/>
      <c r="H312" s="313"/>
      <c r="I312" s="313"/>
      <c r="J312" s="300" t="b">
        <v>1</v>
      </c>
      <c r="K312" s="314" t="b">
        <v>0</v>
      </c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  <c r="AI312" s="209"/>
      <c r="AJ312" s="209"/>
    </row>
    <row r="313">
      <c r="A313" s="209"/>
      <c r="B313" s="209"/>
      <c r="C313" s="209"/>
      <c r="D313" s="209"/>
      <c r="E313" s="209"/>
      <c r="F313" s="209"/>
      <c r="G313" s="209"/>
      <c r="H313" s="209"/>
      <c r="I313" s="209"/>
      <c r="J313" s="313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  <c r="AI313" s="209"/>
      <c r="AJ313" s="209"/>
    </row>
    <row r="314">
      <c r="A314" s="316" t="s">
        <v>1770</v>
      </c>
      <c r="B314" s="319" t="s">
        <v>200</v>
      </c>
      <c r="C314" s="320"/>
      <c r="D314" s="283" t="s">
        <v>199</v>
      </c>
      <c r="E314" s="322" t="s">
        <v>1910</v>
      </c>
      <c r="F314" s="320"/>
      <c r="G314" s="320"/>
      <c r="H314" s="276" t="s">
        <v>888</v>
      </c>
      <c r="I314" s="283" t="s">
        <v>1009</v>
      </c>
      <c r="J314" s="278" t="str">
        <f>IF(COUNTIF(J315:J322, TRUE) = COUNTA(J315:J322), "Complete!", IF(COUNTIF(J315:J322, TRUE) &gt; 0, "Partial", "Not Started"))</f>
        <v>Complete!</v>
      </c>
      <c r="K314" s="279"/>
      <c r="L314" s="280">
        <v>8.0</v>
      </c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  <c r="AI314" s="209"/>
      <c r="AJ314" s="209"/>
    </row>
    <row r="315">
      <c r="A315" s="291"/>
      <c r="B315" s="292" t="s">
        <v>1976</v>
      </c>
      <c r="C315" s="293" t="s">
        <v>390</v>
      </c>
      <c r="D315" s="293" t="s">
        <v>1977</v>
      </c>
      <c r="E315" s="294">
        <v>8.4047252192E11</v>
      </c>
      <c r="F315" s="295"/>
      <c r="G315" s="295"/>
      <c r="H315" s="295"/>
      <c r="I315" s="295"/>
      <c r="J315" s="296" t="b">
        <v>1</v>
      </c>
      <c r="K315" s="297" t="b">
        <v>0</v>
      </c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</row>
    <row r="316">
      <c r="A316" s="291"/>
      <c r="B316" s="303" t="s">
        <v>1979</v>
      </c>
      <c r="C316" s="304" t="s">
        <v>400</v>
      </c>
      <c r="D316" s="304" t="s">
        <v>1980</v>
      </c>
      <c r="E316" s="305">
        <v>8.40472501939E11</v>
      </c>
      <c r="F316" s="209"/>
      <c r="G316" s="209"/>
      <c r="H316" s="209"/>
      <c r="I316" s="209"/>
      <c r="J316" s="300" t="b">
        <v>1</v>
      </c>
      <c r="K316" s="301" t="b">
        <v>0</v>
      </c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  <c r="AI316" s="209"/>
      <c r="AJ316" s="209"/>
    </row>
    <row r="317">
      <c r="A317" s="291"/>
      <c r="B317" s="303" t="s">
        <v>1983</v>
      </c>
      <c r="C317" s="304" t="s">
        <v>412</v>
      </c>
      <c r="D317" s="304" t="s">
        <v>1984</v>
      </c>
      <c r="E317" s="305">
        <v>8.40472501946E11</v>
      </c>
      <c r="F317" s="209"/>
      <c r="G317" s="209"/>
      <c r="H317" s="209"/>
      <c r="I317" s="209"/>
      <c r="J317" s="300" t="b">
        <v>1</v>
      </c>
      <c r="K317" s="301" t="b">
        <v>0</v>
      </c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  <c r="AI317" s="209"/>
      <c r="AJ317" s="209"/>
    </row>
    <row r="318">
      <c r="A318" s="291"/>
      <c r="B318" s="303" t="s">
        <v>1987</v>
      </c>
      <c r="C318" s="304" t="s">
        <v>715</v>
      </c>
      <c r="D318" s="304" t="s">
        <v>1988</v>
      </c>
      <c r="E318" s="305">
        <v>8.10115975793E11</v>
      </c>
      <c r="F318" s="209"/>
      <c r="G318" s="209"/>
      <c r="H318" s="209"/>
      <c r="I318" s="209"/>
      <c r="J318" s="300" t="b">
        <v>1</v>
      </c>
      <c r="K318" s="301" t="b">
        <v>0</v>
      </c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</row>
    <row r="319">
      <c r="A319" s="291"/>
      <c r="B319" s="303" t="s">
        <v>1991</v>
      </c>
      <c r="C319" s="304" t="s">
        <v>421</v>
      </c>
      <c r="D319" s="304" t="s">
        <v>1992</v>
      </c>
      <c r="E319" s="305">
        <v>8.40472501953E11</v>
      </c>
      <c r="F319" s="209"/>
      <c r="G319" s="209"/>
      <c r="H319" s="209"/>
      <c r="I319" s="209"/>
      <c r="J319" s="300" t="b">
        <v>1</v>
      </c>
      <c r="K319" s="301" t="b">
        <v>0</v>
      </c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  <c r="AI319" s="209"/>
      <c r="AJ319" s="209"/>
    </row>
    <row r="320">
      <c r="A320" s="291"/>
      <c r="B320" s="303" t="s">
        <v>1995</v>
      </c>
      <c r="C320" s="304" t="s">
        <v>449</v>
      </c>
      <c r="D320" s="304" t="s">
        <v>1996</v>
      </c>
      <c r="E320" s="305">
        <v>8.10115975809E11</v>
      </c>
      <c r="F320" s="209"/>
      <c r="G320" s="209"/>
      <c r="H320" s="209"/>
      <c r="I320" s="209"/>
      <c r="J320" s="300" t="b">
        <v>1</v>
      </c>
      <c r="K320" s="301" t="b">
        <v>0</v>
      </c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  <c r="AI320" s="209"/>
      <c r="AJ320" s="209"/>
    </row>
    <row r="321">
      <c r="A321" s="291"/>
      <c r="B321" s="303" t="s">
        <v>1997</v>
      </c>
      <c r="C321" s="304" t="s">
        <v>487</v>
      </c>
      <c r="D321" s="304" t="s">
        <v>1998</v>
      </c>
      <c r="E321" s="305">
        <v>8.4047250196E11</v>
      </c>
      <c r="F321" s="209"/>
      <c r="G321" s="209"/>
      <c r="H321" s="209"/>
      <c r="I321" s="209"/>
      <c r="J321" s="300" t="b">
        <v>1</v>
      </c>
      <c r="K321" s="301" t="b">
        <v>0</v>
      </c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  <c r="AI321" s="209"/>
      <c r="AJ321" s="209"/>
    </row>
    <row r="322">
      <c r="A322" s="309"/>
      <c r="B322" s="394" t="s">
        <v>2001</v>
      </c>
      <c r="C322" s="311" t="s">
        <v>2002</v>
      </c>
      <c r="D322" s="311" t="s">
        <v>2003</v>
      </c>
      <c r="E322" s="312">
        <v>8.40472501977E11</v>
      </c>
      <c r="F322" s="313"/>
      <c r="G322" s="313"/>
      <c r="H322" s="313"/>
      <c r="I322" s="313"/>
      <c r="J322" s="300" t="b">
        <v>1</v>
      </c>
      <c r="K322" s="314" t="b">
        <v>0</v>
      </c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  <c r="AI322" s="209"/>
      <c r="AJ322" s="209"/>
    </row>
    <row r="323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</row>
    <row r="324">
      <c r="A324" s="316" t="s">
        <v>1793</v>
      </c>
      <c r="B324" s="282" t="s">
        <v>209</v>
      </c>
      <c r="C324" s="273"/>
      <c r="D324" s="274" t="s">
        <v>208</v>
      </c>
      <c r="E324" s="275" t="s">
        <v>1910</v>
      </c>
      <c r="F324" s="273"/>
      <c r="G324" s="273"/>
      <c r="H324" s="276" t="s">
        <v>376</v>
      </c>
      <c r="I324" s="276" t="s">
        <v>4131</v>
      </c>
      <c r="J324" s="278" t="str">
        <f>IF(COUNTIF(J325:J332, TRUE) = COUNTA(J325:J332), "Complete!", IF(COUNTIF(J325:J332, TRUE) &gt; 0, "Partial", "Not Started"))</f>
        <v>Complete!</v>
      </c>
      <c r="K324" s="279"/>
      <c r="L324" s="280">
        <v>8.0</v>
      </c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  <c r="AI324" s="209"/>
      <c r="AJ324" s="209"/>
    </row>
    <row r="325">
      <c r="A325" s="291"/>
      <c r="B325" s="292" t="s">
        <v>2012</v>
      </c>
      <c r="C325" s="293" t="s">
        <v>440</v>
      </c>
      <c r="D325" s="293" t="s">
        <v>2013</v>
      </c>
      <c r="E325" s="294">
        <v>8.40472501991E11</v>
      </c>
      <c r="F325" s="295"/>
      <c r="G325" s="295"/>
      <c r="H325" s="295"/>
      <c r="I325" s="295"/>
      <c r="J325" s="296" t="b">
        <v>1</v>
      </c>
      <c r="K325" s="297" t="b">
        <v>0</v>
      </c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09"/>
      <c r="AJ325" s="209"/>
    </row>
    <row r="326">
      <c r="A326" s="291"/>
      <c r="B326" s="303" t="s">
        <v>2016</v>
      </c>
      <c r="C326" s="304" t="s">
        <v>1916</v>
      </c>
      <c r="D326" s="304" t="s">
        <v>2017</v>
      </c>
      <c r="E326" s="305">
        <v>8.10115976547E11</v>
      </c>
      <c r="F326" s="209"/>
      <c r="G326" s="209"/>
      <c r="H326" s="209"/>
      <c r="I326" s="209"/>
      <c r="J326" s="300" t="b">
        <v>1</v>
      </c>
      <c r="K326" s="301" t="b">
        <v>0</v>
      </c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  <c r="AI326" s="209"/>
      <c r="AJ326" s="209"/>
    </row>
    <row r="327">
      <c r="A327" s="291"/>
      <c r="B327" s="303" t="s">
        <v>2018</v>
      </c>
      <c r="C327" s="304" t="s">
        <v>505</v>
      </c>
      <c r="D327" s="304" t="s">
        <v>2019</v>
      </c>
      <c r="E327" s="305">
        <v>8.10115971764E11</v>
      </c>
      <c r="F327" s="209"/>
      <c r="G327" s="209"/>
      <c r="H327" s="209"/>
      <c r="I327" s="209"/>
      <c r="J327" s="300" t="b">
        <v>1</v>
      </c>
      <c r="K327" s="301" t="b">
        <v>0</v>
      </c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</row>
    <row r="328">
      <c r="A328" s="291"/>
      <c r="B328" s="303" t="s">
        <v>2021</v>
      </c>
      <c r="C328" s="304" t="s">
        <v>522</v>
      </c>
      <c r="D328" s="304" t="s">
        <v>2022</v>
      </c>
      <c r="E328" s="305">
        <v>8.10115971788E11</v>
      </c>
      <c r="F328" s="209"/>
      <c r="G328" s="209"/>
      <c r="H328" s="209"/>
      <c r="I328" s="209"/>
      <c r="J328" s="300" t="b">
        <v>1</v>
      </c>
      <c r="K328" s="301" t="b">
        <v>0</v>
      </c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</row>
    <row r="329">
      <c r="A329" s="291"/>
      <c r="B329" s="303" t="s">
        <v>2026</v>
      </c>
      <c r="C329" s="304" t="s">
        <v>1049</v>
      </c>
      <c r="D329" s="304" t="s">
        <v>2027</v>
      </c>
      <c r="E329" s="305">
        <v>8.10115976561E11</v>
      </c>
      <c r="F329" s="209"/>
      <c r="G329" s="209"/>
      <c r="H329" s="209"/>
      <c r="I329" s="209"/>
      <c r="J329" s="300" t="b">
        <v>1</v>
      </c>
      <c r="K329" s="301" t="b">
        <v>0</v>
      </c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  <c r="AI329" s="209"/>
      <c r="AJ329" s="209"/>
    </row>
    <row r="330">
      <c r="A330" s="291"/>
      <c r="B330" s="303" t="s">
        <v>2030</v>
      </c>
      <c r="C330" s="304" t="s">
        <v>1060</v>
      </c>
      <c r="D330" s="304" t="s">
        <v>2031</v>
      </c>
      <c r="E330" s="305">
        <v>8.10115976561E11</v>
      </c>
      <c r="F330" s="209"/>
      <c r="G330" s="209"/>
      <c r="H330" s="209"/>
      <c r="I330" s="209"/>
      <c r="J330" s="300" t="b">
        <v>1</v>
      </c>
      <c r="K330" s="301" t="b">
        <v>0</v>
      </c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  <c r="AI330" s="209"/>
      <c r="AJ330" s="209"/>
    </row>
    <row r="331">
      <c r="A331" s="291"/>
      <c r="B331" s="303" t="s">
        <v>2034</v>
      </c>
      <c r="C331" s="304" t="s">
        <v>2035</v>
      </c>
      <c r="D331" s="304" t="s">
        <v>2036</v>
      </c>
      <c r="E331" s="305">
        <v>8.40472502011E11</v>
      </c>
      <c r="F331" s="209"/>
      <c r="G331" s="209"/>
      <c r="H331" s="209"/>
      <c r="I331" s="209"/>
      <c r="J331" s="300" t="b">
        <v>1</v>
      </c>
      <c r="K331" s="301" t="b">
        <v>0</v>
      </c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  <c r="AI331" s="209"/>
      <c r="AJ331" s="209"/>
    </row>
    <row r="332">
      <c r="A332" s="309"/>
      <c r="B332" s="310" t="s">
        <v>2039</v>
      </c>
      <c r="C332" s="311" t="s">
        <v>1113</v>
      </c>
      <c r="D332" s="311" t="s">
        <v>2040</v>
      </c>
      <c r="E332" s="312">
        <v>8.40472502035E11</v>
      </c>
      <c r="F332" s="313"/>
      <c r="G332" s="313"/>
      <c r="H332" s="313"/>
      <c r="I332" s="311" t="s">
        <v>4051</v>
      </c>
      <c r="J332" s="300" t="b">
        <v>1</v>
      </c>
      <c r="K332" s="314" t="b">
        <v>0</v>
      </c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  <c r="AI332" s="209"/>
      <c r="AJ332" s="209"/>
    </row>
    <row r="333">
      <c r="A333" s="209"/>
      <c r="B333" s="209"/>
      <c r="C333" s="209"/>
      <c r="D333" s="209"/>
      <c r="E333" s="209"/>
      <c r="F333" s="209"/>
      <c r="G333" s="209"/>
      <c r="H333" s="209"/>
      <c r="I333" s="209"/>
      <c r="J333" s="313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</row>
    <row r="334">
      <c r="A334" s="316" t="s">
        <v>1818</v>
      </c>
      <c r="B334" s="282" t="s">
        <v>2042</v>
      </c>
      <c r="C334" s="273"/>
      <c r="D334" s="274" t="s">
        <v>2043</v>
      </c>
      <c r="E334" s="275" t="s">
        <v>2044</v>
      </c>
      <c r="F334" s="273"/>
      <c r="G334" s="273"/>
      <c r="H334" s="276" t="s">
        <v>888</v>
      </c>
      <c r="I334" s="276" t="s">
        <v>889</v>
      </c>
      <c r="J334" s="278" t="str">
        <f>IF(COUNTIF(J335:J342, TRUE) = COUNTA(J335:J342), "Complete!", IF(COUNTIF(J335:J342, TRUE) &gt; 0, "Partial", "Not Started"))</f>
        <v>Complete!</v>
      </c>
      <c r="K334" s="279"/>
      <c r="L334" s="280">
        <v>8.0</v>
      </c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  <c r="AI334" s="209"/>
      <c r="AJ334" s="209"/>
    </row>
    <row r="335">
      <c r="A335" s="291"/>
      <c r="B335" s="292" t="s">
        <v>2047</v>
      </c>
      <c r="C335" s="293" t="s">
        <v>4132</v>
      </c>
      <c r="D335" s="295"/>
      <c r="E335" s="295"/>
      <c r="F335" s="295"/>
      <c r="G335" s="295"/>
      <c r="H335" s="295"/>
      <c r="I335" s="295"/>
      <c r="J335" s="296" t="b">
        <v>1</v>
      </c>
      <c r="K335" s="297" t="b">
        <v>0</v>
      </c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  <c r="AI335" s="209"/>
      <c r="AJ335" s="209"/>
    </row>
    <row r="336">
      <c r="A336" s="291"/>
      <c r="B336" s="303" t="s">
        <v>2052</v>
      </c>
      <c r="C336" s="304" t="s">
        <v>2128</v>
      </c>
      <c r="D336" s="209"/>
      <c r="E336" s="209"/>
      <c r="F336" s="209"/>
      <c r="G336" s="209"/>
      <c r="H336" s="209"/>
      <c r="I336" s="304" t="s">
        <v>4051</v>
      </c>
      <c r="J336" s="300" t="b">
        <v>1</v>
      </c>
      <c r="K336" s="301" t="b">
        <v>0</v>
      </c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  <c r="AI336" s="209"/>
      <c r="AJ336" s="209"/>
    </row>
    <row r="337">
      <c r="A337" s="291"/>
      <c r="B337" s="303" t="s">
        <v>2057</v>
      </c>
      <c r="C337" s="304" t="s">
        <v>2158</v>
      </c>
      <c r="D337" s="209"/>
      <c r="E337" s="209"/>
      <c r="F337" s="209"/>
      <c r="G337" s="209"/>
      <c r="H337" s="209"/>
      <c r="I337" s="304" t="s">
        <v>4051</v>
      </c>
      <c r="J337" s="300" t="b">
        <v>1</v>
      </c>
      <c r="K337" s="301" t="b">
        <v>0</v>
      </c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  <c r="AI337" s="209"/>
      <c r="AJ337" s="209"/>
    </row>
    <row r="338">
      <c r="A338" s="291"/>
      <c r="B338" s="303" t="s">
        <v>2063</v>
      </c>
      <c r="C338" s="304" t="s">
        <v>2155</v>
      </c>
      <c r="D338" s="209"/>
      <c r="E338" s="209"/>
      <c r="F338" s="209"/>
      <c r="G338" s="209"/>
      <c r="H338" s="209"/>
      <c r="I338" s="209"/>
      <c r="J338" s="300" t="b">
        <v>1</v>
      </c>
      <c r="K338" s="301" t="b">
        <v>0</v>
      </c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</row>
    <row r="339">
      <c r="A339" s="291"/>
      <c r="B339" s="303" t="s">
        <v>2066</v>
      </c>
      <c r="C339" s="304" t="s">
        <v>4132</v>
      </c>
      <c r="D339" s="209"/>
      <c r="E339" s="209"/>
      <c r="F339" s="209"/>
      <c r="G339" s="209"/>
      <c r="H339" s="209"/>
      <c r="I339" s="304" t="s">
        <v>4051</v>
      </c>
      <c r="J339" s="300" t="b">
        <v>1</v>
      </c>
      <c r="K339" s="301" t="b">
        <v>0</v>
      </c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  <c r="AI339" s="209"/>
      <c r="AJ339" s="209"/>
    </row>
    <row r="340">
      <c r="A340" s="291"/>
      <c r="B340" s="303" t="s">
        <v>2070</v>
      </c>
      <c r="C340" s="304" t="s">
        <v>2128</v>
      </c>
      <c r="D340" s="209"/>
      <c r="E340" s="209"/>
      <c r="F340" s="209"/>
      <c r="G340" s="209"/>
      <c r="H340" s="209"/>
      <c r="I340" s="304" t="s">
        <v>4051</v>
      </c>
      <c r="J340" s="300" t="b">
        <v>1</v>
      </c>
      <c r="K340" s="301" t="b">
        <v>0</v>
      </c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  <c r="AI340" s="209"/>
      <c r="AJ340" s="209"/>
    </row>
    <row r="341">
      <c r="A341" s="291"/>
      <c r="B341" s="303" t="s">
        <v>2074</v>
      </c>
      <c r="C341" s="304" t="s">
        <v>2158</v>
      </c>
      <c r="D341" s="209"/>
      <c r="E341" s="209"/>
      <c r="F341" s="209"/>
      <c r="G341" s="209"/>
      <c r="H341" s="209"/>
      <c r="I341" s="304" t="s">
        <v>4051</v>
      </c>
      <c r="J341" s="300" t="b">
        <v>1</v>
      </c>
      <c r="K341" s="301" t="b">
        <v>0</v>
      </c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  <c r="AI341" s="209"/>
      <c r="AJ341" s="209"/>
    </row>
    <row r="342">
      <c r="A342" s="309"/>
      <c r="B342" s="394" t="s">
        <v>2078</v>
      </c>
      <c r="C342" s="311" t="s">
        <v>2155</v>
      </c>
      <c r="D342" s="313"/>
      <c r="E342" s="313"/>
      <c r="F342" s="313"/>
      <c r="G342" s="313"/>
      <c r="H342" s="313"/>
      <c r="I342" s="313"/>
      <c r="J342" s="300" t="b">
        <v>1</v>
      </c>
      <c r="K342" s="314" t="b">
        <v>0</v>
      </c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  <c r="AI342" s="209"/>
      <c r="AJ342" s="209"/>
    </row>
    <row r="343">
      <c r="A343" s="209"/>
      <c r="B343" s="209"/>
      <c r="C343" s="209"/>
      <c r="D343" s="209"/>
      <c r="E343" s="209"/>
      <c r="F343" s="209"/>
      <c r="G343" s="209"/>
      <c r="H343" s="209"/>
      <c r="I343" s="209"/>
      <c r="J343" s="313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  <c r="AI343" s="209"/>
      <c r="AJ343" s="209"/>
    </row>
    <row r="344">
      <c r="A344" s="316" t="s">
        <v>1841</v>
      </c>
      <c r="B344" s="444"/>
      <c r="C344" s="320"/>
      <c r="D344" s="320"/>
      <c r="E344" s="322" t="s">
        <v>2086</v>
      </c>
      <c r="F344" s="320"/>
      <c r="G344" s="320"/>
      <c r="H344" s="276" t="s">
        <v>468</v>
      </c>
      <c r="I344" s="283" t="s">
        <v>4133</v>
      </c>
      <c r="J344" s="333" t="str">
        <f>IF(COUNTIF(J345:J350, TRUE) = COUNTA(J345:J350), "Complete!", IF(COUNTIF(J345:J350, TRUE) &gt; 0, "Partial", "Not Started"))</f>
        <v>Complete!</v>
      </c>
      <c r="K344" s="334"/>
      <c r="L344" s="280">
        <v>6.0</v>
      </c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  <c r="AI344" s="209"/>
      <c r="AJ344" s="209"/>
    </row>
    <row r="345">
      <c r="A345" s="291"/>
      <c r="B345" s="292" t="s">
        <v>2088</v>
      </c>
      <c r="C345" s="293" t="s">
        <v>855</v>
      </c>
      <c r="D345" s="293" t="s">
        <v>2089</v>
      </c>
      <c r="E345" s="294">
        <v>8.10115972631E11</v>
      </c>
      <c r="F345" s="295"/>
      <c r="G345" s="295"/>
      <c r="H345" s="295"/>
      <c r="I345" s="295"/>
      <c r="J345" s="296" t="b">
        <v>1</v>
      </c>
      <c r="K345" s="297" t="b">
        <v>0</v>
      </c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  <c r="AI345" s="209"/>
      <c r="AJ345" s="209"/>
    </row>
    <row r="346">
      <c r="A346" s="291"/>
      <c r="B346" s="303" t="s">
        <v>2090</v>
      </c>
      <c r="C346" s="304" t="s">
        <v>2091</v>
      </c>
      <c r="D346" s="304" t="s">
        <v>2092</v>
      </c>
      <c r="E346" s="305">
        <v>8.10115973201E11</v>
      </c>
      <c r="F346" s="304" t="s">
        <v>1057</v>
      </c>
      <c r="G346" s="209"/>
      <c r="H346" s="209"/>
      <c r="I346" s="304" t="s">
        <v>4134</v>
      </c>
      <c r="J346" s="300" t="b">
        <v>1</v>
      </c>
      <c r="K346" s="301" t="b">
        <v>1</v>
      </c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</row>
    <row r="347">
      <c r="A347" s="291"/>
      <c r="B347" s="303" t="s">
        <v>2093</v>
      </c>
      <c r="C347" s="304" t="s">
        <v>2094</v>
      </c>
      <c r="D347" s="304" t="s">
        <v>2095</v>
      </c>
      <c r="E347" s="305">
        <v>8.10115972815E11</v>
      </c>
      <c r="F347" s="209"/>
      <c r="G347" s="209"/>
      <c r="H347" s="209"/>
      <c r="I347" s="209"/>
      <c r="J347" s="300" t="b">
        <v>1</v>
      </c>
      <c r="K347" s="301" t="b">
        <v>0</v>
      </c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  <c r="AI347" s="209"/>
      <c r="AJ347" s="209"/>
    </row>
    <row r="348">
      <c r="A348" s="291"/>
      <c r="B348" s="303" t="s">
        <v>2096</v>
      </c>
      <c r="C348" s="304" t="s">
        <v>2097</v>
      </c>
      <c r="D348" s="304" t="s">
        <v>2098</v>
      </c>
      <c r="E348" s="305">
        <v>8.10115972839E11</v>
      </c>
      <c r="F348" s="209"/>
      <c r="G348" s="209"/>
      <c r="H348" s="209"/>
      <c r="I348" s="209"/>
      <c r="J348" s="300" t="b">
        <v>1</v>
      </c>
      <c r="K348" s="301" t="b">
        <v>0</v>
      </c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  <c r="AI348" s="209"/>
      <c r="AJ348" s="209"/>
    </row>
    <row r="349">
      <c r="A349" s="291"/>
      <c r="B349" s="303" t="s">
        <v>2099</v>
      </c>
      <c r="C349" s="304" t="s">
        <v>2100</v>
      </c>
      <c r="D349" s="304" t="s">
        <v>2101</v>
      </c>
      <c r="E349" s="305">
        <v>8.10115972853E11</v>
      </c>
      <c r="F349" s="209"/>
      <c r="G349" s="209"/>
      <c r="H349" s="209"/>
      <c r="I349" s="304" t="s">
        <v>4051</v>
      </c>
      <c r="J349" s="300" t="b">
        <v>1</v>
      </c>
      <c r="K349" s="301" t="b">
        <v>0</v>
      </c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</row>
    <row r="350">
      <c r="A350" s="291"/>
      <c r="B350" s="310" t="s">
        <v>2102</v>
      </c>
      <c r="C350" s="311" t="s">
        <v>2103</v>
      </c>
      <c r="D350" s="311" t="s">
        <v>2104</v>
      </c>
      <c r="E350" s="312">
        <v>8.10115972846E11</v>
      </c>
      <c r="F350" s="313"/>
      <c r="G350" s="313"/>
      <c r="H350" s="313"/>
      <c r="I350" s="313"/>
      <c r="J350" s="300" t="b">
        <v>1</v>
      </c>
      <c r="K350" s="314" t="b">
        <v>0</v>
      </c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  <c r="AI350" s="209"/>
      <c r="AJ350" s="209"/>
    </row>
    <row r="351">
      <c r="A351" s="209"/>
      <c r="B351" s="209"/>
      <c r="C351" s="209"/>
      <c r="D351" s="209"/>
      <c r="E351" s="209"/>
      <c r="F351" s="209"/>
      <c r="G351" s="209"/>
      <c r="H351" s="209"/>
      <c r="I351" s="209"/>
      <c r="J351" s="313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09"/>
      <c r="AJ351" s="209"/>
    </row>
    <row r="352">
      <c r="A352" s="316" t="s">
        <v>1869</v>
      </c>
      <c r="B352" s="441"/>
      <c r="C352" s="273"/>
      <c r="D352" s="273"/>
      <c r="E352" s="275" t="s">
        <v>2086</v>
      </c>
      <c r="F352" s="295"/>
      <c r="G352" s="295"/>
      <c r="H352" s="276" t="s">
        <v>468</v>
      </c>
      <c r="I352" s="276" t="s">
        <v>4133</v>
      </c>
      <c r="J352" s="278" t="str">
        <f>IF(COUNTIF(J353:J362, TRUE) = COUNTA(J353:J362), "Complete!", IF(COUNTIF(J353:J362, TRUE) &gt; 0, "Partial", "Not Started"))</f>
        <v>Complete!</v>
      </c>
      <c r="K352" s="279"/>
      <c r="L352" s="280">
        <v>10.0</v>
      </c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  <c r="AI352" s="209"/>
      <c r="AJ352" s="209"/>
    </row>
    <row r="353">
      <c r="A353" s="291"/>
      <c r="B353" s="292" t="s">
        <v>2106</v>
      </c>
      <c r="C353" s="293" t="s">
        <v>1916</v>
      </c>
      <c r="D353" s="293" t="s">
        <v>2107</v>
      </c>
      <c r="E353" s="294">
        <v>8.10115973218E11</v>
      </c>
      <c r="F353" s="293" t="s">
        <v>1057</v>
      </c>
      <c r="G353" s="295"/>
      <c r="H353" s="295"/>
      <c r="I353" s="293" t="s">
        <v>4134</v>
      </c>
      <c r="J353" s="296" t="b">
        <v>1</v>
      </c>
      <c r="K353" s="297" t="b">
        <v>1</v>
      </c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  <c r="AI353" s="209"/>
      <c r="AJ353" s="209"/>
    </row>
    <row r="354">
      <c r="A354" s="291"/>
      <c r="B354" s="303" t="s">
        <v>2108</v>
      </c>
      <c r="C354" s="304" t="s">
        <v>505</v>
      </c>
      <c r="D354" s="304" t="s">
        <v>2109</v>
      </c>
      <c r="E354" s="305">
        <v>8.10115973225E11</v>
      </c>
      <c r="F354" s="304" t="s">
        <v>1057</v>
      </c>
      <c r="G354" s="209"/>
      <c r="H354" s="209"/>
      <c r="I354" s="293" t="s">
        <v>4134</v>
      </c>
      <c r="J354" s="300" t="b">
        <v>1</v>
      </c>
      <c r="K354" s="297" t="b">
        <v>1</v>
      </c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</row>
    <row r="355">
      <c r="A355" s="291"/>
      <c r="B355" s="303" t="s">
        <v>2111</v>
      </c>
      <c r="C355" s="304" t="s">
        <v>522</v>
      </c>
      <c r="D355" s="304" t="s">
        <v>2112</v>
      </c>
      <c r="E355" s="305">
        <v>8.10115973232E11</v>
      </c>
      <c r="F355" s="304" t="s">
        <v>1057</v>
      </c>
      <c r="G355" s="209"/>
      <c r="H355" s="209"/>
      <c r="I355" s="293" t="s">
        <v>4134</v>
      </c>
      <c r="J355" s="300" t="b">
        <v>1</v>
      </c>
      <c r="K355" s="297" t="b">
        <v>1</v>
      </c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  <c r="AI355" s="209"/>
      <c r="AJ355" s="209"/>
    </row>
    <row r="356">
      <c r="A356" s="291"/>
      <c r="B356" s="303" t="s">
        <v>2113</v>
      </c>
      <c r="C356" s="304" t="s">
        <v>1060</v>
      </c>
      <c r="D356" s="304" t="s">
        <v>2114</v>
      </c>
      <c r="E356" s="305">
        <v>8.10115973133E11</v>
      </c>
      <c r="F356" s="304" t="s">
        <v>1057</v>
      </c>
      <c r="G356" s="209"/>
      <c r="H356" s="209"/>
      <c r="I356" s="293" t="s">
        <v>4134</v>
      </c>
      <c r="J356" s="300" t="b">
        <v>1</v>
      </c>
      <c r="K356" s="297" t="b">
        <v>1</v>
      </c>
      <c r="L356" s="209"/>
      <c r="M356" s="209"/>
      <c r="N356" s="209"/>
      <c r="O356" s="209"/>
      <c r="P356" s="209"/>
      <c r="Q356" s="209"/>
      <c r="R356" s="209"/>
      <c r="S356" s="209"/>
      <c r="T356" s="209"/>
      <c r="U356" s="325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  <c r="AI356" s="209"/>
      <c r="AJ356" s="209"/>
    </row>
    <row r="357">
      <c r="A357" s="291"/>
      <c r="B357" s="303" t="s">
        <v>2115</v>
      </c>
      <c r="C357" s="304" t="s">
        <v>390</v>
      </c>
      <c r="D357" s="304" t="s">
        <v>2116</v>
      </c>
      <c r="E357" s="305">
        <v>8.10115975823E11</v>
      </c>
      <c r="F357" s="304" t="s">
        <v>1057</v>
      </c>
      <c r="G357" s="209"/>
      <c r="H357" s="209"/>
      <c r="I357" s="304" t="s">
        <v>4135</v>
      </c>
      <c r="J357" s="300" t="b">
        <v>1</v>
      </c>
      <c r="K357" s="297" t="b">
        <v>1</v>
      </c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</row>
    <row r="358">
      <c r="A358" s="291"/>
      <c r="B358" s="303" t="s">
        <v>2117</v>
      </c>
      <c r="C358" s="304" t="s">
        <v>400</v>
      </c>
      <c r="D358" s="304" t="s">
        <v>2118</v>
      </c>
      <c r="E358" s="305">
        <v>8.1011597286E11</v>
      </c>
      <c r="F358" s="304" t="s">
        <v>1057</v>
      </c>
      <c r="G358" s="209"/>
      <c r="H358" s="209"/>
      <c r="I358" s="304" t="s">
        <v>4135</v>
      </c>
      <c r="J358" s="300" t="b">
        <v>1</v>
      </c>
      <c r="K358" s="297" t="b">
        <v>1</v>
      </c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  <c r="AI358" s="209"/>
      <c r="AJ358" s="209"/>
    </row>
    <row r="359">
      <c r="A359" s="291"/>
      <c r="B359" s="354" t="s">
        <v>2119</v>
      </c>
      <c r="C359" s="304" t="s">
        <v>412</v>
      </c>
      <c r="D359" s="304" t="s">
        <v>2120</v>
      </c>
      <c r="E359" s="305">
        <v>8.40472502042E11</v>
      </c>
      <c r="F359" s="304" t="s">
        <v>1057</v>
      </c>
      <c r="G359" s="209"/>
      <c r="H359" s="209"/>
      <c r="I359" s="304" t="s">
        <v>4135</v>
      </c>
      <c r="J359" s="300" t="b">
        <v>1</v>
      </c>
      <c r="K359" s="297" t="b">
        <v>1</v>
      </c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</row>
    <row r="360">
      <c r="A360" s="291"/>
      <c r="B360" s="303" t="s">
        <v>2121</v>
      </c>
      <c r="C360" s="304" t="s">
        <v>715</v>
      </c>
      <c r="D360" s="304" t="s">
        <v>2122</v>
      </c>
      <c r="E360" s="305">
        <v>8.1011597583E11</v>
      </c>
      <c r="F360" s="304" t="s">
        <v>1057</v>
      </c>
      <c r="G360" s="209"/>
      <c r="H360" s="209"/>
      <c r="I360" s="304" t="s">
        <v>4135</v>
      </c>
      <c r="J360" s="300" t="b">
        <v>1</v>
      </c>
      <c r="K360" s="297" t="b">
        <v>1</v>
      </c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</row>
    <row r="361">
      <c r="A361" s="291"/>
      <c r="B361" s="303" t="s">
        <v>2123</v>
      </c>
      <c r="C361" s="304" t="s">
        <v>421</v>
      </c>
      <c r="D361" s="304" t="s">
        <v>2124</v>
      </c>
      <c r="E361" s="305">
        <v>8.40472502059E11</v>
      </c>
      <c r="F361" s="304" t="s">
        <v>1057</v>
      </c>
      <c r="G361" s="209"/>
      <c r="H361" s="209"/>
      <c r="I361" s="304" t="s">
        <v>4135</v>
      </c>
      <c r="J361" s="300" t="b">
        <v>1</v>
      </c>
      <c r="K361" s="297" t="b">
        <v>1</v>
      </c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  <c r="AI361" s="209"/>
      <c r="AJ361" s="209"/>
    </row>
    <row r="362">
      <c r="A362" s="291"/>
      <c r="B362" s="310" t="s">
        <v>2125</v>
      </c>
      <c r="C362" s="311" t="s">
        <v>449</v>
      </c>
      <c r="D362" s="311" t="s">
        <v>2126</v>
      </c>
      <c r="E362" s="313"/>
      <c r="F362" s="304" t="s">
        <v>1057</v>
      </c>
      <c r="G362" s="313"/>
      <c r="H362" s="313"/>
      <c r="I362" s="304" t="s">
        <v>4135</v>
      </c>
      <c r="J362" s="300" t="b">
        <v>1</v>
      </c>
      <c r="K362" s="297" t="b">
        <v>1</v>
      </c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  <c r="AI362" s="209"/>
      <c r="AJ362" s="209"/>
    </row>
    <row r="363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  <c r="AI363" s="209"/>
      <c r="AJ363" s="209"/>
    </row>
    <row r="364">
      <c r="A364" s="316" t="s">
        <v>1894</v>
      </c>
      <c r="B364" s="282" t="s">
        <v>2130</v>
      </c>
      <c r="C364" s="273"/>
      <c r="D364" s="274" t="s">
        <v>2131</v>
      </c>
      <c r="E364" s="275" t="s">
        <v>2086</v>
      </c>
      <c r="F364" s="273"/>
      <c r="G364" s="273"/>
      <c r="H364" s="276" t="s">
        <v>370</v>
      </c>
      <c r="I364" s="274" t="s">
        <v>4136</v>
      </c>
      <c r="J364" s="278" t="str">
        <f>IF(COUNTIF(J365:J369, TRUE) = COUNTA(J365:J369), "Complete!", IF(COUNTIF(J365:J369, TRUE) &gt; 0, "Partial", "Not Started"))</f>
        <v>Complete!</v>
      </c>
      <c r="K364" s="279"/>
      <c r="L364" s="280">
        <v>5.0</v>
      </c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  <c r="AI364" s="209"/>
      <c r="AJ364" s="209"/>
    </row>
    <row r="365">
      <c r="A365" s="291"/>
      <c r="B365" s="292" t="s">
        <v>2133</v>
      </c>
      <c r="C365" s="293" t="s">
        <v>2094</v>
      </c>
      <c r="D365" s="293" t="s">
        <v>2134</v>
      </c>
      <c r="E365" s="294">
        <v>8.10115973089E11</v>
      </c>
      <c r="F365" s="295"/>
      <c r="G365" s="295"/>
      <c r="H365" s="295"/>
      <c r="I365" s="295"/>
      <c r="J365" s="296" t="b">
        <v>1</v>
      </c>
      <c r="K365" s="297" t="b">
        <v>0</v>
      </c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  <c r="AI365" s="209"/>
      <c r="AJ365" s="209"/>
    </row>
    <row r="366">
      <c r="A366" s="291"/>
      <c r="B366" s="303" t="s">
        <v>2135</v>
      </c>
      <c r="C366" s="304" t="s">
        <v>2097</v>
      </c>
      <c r="D366" s="304" t="s">
        <v>2136</v>
      </c>
      <c r="E366" s="305">
        <v>8.1011597314E11</v>
      </c>
      <c r="F366" s="209"/>
      <c r="G366" s="209"/>
      <c r="H366" s="209"/>
      <c r="I366" s="209"/>
      <c r="J366" s="300" t="b">
        <v>1</v>
      </c>
      <c r="K366" s="301" t="b">
        <v>0</v>
      </c>
      <c r="L366" s="209"/>
      <c r="M366" s="209"/>
      <c r="N366" s="209"/>
      <c r="O366" s="209"/>
      <c r="P366" s="209"/>
      <c r="Q366" s="209"/>
      <c r="R366" s="209"/>
      <c r="S366" s="209"/>
      <c r="T366" s="209"/>
      <c r="U366" s="325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  <c r="AI366" s="209"/>
      <c r="AJ366" s="209"/>
    </row>
    <row r="367">
      <c r="A367" s="291"/>
      <c r="B367" s="303" t="s">
        <v>2137</v>
      </c>
      <c r="C367" s="304" t="s">
        <v>2100</v>
      </c>
      <c r="D367" s="304" t="s">
        <v>2138</v>
      </c>
      <c r="E367" s="305">
        <v>8.10115973096E11</v>
      </c>
      <c r="F367" s="209"/>
      <c r="G367" s="209"/>
      <c r="H367" s="209"/>
      <c r="I367" s="209"/>
      <c r="J367" s="300" t="b">
        <v>1</v>
      </c>
      <c r="K367" s="301" t="b">
        <v>0</v>
      </c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  <c r="AI367" s="209"/>
      <c r="AJ367" s="209"/>
    </row>
    <row r="368">
      <c r="A368" s="291"/>
      <c r="B368" s="303" t="s">
        <v>2139</v>
      </c>
      <c r="C368" s="304" t="s">
        <v>2103</v>
      </c>
      <c r="D368" s="304" t="s">
        <v>2140</v>
      </c>
      <c r="E368" s="305">
        <v>8.10115973157E11</v>
      </c>
      <c r="F368" s="209"/>
      <c r="G368" s="209"/>
      <c r="H368" s="209"/>
      <c r="I368" s="209"/>
      <c r="J368" s="300" t="b">
        <v>1</v>
      </c>
      <c r="K368" s="301" t="b">
        <v>0</v>
      </c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  <c r="AI368" s="209"/>
      <c r="AJ368" s="209"/>
    </row>
    <row r="369">
      <c r="A369" s="291"/>
      <c r="B369" s="310" t="s">
        <v>2141</v>
      </c>
      <c r="C369" s="311" t="s">
        <v>2091</v>
      </c>
      <c r="D369" s="311" t="s">
        <v>2142</v>
      </c>
      <c r="E369" s="312">
        <v>8.10115973102E11</v>
      </c>
      <c r="F369" s="313"/>
      <c r="G369" s="313"/>
      <c r="H369" s="313"/>
      <c r="I369" s="313"/>
      <c r="J369" s="350" t="b">
        <v>1</v>
      </c>
      <c r="K369" s="314" t="b">
        <v>0</v>
      </c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</row>
    <row r="370">
      <c r="A370" s="209"/>
      <c r="B370" s="209"/>
      <c r="C370" s="209"/>
      <c r="D370" s="209"/>
      <c r="E370" s="209"/>
      <c r="F370" s="209"/>
      <c r="G370" s="209"/>
      <c r="H370" s="209"/>
      <c r="I370" s="209"/>
      <c r="J370" s="313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  <c r="AI370" s="209"/>
      <c r="AJ370" s="209"/>
    </row>
    <row r="371">
      <c r="A371" s="316" t="s">
        <v>1914</v>
      </c>
      <c r="B371" s="282" t="s">
        <v>206</v>
      </c>
      <c r="C371" s="273"/>
      <c r="D371" s="274" t="s">
        <v>205</v>
      </c>
      <c r="E371" s="275" t="s">
        <v>2086</v>
      </c>
      <c r="F371" s="273"/>
      <c r="G371" s="273"/>
      <c r="H371" s="276" t="s">
        <v>468</v>
      </c>
      <c r="I371" s="276" t="s">
        <v>3739</v>
      </c>
      <c r="J371" s="278" t="str">
        <f>IF(COUNTIF(J372:J381, TRUE) = COUNTA(J372:J381), "Complete!", IF(COUNTIF(J372:J381, TRUE) &gt; 0, "Partial", "Not Started"))</f>
        <v>Complete!</v>
      </c>
      <c r="K371" s="279"/>
      <c r="L371" s="280">
        <v>10.0</v>
      </c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</row>
    <row r="372">
      <c r="A372" s="291"/>
      <c r="B372" s="292" t="s">
        <v>2144</v>
      </c>
      <c r="C372" s="293" t="s">
        <v>1916</v>
      </c>
      <c r="D372" s="293" t="s">
        <v>2145</v>
      </c>
      <c r="E372" s="294">
        <v>8.10115973164E11</v>
      </c>
      <c r="F372" s="295"/>
      <c r="G372" s="295"/>
      <c r="H372" s="295"/>
      <c r="I372" s="295"/>
      <c r="J372" s="296" t="b">
        <v>1</v>
      </c>
      <c r="K372" s="297" t="b">
        <v>0</v>
      </c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  <c r="AI372" s="209"/>
      <c r="AJ372" s="209"/>
    </row>
    <row r="373">
      <c r="A373" s="291"/>
      <c r="B373" s="303" t="s">
        <v>2146</v>
      </c>
      <c r="C373" s="304" t="s">
        <v>505</v>
      </c>
      <c r="D373" s="304" t="s">
        <v>2147</v>
      </c>
      <c r="E373" s="305">
        <v>8.10115973119E11</v>
      </c>
      <c r="F373" s="209"/>
      <c r="G373" s="209"/>
      <c r="H373" s="209"/>
      <c r="I373" s="209"/>
      <c r="J373" s="300" t="b">
        <v>1</v>
      </c>
      <c r="K373" s="301" t="b">
        <v>0</v>
      </c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  <c r="AI373" s="209"/>
      <c r="AJ373" s="209"/>
    </row>
    <row r="374">
      <c r="A374" s="291"/>
      <c r="B374" s="303" t="s">
        <v>2148</v>
      </c>
      <c r="C374" s="304" t="s">
        <v>522</v>
      </c>
      <c r="D374" s="304" t="s">
        <v>2149</v>
      </c>
      <c r="E374" s="305">
        <v>8.10115973171E11</v>
      </c>
      <c r="F374" s="209"/>
      <c r="G374" s="209"/>
      <c r="H374" s="209"/>
      <c r="I374" s="209"/>
      <c r="J374" s="300" t="b">
        <v>1</v>
      </c>
      <c r="K374" s="301" t="b">
        <v>0</v>
      </c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</row>
    <row r="375">
      <c r="A375" s="291"/>
      <c r="B375" s="303" t="s">
        <v>2150</v>
      </c>
      <c r="C375" s="304" t="s">
        <v>1060</v>
      </c>
      <c r="D375" s="304" t="s">
        <v>2151</v>
      </c>
      <c r="E375" s="305">
        <v>8.10115973126E11</v>
      </c>
      <c r="F375" s="209"/>
      <c r="G375" s="209"/>
      <c r="H375" s="209"/>
      <c r="I375" s="209"/>
      <c r="J375" s="300" t="b">
        <v>1</v>
      </c>
      <c r="K375" s="301" t="b">
        <v>0</v>
      </c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</row>
    <row r="376">
      <c r="A376" s="291"/>
      <c r="B376" s="303" t="s">
        <v>2152</v>
      </c>
      <c r="C376" s="304" t="s">
        <v>2128</v>
      </c>
      <c r="D376" s="304" t="s">
        <v>2153</v>
      </c>
      <c r="E376" s="305">
        <v>8.10115975847E11</v>
      </c>
      <c r="F376" s="209"/>
      <c r="G376" s="209"/>
      <c r="H376" s="209"/>
      <c r="I376" s="209"/>
      <c r="J376" s="300" t="b">
        <v>1</v>
      </c>
      <c r="K376" s="301" t="b">
        <v>0</v>
      </c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09"/>
      <c r="AJ376" s="209"/>
    </row>
    <row r="377">
      <c r="A377" s="291"/>
      <c r="B377" s="303" t="s">
        <v>2154</v>
      </c>
      <c r="C377" s="304" t="s">
        <v>2155</v>
      </c>
      <c r="D377" s="304" t="s">
        <v>2156</v>
      </c>
      <c r="E377" s="305">
        <v>8.10115973188E11</v>
      </c>
      <c r="F377" s="209"/>
      <c r="G377" s="209"/>
      <c r="H377" s="209"/>
      <c r="I377" s="209"/>
      <c r="J377" s="300" t="b">
        <v>1</v>
      </c>
      <c r="K377" s="301" t="b">
        <v>0</v>
      </c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  <c r="AI377" s="209"/>
      <c r="AJ377" s="209"/>
    </row>
    <row r="378">
      <c r="A378" s="291"/>
      <c r="B378" s="303" t="s">
        <v>2157</v>
      </c>
      <c r="C378" s="304" t="s">
        <v>2158</v>
      </c>
      <c r="D378" s="304" t="s">
        <v>2159</v>
      </c>
      <c r="E378" s="305">
        <v>8.40472502172E11</v>
      </c>
      <c r="F378" s="209"/>
      <c r="G378" s="209"/>
      <c r="H378" s="209"/>
      <c r="I378" s="209"/>
      <c r="J378" s="300" t="b">
        <v>1</v>
      </c>
      <c r="K378" s="301" t="b">
        <v>0</v>
      </c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  <c r="AI378" s="209"/>
      <c r="AJ378" s="209"/>
    </row>
    <row r="379">
      <c r="A379" s="291"/>
      <c r="B379" s="303" t="s">
        <v>2160</v>
      </c>
      <c r="C379" s="304" t="s">
        <v>2161</v>
      </c>
      <c r="D379" s="304" t="s">
        <v>2162</v>
      </c>
      <c r="E379" s="305">
        <v>8.40472502189E11</v>
      </c>
      <c r="F379" s="209"/>
      <c r="G379" s="209"/>
      <c r="H379" s="209"/>
      <c r="I379" s="209"/>
      <c r="J379" s="300" t="b">
        <v>1</v>
      </c>
      <c r="K379" s="301" t="b">
        <v>0</v>
      </c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  <c r="AI379" s="209"/>
      <c r="AJ379" s="209"/>
    </row>
    <row r="380">
      <c r="A380" s="291"/>
      <c r="B380" s="303" t="s">
        <v>2163</v>
      </c>
      <c r="C380" s="304" t="s">
        <v>2164</v>
      </c>
      <c r="D380" s="304" t="s">
        <v>2165</v>
      </c>
      <c r="E380" s="305">
        <v>8.40472502196E11</v>
      </c>
      <c r="F380" s="209"/>
      <c r="G380" s="209"/>
      <c r="H380" s="209"/>
      <c r="I380" s="209"/>
      <c r="J380" s="300" t="b">
        <v>1</v>
      </c>
      <c r="K380" s="301" t="b">
        <v>0</v>
      </c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  <c r="AI380" s="209"/>
      <c r="AJ380" s="209"/>
    </row>
    <row r="381">
      <c r="A381" s="291"/>
      <c r="B381" s="310" t="s">
        <v>2166</v>
      </c>
      <c r="C381" s="311" t="s">
        <v>2167</v>
      </c>
      <c r="D381" s="311" t="s">
        <v>2168</v>
      </c>
      <c r="E381" s="312">
        <v>8.40472502202E11</v>
      </c>
      <c r="F381" s="313"/>
      <c r="G381" s="313"/>
      <c r="H381" s="313"/>
      <c r="I381" s="313"/>
      <c r="J381" s="300" t="b">
        <v>1</v>
      </c>
      <c r="K381" s="314" t="b">
        <v>0</v>
      </c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  <c r="AI381" s="209"/>
      <c r="AJ381" s="209"/>
    </row>
    <row r="382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  <c r="AI382" s="209"/>
      <c r="AJ382" s="209"/>
    </row>
    <row r="383">
      <c r="A383" s="316" t="s">
        <v>1937</v>
      </c>
      <c r="B383" s="319" t="s">
        <v>2169</v>
      </c>
      <c r="C383" s="320"/>
      <c r="D383" s="283" t="s">
        <v>2170</v>
      </c>
      <c r="E383" s="322" t="s">
        <v>2171</v>
      </c>
      <c r="F383" s="273"/>
      <c r="G383" s="273"/>
      <c r="H383" s="276" t="s">
        <v>888</v>
      </c>
      <c r="I383" s="276" t="s">
        <v>889</v>
      </c>
      <c r="J383" s="278" t="str">
        <f>IF(COUNTIF(J384:J391, TRUE) = COUNTA(J384:J391), "Complete!", IF(COUNTIF(J384:J391, TRUE) &gt; 0, "Partial", "Not Started"))</f>
        <v>Complete!</v>
      </c>
      <c r="K383" s="279"/>
      <c r="L383" s="280">
        <v>8.0</v>
      </c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  <c r="AI383" s="209"/>
      <c r="AJ383" s="209"/>
    </row>
    <row r="384">
      <c r="A384" s="291"/>
      <c r="B384" s="292" t="s">
        <v>2172</v>
      </c>
      <c r="C384" s="293" t="s">
        <v>2164</v>
      </c>
      <c r="D384" s="295"/>
      <c r="E384" s="295"/>
      <c r="F384" s="293" t="s">
        <v>1062</v>
      </c>
      <c r="G384" s="295"/>
      <c r="H384" s="295"/>
      <c r="I384" s="293" t="s">
        <v>4051</v>
      </c>
      <c r="J384" s="296" t="b">
        <v>1</v>
      </c>
      <c r="K384" s="297" t="b">
        <v>0</v>
      </c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</row>
    <row r="385">
      <c r="A385" s="291"/>
      <c r="B385" s="303" t="s">
        <v>2175</v>
      </c>
      <c r="C385" s="304" t="s">
        <v>4137</v>
      </c>
      <c r="D385" s="209"/>
      <c r="E385" s="209"/>
      <c r="F385" s="304" t="s">
        <v>1062</v>
      </c>
      <c r="G385" s="209"/>
      <c r="H385" s="209"/>
      <c r="I385" s="304" t="s">
        <v>4051</v>
      </c>
      <c r="J385" s="300" t="b">
        <v>1</v>
      </c>
      <c r="K385" s="301" t="b">
        <v>0</v>
      </c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209"/>
      <c r="AJ385" s="209"/>
    </row>
    <row r="386">
      <c r="A386" s="291"/>
      <c r="B386" s="303" t="s">
        <v>2178</v>
      </c>
      <c r="C386" s="304" t="s">
        <v>2167</v>
      </c>
      <c r="D386" s="209"/>
      <c r="E386" s="209"/>
      <c r="F386" s="304" t="s">
        <v>1062</v>
      </c>
      <c r="G386" s="209"/>
      <c r="H386" s="209"/>
      <c r="I386" s="304" t="s">
        <v>4051</v>
      </c>
      <c r="J386" s="300" t="b">
        <v>1</v>
      </c>
      <c r="K386" s="301" t="b">
        <v>0</v>
      </c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  <c r="AI386" s="209"/>
      <c r="AJ386" s="209"/>
    </row>
    <row r="387">
      <c r="A387" s="291"/>
      <c r="B387" s="303" t="s">
        <v>2181</v>
      </c>
      <c r="C387" s="304" t="s">
        <v>2161</v>
      </c>
      <c r="D387" s="209"/>
      <c r="E387" s="209"/>
      <c r="F387" s="304" t="s">
        <v>1062</v>
      </c>
      <c r="G387" s="209"/>
      <c r="H387" s="209"/>
      <c r="I387" s="304" t="s">
        <v>4051</v>
      </c>
      <c r="J387" s="300" t="b">
        <v>1</v>
      </c>
      <c r="K387" s="301" t="b">
        <v>0</v>
      </c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  <c r="AI387" s="209"/>
      <c r="AJ387" s="209"/>
    </row>
    <row r="388">
      <c r="A388" s="291"/>
      <c r="B388" s="303" t="s">
        <v>2184</v>
      </c>
      <c r="C388" s="304" t="s">
        <v>2164</v>
      </c>
      <c r="D388" s="209"/>
      <c r="E388" s="209"/>
      <c r="F388" s="304" t="s">
        <v>1062</v>
      </c>
      <c r="G388" s="209"/>
      <c r="H388" s="209"/>
      <c r="I388" s="304" t="s">
        <v>4051</v>
      </c>
      <c r="J388" s="300" t="b">
        <v>1</v>
      </c>
      <c r="K388" s="301" t="b">
        <v>0</v>
      </c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</row>
    <row r="389">
      <c r="A389" s="291"/>
      <c r="B389" s="354" t="s">
        <v>2186</v>
      </c>
      <c r="C389" s="304" t="s">
        <v>4138</v>
      </c>
      <c r="D389" s="209"/>
      <c r="E389" s="209"/>
      <c r="F389" s="304" t="s">
        <v>1062</v>
      </c>
      <c r="G389" s="209"/>
      <c r="H389" s="209"/>
      <c r="I389" s="304" t="s">
        <v>4051</v>
      </c>
      <c r="J389" s="300" t="b">
        <v>1</v>
      </c>
      <c r="K389" s="301" t="b">
        <v>0</v>
      </c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  <c r="AI389" s="209"/>
      <c r="AJ389" s="209"/>
    </row>
    <row r="390">
      <c r="A390" s="291"/>
      <c r="B390" s="303" t="s">
        <v>2189</v>
      </c>
      <c r="C390" s="304" t="s">
        <v>2167</v>
      </c>
      <c r="D390" s="209"/>
      <c r="E390" s="209"/>
      <c r="F390" s="304" t="s">
        <v>1062</v>
      </c>
      <c r="G390" s="209"/>
      <c r="H390" s="209"/>
      <c r="I390" s="304" t="s">
        <v>4051</v>
      </c>
      <c r="J390" s="300" t="b">
        <v>1</v>
      </c>
      <c r="K390" s="301" t="b">
        <v>0</v>
      </c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  <c r="AI390" s="209"/>
      <c r="AJ390" s="209"/>
    </row>
    <row r="391">
      <c r="A391" s="291"/>
      <c r="B391" s="310" t="s">
        <v>2191</v>
      </c>
      <c r="C391" s="311" t="s">
        <v>2161</v>
      </c>
      <c r="D391" s="313"/>
      <c r="E391" s="313"/>
      <c r="F391" s="311" t="s">
        <v>1062</v>
      </c>
      <c r="G391" s="313"/>
      <c r="H391" s="313"/>
      <c r="I391" s="304" t="s">
        <v>4051</v>
      </c>
      <c r="J391" s="300" t="b">
        <v>1</v>
      </c>
      <c r="K391" s="314" t="b">
        <v>0</v>
      </c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  <c r="AI391" s="209"/>
      <c r="AJ391" s="209"/>
    </row>
    <row r="392">
      <c r="A392" s="209"/>
      <c r="B392" s="209"/>
      <c r="C392" s="209"/>
      <c r="D392" s="209"/>
      <c r="E392" s="353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  <c r="AI392" s="209"/>
      <c r="AJ392" s="209"/>
    </row>
    <row r="393">
      <c r="A393" s="316" t="s">
        <v>1958</v>
      </c>
      <c r="B393" s="319" t="s">
        <v>2193</v>
      </c>
      <c r="C393" s="320"/>
      <c r="D393" s="283" t="s">
        <v>2194</v>
      </c>
      <c r="E393" s="322" t="s">
        <v>2195</v>
      </c>
      <c r="F393" s="320"/>
      <c r="G393" s="320"/>
      <c r="H393" s="276" t="s">
        <v>468</v>
      </c>
      <c r="I393" s="285" t="s">
        <v>4139</v>
      </c>
      <c r="J393" s="278" t="str">
        <f>IF(COUNTIF(J394:J411, TRUE) = COUNTA(J394:J411), "Complete!", IF(COUNTIF(J394:J411, TRUE) &gt; 0, "Partial", "Not Started"))</f>
        <v>Complete!</v>
      </c>
      <c r="K393" s="279"/>
      <c r="L393" s="280">
        <v>18.0</v>
      </c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  <c r="AI393" s="209"/>
      <c r="AJ393" s="209"/>
    </row>
    <row r="394">
      <c r="A394" s="291"/>
      <c r="B394" s="376" t="s">
        <v>2198</v>
      </c>
      <c r="C394" s="377" t="s">
        <v>431</v>
      </c>
      <c r="D394" s="304" t="s">
        <v>2199</v>
      </c>
      <c r="E394" s="395">
        <v>8.10115975977E11</v>
      </c>
      <c r="F394" s="209"/>
      <c r="G394" s="209"/>
      <c r="H394" s="209"/>
      <c r="I394" s="209"/>
      <c r="J394" s="300" t="b">
        <v>1</v>
      </c>
      <c r="K394" s="301" t="b">
        <v>0</v>
      </c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  <c r="AI394" s="209"/>
      <c r="AJ394" s="209"/>
    </row>
    <row r="395">
      <c r="A395" s="291"/>
      <c r="B395" s="376" t="s">
        <v>2200</v>
      </c>
      <c r="C395" s="377" t="s">
        <v>431</v>
      </c>
      <c r="D395" s="304" t="s">
        <v>2201</v>
      </c>
      <c r="E395" s="395">
        <v>8.10115975984E11</v>
      </c>
      <c r="F395" s="209"/>
      <c r="G395" s="209"/>
      <c r="H395" s="209"/>
      <c r="I395" s="209"/>
      <c r="J395" s="300" t="b">
        <v>1</v>
      </c>
      <c r="K395" s="301" t="b">
        <v>0</v>
      </c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  <c r="AI395" s="209"/>
      <c r="AJ395" s="209"/>
    </row>
    <row r="396">
      <c r="A396" s="291"/>
      <c r="B396" s="376" t="s">
        <v>2202</v>
      </c>
      <c r="C396" s="377" t="s">
        <v>421</v>
      </c>
      <c r="D396" s="304" t="s">
        <v>2203</v>
      </c>
      <c r="E396" s="395">
        <v>8.10115976004E11</v>
      </c>
      <c r="F396" s="209"/>
      <c r="G396" s="209"/>
      <c r="H396" s="209"/>
      <c r="I396" s="209"/>
      <c r="J396" s="300" t="b">
        <v>1</v>
      </c>
      <c r="K396" s="301" t="b">
        <v>0</v>
      </c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  <c r="AI396" s="209"/>
      <c r="AJ396" s="209"/>
    </row>
    <row r="397">
      <c r="A397" s="291"/>
      <c r="B397" s="376" t="s">
        <v>2204</v>
      </c>
      <c r="C397" s="377" t="s">
        <v>421</v>
      </c>
      <c r="D397" s="304" t="s">
        <v>2205</v>
      </c>
      <c r="E397" s="395">
        <v>8.10115975991E11</v>
      </c>
      <c r="F397" s="209"/>
      <c r="G397" s="209"/>
      <c r="H397" s="209"/>
      <c r="I397" s="209"/>
      <c r="J397" s="300" t="b">
        <v>1</v>
      </c>
      <c r="K397" s="301" t="b">
        <v>0</v>
      </c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09"/>
      <c r="AJ397" s="209"/>
    </row>
    <row r="398">
      <c r="A398" s="291"/>
      <c r="B398" s="376" t="s">
        <v>2206</v>
      </c>
      <c r="C398" s="377" t="s">
        <v>449</v>
      </c>
      <c r="D398" s="304" t="s">
        <v>2207</v>
      </c>
      <c r="E398" s="395">
        <v>8.10115978299E11</v>
      </c>
      <c r="F398" s="209"/>
      <c r="G398" s="209"/>
      <c r="H398" s="209"/>
      <c r="I398" s="209"/>
      <c r="J398" s="300" t="b">
        <v>1</v>
      </c>
      <c r="K398" s="301" t="b">
        <v>0</v>
      </c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  <c r="AI398" s="209"/>
      <c r="AJ398" s="209"/>
    </row>
    <row r="399">
      <c r="A399" s="291"/>
      <c r="B399" s="396" t="s">
        <v>2208</v>
      </c>
      <c r="C399" s="377" t="s">
        <v>449</v>
      </c>
      <c r="D399" s="304" t="s">
        <v>2209</v>
      </c>
      <c r="E399" s="395">
        <v>8.1011597835E11</v>
      </c>
      <c r="F399" s="209"/>
      <c r="G399" s="209"/>
      <c r="H399" s="209"/>
      <c r="I399" s="209"/>
      <c r="J399" s="300" t="b">
        <v>1</v>
      </c>
      <c r="K399" s="301" t="b">
        <v>0</v>
      </c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  <c r="AI399" s="209"/>
      <c r="AJ399" s="209"/>
    </row>
    <row r="400">
      <c r="A400" s="291"/>
      <c r="B400" s="376" t="s">
        <v>2210</v>
      </c>
      <c r="C400" s="377" t="s">
        <v>440</v>
      </c>
      <c r="D400" s="304" t="s">
        <v>2211</v>
      </c>
      <c r="E400" s="395">
        <v>8.10115978305E11</v>
      </c>
      <c r="F400" s="209"/>
      <c r="G400" s="209"/>
      <c r="H400" s="209"/>
      <c r="I400" s="209"/>
      <c r="J400" s="300" t="b">
        <v>1</v>
      </c>
      <c r="K400" s="301" t="b">
        <v>0</v>
      </c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  <c r="AI400" s="209"/>
      <c r="AJ400" s="209"/>
    </row>
    <row r="401">
      <c r="A401" s="291"/>
      <c r="B401" s="376" t="s">
        <v>2212</v>
      </c>
      <c r="C401" s="377" t="s">
        <v>440</v>
      </c>
      <c r="D401" s="304" t="s">
        <v>2213</v>
      </c>
      <c r="E401" s="395">
        <v>8.10115978367E11</v>
      </c>
      <c r="F401" s="209"/>
      <c r="G401" s="209"/>
      <c r="H401" s="209"/>
      <c r="I401" s="209"/>
      <c r="J401" s="300" t="b">
        <v>1</v>
      </c>
      <c r="K401" s="301" t="b">
        <v>0</v>
      </c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  <c r="AI401" s="209"/>
      <c r="AJ401" s="209"/>
    </row>
    <row r="402">
      <c r="A402" s="291"/>
      <c r="B402" s="376" t="s">
        <v>2214</v>
      </c>
      <c r="C402" s="377" t="s">
        <v>458</v>
      </c>
      <c r="D402" s="304" t="s">
        <v>2215</v>
      </c>
      <c r="E402" s="395">
        <v>8.10115978312E11</v>
      </c>
      <c r="F402" s="209"/>
      <c r="G402" s="209"/>
      <c r="H402" s="209"/>
      <c r="I402" s="209"/>
      <c r="J402" s="300" t="b">
        <v>1</v>
      </c>
      <c r="K402" s="301" t="b">
        <v>0</v>
      </c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  <c r="AI402" s="209"/>
      <c r="AJ402" s="209"/>
    </row>
    <row r="403">
      <c r="A403" s="291"/>
      <c r="B403" s="376" t="s">
        <v>2216</v>
      </c>
      <c r="C403" s="377" t="s">
        <v>458</v>
      </c>
      <c r="D403" s="304" t="s">
        <v>2217</v>
      </c>
      <c r="E403" s="395">
        <v>8.10115978374E11</v>
      </c>
      <c r="F403" s="209"/>
      <c r="G403" s="209"/>
      <c r="H403" s="209"/>
      <c r="I403" s="209"/>
      <c r="J403" s="300" t="b">
        <v>1</v>
      </c>
      <c r="K403" s="301" t="b">
        <v>0</v>
      </c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  <c r="AI403" s="209"/>
      <c r="AJ403" s="209"/>
    </row>
    <row r="404">
      <c r="A404" s="291"/>
      <c r="B404" s="376" t="s">
        <v>2218</v>
      </c>
      <c r="C404" s="377" t="s">
        <v>505</v>
      </c>
      <c r="D404" s="304" t="s">
        <v>2219</v>
      </c>
      <c r="E404" s="395">
        <v>8.10115978329E11</v>
      </c>
      <c r="F404" s="209"/>
      <c r="G404" s="209"/>
      <c r="H404" s="209"/>
      <c r="I404" s="304" t="s">
        <v>2193</v>
      </c>
      <c r="J404" s="300" t="b">
        <v>1</v>
      </c>
      <c r="K404" s="301" t="b">
        <v>0</v>
      </c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  <c r="AI404" s="209"/>
      <c r="AJ404" s="209"/>
    </row>
    <row r="405">
      <c r="A405" s="291"/>
      <c r="B405" s="376" t="s">
        <v>2220</v>
      </c>
      <c r="C405" s="377" t="s">
        <v>505</v>
      </c>
      <c r="D405" s="304" t="s">
        <v>2221</v>
      </c>
      <c r="E405" s="395">
        <v>8.10115978381E11</v>
      </c>
      <c r="F405" s="209"/>
      <c r="G405" s="209"/>
      <c r="H405" s="209"/>
      <c r="I405" s="209"/>
      <c r="J405" s="300" t="b">
        <v>1</v>
      </c>
      <c r="K405" s="301" t="b">
        <v>0</v>
      </c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  <c r="AI405" s="209"/>
      <c r="AJ405" s="209"/>
    </row>
    <row r="406">
      <c r="A406" s="291"/>
      <c r="B406" s="376" t="s">
        <v>2222</v>
      </c>
      <c r="C406" s="377" t="s">
        <v>539</v>
      </c>
      <c r="D406" s="304" t="s">
        <v>2223</v>
      </c>
      <c r="E406" s="395">
        <v>8.10115978336E11</v>
      </c>
      <c r="F406" s="209"/>
      <c r="G406" s="209"/>
      <c r="H406" s="209"/>
      <c r="I406" s="209"/>
      <c r="J406" s="300" t="b">
        <v>1</v>
      </c>
      <c r="K406" s="301" t="b">
        <v>0</v>
      </c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  <c r="AI406" s="209"/>
      <c r="AJ406" s="209"/>
    </row>
    <row r="407">
      <c r="A407" s="291"/>
      <c r="B407" s="376" t="s">
        <v>2224</v>
      </c>
      <c r="C407" s="377" t="s">
        <v>539</v>
      </c>
      <c r="D407" s="304" t="s">
        <v>2225</v>
      </c>
      <c r="E407" s="395">
        <v>8.10115978398E11</v>
      </c>
      <c r="F407" s="209"/>
      <c r="G407" s="209"/>
      <c r="H407" s="209"/>
      <c r="I407" s="209"/>
      <c r="J407" s="300" t="b">
        <v>1</v>
      </c>
      <c r="K407" s="301" t="b">
        <v>0</v>
      </c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</row>
    <row r="408">
      <c r="A408" s="291"/>
      <c r="B408" s="303" t="s">
        <v>2226</v>
      </c>
      <c r="C408" s="304" t="s">
        <v>547</v>
      </c>
      <c r="D408" s="304" t="s">
        <v>2227</v>
      </c>
      <c r="E408" s="305">
        <v>8.10115978343E11</v>
      </c>
      <c r="F408" s="209"/>
      <c r="G408" s="209"/>
      <c r="H408" s="209"/>
      <c r="I408" s="304" t="s">
        <v>2193</v>
      </c>
      <c r="J408" s="300" t="b">
        <v>1</v>
      </c>
      <c r="K408" s="301" t="b">
        <v>0</v>
      </c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  <c r="AI408" s="209"/>
      <c r="AJ408" s="209"/>
    </row>
    <row r="409">
      <c r="A409" s="291"/>
      <c r="B409" s="303" t="s">
        <v>2228</v>
      </c>
      <c r="C409" s="304" t="s">
        <v>547</v>
      </c>
      <c r="D409" s="304" t="s">
        <v>2229</v>
      </c>
      <c r="E409" s="305">
        <v>8.10115978404E11</v>
      </c>
      <c r="F409" s="209"/>
      <c r="G409" s="209"/>
      <c r="H409" s="209"/>
      <c r="I409" s="209"/>
      <c r="J409" s="300" t="b">
        <v>1</v>
      </c>
      <c r="K409" s="301" t="b">
        <v>0</v>
      </c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  <c r="AI409" s="209"/>
      <c r="AJ409" s="209"/>
    </row>
    <row r="410">
      <c r="A410" s="291"/>
      <c r="B410" s="303" t="s">
        <v>2230</v>
      </c>
      <c r="C410" s="304" t="s">
        <v>641</v>
      </c>
      <c r="D410" s="304" t="s">
        <v>2231</v>
      </c>
      <c r="E410" s="305">
        <v>8.1011597596E11</v>
      </c>
      <c r="F410" s="209"/>
      <c r="G410" s="209"/>
      <c r="H410" s="209"/>
      <c r="I410" s="209"/>
      <c r="J410" s="300" t="b">
        <v>1</v>
      </c>
      <c r="K410" s="301" t="b">
        <v>0</v>
      </c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  <c r="AI410" s="209"/>
      <c r="AJ410" s="209"/>
    </row>
    <row r="411">
      <c r="A411" s="309"/>
      <c r="B411" s="310" t="s">
        <v>2232</v>
      </c>
      <c r="C411" s="311" t="s">
        <v>641</v>
      </c>
      <c r="D411" s="311" t="s">
        <v>2233</v>
      </c>
      <c r="E411" s="312">
        <v>8.10115975953E11</v>
      </c>
      <c r="F411" s="313"/>
      <c r="G411" s="313"/>
      <c r="H411" s="313"/>
      <c r="I411" s="313"/>
      <c r="J411" s="350" t="b">
        <v>1</v>
      </c>
      <c r="K411" s="314" t="b">
        <v>0</v>
      </c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</row>
    <row r="412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  <c r="AI412" s="209"/>
      <c r="AJ412" s="209"/>
    </row>
    <row r="413">
      <c r="A413" s="316" t="s">
        <v>1978</v>
      </c>
      <c r="B413" s="282" t="s">
        <v>2234</v>
      </c>
      <c r="C413" s="273"/>
      <c r="D413" s="274" t="s">
        <v>2235</v>
      </c>
      <c r="E413" s="275" t="s">
        <v>2236</v>
      </c>
      <c r="F413" s="273"/>
      <c r="G413" s="273"/>
      <c r="H413" s="276" t="s">
        <v>572</v>
      </c>
      <c r="I413" s="276" t="s">
        <v>4140</v>
      </c>
      <c r="J413" s="278" t="str">
        <f>IF(COUNTIF(J414:J421, TRUE) = COUNTA(J414:J421), "Complete!", IF(COUNTIF(J414:J421, TRUE) &gt; 0, "Partial", "Not Started"))</f>
        <v>Complete!</v>
      </c>
      <c r="K413" s="279"/>
      <c r="L413" s="280">
        <v>8.0</v>
      </c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  <c r="AI413" s="209"/>
      <c r="AJ413" s="209"/>
    </row>
    <row r="414">
      <c r="A414" s="291"/>
      <c r="B414" s="292" t="s">
        <v>2238</v>
      </c>
      <c r="C414" s="293" t="s">
        <v>449</v>
      </c>
      <c r="D414" s="293" t="s">
        <v>2239</v>
      </c>
      <c r="E414" s="294">
        <v>8.10115970293E11</v>
      </c>
      <c r="F414" s="295"/>
      <c r="G414" s="295"/>
      <c r="H414" s="295"/>
      <c r="I414" s="295"/>
      <c r="J414" s="296" t="b">
        <v>1</v>
      </c>
      <c r="K414" s="297" t="b">
        <v>0</v>
      </c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  <c r="AI414" s="209"/>
      <c r="AJ414" s="209"/>
    </row>
    <row r="415">
      <c r="A415" s="291"/>
      <c r="B415" s="303" t="s">
        <v>2240</v>
      </c>
      <c r="C415" s="304" t="s">
        <v>487</v>
      </c>
      <c r="D415" s="304" t="s">
        <v>2241</v>
      </c>
      <c r="E415" s="305">
        <v>8.10115972327E11</v>
      </c>
      <c r="F415" s="209"/>
      <c r="G415" s="209"/>
      <c r="H415" s="209"/>
      <c r="I415" s="209"/>
      <c r="J415" s="300" t="b">
        <v>1</v>
      </c>
      <c r="K415" s="301" t="b">
        <v>0</v>
      </c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  <c r="AI415" s="209"/>
      <c r="AJ415" s="209"/>
    </row>
    <row r="416">
      <c r="A416" s="291"/>
      <c r="B416" s="303" t="s">
        <v>2242</v>
      </c>
      <c r="C416" s="304" t="s">
        <v>440</v>
      </c>
      <c r="D416" s="304" t="s">
        <v>2243</v>
      </c>
      <c r="E416" s="305">
        <v>8.1011597033E11</v>
      </c>
      <c r="F416" s="209"/>
      <c r="G416" s="209"/>
      <c r="H416" s="209"/>
      <c r="I416" s="209"/>
      <c r="J416" s="300" t="b">
        <v>1</v>
      </c>
      <c r="K416" s="301" t="b">
        <v>0</v>
      </c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  <c r="AI416" s="209"/>
      <c r="AJ416" s="209"/>
    </row>
    <row r="417">
      <c r="A417" s="291"/>
      <c r="B417" s="303" t="s">
        <v>2244</v>
      </c>
      <c r="C417" s="304" t="s">
        <v>458</v>
      </c>
      <c r="D417" s="304" t="s">
        <v>2245</v>
      </c>
      <c r="E417" s="305">
        <v>8.10115971672E11</v>
      </c>
      <c r="F417" s="209"/>
      <c r="G417" s="209"/>
      <c r="H417" s="209"/>
      <c r="I417" s="209"/>
      <c r="J417" s="300" t="b">
        <v>1</v>
      </c>
      <c r="K417" s="301" t="b">
        <v>0</v>
      </c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  <c r="AI417" s="209"/>
      <c r="AJ417" s="209"/>
    </row>
    <row r="418">
      <c r="A418" s="291"/>
      <c r="B418" s="303" t="s">
        <v>2246</v>
      </c>
      <c r="C418" s="304" t="s">
        <v>505</v>
      </c>
      <c r="D418" s="304" t="s">
        <v>2247</v>
      </c>
      <c r="E418" s="305">
        <v>8.10115970354E11</v>
      </c>
      <c r="F418" s="209"/>
      <c r="G418" s="209"/>
      <c r="H418" s="209"/>
      <c r="I418" s="209"/>
      <c r="J418" s="300" t="b">
        <v>1</v>
      </c>
      <c r="K418" s="301" t="b">
        <v>0</v>
      </c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  <c r="AI418" s="209"/>
      <c r="AJ418" s="209"/>
    </row>
    <row r="419">
      <c r="A419" s="291"/>
      <c r="B419" s="354" t="s">
        <v>2248</v>
      </c>
      <c r="C419" s="304" t="s">
        <v>547</v>
      </c>
      <c r="D419" s="304" t="s">
        <v>2249</v>
      </c>
      <c r="E419" s="305">
        <v>8.10115972341E11</v>
      </c>
      <c r="F419" s="209"/>
      <c r="G419" s="209"/>
      <c r="H419" s="209"/>
      <c r="I419" s="209"/>
      <c r="J419" s="300" t="b">
        <v>1</v>
      </c>
      <c r="K419" s="301" t="b">
        <v>0</v>
      </c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</row>
    <row r="420">
      <c r="A420" s="291"/>
      <c r="B420" s="303" t="s">
        <v>2250</v>
      </c>
      <c r="C420" s="304" t="s">
        <v>522</v>
      </c>
      <c r="D420" s="304" t="s">
        <v>2251</v>
      </c>
      <c r="E420" s="209"/>
      <c r="F420" s="209"/>
      <c r="G420" s="209"/>
      <c r="H420" s="209"/>
      <c r="I420" s="304" t="s">
        <v>4051</v>
      </c>
      <c r="J420" s="300" t="b">
        <v>1</v>
      </c>
      <c r="K420" s="301" t="b">
        <v>0</v>
      </c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  <c r="AI420" s="209"/>
      <c r="AJ420" s="209"/>
    </row>
    <row r="421">
      <c r="A421" s="309"/>
      <c r="B421" s="397" t="s">
        <v>2252</v>
      </c>
      <c r="C421" s="311" t="s">
        <v>487</v>
      </c>
      <c r="D421" s="311" t="s">
        <v>2253</v>
      </c>
      <c r="E421" s="398"/>
      <c r="F421" s="311" t="s">
        <v>2254</v>
      </c>
      <c r="G421" s="313"/>
      <c r="H421" s="313"/>
      <c r="I421" s="313"/>
      <c r="J421" s="300" t="b">
        <v>1</v>
      </c>
      <c r="K421" s="314" t="b">
        <v>1</v>
      </c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  <c r="AI421" s="209"/>
      <c r="AJ421" s="209"/>
    </row>
    <row r="422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09"/>
      <c r="AJ422" s="209"/>
    </row>
    <row r="423">
      <c r="A423" s="316" t="s">
        <v>1999</v>
      </c>
      <c r="B423" s="319" t="s">
        <v>2255</v>
      </c>
      <c r="C423" s="320"/>
      <c r="D423" s="283" t="s">
        <v>2256</v>
      </c>
      <c r="E423" s="322" t="s">
        <v>2236</v>
      </c>
      <c r="F423" s="320"/>
      <c r="G423" s="320"/>
      <c r="H423" s="276" t="s">
        <v>468</v>
      </c>
      <c r="I423" s="285" t="s">
        <v>4141</v>
      </c>
      <c r="J423" s="278" t="str">
        <f>IF(COUNTIF(J424:J429, TRUE) = COUNTA(J424:J429), "Complete!", IF(COUNTIF(J424:J429, TRUE) &gt; 0, "Partial", "Not Started"))</f>
        <v>Complete!</v>
      </c>
      <c r="K423" s="279"/>
      <c r="L423" s="280">
        <v>6.0</v>
      </c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</row>
    <row r="424">
      <c r="A424" s="291"/>
      <c r="B424" s="303" t="s">
        <v>2258</v>
      </c>
      <c r="C424" s="304" t="s">
        <v>449</v>
      </c>
      <c r="D424" s="304" t="s">
        <v>2259</v>
      </c>
      <c r="E424" s="305">
        <v>8.10115971641E11</v>
      </c>
      <c r="F424" s="209"/>
      <c r="G424" s="209"/>
      <c r="H424" s="209"/>
      <c r="I424" s="209"/>
      <c r="J424" s="300" t="b">
        <v>1</v>
      </c>
      <c r="K424" s="301" t="b">
        <v>0</v>
      </c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  <c r="AI424" s="209"/>
      <c r="AJ424" s="209"/>
    </row>
    <row r="425">
      <c r="A425" s="291"/>
      <c r="B425" s="303" t="s">
        <v>2260</v>
      </c>
      <c r="C425" s="304" t="s">
        <v>487</v>
      </c>
      <c r="D425" s="304" t="s">
        <v>2261</v>
      </c>
      <c r="E425" s="305">
        <v>8.10115973195E11</v>
      </c>
      <c r="F425" s="209"/>
      <c r="G425" s="209"/>
      <c r="H425" s="209"/>
      <c r="I425" s="209"/>
      <c r="J425" s="300" t="b">
        <v>1</v>
      </c>
      <c r="K425" s="301" t="b">
        <v>0</v>
      </c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  <c r="AI425" s="209"/>
      <c r="AJ425" s="209"/>
    </row>
    <row r="426">
      <c r="A426" s="291"/>
      <c r="B426" s="303" t="s">
        <v>2262</v>
      </c>
      <c r="C426" s="304" t="s">
        <v>440</v>
      </c>
      <c r="D426" s="304" t="s">
        <v>2263</v>
      </c>
      <c r="E426" s="305">
        <v>8.10115971658E11</v>
      </c>
      <c r="F426" s="209"/>
      <c r="G426" s="209"/>
      <c r="H426" s="209"/>
      <c r="I426" s="209"/>
      <c r="J426" s="300" t="b">
        <v>1</v>
      </c>
      <c r="K426" s="301" t="b">
        <v>0</v>
      </c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  <c r="AI426" s="209"/>
      <c r="AJ426" s="209"/>
    </row>
    <row r="427">
      <c r="A427" s="291"/>
      <c r="B427" s="303" t="s">
        <v>2265</v>
      </c>
      <c r="C427" s="304" t="s">
        <v>458</v>
      </c>
      <c r="D427" s="304" t="s">
        <v>2266</v>
      </c>
      <c r="E427" s="305">
        <v>8.10115971665E11</v>
      </c>
      <c r="F427" s="209"/>
      <c r="G427" s="209"/>
      <c r="H427" s="209"/>
      <c r="I427" s="209"/>
      <c r="J427" s="300" t="b">
        <v>1</v>
      </c>
      <c r="K427" s="301" t="b">
        <v>0</v>
      </c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  <c r="AI427" s="209"/>
      <c r="AJ427" s="209"/>
    </row>
    <row r="428">
      <c r="A428" s="291"/>
      <c r="B428" s="303" t="s">
        <v>2267</v>
      </c>
      <c r="C428" s="304" t="s">
        <v>505</v>
      </c>
      <c r="D428" s="304" t="s">
        <v>2268</v>
      </c>
      <c r="E428" s="305">
        <v>8.10115971719E11</v>
      </c>
      <c r="F428" s="209"/>
      <c r="G428" s="209"/>
      <c r="H428" s="209"/>
      <c r="I428" s="209"/>
      <c r="J428" s="300" t="b">
        <v>1</v>
      </c>
      <c r="K428" s="301" t="b">
        <v>0</v>
      </c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  <c r="AI428" s="209"/>
      <c r="AJ428" s="209"/>
    </row>
    <row r="429">
      <c r="A429" s="309"/>
      <c r="B429" s="310" t="s">
        <v>2269</v>
      </c>
      <c r="C429" s="311" t="s">
        <v>547</v>
      </c>
      <c r="D429" s="311" t="s">
        <v>2270</v>
      </c>
      <c r="E429" s="312">
        <v>8.10115977841E11</v>
      </c>
      <c r="F429" s="313"/>
      <c r="G429" s="313"/>
      <c r="H429" s="313"/>
      <c r="I429" s="313"/>
      <c r="J429" s="350" t="b">
        <v>1</v>
      </c>
      <c r="K429" s="314" t="b">
        <v>0</v>
      </c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  <c r="AI429" s="209"/>
      <c r="AJ429" s="209"/>
    </row>
    <row r="430">
      <c r="A430" s="209"/>
      <c r="B430" s="209"/>
      <c r="C430" s="209"/>
      <c r="D430" s="209"/>
      <c r="E430" s="209"/>
      <c r="F430" s="209"/>
      <c r="G430" s="209"/>
      <c r="H430" s="209"/>
      <c r="I430" s="209"/>
      <c r="J430" s="313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  <c r="AI430" s="209"/>
      <c r="AJ430" s="209"/>
    </row>
    <row r="431">
      <c r="A431" s="316" t="s">
        <v>2020</v>
      </c>
      <c r="B431" s="319" t="s">
        <v>2271</v>
      </c>
      <c r="C431" s="320"/>
      <c r="D431" s="283" t="s">
        <v>2272</v>
      </c>
      <c r="E431" s="322" t="s">
        <v>2273</v>
      </c>
      <c r="F431" s="399"/>
      <c r="G431" s="399"/>
      <c r="H431" s="400" t="s">
        <v>468</v>
      </c>
      <c r="I431" s="285" t="s">
        <v>4142</v>
      </c>
      <c r="J431" s="278" t="str">
        <f>IF(COUNTIF(J432:J441, TRUE) = COUNTA(J432:J441), "Complete!", IF(COUNTIF(J432:J441, TRUE) &gt; 0, "Partial", "Not Started"))</f>
        <v>Complete!</v>
      </c>
      <c r="K431" s="279"/>
      <c r="L431" s="280">
        <v>10.0</v>
      </c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  <c r="AI431" s="209"/>
      <c r="AJ431" s="209"/>
    </row>
    <row r="432">
      <c r="A432" s="291"/>
      <c r="B432" s="292" t="s">
        <v>2275</v>
      </c>
      <c r="C432" s="293" t="s">
        <v>630</v>
      </c>
      <c r="D432" s="304" t="s">
        <v>2276</v>
      </c>
      <c r="E432" s="294">
        <v>8.10115977858E11</v>
      </c>
      <c r="F432" s="209"/>
      <c r="G432" s="209"/>
      <c r="H432" s="209"/>
      <c r="I432" s="209"/>
      <c r="J432" s="300" t="b">
        <v>1</v>
      </c>
      <c r="K432" s="301" t="b">
        <v>0</v>
      </c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  <c r="AI432" s="209"/>
      <c r="AJ432" s="209"/>
    </row>
    <row r="433">
      <c r="A433" s="291"/>
      <c r="B433" s="303" t="s">
        <v>2277</v>
      </c>
      <c r="C433" s="304" t="s">
        <v>2278</v>
      </c>
      <c r="D433" s="304" t="s">
        <v>2279</v>
      </c>
      <c r="E433" s="305">
        <v>8.10115977865E11</v>
      </c>
      <c r="F433" s="209"/>
      <c r="G433" s="209"/>
      <c r="H433" s="209"/>
      <c r="I433" s="209"/>
      <c r="J433" s="300" t="b">
        <v>1</v>
      </c>
      <c r="K433" s="301" t="b">
        <v>0</v>
      </c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  <c r="AI433" s="209"/>
      <c r="AJ433" s="209"/>
    </row>
    <row r="434">
      <c r="A434" s="291"/>
      <c r="B434" s="303" t="s">
        <v>2280</v>
      </c>
      <c r="C434" s="304" t="s">
        <v>394</v>
      </c>
      <c r="D434" s="304" t="s">
        <v>2281</v>
      </c>
      <c r="E434" s="305">
        <v>8.10115977872E11</v>
      </c>
      <c r="F434" s="209"/>
      <c r="G434" s="209"/>
      <c r="H434" s="209"/>
      <c r="I434" s="209"/>
      <c r="J434" s="300" t="b">
        <v>1</v>
      </c>
      <c r="K434" s="301" t="b">
        <v>0</v>
      </c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  <c r="AI434" s="209"/>
      <c r="AJ434" s="209"/>
    </row>
    <row r="435">
      <c r="A435" s="291"/>
      <c r="B435" s="303" t="s">
        <v>2282</v>
      </c>
      <c r="C435" s="304" t="s">
        <v>404</v>
      </c>
      <c r="D435" s="304" t="s">
        <v>2283</v>
      </c>
      <c r="E435" s="305">
        <v>8.10115971214E11</v>
      </c>
      <c r="F435" s="209"/>
      <c r="G435" s="209"/>
      <c r="H435" s="209"/>
      <c r="I435" s="209"/>
      <c r="J435" s="300" t="b">
        <v>1</v>
      </c>
      <c r="K435" s="301" t="b">
        <v>0</v>
      </c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  <c r="AI435" s="209"/>
      <c r="AJ435" s="209"/>
    </row>
    <row r="436">
      <c r="A436" s="291"/>
      <c r="B436" s="303" t="s">
        <v>2284</v>
      </c>
      <c r="C436" s="304" t="s">
        <v>390</v>
      </c>
      <c r="D436" s="304" t="s">
        <v>2285</v>
      </c>
      <c r="E436" s="305">
        <v>8.10115971221E11</v>
      </c>
      <c r="F436" s="209"/>
      <c r="G436" s="209"/>
      <c r="H436" s="209"/>
      <c r="I436" s="209"/>
      <c r="J436" s="300" t="b">
        <v>1</v>
      </c>
      <c r="K436" s="301" t="b">
        <v>0</v>
      </c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  <c r="AI436" s="209"/>
      <c r="AJ436" s="209"/>
    </row>
    <row r="437">
      <c r="A437" s="291"/>
      <c r="B437" s="303" t="s">
        <v>2286</v>
      </c>
      <c r="C437" s="304" t="s">
        <v>682</v>
      </c>
      <c r="D437" s="304" t="s">
        <v>2287</v>
      </c>
      <c r="E437" s="305">
        <v>8.10115977889E11</v>
      </c>
      <c r="F437" s="209"/>
      <c r="G437" s="209"/>
      <c r="H437" s="209"/>
      <c r="I437" s="209"/>
      <c r="J437" s="300" t="b">
        <v>1</v>
      </c>
      <c r="K437" s="301" t="b">
        <v>0</v>
      </c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  <c r="AI437" s="209"/>
      <c r="AJ437" s="209"/>
    </row>
    <row r="438">
      <c r="A438" s="291"/>
      <c r="B438" s="303" t="s">
        <v>2288</v>
      </c>
      <c r="C438" s="304" t="s">
        <v>662</v>
      </c>
      <c r="D438" s="304" t="s">
        <v>2289</v>
      </c>
      <c r="E438" s="305">
        <v>8.10115977896E11</v>
      </c>
      <c r="F438" s="209"/>
      <c r="G438" s="209"/>
      <c r="H438" s="209"/>
      <c r="I438" s="209"/>
      <c r="J438" s="300" t="b">
        <v>1</v>
      </c>
      <c r="K438" s="301" t="b">
        <v>0</v>
      </c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  <c r="AI438" s="209"/>
      <c r="AJ438" s="209"/>
    </row>
    <row r="439">
      <c r="A439" s="291"/>
      <c r="B439" s="303" t="s">
        <v>2290</v>
      </c>
      <c r="C439" s="304" t="s">
        <v>400</v>
      </c>
      <c r="D439" s="304" t="s">
        <v>2291</v>
      </c>
      <c r="E439" s="305">
        <v>8.10115971245E11</v>
      </c>
      <c r="F439" s="209"/>
      <c r="G439" s="209"/>
      <c r="H439" s="209"/>
      <c r="I439" s="209"/>
      <c r="J439" s="300" t="b">
        <v>1</v>
      </c>
      <c r="K439" s="301" t="b">
        <v>0</v>
      </c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</row>
    <row r="440">
      <c r="A440" s="291"/>
      <c r="B440" s="354" t="s">
        <v>2292</v>
      </c>
      <c r="C440" s="304" t="s">
        <v>697</v>
      </c>
      <c r="D440" s="304" t="s">
        <v>2293</v>
      </c>
      <c r="E440" s="305">
        <v>8.10115977902E11</v>
      </c>
      <c r="F440" s="209"/>
      <c r="G440" s="209"/>
      <c r="H440" s="209"/>
      <c r="I440" s="209"/>
      <c r="J440" s="300" t="b">
        <v>1</v>
      </c>
      <c r="K440" s="301" t="b">
        <v>0</v>
      </c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  <c r="AI440" s="209"/>
      <c r="AJ440" s="209"/>
    </row>
    <row r="441">
      <c r="A441" s="309"/>
      <c r="B441" s="310" t="s">
        <v>2294</v>
      </c>
      <c r="C441" s="311" t="s">
        <v>434</v>
      </c>
      <c r="D441" s="311" t="s">
        <v>2295</v>
      </c>
      <c r="E441" s="312">
        <v>8.10115977919E11</v>
      </c>
      <c r="F441" s="313"/>
      <c r="G441" s="313"/>
      <c r="H441" s="313"/>
      <c r="I441" s="313"/>
      <c r="J441" s="300" t="b">
        <v>1</v>
      </c>
      <c r="K441" s="314" t="b">
        <v>0</v>
      </c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</row>
    <row r="442">
      <c r="A442" s="209"/>
      <c r="B442" s="209"/>
      <c r="C442" s="209"/>
      <c r="D442" s="209"/>
      <c r="E442" s="209"/>
      <c r="F442" s="209"/>
      <c r="G442" s="209"/>
      <c r="H442" s="209"/>
      <c r="I442" s="209"/>
      <c r="J442" s="313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  <c r="AI442" s="209"/>
      <c r="AJ442" s="209"/>
    </row>
    <row r="443">
      <c r="A443" s="316" t="s">
        <v>2041</v>
      </c>
      <c r="B443" s="319" t="s">
        <v>2296</v>
      </c>
      <c r="C443" s="320"/>
      <c r="D443" s="283" t="s">
        <v>2297</v>
      </c>
      <c r="E443" s="322" t="s">
        <v>2273</v>
      </c>
      <c r="F443" s="320"/>
      <c r="G443" s="320"/>
      <c r="H443" s="276" t="s">
        <v>370</v>
      </c>
      <c r="I443" s="285" t="s">
        <v>4143</v>
      </c>
      <c r="J443" s="278" t="str">
        <f>IF(COUNTIF(J444:J452, TRUE) = COUNTA(J444:J452), "Complete!", IF(COUNTIF(J444:J452, TRUE) &gt; 0, "Partial", "Not Started"))</f>
        <v>Complete!</v>
      </c>
      <c r="K443" s="279"/>
      <c r="L443" s="280">
        <v>9.0</v>
      </c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</row>
    <row r="444">
      <c r="A444" s="291"/>
      <c r="B444" s="292" t="s">
        <v>2299</v>
      </c>
      <c r="C444" s="293" t="s">
        <v>671</v>
      </c>
      <c r="D444" s="304" t="s">
        <v>2300</v>
      </c>
      <c r="E444" s="294">
        <v>8.10115977926E11</v>
      </c>
      <c r="F444" s="209"/>
      <c r="G444" s="209"/>
      <c r="H444" s="209"/>
      <c r="I444" s="209"/>
      <c r="J444" s="300" t="b">
        <v>1</v>
      </c>
      <c r="K444" s="301" t="b">
        <v>0</v>
      </c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</row>
    <row r="445">
      <c r="A445" s="291"/>
      <c r="B445" s="303" t="s">
        <v>2301</v>
      </c>
      <c r="C445" s="304" t="s">
        <v>412</v>
      </c>
      <c r="D445" s="304" t="s">
        <v>2302</v>
      </c>
      <c r="E445" s="305">
        <v>8.10115970385E11</v>
      </c>
      <c r="F445" s="209"/>
      <c r="G445" s="209"/>
      <c r="H445" s="209"/>
      <c r="I445" s="209"/>
      <c r="J445" s="300" t="b">
        <v>1</v>
      </c>
      <c r="K445" s="301" t="b">
        <v>0</v>
      </c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</row>
    <row r="446">
      <c r="A446" s="291"/>
      <c r="B446" s="303" t="s">
        <v>2303</v>
      </c>
      <c r="C446" s="304" t="s">
        <v>705</v>
      </c>
      <c r="D446" s="304" t="s">
        <v>2304</v>
      </c>
      <c r="E446" s="305">
        <v>8.10115977933E11</v>
      </c>
      <c r="F446" s="209"/>
      <c r="G446" s="209"/>
      <c r="H446" s="209"/>
      <c r="I446" s="209"/>
      <c r="J446" s="300" t="b">
        <v>1</v>
      </c>
      <c r="K446" s="301" t="b">
        <v>0</v>
      </c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  <c r="AI446" s="209"/>
      <c r="AJ446" s="209"/>
    </row>
    <row r="447">
      <c r="A447" s="291"/>
      <c r="B447" s="303" t="s">
        <v>2305</v>
      </c>
      <c r="C447" s="304" t="s">
        <v>679</v>
      </c>
      <c r="D447" s="304" t="s">
        <v>2306</v>
      </c>
      <c r="E447" s="305">
        <v>8.1011597794E11</v>
      </c>
      <c r="F447" s="209"/>
      <c r="G447" s="209"/>
      <c r="H447" s="209"/>
      <c r="I447" s="209"/>
      <c r="J447" s="300" t="b">
        <v>1</v>
      </c>
      <c r="K447" s="301" t="b">
        <v>0</v>
      </c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  <c r="AI447" s="209"/>
      <c r="AJ447" s="209"/>
    </row>
    <row r="448">
      <c r="A448" s="291"/>
      <c r="B448" s="303" t="s">
        <v>2307</v>
      </c>
      <c r="C448" s="304" t="s">
        <v>715</v>
      </c>
      <c r="D448" s="304" t="s">
        <v>2308</v>
      </c>
      <c r="E448" s="305">
        <v>8.10115977957E11</v>
      </c>
      <c r="F448" s="209"/>
      <c r="G448" s="209"/>
      <c r="H448" s="209"/>
      <c r="I448" s="209"/>
      <c r="J448" s="300" t="b">
        <v>1</v>
      </c>
      <c r="K448" s="301" t="b">
        <v>0</v>
      </c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  <c r="AI448" s="209"/>
      <c r="AJ448" s="209"/>
    </row>
    <row r="449">
      <c r="A449" s="291"/>
      <c r="B449" s="303" t="s">
        <v>2309</v>
      </c>
      <c r="C449" s="304" t="s">
        <v>431</v>
      </c>
      <c r="D449" s="304" t="s">
        <v>2310</v>
      </c>
      <c r="E449" s="305">
        <v>8.10115971276E11</v>
      </c>
      <c r="F449" s="209"/>
      <c r="G449" s="209"/>
      <c r="H449" s="209"/>
      <c r="I449" s="209"/>
      <c r="J449" s="300" t="b">
        <v>1</v>
      </c>
      <c r="K449" s="301" t="b">
        <v>0</v>
      </c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</row>
    <row r="450">
      <c r="A450" s="291"/>
      <c r="B450" s="303" t="s">
        <v>2311</v>
      </c>
      <c r="C450" s="304" t="s">
        <v>1419</v>
      </c>
      <c r="D450" s="304" t="s">
        <v>2312</v>
      </c>
      <c r="E450" s="305">
        <v>8.10115977964E11</v>
      </c>
      <c r="F450" s="209"/>
      <c r="G450" s="209"/>
      <c r="H450" s="209"/>
      <c r="I450" s="209"/>
      <c r="J450" s="300" t="b">
        <v>1</v>
      </c>
      <c r="K450" s="301" t="b">
        <v>0</v>
      </c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  <c r="AI450" s="209"/>
      <c r="AJ450" s="209"/>
    </row>
    <row r="451">
      <c r="A451" s="291"/>
      <c r="B451" s="354" t="s">
        <v>2313</v>
      </c>
      <c r="C451" s="304" t="s">
        <v>1387</v>
      </c>
      <c r="D451" s="304" t="s">
        <v>2314</v>
      </c>
      <c r="E451" s="305">
        <v>8.10115977971E11</v>
      </c>
      <c r="F451" s="209"/>
      <c r="G451" s="209"/>
      <c r="H451" s="209"/>
      <c r="I451" s="209"/>
      <c r="J451" s="300" t="b">
        <v>1</v>
      </c>
      <c r="K451" s="301" t="b">
        <v>0</v>
      </c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  <c r="AI451" s="209"/>
      <c r="AJ451" s="209"/>
    </row>
    <row r="452">
      <c r="A452" s="309"/>
      <c r="B452" s="310" t="s">
        <v>2315</v>
      </c>
      <c r="C452" s="311" t="s">
        <v>421</v>
      </c>
      <c r="D452" s="311" t="s">
        <v>2316</v>
      </c>
      <c r="E452" s="312">
        <v>8.1011597129E11</v>
      </c>
      <c r="F452" s="313"/>
      <c r="G452" s="313"/>
      <c r="H452" s="313"/>
      <c r="I452" s="313"/>
      <c r="J452" s="300" t="b">
        <v>1</v>
      </c>
      <c r="K452" s="314" t="b">
        <v>0</v>
      </c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  <c r="AI452" s="209"/>
      <c r="AJ452" s="209"/>
    </row>
    <row r="453">
      <c r="A453" s="209"/>
      <c r="B453" s="209"/>
      <c r="C453" s="209"/>
      <c r="D453" s="209"/>
      <c r="E453" s="209"/>
      <c r="F453" s="209"/>
      <c r="G453" s="209"/>
      <c r="H453" s="209"/>
      <c r="I453" s="209"/>
      <c r="J453" s="313"/>
      <c r="K453" s="209"/>
      <c r="L453" s="209"/>
      <c r="M453" s="209"/>
      <c r="N453" s="209"/>
      <c r="O453" s="209"/>
      <c r="P453" s="209"/>
      <c r="Q453" s="353"/>
      <c r="R453" s="209"/>
      <c r="S453" s="209"/>
      <c r="T453" s="209"/>
      <c r="U453" s="209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  <c r="AI453" s="209"/>
      <c r="AJ453" s="209"/>
    </row>
    <row r="454">
      <c r="A454" s="316" t="s">
        <v>2068</v>
      </c>
      <c r="B454" s="319" t="s">
        <v>2317</v>
      </c>
      <c r="C454" s="320"/>
      <c r="D454" s="283" t="s">
        <v>2318</v>
      </c>
      <c r="E454" s="322" t="s">
        <v>2273</v>
      </c>
      <c r="F454" s="320"/>
      <c r="G454" s="320"/>
      <c r="H454" s="276" t="s">
        <v>4144</v>
      </c>
      <c r="I454" s="285" t="s">
        <v>4145</v>
      </c>
      <c r="J454" s="278" t="str">
        <f>IF(COUNTIF(J455:J459, TRUE) = COUNTA(J455:J459), "Complete!", IF(COUNTIF(J455:J459, TRUE) &gt; 0, "Partial", "Not Started"))</f>
        <v>Complete!</v>
      </c>
      <c r="K454" s="279"/>
      <c r="L454" s="280">
        <v>5.0</v>
      </c>
      <c r="M454" s="209"/>
      <c r="N454" s="209"/>
      <c r="O454" s="209"/>
      <c r="P454" s="209"/>
      <c r="Q454" s="353"/>
      <c r="R454" s="209"/>
      <c r="S454" s="209"/>
      <c r="T454" s="209"/>
      <c r="U454" s="209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</row>
    <row r="455">
      <c r="A455" s="291"/>
      <c r="B455" s="303" t="s">
        <v>2320</v>
      </c>
      <c r="C455" s="304" t="s">
        <v>390</v>
      </c>
      <c r="D455" s="304" t="s">
        <v>2321</v>
      </c>
      <c r="E455" s="305">
        <v>8.10115971238E11</v>
      </c>
      <c r="F455" s="209"/>
      <c r="G455" s="209"/>
      <c r="H455" s="209"/>
      <c r="I455" s="209"/>
      <c r="J455" s="300" t="b">
        <v>1</v>
      </c>
      <c r="K455" s="301" t="b">
        <v>0</v>
      </c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  <c r="AI455" s="209"/>
      <c r="AJ455" s="209"/>
    </row>
    <row r="456">
      <c r="A456" s="291"/>
      <c r="B456" s="303" t="s">
        <v>2322</v>
      </c>
      <c r="C456" s="304" t="s">
        <v>400</v>
      </c>
      <c r="D456" s="304" t="s">
        <v>2323</v>
      </c>
      <c r="E456" s="305">
        <v>8.10115971252E11</v>
      </c>
      <c r="F456" s="209"/>
      <c r="G456" s="209"/>
      <c r="H456" s="209"/>
      <c r="I456" s="209"/>
      <c r="J456" s="300" t="b">
        <v>1</v>
      </c>
      <c r="K456" s="301" t="b">
        <v>0</v>
      </c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  <c r="AI456" s="209"/>
      <c r="AJ456" s="209"/>
    </row>
    <row r="457">
      <c r="A457" s="291"/>
      <c r="B457" s="303" t="s">
        <v>2324</v>
      </c>
      <c r="C457" s="304" t="s">
        <v>412</v>
      </c>
      <c r="D457" s="304" t="s">
        <v>2325</v>
      </c>
      <c r="E457" s="305">
        <v>8.10115971269E11</v>
      </c>
      <c r="F457" s="209"/>
      <c r="G457" s="209"/>
      <c r="H457" s="209"/>
      <c r="I457" s="209"/>
      <c r="J457" s="300" t="b">
        <v>1</v>
      </c>
      <c r="K457" s="301" t="b">
        <v>0</v>
      </c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  <c r="AI457" s="209"/>
      <c r="AJ457" s="209"/>
    </row>
    <row r="458">
      <c r="A458" s="291"/>
      <c r="B458" s="303" t="s">
        <v>2326</v>
      </c>
      <c r="C458" s="304" t="s">
        <v>431</v>
      </c>
      <c r="D458" s="304" t="s">
        <v>2327</v>
      </c>
      <c r="E458" s="305">
        <v>8.10115971283E11</v>
      </c>
      <c r="F458" s="209"/>
      <c r="G458" s="209"/>
      <c r="H458" s="209"/>
      <c r="I458" s="209"/>
      <c r="J458" s="300" t="b">
        <v>1</v>
      </c>
      <c r="K458" s="301" t="b">
        <v>0</v>
      </c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  <c r="AI458" s="209"/>
      <c r="AJ458" s="209"/>
    </row>
    <row r="459">
      <c r="A459" s="309"/>
      <c r="B459" s="394" t="s">
        <v>2328</v>
      </c>
      <c r="C459" s="311" t="s">
        <v>421</v>
      </c>
      <c r="D459" s="311" t="s">
        <v>2329</v>
      </c>
      <c r="E459" s="312">
        <v>8.10115971306E11</v>
      </c>
      <c r="F459" s="313"/>
      <c r="G459" s="313"/>
      <c r="H459" s="313"/>
      <c r="I459" s="313"/>
      <c r="J459" s="300" t="b">
        <v>1</v>
      </c>
      <c r="K459" s="314" t="b">
        <v>0</v>
      </c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</row>
    <row r="460">
      <c r="A460" s="209"/>
      <c r="B460" s="209"/>
      <c r="C460" s="209"/>
      <c r="D460" s="209"/>
      <c r="E460" s="209"/>
      <c r="F460" s="209"/>
      <c r="G460" s="209"/>
      <c r="H460" s="209"/>
      <c r="I460" s="209"/>
      <c r="J460" s="313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  <c r="AI460" s="209"/>
      <c r="AJ460" s="209"/>
    </row>
    <row r="461">
      <c r="A461" s="316" t="s">
        <v>2330</v>
      </c>
      <c r="B461" s="319" t="s">
        <v>2331</v>
      </c>
      <c r="C461" s="320"/>
      <c r="D461" s="283" t="s">
        <v>2332</v>
      </c>
      <c r="E461" s="322" t="s">
        <v>2273</v>
      </c>
      <c r="F461" s="320"/>
      <c r="G461" s="320"/>
      <c r="H461" s="276" t="s">
        <v>572</v>
      </c>
      <c r="I461" s="285" t="s">
        <v>4146</v>
      </c>
      <c r="J461" s="278" t="str">
        <f>IF(COUNTIF(J462:J468, TRUE) = COUNTA(J462:J468), "Complete!", IF(COUNTIF(J462:J468, TRUE) &gt; 0, "Partial", "Not Started"))</f>
        <v>Complete!</v>
      </c>
      <c r="K461" s="279"/>
      <c r="L461" s="280">
        <v>7.0</v>
      </c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  <c r="AI461" s="209"/>
      <c r="AJ461" s="209"/>
    </row>
    <row r="462">
      <c r="A462" s="291"/>
      <c r="B462" s="292" t="s">
        <v>2334</v>
      </c>
      <c r="C462" s="293" t="s">
        <v>449</v>
      </c>
      <c r="D462" s="304" t="s">
        <v>2335</v>
      </c>
      <c r="E462" s="294">
        <v>8.10115970361E11</v>
      </c>
      <c r="F462" s="209"/>
      <c r="G462" s="209"/>
      <c r="H462" s="209"/>
      <c r="I462" s="295"/>
      <c r="J462" s="300" t="b">
        <v>1</v>
      </c>
      <c r="K462" s="301" t="b">
        <v>0</v>
      </c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  <c r="AI462" s="209"/>
      <c r="AJ462" s="209"/>
    </row>
    <row r="463">
      <c r="A463" s="291"/>
      <c r="B463" s="303" t="s">
        <v>2336</v>
      </c>
      <c r="C463" s="304" t="s">
        <v>487</v>
      </c>
      <c r="D463" s="304" t="s">
        <v>2337</v>
      </c>
      <c r="E463" s="305">
        <v>8.10115977988E11</v>
      </c>
      <c r="F463" s="401"/>
      <c r="G463" s="401"/>
      <c r="H463" s="401"/>
      <c r="I463" s="401"/>
      <c r="J463" s="300" t="b">
        <v>1</v>
      </c>
      <c r="K463" s="301" t="b">
        <v>0</v>
      </c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  <c r="AI463" s="209"/>
      <c r="AJ463" s="209"/>
    </row>
    <row r="464">
      <c r="A464" s="291"/>
      <c r="B464" s="303" t="s">
        <v>2338</v>
      </c>
      <c r="C464" s="304" t="s">
        <v>440</v>
      </c>
      <c r="D464" s="304" t="s">
        <v>2339</v>
      </c>
      <c r="E464" s="305">
        <v>8.10115970378E11</v>
      </c>
      <c r="F464" s="401"/>
      <c r="G464" s="401"/>
      <c r="H464" s="401"/>
      <c r="I464" s="401"/>
      <c r="J464" s="300" t="b">
        <v>1</v>
      </c>
      <c r="K464" s="301" t="b">
        <v>0</v>
      </c>
      <c r="L464" s="209"/>
      <c r="M464" s="209"/>
      <c r="N464" s="209"/>
      <c r="O464" s="209"/>
      <c r="P464" s="209"/>
      <c r="Q464" s="353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</row>
    <row r="465">
      <c r="A465" s="291"/>
      <c r="B465" s="303" t="s">
        <v>2340</v>
      </c>
      <c r="C465" s="304" t="s">
        <v>458</v>
      </c>
      <c r="D465" s="304" t="s">
        <v>2341</v>
      </c>
      <c r="E465" s="305">
        <v>8.10115971696E11</v>
      </c>
      <c r="F465" s="209"/>
      <c r="G465" s="209"/>
      <c r="H465" s="209"/>
      <c r="I465" s="209"/>
      <c r="J465" s="300" t="b">
        <v>1</v>
      </c>
      <c r="K465" s="301" t="b">
        <v>0</v>
      </c>
      <c r="L465" s="209"/>
      <c r="M465" s="209"/>
      <c r="N465" s="209"/>
      <c r="O465" s="209"/>
      <c r="P465" s="209"/>
      <c r="Q465" s="353"/>
      <c r="R465" s="209"/>
      <c r="S465" s="209"/>
      <c r="T465" s="209"/>
      <c r="U465" s="209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  <c r="AI465" s="209"/>
      <c r="AJ465" s="209"/>
    </row>
    <row r="466">
      <c r="A466" s="291"/>
      <c r="B466" s="303" t="s">
        <v>2342</v>
      </c>
      <c r="C466" s="304" t="s">
        <v>505</v>
      </c>
      <c r="D466" s="304" t="s">
        <v>2343</v>
      </c>
      <c r="E466" s="305">
        <v>8.10115971726E11</v>
      </c>
      <c r="F466" s="209"/>
      <c r="G466" s="209"/>
      <c r="H466" s="209"/>
      <c r="I466" s="209"/>
      <c r="J466" s="300" t="b">
        <v>1</v>
      </c>
      <c r="K466" s="301" t="b">
        <v>0</v>
      </c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  <c r="AI466" s="209"/>
      <c r="AJ466" s="209"/>
    </row>
    <row r="467">
      <c r="A467" s="291"/>
      <c r="B467" s="303" t="s">
        <v>2344</v>
      </c>
      <c r="C467" s="304" t="s">
        <v>522</v>
      </c>
      <c r="D467" s="304" t="s">
        <v>2345</v>
      </c>
      <c r="E467" s="305">
        <v>8.10115977995E11</v>
      </c>
      <c r="F467" s="304" t="s">
        <v>732</v>
      </c>
      <c r="G467" s="209"/>
      <c r="H467" s="209"/>
      <c r="I467" s="304" t="s">
        <v>733</v>
      </c>
      <c r="J467" s="300" t="b">
        <v>1</v>
      </c>
      <c r="K467" s="301" t="b">
        <v>0</v>
      </c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  <c r="AI467" s="209"/>
      <c r="AJ467" s="209"/>
    </row>
    <row r="468">
      <c r="A468" s="309"/>
      <c r="B468" s="310" t="s">
        <v>2346</v>
      </c>
      <c r="C468" s="311" t="s">
        <v>547</v>
      </c>
      <c r="D468" s="311" t="s">
        <v>2347</v>
      </c>
      <c r="E468" s="312">
        <v>8.10115978008E11</v>
      </c>
      <c r="F468" s="313"/>
      <c r="G468" s="313"/>
      <c r="H468" s="313"/>
      <c r="I468" s="313"/>
      <c r="J468" s="300" t="b">
        <v>1</v>
      </c>
      <c r="K468" s="314" t="b">
        <v>0</v>
      </c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  <c r="AI468" s="209"/>
      <c r="AJ468" s="209"/>
    </row>
    <row r="469">
      <c r="A469" s="209"/>
      <c r="B469" s="209"/>
      <c r="C469" s="209"/>
      <c r="D469" s="209"/>
      <c r="E469" s="209"/>
      <c r="F469" s="209"/>
      <c r="G469" s="209"/>
      <c r="H469" s="209"/>
      <c r="I469" s="209"/>
      <c r="J469" s="313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  <c r="AI469" s="209"/>
      <c r="AJ469" s="209"/>
    </row>
    <row r="470">
      <c r="A470" s="316" t="s">
        <v>2348</v>
      </c>
      <c r="B470" s="319" t="s">
        <v>2349</v>
      </c>
      <c r="C470" s="320"/>
      <c r="D470" s="283" t="s">
        <v>2350</v>
      </c>
      <c r="E470" s="322" t="s">
        <v>2351</v>
      </c>
      <c r="F470" s="320"/>
      <c r="G470" s="320"/>
      <c r="H470" s="276" t="s">
        <v>370</v>
      </c>
      <c r="I470" s="285" t="s">
        <v>3922</v>
      </c>
      <c r="J470" s="278" t="str">
        <f>IF(COUNTIF(J471:J479, TRUE) = COUNTA(J471:J479), "Complete!", IF(COUNTIF(J471:J479, TRUE) &gt; 0, "Partial", "Not Started"))</f>
        <v>Complete!</v>
      </c>
      <c r="K470" s="279"/>
      <c r="L470" s="280">
        <v>9.0</v>
      </c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</row>
    <row r="471">
      <c r="A471" s="291"/>
      <c r="B471" s="304" t="s">
        <v>2353</v>
      </c>
      <c r="C471" s="293" t="s">
        <v>431</v>
      </c>
      <c r="D471" s="304" t="s">
        <v>2354</v>
      </c>
      <c r="E471" s="294">
        <v>8.10115978015E11</v>
      </c>
      <c r="F471" s="401"/>
      <c r="G471" s="401"/>
      <c r="H471" s="401"/>
      <c r="I471" s="401"/>
      <c r="J471" s="300" t="b">
        <v>1</v>
      </c>
      <c r="K471" s="301" t="b">
        <v>0</v>
      </c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  <c r="AI471" s="209"/>
      <c r="AJ471" s="209"/>
    </row>
    <row r="472">
      <c r="A472" s="291"/>
      <c r="B472" s="303" t="s">
        <v>2355</v>
      </c>
      <c r="C472" s="304" t="s">
        <v>421</v>
      </c>
      <c r="D472" s="304" t="s">
        <v>2356</v>
      </c>
      <c r="E472" s="305">
        <v>8.10115978022E11</v>
      </c>
      <c r="F472" s="401"/>
      <c r="G472" s="401"/>
      <c r="H472" s="401"/>
      <c r="I472" s="401"/>
      <c r="J472" s="300" t="b">
        <v>1</v>
      </c>
      <c r="K472" s="301" t="b">
        <v>0</v>
      </c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  <c r="AI472" s="209"/>
      <c r="AJ472" s="209"/>
    </row>
    <row r="473">
      <c r="A473" s="291"/>
      <c r="B473" s="303" t="s">
        <v>2357</v>
      </c>
      <c r="C473" s="304" t="s">
        <v>449</v>
      </c>
      <c r="D473" s="304" t="s">
        <v>2358</v>
      </c>
      <c r="E473" s="305">
        <v>8.10115978039E11</v>
      </c>
      <c r="F473" s="209"/>
      <c r="G473" s="209"/>
      <c r="H473" s="209"/>
      <c r="I473" s="209"/>
      <c r="J473" s="300" t="b">
        <v>1</v>
      </c>
      <c r="K473" s="301" t="b">
        <v>0</v>
      </c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  <c r="AI473" s="209"/>
      <c r="AJ473" s="209"/>
    </row>
    <row r="474">
      <c r="A474" s="291"/>
      <c r="B474" s="303" t="s">
        <v>2359</v>
      </c>
      <c r="C474" s="304" t="s">
        <v>440</v>
      </c>
      <c r="D474" s="304" t="s">
        <v>2360</v>
      </c>
      <c r="E474" s="305">
        <v>8.10115978046E11</v>
      </c>
      <c r="F474" s="209"/>
      <c r="G474" s="209"/>
      <c r="H474" s="209"/>
      <c r="I474" s="209"/>
      <c r="J474" s="300" t="b">
        <v>1</v>
      </c>
      <c r="K474" s="301" t="b">
        <v>0</v>
      </c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  <c r="AI474" s="209"/>
      <c r="AJ474" s="209"/>
    </row>
    <row r="475">
      <c r="A475" s="291"/>
      <c r="B475" s="303" t="s">
        <v>2361</v>
      </c>
      <c r="C475" s="304" t="s">
        <v>458</v>
      </c>
      <c r="D475" s="304" t="s">
        <v>2362</v>
      </c>
      <c r="E475" s="305">
        <v>8.10115978053E11</v>
      </c>
      <c r="F475" s="405" t="s">
        <v>1057</v>
      </c>
      <c r="G475" s="401"/>
      <c r="H475" s="401"/>
      <c r="I475" s="209"/>
      <c r="J475" s="300" t="b">
        <v>1</v>
      </c>
      <c r="K475" s="301" t="b">
        <v>1</v>
      </c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</row>
    <row r="476">
      <c r="A476" s="291"/>
      <c r="B476" s="303" t="s">
        <v>2363</v>
      </c>
      <c r="C476" s="304" t="s">
        <v>505</v>
      </c>
      <c r="D476" s="304" t="s">
        <v>2364</v>
      </c>
      <c r="E476" s="305">
        <v>8.10115973249E11</v>
      </c>
      <c r="F476" s="209"/>
      <c r="G476" s="209"/>
      <c r="H476" s="209"/>
      <c r="I476" s="209"/>
      <c r="J476" s="300" t="b">
        <v>1</v>
      </c>
      <c r="K476" s="301" t="b">
        <v>0</v>
      </c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  <c r="AI476" s="209"/>
      <c r="AJ476" s="209"/>
    </row>
    <row r="477">
      <c r="A477" s="291"/>
      <c r="B477" s="303" t="s">
        <v>2365</v>
      </c>
      <c r="C477" s="304" t="s">
        <v>522</v>
      </c>
      <c r="D477" s="304" t="s">
        <v>2366</v>
      </c>
      <c r="E477" s="305">
        <v>8.1011597806E11</v>
      </c>
      <c r="F477" s="209"/>
      <c r="G477" s="209"/>
      <c r="H477" s="209"/>
      <c r="I477" s="209"/>
      <c r="J477" s="300" t="b">
        <v>1</v>
      </c>
      <c r="K477" s="301" t="b">
        <v>0</v>
      </c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  <c r="AI477" s="209"/>
      <c r="AJ477" s="209"/>
    </row>
    <row r="478">
      <c r="A478" s="291"/>
      <c r="B478" s="303" t="s">
        <v>2367</v>
      </c>
      <c r="C478" s="304" t="s">
        <v>547</v>
      </c>
      <c r="D478" s="304" t="s">
        <v>2368</v>
      </c>
      <c r="E478" s="305">
        <v>8.10115978077E11</v>
      </c>
      <c r="F478" s="209"/>
      <c r="G478" s="209"/>
      <c r="H478" s="209"/>
      <c r="I478" s="209"/>
      <c r="J478" s="300" t="b">
        <v>1</v>
      </c>
      <c r="K478" s="301" t="b">
        <v>0</v>
      </c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  <c r="AI478" s="209"/>
      <c r="AJ478" s="209"/>
    </row>
    <row r="479">
      <c r="A479" s="291"/>
      <c r="B479" s="394" t="s">
        <v>2369</v>
      </c>
      <c r="C479" s="311" t="s">
        <v>1060</v>
      </c>
      <c r="D479" s="311" t="s">
        <v>2370</v>
      </c>
      <c r="E479" s="312">
        <v>8.10115978084E11</v>
      </c>
      <c r="F479" s="313"/>
      <c r="G479" s="313"/>
      <c r="H479" s="313"/>
      <c r="I479" s="313"/>
      <c r="J479" s="300" t="b">
        <v>1</v>
      </c>
      <c r="K479" s="314" t="b">
        <v>0</v>
      </c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  <c r="AI479" s="209"/>
      <c r="AJ479" s="209"/>
    </row>
    <row r="480">
      <c r="A480" s="209"/>
      <c r="B480" s="209"/>
      <c r="C480" s="209"/>
      <c r="D480" s="209"/>
      <c r="E480" s="209"/>
      <c r="F480" s="209"/>
      <c r="G480" s="209"/>
      <c r="H480" s="209"/>
      <c r="I480" s="209"/>
      <c r="J480" s="313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</row>
    <row r="481">
      <c r="A481" s="316" t="s">
        <v>2371</v>
      </c>
      <c r="B481" s="319" t="s">
        <v>2372</v>
      </c>
      <c r="C481" s="320"/>
      <c r="D481" s="283" t="s">
        <v>2373</v>
      </c>
      <c r="E481" s="322" t="s">
        <v>2351</v>
      </c>
      <c r="F481" s="320"/>
      <c r="G481" s="320"/>
      <c r="H481" s="276" t="s">
        <v>370</v>
      </c>
      <c r="I481" s="285" t="s">
        <v>4147</v>
      </c>
      <c r="J481" s="278" t="str">
        <f>IF(COUNTIF(J482:J488, TRUE) = COUNTA(J482:J488), "Complete!", IF(COUNTIF(J482:J488, TRUE) &gt; 0, "Partial", "Not Started"))</f>
        <v>Complete!</v>
      </c>
      <c r="K481" s="279"/>
      <c r="L481" s="280">
        <v>7.0</v>
      </c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  <c r="AI481" s="209"/>
      <c r="AJ481" s="209"/>
    </row>
    <row r="482">
      <c r="A482" s="291"/>
      <c r="B482" s="292" t="s">
        <v>2375</v>
      </c>
      <c r="C482" s="293" t="s">
        <v>449</v>
      </c>
      <c r="D482" s="293" t="s">
        <v>2376</v>
      </c>
      <c r="E482" s="294">
        <v>8.10115978183E11</v>
      </c>
      <c r="F482" s="295"/>
      <c r="G482" s="295"/>
      <c r="H482" s="295"/>
      <c r="I482" s="295"/>
      <c r="J482" s="296" t="b">
        <v>1</v>
      </c>
      <c r="K482" s="297" t="b">
        <v>0</v>
      </c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  <c r="AI482" s="209"/>
      <c r="AJ482" s="209"/>
    </row>
    <row r="483">
      <c r="A483" s="291"/>
      <c r="B483" s="303" t="s">
        <v>2377</v>
      </c>
      <c r="C483" s="304" t="s">
        <v>440</v>
      </c>
      <c r="D483" s="304" t="s">
        <v>2378</v>
      </c>
      <c r="E483" s="305">
        <v>8.1011597819E11</v>
      </c>
      <c r="F483" s="401"/>
      <c r="G483" s="401"/>
      <c r="H483" s="401"/>
      <c r="I483" s="401"/>
      <c r="J483" s="296" t="b">
        <v>1</v>
      </c>
      <c r="K483" s="301" t="b">
        <v>0</v>
      </c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  <c r="AI483" s="209"/>
      <c r="AJ483" s="209"/>
    </row>
    <row r="484">
      <c r="A484" s="291"/>
      <c r="B484" s="303" t="s">
        <v>2379</v>
      </c>
      <c r="C484" s="304" t="s">
        <v>458</v>
      </c>
      <c r="D484" s="304" t="s">
        <v>2380</v>
      </c>
      <c r="E484" s="305">
        <v>8.10115978206E11</v>
      </c>
      <c r="F484" s="401"/>
      <c r="G484" s="401"/>
      <c r="H484" s="401"/>
      <c r="I484" s="401"/>
      <c r="J484" s="296" t="b">
        <v>1</v>
      </c>
      <c r="K484" s="301" t="b">
        <v>0</v>
      </c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  <c r="AI484" s="209"/>
      <c r="AJ484" s="209"/>
    </row>
    <row r="485">
      <c r="A485" s="291"/>
      <c r="B485" s="303" t="s">
        <v>2381</v>
      </c>
      <c r="C485" s="304" t="s">
        <v>505</v>
      </c>
      <c r="D485" s="304" t="s">
        <v>2382</v>
      </c>
      <c r="E485" s="305">
        <v>8.10115978213E11</v>
      </c>
      <c r="F485" s="209"/>
      <c r="G485" s="209"/>
      <c r="H485" s="209"/>
      <c r="I485" s="209"/>
      <c r="J485" s="296" t="b">
        <v>1</v>
      </c>
      <c r="K485" s="301" t="b">
        <v>0</v>
      </c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</row>
    <row r="486">
      <c r="A486" s="291"/>
      <c r="B486" s="303" t="s">
        <v>2383</v>
      </c>
      <c r="C486" s="304" t="s">
        <v>522</v>
      </c>
      <c r="D486" s="304" t="s">
        <v>2384</v>
      </c>
      <c r="E486" s="305">
        <v>8.1011597822E11</v>
      </c>
      <c r="F486" s="209"/>
      <c r="G486" s="209"/>
      <c r="H486" s="209"/>
      <c r="I486" s="209"/>
      <c r="J486" s="296" t="b">
        <v>1</v>
      </c>
      <c r="K486" s="301" t="b">
        <v>0</v>
      </c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  <c r="AI486" s="209"/>
      <c r="AJ486" s="209"/>
    </row>
    <row r="487">
      <c r="A487" s="291"/>
      <c r="B487" s="303" t="s">
        <v>2385</v>
      </c>
      <c r="C487" s="304" t="s">
        <v>2386</v>
      </c>
      <c r="D487" s="304" t="s">
        <v>2387</v>
      </c>
      <c r="E487" s="305">
        <v>8.10115978237E11</v>
      </c>
      <c r="F487" s="209"/>
      <c r="G487" s="209"/>
      <c r="H487" s="209"/>
      <c r="I487" s="209"/>
      <c r="J487" s="296" t="b">
        <v>1</v>
      </c>
      <c r="K487" s="301" t="b">
        <v>0</v>
      </c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  <c r="AI487" s="209"/>
      <c r="AJ487" s="209"/>
    </row>
    <row r="488">
      <c r="A488" s="291"/>
      <c r="B488" s="394" t="s">
        <v>2388</v>
      </c>
      <c r="C488" s="311" t="s">
        <v>1060</v>
      </c>
      <c r="D488" s="311" t="s">
        <v>2389</v>
      </c>
      <c r="E488" s="312">
        <v>8.10115978244E11</v>
      </c>
      <c r="F488" s="313"/>
      <c r="G488" s="313"/>
      <c r="H488" s="313"/>
      <c r="I488" s="313"/>
      <c r="J488" s="296" t="b">
        <v>1</v>
      </c>
      <c r="K488" s="314" t="b">
        <v>0</v>
      </c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  <c r="AI488" s="209"/>
      <c r="AJ488" s="209"/>
    </row>
    <row r="489">
      <c r="A489" s="209"/>
      <c r="B489" s="209"/>
      <c r="C489" s="209"/>
      <c r="D489" s="209"/>
      <c r="E489" s="353"/>
      <c r="F489" s="209"/>
      <c r="G489" s="209"/>
      <c r="H489" s="209"/>
      <c r="I489" s="209"/>
      <c r="J489" s="313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  <c r="AI489" s="209"/>
      <c r="AJ489" s="209"/>
    </row>
    <row r="490">
      <c r="A490" s="316" t="s">
        <v>2390</v>
      </c>
      <c r="B490" s="319" t="s">
        <v>2391</v>
      </c>
      <c r="C490" s="320"/>
      <c r="D490" s="283" t="s">
        <v>2392</v>
      </c>
      <c r="E490" s="402" t="s">
        <v>2351</v>
      </c>
      <c r="F490" s="320"/>
      <c r="G490" s="320"/>
      <c r="H490" s="276" t="s">
        <v>370</v>
      </c>
      <c r="I490" s="285" t="s">
        <v>2143</v>
      </c>
      <c r="J490" s="278" t="str">
        <f>IF(COUNTIF(J491:J499, TRUE) = COUNTA(J491:J499), "Complete!", IF(COUNTIF(J491:J499, TRUE) &gt; 0, "Partial", "Not Started"))</f>
        <v>Complete!</v>
      </c>
      <c r="K490" s="279"/>
      <c r="L490" s="280">
        <v>9.0</v>
      </c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</row>
    <row r="491">
      <c r="A491" s="291"/>
      <c r="B491" s="292" t="s">
        <v>2394</v>
      </c>
      <c r="C491" s="293" t="s">
        <v>431</v>
      </c>
      <c r="D491" s="304" t="s">
        <v>2395</v>
      </c>
      <c r="E491" s="374">
        <v>8.10115978091E11</v>
      </c>
      <c r="F491" s="209"/>
      <c r="G491" s="209"/>
      <c r="H491" s="209"/>
      <c r="I491" s="209"/>
      <c r="J491" s="300" t="b">
        <v>1</v>
      </c>
      <c r="K491" s="301" t="b">
        <v>0</v>
      </c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  <c r="AI491" s="209"/>
      <c r="AJ491" s="209"/>
    </row>
    <row r="492">
      <c r="A492" s="291"/>
      <c r="B492" s="303" t="s">
        <v>2396</v>
      </c>
      <c r="C492" s="304" t="s">
        <v>421</v>
      </c>
      <c r="D492" s="304" t="s">
        <v>2397</v>
      </c>
      <c r="E492" s="375">
        <v>8.10115978107E11</v>
      </c>
      <c r="F492" s="209"/>
      <c r="G492" s="209"/>
      <c r="H492" s="209"/>
      <c r="I492" s="209"/>
      <c r="J492" s="300" t="b">
        <v>1</v>
      </c>
      <c r="K492" s="301" t="b">
        <v>0</v>
      </c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  <c r="AI492" s="209"/>
      <c r="AJ492" s="209"/>
    </row>
    <row r="493">
      <c r="A493" s="291"/>
      <c r="B493" s="303" t="s">
        <v>2398</v>
      </c>
      <c r="C493" s="304" t="s">
        <v>449</v>
      </c>
      <c r="D493" s="304" t="s">
        <v>2399</v>
      </c>
      <c r="E493" s="375">
        <v>8.10115978114E11</v>
      </c>
      <c r="F493" s="209"/>
      <c r="G493" s="209"/>
      <c r="H493" s="209"/>
      <c r="I493" s="209"/>
      <c r="J493" s="300" t="b">
        <v>1</v>
      </c>
      <c r="K493" s="301" t="b">
        <v>0</v>
      </c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  <c r="AI493" s="209"/>
      <c r="AJ493" s="209"/>
    </row>
    <row r="494">
      <c r="A494" s="291"/>
      <c r="B494" s="303" t="s">
        <v>2400</v>
      </c>
      <c r="C494" s="304" t="s">
        <v>440</v>
      </c>
      <c r="D494" s="304" t="s">
        <v>2401</v>
      </c>
      <c r="E494" s="375">
        <v>8.10115978121E11</v>
      </c>
      <c r="F494" s="209"/>
      <c r="G494" s="209"/>
      <c r="H494" s="209"/>
      <c r="I494" s="209"/>
      <c r="J494" s="300" t="b">
        <v>1</v>
      </c>
      <c r="K494" s="301" t="b">
        <v>0</v>
      </c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  <c r="AI494" s="209"/>
      <c r="AJ494" s="209"/>
    </row>
    <row r="495">
      <c r="A495" s="291"/>
      <c r="B495" s="303" t="s">
        <v>2402</v>
      </c>
      <c r="C495" s="304" t="s">
        <v>458</v>
      </c>
      <c r="D495" s="304" t="s">
        <v>2403</v>
      </c>
      <c r="E495" s="375">
        <v>8.10115978138E11</v>
      </c>
      <c r="F495" s="209"/>
      <c r="G495" s="209"/>
      <c r="H495" s="209"/>
      <c r="I495" s="209"/>
      <c r="J495" s="300" t="b">
        <v>1</v>
      </c>
      <c r="K495" s="301" t="b">
        <v>0</v>
      </c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  <c r="AI495" s="209"/>
      <c r="AJ495" s="209"/>
    </row>
    <row r="496">
      <c r="A496" s="291"/>
      <c r="B496" s="303" t="s">
        <v>2404</v>
      </c>
      <c r="C496" s="304" t="s">
        <v>505</v>
      </c>
      <c r="D496" s="304" t="s">
        <v>2405</v>
      </c>
      <c r="E496" s="375">
        <v>8.10115978145E11</v>
      </c>
      <c r="F496" s="209"/>
      <c r="G496" s="209"/>
      <c r="H496" s="209"/>
      <c r="I496" s="209"/>
      <c r="J496" s="300" t="b">
        <v>1</v>
      </c>
      <c r="K496" s="301" t="b">
        <v>0</v>
      </c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  <c r="AI496" s="209"/>
      <c r="AJ496" s="209"/>
    </row>
    <row r="497">
      <c r="A497" s="291"/>
      <c r="B497" s="303" t="s">
        <v>2406</v>
      </c>
      <c r="C497" s="304" t="s">
        <v>522</v>
      </c>
      <c r="D497" s="304" t="s">
        <v>2407</v>
      </c>
      <c r="E497" s="375">
        <v>8.10115978152E11</v>
      </c>
      <c r="F497" s="209"/>
      <c r="G497" s="209"/>
      <c r="H497" s="209"/>
      <c r="I497" s="209"/>
      <c r="J497" s="300" t="b">
        <v>1</v>
      </c>
      <c r="K497" s="301" t="b">
        <v>0</v>
      </c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  <c r="AI497" s="209"/>
      <c r="AJ497" s="209"/>
    </row>
    <row r="498">
      <c r="A498" s="291"/>
      <c r="B498" s="303" t="s">
        <v>2408</v>
      </c>
      <c r="C498" s="304" t="s">
        <v>547</v>
      </c>
      <c r="D498" s="304" t="s">
        <v>2409</v>
      </c>
      <c r="E498" s="375">
        <v>8.10115978169E11</v>
      </c>
      <c r="F498" s="209"/>
      <c r="G498" s="209"/>
      <c r="H498" s="209"/>
      <c r="I498" s="209"/>
      <c r="J498" s="300" t="b">
        <v>1</v>
      </c>
      <c r="K498" s="301" t="b">
        <v>0</v>
      </c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  <c r="AI498" s="209"/>
      <c r="AJ498" s="209"/>
    </row>
    <row r="499">
      <c r="A499" s="309"/>
      <c r="B499" s="310" t="s">
        <v>2410</v>
      </c>
      <c r="C499" s="311" t="s">
        <v>1060</v>
      </c>
      <c r="D499" s="311" t="s">
        <v>2411</v>
      </c>
      <c r="E499" s="380">
        <v>8.10115978176E11</v>
      </c>
      <c r="F499" s="313"/>
      <c r="G499" s="313"/>
      <c r="H499" s="313"/>
      <c r="I499" s="313"/>
      <c r="J499" s="300" t="b">
        <v>1</v>
      </c>
      <c r="K499" s="314" t="b">
        <v>0</v>
      </c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  <c r="AI499" s="209"/>
      <c r="AJ499" s="209"/>
    </row>
    <row r="500">
      <c r="A500" s="209"/>
      <c r="B500" s="209"/>
      <c r="C500" s="209"/>
      <c r="D500" s="209"/>
      <c r="E500" s="353"/>
      <c r="F500" s="209"/>
      <c r="G500" s="209"/>
      <c r="H500" s="209"/>
      <c r="I500" s="209"/>
      <c r="J500" s="313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  <c r="AI500" s="209"/>
      <c r="AJ500" s="209"/>
    </row>
    <row r="501">
      <c r="A501" s="316" t="s">
        <v>2412</v>
      </c>
      <c r="B501" s="319" t="s">
        <v>4148</v>
      </c>
      <c r="C501" s="320"/>
      <c r="D501" s="403" t="s">
        <v>4149</v>
      </c>
      <c r="E501" s="402" t="s">
        <v>2415</v>
      </c>
      <c r="F501" s="320"/>
      <c r="G501" s="320"/>
      <c r="H501" s="276" t="s">
        <v>4144</v>
      </c>
      <c r="I501" s="285" t="s">
        <v>4150</v>
      </c>
      <c r="J501" s="278" t="str">
        <f>IF(COUNTIF(J502:J509, TRUE) = COUNTA(J502:J509), "Complete!", IF(COUNTIF(J502:J509, TRUE) &gt; 0, "Partial", "Not Started"))</f>
        <v>Complete!</v>
      </c>
      <c r="K501" s="279"/>
      <c r="L501" s="280">
        <v>8.0</v>
      </c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  <c r="AI501" s="209"/>
      <c r="AJ501" s="209"/>
    </row>
    <row r="502">
      <c r="A502" s="291"/>
      <c r="B502" s="303" t="s">
        <v>2417</v>
      </c>
      <c r="C502" s="304" t="s">
        <v>487</v>
      </c>
      <c r="D502" s="304" t="s">
        <v>2418</v>
      </c>
      <c r="E502" s="375">
        <v>8.10115972433E11</v>
      </c>
      <c r="F502" s="209"/>
      <c r="G502" s="209"/>
      <c r="H502" s="209"/>
      <c r="I502" s="209"/>
      <c r="J502" s="300" t="b">
        <v>1</v>
      </c>
      <c r="K502" s="301" t="b">
        <v>0</v>
      </c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  <c r="AH502" s="209"/>
      <c r="AI502" s="209"/>
      <c r="AJ502" s="209"/>
    </row>
    <row r="503">
      <c r="A503" s="291"/>
      <c r="B503" s="303" t="s">
        <v>2419</v>
      </c>
      <c r="C503" s="304" t="s">
        <v>1916</v>
      </c>
      <c r="D503" s="304" t="s">
        <v>2420</v>
      </c>
      <c r="E503" s="375">
        <v>8.1011597244E11</v>
      </c>
      <c r="F503" s="209"/>
      <c r="G503" s="209"/>
      <c r="H503" s="209"/>
      <c r="I503" s="209"/>
      <c r="J503" s="300" t="b">
        <v>1</v>
      </c>
      <c r="K503" s="301" t="b">
        <v>0</v>
      </c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  <c r="AH503" s="209"/>
      <c r="AI503" s="209"/>
      <c r="AJ503" s="209"/>
    </row>
    <row r="504">
      <c r="A504" s="291"/>
      <c r="B504" s="303" t="s">
        <v>2421</v>
      </c>
      <c r="C504" s="304" t="s">
        <v>529</v>
      </c>
      <c r="D504" s="304" t="s">
        <v>2422</v>
      </c>
      <c r="E504" s="375">
        <v>8.10115972464E11</v>
      </c>
      <c r="F504" s="209"/>
      <c r="G504" s="209"/>
      <c r="H504" s="209"/>
      <c r="I504" s="209"/>
      <c r="J504" s="300" t="b">
        <v>1</v>
      </c>
      <c r="K504" s="301" t="b">
        <v>0</v>
      </c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  <c r="AH504" s="209"/>
      <c r="AI504" s="209"/>
      <c r="AJ504" s="209"/>
    </row>
    <row r="505">
      <c r="A505" s="291"/>
      <c r="B505" s="303" t="s">
        <v>2423</v>
      </c>
      <c r="C505" s="304" t="s">
        <v>547</v>
      </c>
      <c r="D505" s="304" t="s">
        <v>2424</v>
      </c>
      <c r="E505" s="375">
        <v>8.1011597161E11</v>
      </c>
      <c r="F505" s="209"/>
      <c r="G505" s="209"/>
      <c r="H505" s="209"/>
      <c r="I505" s="209"/>
      <c r="J505" s="300" t="b">
        <v>1</v>
      </c>
      <c r="K505" s="301" t="b">
        <v>0</v>
      </c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  <c r="AH505" s="209"/>
      <c r="AI505" s="209"/>
      <c r="AJ505" s="209"/>
    </row>
    <row r="506">
      <c r="A506" s="291"/>
      <c r="B506" s="303" t="s">
        <v>2425</v>
      </c>
      <c r="C506" s="304" t="s">
        <v>1049</v>
      </c>
      <c r="D506" s="304" t="s">
        <v>2426</v>
      </c>
      <c r="E506" s="375">
        <v>8.10115975885E11</v>
      </c>
      <c r="F506" s="209"/>
      <c r="G506" s="209"/>
      <c r="H506" s="209"/>
      <c r="I506" s="209"/>
      <c r="J506" s="300" t="b">
        <v>1</v>
      </c>
      <c r="K506" s="301" t="b">
        <v>0</v>
      </c>
      <c r="L506" s="209"/>
      <c r="M506" s="209"/>
      <c r="N506" s="209"/>
      <c r="O506" s="209"/>
      <c r="P506" s="209"/>
      <c r="Q506" s="353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</row>
    <row r="507">
      <c r="A507" s="291"/>
      <c r="B507" s="304" t="s">
        <v>2427</v>
      </c>
      <c r="C507" s="304" t="s">
        <v>1060</v>
      </c>
      <c r="D507" s="304" t="s">
        <v>2428</v>
      </c>
      <c r="E507" s="375">
        <v>8.10115970606E11</v>
      </c>
      <c r="F507" s="209"/>
      <c r="G507" s="209"/>
      <c r="H507" s="209"/>
      <c r="I507" s="209"/>
      <c r="J507" s="300" t="b">
        <v>1</v>
      </c>
      <c r="K507" s="301" t="b">
        <v>0</v>
      </c>
      <c r="L507" s="209"/>
      <c r="M507" s="209"/>
      <c r="N507" s="209"/>
      <c r="O507" s="209"/>
      <c r="P507" s="209"/>
      <c r="Q507" s="353"/>
      <c r="R507" s="209"/>
      <c r="S507" s="209"/>
      <c r="T507" s="209"/>
      <c r="U507" s="209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  <c r="AH507" s="209"/>
      <c r="AI507" s="209"/>
      <c r="AJ507" s="209"/>
    </row>
    <row r="508">
      <c r="A508" s="291"/>
      <c r="B508" s="303" t="s">
        <v>2429</v>
      </c>
      <c r="C508" s="304" t="s">
        <v>2430</v>
      </c>
      <c r="D508" s="304" t="s">
        <v>2431</v>
      </c>
      <c r="E508" s="375">
        <v>8.10115975915E11</v>
      </c>
      <c r="F508" s="209"/>
      <c r="G508" s="209"/>
      <c r="H508" s="209"/>
      <c r="I508" s="209"/>
      <c r="J508" s="300" t="b">
        <v>1</v>
      </c>
      <c r="K508" s="301" t="b">
        <v>0</v>
      </c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  <c r="AH508" s="209"/>
      <c r="AI508" s="209"/>
      <c r="AJ508" s="209"/>
    </row>
    <row r="509">
      <c r="A509" s="309"/>
      <c r="B509" s="310" t="s">
        <v>2432</v>
      </c>
      <c r="C509" s="311" t="s">
        <v>2433</v>
      </c>
      <c r="D509" s="311" t="s">
        <v>2434</v>
      </c>
      <c r="E509" s="312">
        <v>8.10115975939E11</v>
      </c>
      <c r="F509" s="313"/>
      <c r="G509" s="313"/>
      <c r="H509" s="313"/>
      <c r="I509" s="209"/>
      <c r="J509" s="300" t="b">
        <v>1</v>
      </c>
      <c r="K509" s="314" t="b">
        <v>0</v>
      </c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  <c r="AH509" s="209"/>
      <c r="AI509" s="209"/>
      <c r="AJ509" s="209"/>
    </row>
    <row r="510">
      <c r="A510" s="209"/>
      <c r="B510" s="209"/>
      <c r="C510" s="209"/>
      <c r="D510" s="209"/>
      <c r="E510" s="209"/>
      <c r="F510" s="209"/>
      <c r="G510" s="209"/>
      <c r="H510" s="209"/>
      <c r="I510" s="209"/>
      <c r="J510" s="313"/>
      <c r="K510" s="209"/>
      <c r="L510" s="209"/>
      <c r="M510" s="209"/>
      <c r="N510" s="209"/>
      <c r="O510" s="209"/>
      <c r="P510" s="209"/>
      <c r="Q510" s="353"/>
      <c r="R510" s="209"/>
      <c r="S510" s="209"/>
      <c r="T510" s="209"/>
      <c r="U510" s="209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  <c r="AH510" s="209"/>
      <c r="AI510" s="209"/>
      <c r="AJ510" s="209"/>
    </row>
    <row r="511">
      <c r="A511" s="316" t="s">
        <v>2435</v>
      </c>
      <c r="B511" s="319" t="s">
        <v>2436</v>
      </c>
      <c r="C511" s="320"/>
      <c r="D511" s="403" t="s">
        <v>2437</v>
      </c>
      <c r="E511" s="402" t="s">
        <v>2415</v>
      </c>
      <c r="F511" s="320"/>
      <c r="G511" s="320"/>
      <c r="H511" s="276" t="s">
        <v>563</v>
      </c>
      <c r="I511" s="285" t="s">
        <v>4151</v>
      </c>
      <c r="J511" s="278" t="str">
        <f>IF(COUNTIF(J512:J520, TRUE) = COUNTA(J512:J520), "Complete!", IF(COUNTIF(J512:J520, TRUE) &gt; 0, "Partial", "Not Started"))</f>
        <v>Complete!</v>
      </c>
      <c r="K511" s="279"/>
      <c r="L511" s="280">
        <v>9.0</v>
      </c>
      <c r="M511" s="209"/>
      <c r="N511" s="209"/>
      <c r="O511" s="209"/>
      <c r="P511" s="209"/>
      <c r="Q511" s="353"/>
      <c r="R511" s="209"/>
      <c r="S511" s="209"/>
      <c r="T511" s="209"/>
      <c r="U511" s="209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</row>
    <row r="512">
      <c r="A512" s="291"/>
      <c r="B512" s="303" t="s">
        <v>2439</v>
      </c>
      <c r="C512" s="304" t="s">
        <v>440</v>
      </c>
      <c r="D512" s="304" t="s">
        <v>2440</v>
      </c>
      <c r="E512" s="375">
        <v>8.10115971559E11</v>
      </c>
      <c r="F512" s="209"/>
      <c r="G512" s="209"/>
      <c r="H512" s="209"/>
      <c r="I512" s="209"/>
      <c r="J512" s="300" t="b">
        <v>1</v>
      </c>
      <c r="K512" s="301" t="b">
        <v>0</v>
      </c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  <c r="AH512" s="209"/>
      <c r="AI512" s="209"/>
      <c r="AJ512" s="209"/>
    </row>
    <row r="513">
      <c r="A513" s="291"/>
      <c r="B513" s="303" t="s">
        <v>2441</v>
      </c>
      <c r="C513" s="304" t="s">
        <v>2442</v>
      </c>
      <c r="D513" s="304" t="s">
        <v>2443</v>
      </c>
      <c r="E513" s="375">
        <v>8.10115970613E11</v>
      </c>
      <c r="F513" s="209"/>
      <c r="G513" s="209"/>
      <c r="H513" s="209"/>
      <c r="I513" s="209"/>
      <c r="J513" s="300" t="b">
        <v>1</v>
      </c>
      <c r="K513" s="301" t="b">
        <v>0</v>
      </c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  <c r="AH513" s="209"/>
      <c r="AI513" s="209"/>
      <c r="AJ513" s="209"/>
    </row>
    <row r="514">
      <c r="A514" s="291"/>
      <c r="B514" s="303" t="s">
        <v>2444</v>
      </c>
      <c r="C514" s="304" t="s">
        <v>529</v>
      </c>
      <c r="D514" s="304" t="s">
        <v>2445</v>
      </c>
      <c r="E514" s="375">
        <v>8.10115972457E11</v>
      </c>
      <c r="F514" s="209"/>
      <c r="G514" s="209"/>
      <c r="H514" s="209"/>
      <c r="I514" s="209"/>
      <c r="J514" s="300" t="b">
        <v>1</v>
      </c>
      <c r="K514" s="301" t="b">
        <v>0</v>
      </c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  <c r="AH514" s="209"/>
      <c r="AI514" s="209"/>
      <c r="AJ514" s="209"/>
    </row>
    <row r="515">
      <c r="A515" s="291"/>
      <c r="B515" s="303" t="s">
        <v>2446</v>
      </c>
      <c r="C515" s="304" t="s">
        <v>547</v>
      </c>
      <c r="D515" s="304" t="s">
        <v>2447</v>
      </c>
      <c r="E515" s="375">
        <v>8.10115971603E11</v>
      </c>
      <c r="F515" s="209"/>
      <c r="G515" s="209"/>
      <c r="H515" s="209"/>
      <c r="I515" s="209"/>
      <c r="J515" s="300" t="b">
        <v>1</v>
      </c>
      <c r="K515" s="301" t="b">
        <v>0</v>
      </c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  <c r="AH515" s="209"/>
      <c r="AI515" s="209"/>
      <c r="AJ515" s="209"/>
    </row>
    <row r="516">
      <c r="A516" s="291"/>
      <c r="B516" s="303" t="s">
        <v>2448</v>
      </c>
      <c r="C516" s="304" t="s">
        <v>1049</v>
      </c>
      <c r="D516" s="304" t="s">
        <v>2449</v>
      </c>
      <c r="E516" s="375">
        <v>8.10115975892E11</v>
      </c>
      <c r="F516" s="209"/>
      <c r="G516" s="209"/>
      <c r="H516" s="209"/>
      <c r="I516" s="209"/>
      <c r="J516" s="300" t="b">
        <v>1</v>
      </c>
      <c r="K516" s="301" t="b">
        <v>0</v>
      </c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</row>
    <row r="517">
      <c r="A517" s="291"/>
      <c r="B517" s="303" t="s">
        <v>2450</v>
      </c>
      <c r="C517" s="304" t="s">
        <v>2430</v>
      </c>
      <c r="D517" s="304" t="s">
        <v>2451</v>
      </c>
      <c r="E517" s="375">
        <v>8.10115975922E11</v>
      </c>
      <c r="F517" s="209"/>
      <c r="G517" s="209"/>
      <c r="H517" s="209"/>
      <c r="I517" s="209"/>
      <c r="J517" s="300" t="b">
        <v>1</v>
      </c>
      <c r="K517" s="301" t="b">
        <v>0</v>
      </c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  <c r="AH517" s="209"/>
      <c r="AI517" s="209"/>
      <c r="AJ517" s="209"/>
    </row>
    <row r="518">
      <c r="A518" s="291"/>
      <c r="B518" s="303" t="s">
        <v>2452</v>
      </c>
      <c r="C518" s="304" t="s">
        <v>2433</v>
      </c>
      <c r="D518" s="304" t="s">
        <v>2453</v>
      </c>
      <c r="E518" s="375">
        <v>8.10115975946E11</v>
      </c>
      <c r="F518" s="209"/>
      <c r="G518" s="209"/>
      <c r="H518" s="209"/>
      <c r="I518" s="209"/>
      <c r="J518" s="300" t="b">
        <v>1</v>
      </c>
      <c r="K518" s="301" t="b">
        <v>0</v>
      </c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  <c r="AH518" s="209"/>
      <c r="AI518" s="209"/>
      <c r="AJ518" s="209"/>
    </row>
    <row r="519">
      <c r="A519" s="291"/>
      <c r="B519" s="303" t="s">
        <v>2454</v>
      </c>
      <c r="C519" s="304" t="s">
        <v>2155</v>
      </c>
      <c r="D519" s="304" t="s">
        <v>2455</v>
      </c>
      <c r="E519" s="375">
        <v>8.10115972471E11</v>
      </c>
      <c r="F519" s="209"/>
      <c r="G519" s="209"/>
      <c r="H519" s="209"/>
      <c r="I519" s="209"/>
      <c r="J519" s="300" t="b">
        <v>1</v>
      </c>
      <c r="K519" s="301" t="b">
        <v>0</v>
      </c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  <c r="AH519" s="209"/>
      <c r="AI519" s="209"/>
      <c r="AJ519" s="209"/>
    </row>
    <row r="520">
      <c r="A520" s="309"/>
      <c r="B520" s="310" t="s">
        <v>2456</v>
      </c>
      <c r="C520" s="311" t="s">
        <v>2457</v>
      </c>
      <c r="D520" s="311" t="s">
        <v>2458</v>
      </c>
      <c r="E520" s="380">
        <v>8.10115971634E11</v>
      </c>
      <c r="F520" s="313"/>
      <c r="G520" s="313"/>
      <c r="H520" s="313"/>
      <c r="I520" s="313"/>
      <c r="J520" s="300" t="b">
        <v>1</v>
      </c>
      <c r="K520" s="314" t="b">
        <v>0</v>
      </c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  <c r="AH520" s="209"/>
      <c r="AI520" s="209"/>
      <c r="AJ520" s="209"/>
    </row>
    <row r="521">
      <c r="A521" s="209"/>
      <c r="B521" s="209"/>
      <c r="C521" s="209"/>
      <c r="D521" s="209"/>
      <c r="E521" s="209"/>
      <c r="F521" s="209"/>
      <c r="G521" s="209"/>
      <c r="H521" s="209"/>
      <c r="I521" s="209"/>
      <c r="J521" s="313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</row>
    <row r="522">
      <c r="A522" s="316" t="s">
        <v>2459</v>
      </c>
      <c r="B522" s="319" t="s">
        <v>2460</v>
      </c>
      <c r="C522" s="320"/>
      <c r="D522" s="283" t="s">
        <v>2461</v>
      </c>
      <c r="E522" s="402" t="s">
        <v>2415</v>
      </c>
      <c r="F522" s="320"/>
      <c r="G522" s="320"/>
      <c r="H522" s="276" t="s">
        <v>572</v>
      </c>
      <c r="I522" s="285" t="s">
        <v>4152</v>
      </c>
      <c r="J522" s="278" t="str">
        <f>IF(COUNTIF(J523:J528, TRUE) = COUNTA(J523:J528), "Complete!", IF(COUNTIF(J523:J528, TRUE) &gt; 0, "Partial", "Not Started"))</f>
        <v>Complete!</v>
      </c>
      <c r="K522" s="279"/>
      <c r="L522" s="280">
        <v>6.0</v>
      </c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  <c r="AH522" s="209"/>
      <c r="AI522" s="209"/>
      <c r="AJ522" s="209"/>
    </row>
    <row r="523">
      <c r="A523" s="291"/>
      <c r="B523" s="303" t="s">
        <v>2463</v>
      </c>
      <c r="C523" s="304" t="s">
        <v>449</v>
      </c>
      <c r="D523" s="304" t="s">
        <v>2464</v>
      </c>
      <c r="E523" s="305">
        <v>8.10115971542E11</v>
      </c>
      <c r="F523" s="209"/>
      <c r="G523" s="209"/>
      <c r="H523" s="209"/>
      <c r="I523" s="209"/>
      <c r="J523" s="300" t="b">
        <v>1</v>
      </c>
      <c r="K523" s="301" t="b">
        <v>0</v>
      </c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  <c r="AH523" s="209"/>
      <c r="AI523" s="209"/>
      <c r="AJ523" s="209"/>
    </row>
    <row r="524">
      <c r="A524" s="291"/>
      <c r="B524" s="303" t="s">
        <v>2465</v>
      </c>
      <c r="C524" s="304" t="s">
        <v>487</v>
      </c>
      <c r="D524" s="304" t="s">
        <v>2466</v>
      </c>
      <c r="E524" s="375">
        <v>8.10115972389E11</v>
      </c>
      <c r="F524" s="209"/>
      <c r="G524" s="209"/>
      <c r="H524" s="209"/>
      <c r="I524" s="209"/>
      <c r="J524" s="300" t="b">
        <v>1</v>
      </c>
      <c r="K524" s="301" t="b">
        <v>0</v>
      </c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  <c r="AH524" s="209"/>
      <c r="AI524" s="209"/>
      <c r="AJ524" s="209"/>
    </row>
    <row r="525">
      <c r="A525" s="291"/>
      <c r="B525" s="303" t="s">
        <v>2467</v>
      </c>
      <c r="C525" s="304" t="s">
        <v>1916</v>
      </c>
      <c r="D525" s="304" t="s">
        <v>2468</v>
      </c>
      <c r="E525" s="305">
        <v>8.10115972396E11</v>
      </c>
      <c r="F525" s="209"/>
      <c r="G525" s="209"/>
      <c r="H525" s="209"/>
      <c r="I525" s="209"/>
      <c r="J525" s="300" t="b">
        <v>1</v>
      </c>
      <c r="K525" s="301" t="b">
        <v>0</v>
      </c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  <c r="AH525" s="209"/>
      <c r="AI525" s="209"/>
      <c r="AJ525" s="209"/>
    </row>
    <row r="526">
      <c r="A526" s="291"/>
      <c r="B526" s="303" t="s">
        <v>2469</v>
      </c>
      <c r="C526" s="304" t="s">
        <v>458</v>
      </c>
      <c r="D526" s="304" t="s">
        <v>2470</v>
      </c>
      <c r="E526" s="375">
        <v>8.10115971573E11</v>
      </c>
      <c r="F526" s="209"/>
      <c r="G526" s="209"/>
      <c r="H526" s="209"/>
      <c r="I526" s="209"/>
      <c r="J526" s="300" t="b">
        <v>1</v>
      </c>
      <c r="K526" s="301" t="b">
        <v>0</v>
      </c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</row>
    <row r="527">
      <c r="A527" s="291"/>
      <c r="B527" s="303" t="s">
        <v>2471</v>
      </c>
      <c r="C527" s="304" t="s">
        <v>522</v>
      </c>
      <c r="D527" s="304" t="s">
        <v>2472</v>
      </c>
      <c r="E527" s="305">
        <v>8.1011597158E11</v>
      </c>
      <c r="F527" s="209"/>
      <c r="G527" s="209"/>
      <c r="H527" s="209"/>
      <c r="I527" s="209"/>
      <c r="J527" s="300" t="b">
        <v>1</v>
      </c>
      <c r="K527" s="301" t="b">
        <v>0</v>
      </c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  <c r="AH527" s="209"/>
      <c r="AI527" s="209"/>
      <c r="AJ527" s="209"/>
    </row>
    <row r="528">
      <c r="A528" s="309"/>
      <c r="B528" s="310" t="s">
        <v>2473</v>
      </c>
      <c r="C528" s="311" t="s">
        <v>1060</v>
      </c>
      <c r="D528" s="311" t="s">
        <v>2474</v>
      </c>
      <c r="E528" s="380">
        <v>8.1011597062E11</v>
      </c>
      <c r="F528" s="313"/>
      <c r="G528" s="313"/>
      <c r="H528" s="313"/>
      <c r="I528" s="313"/>
      <c r="J528" s="300" t="b">
        <v>1</v>
      </c>
      <c r="K528" s="314" t="b">
        <v>0</v>
      </c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  <c r="AH528" s="209"/>
      <c r="AI528" s="209"/>
      <c r="AJ528" s="209"/>
    </row>
    <row r="529">
      <c r="A529" s="209"/>
      <c r="B529" s="209"/>
      <c r="C529" s="209"/>
      <c r="D529" s="209"/>
      <c r="E529" s="209"/>
      <c r="F529" s="209"/>
      <c r="G529" s="209"/>
      <c r="H529" s="209"/>
      <c r="I529" s="209"/>
      <c r="J529" s="313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  <c r="AH529" s="209"/>
      <c r="AI529" s="209"/>
      <c r="AJ529" s="209"/>
    </row>
    <row r="530">
      <c r="A530" s="316" t="s">
        <v>2475</v>
      </c>
      <c r="B530" s="319" t="s">
        <v>4153</v>
      </c>
      <c r="C530" s="320"/>
      <c r="D530" s="403" t="s">
        <v>4154</v>
      </c>
      <c r="E530" s="402" t="s">
        <v>2415</v>
      </c>
      <c r="F530" s="320"/>
      <c r="G530" s="320"/>
      <c r="H530" s="276" t="s">
        <v>572</v>
      </c>
      <c r="I530" s="285" t="s">
        <v>4155</v>
      </c>
      <c r="J530" s="278" t="str">
        <f>IF(COUNTIF(J531:J538, TRUE) = COUNTA(J531:J538), "Complete!", IF(COUNTIF(J531:J538, TRUE) &gt; 0, "Partial", "Not Started"))</f>
        <v>Complete!</v>
      </c>
      <c r="K530" s="279"/>
      <c r="L530" s="280">
        <v>8.0</v>
      </c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  <c r="AH530" s="209"/>
      <c r="AI530" s="209"/>
      <c r="AJ530" s="209"/>
    </row>
    <row r="531">
      <c r="A531" s="291"/>
      <c r="B531" s="303" t="s">
        <v>2479</v>
      </c>
      <c r="C531" s="304" t="s">
        <v>400</v>
      </c>
      <c r="D531" s="304" t="s">
        <v>2480</v>
      </c>
      <c r="E531" s="305">
        <v>8.10115972358E11</v>
      </c>
      <c r="F531" s="209"/>
      <c r="G531" s="209"/>
      <c r="H531" s="209"/>
      <c r="I531" s="209"/>
      <c r="J531" s="300" t="b">
        <v>1</v>
      </c>
      <c r="K531" s="301" t="b">
        <v>0</v>
      </c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  <c r="AH531" s="209"/>
      <c r="AI531" s="209"/>
      <c r="AJ531" s="209"/>
    </row>
    <row r="532">
      <c r="A532" s="291"/>
      <c r="B532" s="354" t="s">
        <v>2481</v>
      </c>
      <c r="C532" s="304" t="s">
        <v>412</v>
      </c>
      <c r="D532" s="304" t="s">
        <v>2482</v>
      </c>
      <c r="E532" s="305">
        <v>8.10115972365E11</v>
      </c>
      <c r="F532" s="209"/>
      <c r="G532" s="209"/>
      <c r="H532" s="209"/>
      <c r="I532" s="209"/>
      <c r="J532" s="300" t="b">
        <v>1</v>
      </c>
      <c r="K532" s="301" t="b">
        <v>0</v>
      </c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  <c r="AH532" s="209"/>
      <c r="AI532" s="209"/>
      <c r="AJ532" s="209"/>
    </row>
    <row r="533">
      <c r="A533" s="291"/>
      <c r="B533" s="303" t="s">
        <v>2483</v>
      </c>
      <c r="C533" s="304" t="s">
        <v>431</v>
      </c>
      <c r="D533" s="304" t="s">
        <v>2484</v>
      </c>
      <c r="E533" s="305">
        <v>8.10115970392E11</v>
      </c>
      <c r="F533" s="209"/>
      <c r="G533" s="209"/>
      <c r="H533" s="209"/>
      <c r="I533" s="209"/>
      <c r="J533" s="300" t="b">
        <v>1</v>
      </c>
      <c r="K533" s="301" t="b">
        <v>0</v>
      </c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  <c r="AH533" s="209"/>
      <c r="AI533" s="209"/>
      <c r="AJ533" s="209"/>
    </row>
    <row r="534">
      <c r="A534" s="291"/>
      <c r="B534" s="303" t="s">
        <v>2485</v>
      </c>
      <c r="C534" s="304" t="s">
        <v>421</v>
      </c>
      <c r="D534" s="304" t="s">
        <v>2486</v>
      </c>
      <c r="E534" s="375">
        <v>8.10115970408E11</v>
      </c>
      <c r="F534" s="401"/>
      <c r="G534" s="401"/>
      <c r="H534" s="401"/>
      <c r="I534" s="401"/>
      <c r="J534" s="300" t="b">
        <v>1</v>
      </c>
      <c r="K534" s="301" t="b">
        <v>0</v>
      </c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  <c r="AH534" s="209"/>
      <c r="AI534" s="209"/>
      <c r="AJ534" s="209"/>
    </row>
    <row r="535">
      <c r="A535" s="291"/>
      <c r="B535" s="303" t="s">
        <v>2487</v>
      </c>
      <c r="C535" s="304" t="s">
        <v>449</v>
      </c>
      <c r="D535" s="304" t="s">
        <v>2488</v>
      </c>
      <c r="E535" s="305">
        <v>8.10115970415E11</v>
      </c>
      <c r="F535" s="401"/>
      <c r="G535" s="401"/>
      <c r="H535" s="401"/>
      <c r="I535" s="401"/>
      <c r="J535" s="300" t="b">
        <v>1</v>
      </c>
      <c r="K535" s="301" t="b">
        <v>0</v>
      </c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  <c r="AH535" s="209"/>
      <c r="AI535" s="209"/>
      <c r="AJ535" s="209"/>
    </row>
    <row r="536">
      <c r="A536" s="291"/>
      <c r="B536" s="303" t="s">
        <v>2489</v>
      </c>
      <c r="C536" s="304" t="s">
        <v>440</v>
      </c>
      <c r="D536" s="304" t="s">
        <v>2490</v>
      </c>
      <c r="E536" s="375">
        <v>8.10115971627E11</v>
      </c>
      <c r="F536" s="209"/>
      <c r="G536" s="209"/>
      <c r="H536" s="209"/>
      <c r="I536" s="209"/>
      <c r="J536" s="300" t="b">
        <v>1</v>
      </c>
      <c r="K536" s="301" t="b">
        <v>0</v>
      </c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  <c r="AH536" s="209"/>
      <c r="AI536" s="209"/>
      <c r="AJ536" s="209"/>
    </row>
    <row r="537">
      <c r="A537" s="291"/>
      <c r="B537" s="303" t="s">
        <v>2491</v>
      </c>
      <c r="C537" s="304" t="s">
        <v>1916</v>
      </c>
      <c r="D537" s="304" t="s">
        <v>2492</v>
      </c>
      <c r="E537" s="305">
        <v>8.10115972419E11</v>
      </c>
      <c r="F537" s="209"/>
      <c r="G537" s="209"/>
      <c r="H537" s="209"/>
      <c r="I537" s="209"/>
      <c r="J537" s="300" t="b">
        <v>1</v>
      </c>
      <c r="K537" s="301" t="b">
        <v>0</v>
      </c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  <c r="AH537" s="209"/>
      <c r="AI537" s="209"/>
      <c r="AJ537" s="209"/>
    </row>
    <row r="538">
      <c r="A538" s="309"/>
      <c r="B538" s="310" t="s">
        <v>2493</v>
      </c>
      <c r="C538" s="311" t="s">
        <v>458</v>
      </c>
      <c r="D538" s="311" t="s">
        <v>2494</v>
      </c>
      <c r="E538" s="380">
        <v>8.10115970422E11</v>
      </c>
      <c r="F538" s="313"/>
      <c r="G538" s="313"/>
      <c r="H538" s="313"/>
      <c r="I538" s="313"/>
      <c r="J538" s="300" t="b">
        <v>1</v>
      </c>
      <c r="K538" s="314" t="b">
        <v>0</v>
      </c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  <c r="AH538" s="209"/>
      <c r="AI538" s="209"/>
      <c r="AJ538" s="209"/>
    </row>
    <row r="539">
      <c r="A539" s="209"/>
      <c r="B539" s="209"/>
      <c r="C539" s="209"/>
      <c r="D539" s="209"/>
      <c r="E539" s="209"/>
      <c r="F539" s="209"/>
      <c r="G539" s="209"/>
      <c r="H539" s="209"/>
      <c r="I539" s="209"/>
      <c r="J539" s="313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  <c r="AH539" s="209"/>
      <c r="AI539" s="209"/>
      <c r="AJ539" s="209"/>
    </row>
    <row r="540">
      <c r="A540" s="316" t="s">
        <v>2495</v>
      </c>
      <c r="B540" s="319" t="s">
        <v>2496</v>
      </c>
      <c r="C540" s="320"/>
      <c r="D540" s="403" t="s">
        <v>2497</v>
      </c>
      <c r="E540" s="402" t="s">
        <v>2415</v>
      </c>
      <c r="F540" s="320"/>
      <c r="G540" s="320"/>
      <c r="H540" s="276" t="s">
        <v>572</v>
      </c>
      <c r="I540" s="285" t="s">
        <v>4156</v>
      </c>
      <c r="J540" s="278" t="str">
        <f>IF(COUNTIF(J541:J548, TRUE) = COUNTA(J541:J548), "Complete!", IF(COUNTIF(J541:J548, TRUE) &gt; 0, "Partial", "Not Started"))</f>
        <v>Complete!</v>
      </c>
      <c r="K540" s="279"/>
      <c r="L540" s="280">
        <v>8.0</v>
      </c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  <c r="AH540" s="209"/>
      <c r="AI540" s="209"/>
      <c r="AJ540" s="209"/>
    </row>
    <row r="541">
      <c r="A541" s="291"/>
      <c r="B541" s="292" t="s">
        <v>2498</v>
      </c>
      <c r="C541" s="304" t="s">
        <v>487</v>
      </c>
      <c r="D541" s="304" t="s">
        <v>2499</v>
      </c>
      <c r="E541" s="375">
        <v>8.10115972402E11</v>
      </c>
      <c r="F541" s="209"/>
      <c r="G541" s="209"/>
      <c r="H541" s="209"/>
      <c r="I541" s="295"/>
      <c r="J541" s="300" t="b">
        <v>1</v>
      </c>
      <c r="K541" s="301" t="b">
        <v>0</v>
      </c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  <c r="AH541" s="209"/>
      <c r="AI541" s="209"/>
      <c r="AJ541" s="209"/>
    </row>
    <row r="542">
      <c r="A542" s="291"/>
      <c r="B542" s="303" t="s">
        <v>2500</v>
      </c>
      <c r="C542" s="304" t="s">
        <v>505</v>
      </c>
      <c r="D542" s="304" t="s">
        <v>2501</v>
      </c>
      <c r="E542" s="305">
        <v>8.10115970439E11</v>
      </c>
      <c r="F542" s="401"/>
      <c r="G542" s="401"/>
      <c r="H542" s="401"/>
      <c r="I542" s="401"/>
      <c r="J542" s="300" t="b">
        <v>1</v>
      </c>
      <c r="K542" s="301" t="b">
        <v>0</v>
      </c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  <c r="AH542" s="209"/>
      <c r="AI542" s="209"/>
      <c r="AJ542" s="209"/>
    </row>
    <row r="543">
      <c r="A543" s="291"/>
      <c r="B543" s="303" t="s">
        <v>2502</v>
      </c>
      <c r="C543" s="304" t="s">
        <v>522</v>
      </c>
      <c r="D543" s="304" t="s">
        <v>2503</v>
      </c>
      <c r="E543" s="375">
        <v>8.10115970446E11</v>
      </c>
      <c r="F543" s="401"/>
      <c r="G543" s="401"/>
      <c r="H543" s="401"/>
      <c r="I543" s="401"/>
      <c r="J543" s="300" t="b">
        <v>1</v>
      </c>
      <c r="K543" s="301" t="b">
        <v>0</v>
      </c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  <c r="AH543" s="209"/>
      <c r="AI543" s="209"/>
      <c r="AJ543" s="209"/>
    </row>
    <row r="544">
      <c r="A544" s="291"/>
      <c r="B544" s="303" t="s">
        <v>2504</v>
      </c>
      <c r="C544" s="304" t="s">
        <v>529</v>
      </c>
      <c r="D544" s="304" t="s">
        <v>2505</v>
      </c>
      <c r="E544" s="305">
        <v>8.10115978251E11</v>
      </c>
      <c r="F544" s="209"/>
      <c r="G544" s="209"/>
      <c r="H544" s="209"/>
      <c r="I544" s="209"/>
      <c r="J544" s="300" t="b">
        <v>1</v>
      </c>
      <c r="K544" s="301" t="b">
        <v>0</v>
      </c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  <c r="AH544" s="209"/>
      <c r="AI544" s="209"/>
      <c r="AJ544" s="209"/>
    </row>
    <row r="545">
      <c r="A545" s="291"/>
      <c r="B545" s="303" t="s">
        <v>2506</v>
      </c>
      <c r="C545" s="304" t="s">
        <v>547</v>
      </c>
      <c r="D545" s="304" t="s">
        <v>2507</v>
      </c>
      <c r="E545" s="305">
        <v>8.10115970477E11</v>
      </c>
      <c r="F545" s="209"/>
      <c r="G545" s="209"/>
      <c r="H545" s="209"/>
      <c r="I545" s="209"/>
      <c r="J545" s="300" t="b">
        <v>1</v>
      </c>
      <c r="K545" s="301" t="b">
        <v>0</v>
      </c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  <c r="AH545" s="209"/>
      <c r="AI545" s="209"/>
      <c r="AJ545" s="209"/>
    </row>
    <row r="546">
      <c r="A546" s="291"/>
      <c r="B546" s="354" t="s">
        <v>2508</v>
      </c>
      <c r="C546" s="304" t="s">
        <v>1060</v>
      </c>
      <c r="D546" s="304" t="s">
        <v>2509</v>
      </c>
      <c r="E546" s="305">
        <v>8.10115970521E11</v>
      </c>
      <c r="F546" s="401"/>
      <c r="G546" s="401"/>
      <c r="H546" s="401"/>
      <c r="I546" s="209"/>
      <c r="J546" s="300" t="b">
        <v>1</v>
      </c>
      <c r="K546" s="301" t="b">
        <v>0</v>
      </c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  <c r="AH546" s="209"/>
      <c r="AI546" s="209"/>
      <c r="AJ546" s="209"/>
    </row>
    <row r="547">
      <c r="A547" s="291"/>
      <c r="B547" s="303" t="s">
        <v>2510</v>
      </c>
      <c r="C547" s="304" t="s">
        <v>2430</v>
      </c>
      <c r="D547" s="304" t="s">
        <v>2511</v>
      </c>
      <c r="E547" s="305">
        <v>8.10115975908E11</v>
      </c>
      <c r="F547" s="209"/>
      <c r="G547" s="209"/>
      <c r="H547" s="209"/>
      <c r="I547" s="209"/>
      <c r="J547" s="300" t="b">
        <v>1</v>
      </c>
      <c r="K547" s="301" t="b">
        <v>0</v>
      </c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  <c r="AH547" s="209"/>
      <c r="AI547" s="209"/>
      <c r="AJ547" s="209"/>
    </row>
    <row r="548">
      <c r="A548" s="291"/>
      <c r="B548" s="310" t="s">
        <v>2512</v>
      </c>
      <c r="C548" s="311" t="s">
        <v>2155</v>
      </c>
      <c r="D548" s="311" t="s">
        <v>2513</v>
      </c>
      <c r="E548" s="404">
        <v>8.10115972426E11</v>
      </c>
      <c r="F548" s="313"/>
      <c r="G548" s="313"/>
      <c r="H548" s="313"/>
      <c r="I548" s="313"/>
      <c r="J548" s="300" t="b">
        <v>1</v>
      </c>
      <c r="K548" s="314" t="b">
        <v>0</v>
      </c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  <c r="AH548" s="209"/>
      <c r="AI548" s="209"/>
      <c r="AJ548" s="209"/>
    </row>
    <row r="549">
      <c r="A549" s="209"/>
      <c r="B549" s="209"/>
      <c r="C549" s="209"/>
      <c r="D549" s="209"/>
      <c r="E549" s="209"/>
      <c r="F549" s="209"/>
      <c r="G549" s="209"/>
      <c r="H549" s="209"/>
      <c r="I549" s="209"/>
      <c r="J549" s="313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  <c r="AH549" s="209"/>
      <c r="AI549" s="209"/>
      <c r="AJ549" s="209"/>
    </row>
    <row r="550">
      <c r="A550" s="316" t="s">
        <v>2514</v>
      </c>
      <c r="B550" s="319" t="s">
        <v>4157</v>
      </c>
      <c r="C550" s="320"/>
      <c r="D550" s="403" t="s">
        <v>4158</v>
      </c>
      <c r="E550" s="402" t="s">
        <v>2415</v>
      </c>
      <c r="F550" s="320"/>
      <c r="G550" s="320"/>
      <c r="H550" s="276" t="s">
        <v>572</v>
      </c>
      <c r="I550" s="285" t="s">
        <v>4159</v>
      </c>
      <c r="J550" s="278" t="str">
        <f>IF(COUNTIF(J551:J557, TRUE) = COUNTA(J551:J557), "Complete!", IF(COUNTIF(J551:J557, TRUE) &gt; 0, "Partial", "Not Started"))</f>
        <v>Complete!</v>
      </c>
      <c r="K550" s="279"/>
      <c r="L550" s="280">
        <v>7.0</v>
      </c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  <c r="AH550" s="209"/>
      <c r="AI550" s="209"/>
      <c r="AJ550" s="209"/>
    </row>
    <row r="551">
      <c r="A551" s="291"/>
      <c r="B551" s="303" t="s">
        <v>2518</v>
      </c>
      <c r="C551" s="304" t="s">
        <v>431</v>
      </c>
      <c r="D551" s="304" t="s">
        <v>2519</v>
      </c>
      <c r="E551" s="305">
        <v>8.10115971528E11</v>
      </c>
      <c r="F551" s="209"/>
      <c r="G551" s="209"/>
      <c r="H551" s="209"/>
      <c r="I551" s="209"/>
      <c r="J551" s="300" t="b">
        <v>1</v>
      </c>
      <c r="K551" s="301" t="b">
        <v>0</v>
      </c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  <c r="AH551" s="209"/>
      <c r="AI551" s="209"/>
      <c r="AJ551" s="209"/>
    </row>
    <row r="552">
      <c r="A552" s="291"/>
      <c r="B552" s="303" t="s">
        <v>2521</v>
      </c>
      <c r="C552" s="304" t="s">
        <v>421</v>
      </c>
      <c r="D552" s="304" t="s">
        <v>2522</v>
      </c>
      <c r="E552" s="375">
        <v>8.10115971535E11</v>
      </c>
      <c r="F552" s="209"/>
      <c r="G552" s="209"/>
      <c r="H552" s="209"/>
      <c r="I552" s="209"/>
      <c r="J552" s="300" t="b">
        <v>1</v>
      </c>
      <c r="K552" s="301" t="b">
        <v>0</v>
      </c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  <c r="AH552" s="209"/>
      <c r="AI552" s="209"/>
      <c r="AJ552" s="209"/>
    </row>
    <row r="553">
      <c r="A553" s="291"/>
      <c r="B553" s="303" t="s">
        <v>2523</v>
      </c>
      <c r="C553" s="304" t="s">
        <v>449</v>
      </c>
      <c r="D553" s="304" t="s">
        <v>2524</v>
      </c>
      <c r="E553" s="305">
        <v>8.10115970552E11</v>
      </c>
      <c r="F553" s="209"/>
      <c r="G553" s="209"/>
      <c r="H553" s="209"/>
      <c r="I553" s="209"/>
      <c r="J553" s="300" t="b">
        <v>1</v>
      </c>
      <c r="K553" s="301" t="b">
        <v>0</v>
      </c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  <c r="AH553" s="209"/>
      <c r="AI553" s="209"/>
      <c r="AJ553" s="209"/>
    </row>
    <row r="554">
      <c r="A554" s="291"/>
      <c r="B554" s="354" t="s">
        <v>2525</v>
      </c>
      <c r="C554" s="304" t="s">
        <v>440</v>
      </c>
      <c r="D554" s="304" t="s">
        <v>2526</v>
      </c>
      <c r="E554" s="305">
        <v>8.10115971566E11</v>
      </c>
      <c r="F554" s="401"/>
      <c r="G554" s="401"/>
      <c r="H554" s="401"/>
      <c r="I554" s="401"/>
      <c r="J554" s="300" t="b">
        <v>1</v>
      </c>
      <c r="K554" s="301" t="b">
        <v>0</v>
      </c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  <c r="AH554" s="209"/>
      <c r="AI554" s="209"/>
      <c r="AJ554" s="209"/>
    </row>
    <row r="555">
      <c r="A555" s="291"/>
      <c r="B555" s="303" t="s">
        <v>2527</v>
      </c>
      <c r="C555" s="304" t="s">
        <v>458</v>
      </c>
      <c r="D555" s="304" t="s">
        <v>2528</v>
      </c>
      <c r="E555" s="375">
        <v>8.10115970583E11</v>
      </c>
      <c r="F555" s="401"/>
      <c r="G555" s="401"/>
      <c r="H555" s="401"/>
      <c r="I555" s="401"/>
      <c r="J555" s="300" t="b">
        <v>1</v>
      </c>
      <c r="K555" s="301" t="b">
        <v>0</v>
      </c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  <c r="AH555" s="209"/>
      <c r="AI555" s="209"/>
      <c r="AJ555" s="209"/>
    </row>
    <row r="556">
      <c r="A556" s="291"/>
      <c r="B556" s="303" t="s">
        <v>2529</v>
      </c>
      <c r="C556" s="304" t="s">
        <v>505</v>
      </c>
      <c r="D556" s="304" t="s">
        <v>2530</v>
      </c>
      <c r="E556" s="375">
        <v>8.1011597059E11</v>
      </c>
      <c r="F556" s="209"/>
      <c r="G556" s="209"/>
      <c r="H556" s="209"/>
      <c r="I556" s="209"/>
      <c r="J556" s="300" t="b">
        <v>1</v>
      </c>
      <c r="K556" s="301" t="b">
        <v>0</v>
      </c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  <c r="AH556" s="209"/>
      <c r="AI556" s="209"/>
      <c r="AJ556" s="209"/>
    </row>
    <row r="557">
      <c r="A557" s="309"/>
      <c r="B557" s="310" t="s">
        <v>2531</v>
      </c>
      <c r="C557" s="311" t="s">
        <v>522</v>
      </c>
      <c r="D557" s="311" t="s">
        <v>2532</v>
      </c>
      <c r="E557" s="380">
        <v>8.10115971597E11</v>
      </c>
      <c r="F557" s="313"/>
      <c r="G557" s="313"/>
      <c r="H557" s="313"/>
      <c r="I557" s="313"/>
      <c r="J557" s="300" t="b">
        <v>1</v>
      </c>
      <c r="K557" s="314" t="b">
        <v>0</v>
      </c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  <c r="AH557" s="209"/>
      <c r="AI557" s="209"/>
      <c r="AJ557" s="209"/>
    </row>
    <row r="558">
      <c r="A558" s="209"/>
      <c r="B558" s="209"/>
      <c r="C558" s="209"/>
      <c r="D558" s="209"/>
      <c r="E558" s="353"/>
      <c r="F558" s="209"/>
      <c r="G558" s="209"/>
      <c r="H558" s="209"/>
      <c r="I558" s="209"/>
      <c r="J558" s="313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  <c r="AH558" s="209"/>
      <c r="AI558" s="209"/>
      <c r="AJ558" s="209"/>
    </row>
    <row r="559">
      <c r="A559" s="316" t="s">
        <v>2533</v>
      </c>
      <c r="B559" s="319" t="s">
        <v>2534</v>
      </c>
      <c r="C559" s="320"/>
      <c r="D559" s="283" t="s">
        <v>2535</v>
      </c>
      <c r="E559" s="402" t="s">
        <v>2536</v>
      </c>
      <c r="F559" s="320"/>
      <c r="G559" s="320"/>
      <c r="H559" s="276" t="s">
        <v>370</v>
      </c>
      <c r="I559" s="285" t="s">
        <v>4160</v>
      </c>
      <c r="J559" s="278" t="str">
        <f>IF(COUNTIF(J560:J565, TRUE) = COUNTA(J560:J565), "Complete!", IF(COUNTIF(J560:J565, TRUE) &gt; 0, "Partial", "Not Started"))</f>
        <v>Complete!</v>
      </c>
      <c r="K559" s="279"/>
      <c r="L559" s="280">
        <v>6.0</v>
      </c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  <c r="AH559" s="209"/>
      <c r="AI559" s="209"/>
      <c r="AJ559" s="209"/>
    </row>
    <row r="560">
      <c r="A560" s="291"/>
      <c r="B560" s="376" t="s">
        <v>2537</v>
      </c>
      <c r="C560" s="377" t="s">
        <v>2538</v>
      </c>
      <c r="D560" s="304" t="s">
        <v>2539</v>
      </c>
      <c r="E560" s="406">
        <v>8.10115978411E11</v>
      </c>
      <c r="F560" s="209"/>
      <c r="G560" s="209"/>
      <c r="H560" s="209"/>
      <c r="I560" s="209"/>
      <c r="J560" s="300" t="b">
        <v>1</v>
      </c>
      <c r="K560" s="301" t="b">
        <v>0</v>
      </c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  <c r="AH560" s="209"/>
      <c r="AI560" s="209"/>
      <c r="AJ560" s="209"/>
    </row>
    <row r="561">
      <c r="A561" s="291"/>
      <c r="B561" s="376" t="s">
        <v>2540</v>
      </c>
      <c r="C561" s="377" t="s">
        <v>2541</v>
      </c>
      <c r="D561" s="304" t="s">
        <v>2542</v>
      </c>
      <c r="E561" s="406">
        <v>8.10115978428E11</v>
      </c>
      <c r="F561" s="209"/>
      <c r="G561" s="209"/>
      <c r="H561" s="209"/>
      <c r="I561" s="209"/>
      <c r="J561" s="300" t="b">
        <v>1</v>
      </c>
      <c r="K561" s="301" t="b">
        <v>0</v>
      </c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  <c r="AH561" s="209"/>
      <c r="AI561" s="209"/>
      <c r="AJ561" s="209"/>
    </row>
    <row r="562">
      <c r="A562" s="291"/>
      <c r="B562" s="376" t="s">
        <v>2543</v>
      </c>
      <c r="C562" s="377" t="s">
        <v>2544</v>
      </c>
      <c r="D562" s="304" t="s">
        <v>2545</v>
      </c>
      <c r="E562" s="406">
        <v>8.10115978435E11</v>
      </c>
      <c r="F562" s="209"/>
      <c r="G562" s="209"/>
      <c r="H562" s="209"/>
      <c r="I562" s="209"/>
      <c r="J562" s="300" t="b">
        <v>1</v>
      </c>
      <c r="K562" s="301" t="b">
        <v>0</v>
      </c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  <c r="AH562" s="209"/>
      <c r="AI562" s="209"/>
      <c r="AJ562" s="209"/>
    </row>
    <row r="563">
      <c r="A563" s="291"/>
      <c r="B563" s="376" t="s">
        <v>2546</v>
      </c>
      <c r="C563" s="377" t="s">
        <v>2547</v>
      </c>
      <c r="D563" s="304" t="s">
        <v>2548</v>
      </c>
      <c r="E563" s="406">
        <v>8.10115978442E11</v>
      </c>
      <c r="F563" s="209"/>
      <c r="G563" s="209"/>
      <c r="H563" s="209"/>
      <c r="I563" s="209"/>
      <c r="J563" s="300" t="b">
        <v>1</v>
      </c>
      <c r="K563" s="301" t="b">
        <v>0</v>
      </c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  <c r="AH563" s="209"/>
      <c r="AI563" s="209"/>
      <c r="AJ563" s="209"/>
    </row>
    <row r="564">
      <c r="A564" s="291"/>
      <c r="B564" s="376" t="s">
        <v>2549</v>
      </c>
      <c r="C564" s="377" t="s">
        <v>2550</v>
      </c>
      <c r="D564" s="304" t="s">
        <v>2551</v>
      </c>
      <c r="E564" s="375">
        <v>8.10115975861E11</v>
      </c>
      <c r="F564" s="209"/>
      <c r="G564" s="209"/>
      <c r="H564" s="209"/>
      <c r="I564" s="209"/>
      <c r="J564" s="300" t="b">
        <v>1</v>
      </c>
      <c r="K564" s="301" t="b">
        <v>0</v>
      </c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  <c r="AH564" s="209"/>
      <c r="AI564" s="209"/>
      <c r="AJ564" s="209"/>
    </row>
    <row r="565">
      <c r="A565" s="309"/>
      <c r="B565" s="378" t="s">
        <v>2552</v>
      </c>
      <c r="C565" s="379" t="s">
        <v>2553</v>
      </c>
      <c r="D565" s="304" t="s">
        <v>2554</v>
      </c>
      <c r="E565" s="407">
        <v>8.10115975878E11</v>
      </c>
      <c r="F565" s="313"/>
      <c r="G565" s="313"/>
      <c r="H565" s="313"/>
      <c r="I565" s="313"/>
      <c r="J565" s="350" t="b">
        <v>1</v>
      </c>
      <c r="K565" s="314" t="b">
        <v>0</v>
      </c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  <c r="AH565" s="209"/>
      <c r="AI565" s="209"/>
      <c r="AJ565" s="209"/>
    </row>
    <row r="566">
      <c r="A566" s="209"/>
      <c r="B566" s="209"/>
      <c r="C566" s="209"/>
      <c r="D566" s="295"/>
      <c r="E566" s="295"/>
      <c r="F566" s="295"/>
      <c r="G566" s="295"/>
      <c r="H566" s="295"/>
      <c r="I566" s="209"/>
      <c r="J566" s="295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  <c r="AH566" s="209"/>
      <c r="AI566" s="209"/>
      <c r="AJ566" s="209"/>
    </row>
    <row r="567">
      <c r="A567" s="316" t="s">
        <v>2555</v>
      </c>
      <c r="B567" s="282" t="s">
        <v>2556</v>
      </c>
      <c r="C567" s="273"/>
      <c r="D567" s="283" t="s">
        <v>2557</v>
      </c>
      <c r="E567" s="275" t="s">
        <v>1118</v>
      </c>
      <c r="F567" s="273"/>
      <c r="G567" s="273"/>
      <c r="H567" s="276" t="s">
        <v>572</v>
      </c>
      <c r="I567" s="276" t="s">
        <v>2558</v>
      </c>
      <c r="J567" s="278" t="str">
        <f>IF(COUNTIF(J568:J573, TRUE) = COUNTA(J568:J573), "Complete!", IF(COUNTIF(J568:J573, TRUE) &gt; 0, "Partial", "Not Started"))</f>
        <v>Complete!</v>
      </c>
      <c r="K567" s="279"/>
      <c r="L567" s="280">
        <v>6.0</v>
      </c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  <c r="AH567" s="209"/>
      <c r="AI567" s="209"/>
      <c r="AJ567" s="209"/>
    </row>
    <row r="568">
      <c r="A568" s="291"/>
      <c r="B568" s="292" t="s">
        <v>2559</v>
      </c>
      <c r="C568" s="293" t="s">
        <v>2560</v>
      </c>
      <c r="D568" s="304" t="s">
        <v>2561</v>
      </c>
      <c r="E568" s="374">
        <v>8.10115971016E11</v>
      </c>
      <c r="F568" s="295"/>
      <c r="G568" s="295"/>
      <c r="H568" s="295"/>
      <c r="I568" s="295"/>
      <c r="J568" s="296" t="b">
        <v>1</v>
      </c>
      <c r="K568" s="297" t="b">
        <v>0</v>
      </c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  <c r="AH568" s="209"/>
      <c r="AI568" s="209"/>
      <c r="AJ568" s="209"/>
    </row>
    <row r="569">
      <c r="A569" s="291"/>
      <c r="B569" s="303" t="s">
        <v>2562</v>
      </c>
      <c r="C569" s="304" t="s">
        <v>2563</v>
      </c>
      <c r="D569" s="304" t="s">
        <v>2564</v>
      </c>
      <c r="E569" s="375">
        <v>8.10115971023E11</v>
      </c>
      <c r="F569" s="209"/>
      <c r="G569" s="209"/>
      <c r="H569" s="209"/>
      <c r="I569" s="209"/>
      <c r="J569" s="300" t="b">
        <v>1</v>
      </c>
      <c r="K569" s="301" t="b">
        <v>0</v>
      </c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  <c r="AH569" s="209"/>
      <c r="AI569" s="209"/>
      <c r="AJ569" s="209"/>
    </row>
    <row r="570">
      <c r="A570" s="291"/>
      <c r="B570" s="303" t="s">
        <v>2565</v>
      </c>
      <c r="C570" s="304" t="s">
        <v>2566</v>
      </c>
      <c r="D570" s="304" t="s">
        <v>2567</v>
      </c>
      <c r="E570" s="375">
        <v>8.1011597103E11</v>
      </c>
      <c r="F570" s="209"/>
      <c r="G570" s="209"/>
      <c r="H570" s="209"/>
      <c r="I570" s="209"/>
      <c r="J570" s="300" t="b">
        <v>1</v>
      </c>
      <c r="K570" s="301" t="b">
        <v>0</v>
      </c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  <c r="AH570" s="209"/>
      <c r="AI570" s="209"/>
      <c r="AJ570" s="209"/>
    </row>
    <row r="571">
      <c r="A571" s="291"/>
      <c r="B571" s="303" t="s">
        <v>2568</v>
      </c>
      <c r="C571" s="304" t="s">
        <v>2569</v>
      </c>
      <c r="D571" s="304" t="s">
        <v>2570</v>
      </c>
      <c r="E571" s="375">
        <v>8.10115971047E11</v>
      </c>
      <c r="F571" s="209"/>
      <c r="G571" s="209"/>
      <c r="H571" s="209"/>
      <c r="I571" s="209"/>
      <c r="J571" s="300" t="b">
        <v>1</v>
      </c>
      <c r="K571" s="301" t="b">
        <v>0</v>
      </c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  <c r="AH571" s="209"/>
      <c r="AI571" s="209"/>
      <c r="AJ571" s="209"/>
    </row>
    <row r="572">
      <c r="A572" s="291"/>
      <c r="B572" s="303" t="s">
        <v>2571</v>
      </c>
      <c r="C572" s="304" t="s">
        <v>2572</v>
      </c>
      <c r="D572" s="304" t="s">
        <v>2573</v>
      </c>
      <c r="E572" s="375">
        <v>8.10115971054E11</v>
      </c>
      <c r="F572" s="209"/>
      <c r="G572" s="209"/>
      <c r="H572" s="209"/>
      <c r="I572" s="209"/>
      <c r="J572" s="300" t="b">
        <v>1</v>
      </c>
      <c r="K572" s="301" t="b">
        <v>0</v>
      </c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  <c r="AH572" s="209"/>
      <c r="AI572" s="209"/>
      <c r="AJ572" s="209"/>
    </row>
    <row r="573">
      <c r="A573" s="309"/>
      <c r="B573" s="310" t="s">
        <v>2574</v>
      </c>
      <c r="C573" s="311" t="s">
        <v>2575</v>
      </c>
      <c r="D573" s="311" t="s">
        <v>2576</v>
      </c>
      <c r="E573" s="312">
        <v>8.10115971061E11</v>
      </c>
      <c r="F573" s="313"/>
      <c r="G573" s="313"/>
      <c r="H573" s="313"/>
      <c r="I573" s="313"/>
      <c r="J573" s="350" t="b">
        <v>1</v>
      </c>
      <c r="K573" s="314" t="b">
        <v>0</v>
      </c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  <c r="AH573" s="209"/>
      <c r="AI573" s="209"/>
      <c r="AJ573" s="209"/>
    </row>
    <row r="574">
      <c r="A574" s="209"/>
      <c r="B574" s="209"/>
      <c r="C574" s="209"/>
      <c r="D574" s="209"/>
      <c r="E574" s="209"/>
      <c r="F574" s="209"/>
      <c r="G574" s="209"/>
      <c r="H574" s="209"/>
      <c r="I574" s="209"/>
      <c r="J574" s="313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  <c r="AH574" s="209"/>
      <c r="AI574" s="209"/>
      <c r="AJ574" s="209"/>
    </row>
    <row r="575">
      <c r="A575" s="316" t="s">
        <v>2577</v>
      </c>
      <c r="B575" s="319" t="s">
        <v>2578</v>
      </c>
      <c r="C575" s="320"/>
      <c r="D575" s="283" t="s">
        <v>2579</v>
      </c>
      <c r="E575" s="322" t="s">
        <v>2580</v>
      </c>
      <c r="F575" s="320"/>
      <c r="G575" s="320"/>
      <c r="H575" s="276" t="s">
        <v>376</v>
      </c>
      <c r="I575" s="285" t="s">
        <v>4161</v>
      </c>
      <c r="J575" s="278" t="str">
        <f>IF(COUNTIF(J576:J581, TRUE) = COUNTA(J576:J581), "Complete!", IF(COUNTIF(J576:J581, TRUE) &gt; 0, "Partial", "Not Started"))</f>
        <v>Complete!</v>
      </c>
      <c r="K575" s="279"/>
      <c r="L575" s="280">
        <v>6.0</v>
      </c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  <c r="AH575" s="209"/>
      <c r="AI575" s="209"/>
      <c r="AJ575" s="209"/>
    </row>
    <row r="576">
      <c r="A576" s="291"/>
      <c r="B576" s="408" t="s">
        <v>2582</v>
      </c>
      <c r="C576" s="409" t="s">
        <v>437</v>
      </c>
      <c r="D576" s="304" t="s">
        <v>2583</v>
      </c>
      <c r="E576" s="374" t="s">
        <v>2584</v>
      </c>
      <c r="F576" s="209"/>
      <c r="G576" s="209"/>
      <c r="H576" s="209"/>
      <c r="I576" s="209"/>
      <c r="J576" s="300" t="b">
        <v>1</v>
      </c>
      <c r="K576" s="301" t="b">
        <v>0</v>
      </c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  <c r="AH576" s="209"/>
      <c r="AI576" s="209"/>
      <c r="AJ576" s="209"/>
    </row>
    <row r="577">
      <c r="A577" s="291"/>
      <c r="B577" s="376" t="s">
        <v>2585</v>
      </c>
      <c r="C577" s="377" t="s">
        <v>437</v>
      </c>
      <c r="D577" s="304" t="s">
        <v>2586</v>
      </c>
      <c r="E577" s="375" t="s">
        <v>2587</v>
      </c>
      <c r="F577" s="209"/>
      <c r="G577" s="209"/>
      <c r="H577" s="209"/>
      <c r="I577" s="209"/>
      <c r="J577" s="300" t="b">
        <v>1</v>
      </c>
      <c r="K577" s="301" t="b">
        <v>0</v>
      </c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  <c r="AH577" s="209"/>
      <c r="AI577" s="209"/>
      <c r="AJ577" s="209"/>
    </row>
    <row r="578">
      <c r="A578" s="291"/>
      <c r="B578" s="376" t="s">
        <v>2588</v>
      </c>
      <c r="C578" s="377" t="s">
        <v>2589</v>
      </c>
      <c r="D578" s="304" t="s">
        <v>2590</v>
      </c>
      <c r="E578" s="375" t="s">
        <v>2591</v>
      </c>
      <c r="F578" s="209"/>
      <c r="G578" s="209"/>
      <c r="H578" s="209"/>
      <c r="I578" s="209"/>
      <c r="J578" s="300" t="b">
        <v>1</v>
      </c>
      <c r="K578" s="301" t="b">
        <v>0</v>
      </c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09"/>
      <c r="AI578" s="209"/>
      <c r="AJ578" s="209"/>
    </row>
    <row r="579">
      <c r="A579" s="291"/>
      <c r="B579" s="376" t="s">
        <v>2592</v>
      </c>
      <c r="C579" s="410" t="s">
        <v>437</v>
      </c>
      <c r="D579" s="304" t="s">
        <v>2593</v>
      </c>
      <c r="E579" s="375" t="s">
        <v>2594</v>
      </c>
      <c r="F579" s="209"/>
      <c r="G579" s="209"/>
      <c r="H579" s="209"/>
      <c r="I579" s="209"/>
      <c r="J579" s="300" t="b">
        <v>1</v>
      </c>
      <c r="K579" s="301" t="b">
        <v>0</v>
      </c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  <c r="AH579" s="209"/>
      <c r="AI579" s="209"/>
      <c r="AJ579" s="209"/>
    </row>
    <row r="580">
      <c r="A580" s="291"/>
      <c r="B580" s="376" t="s">
        <v>2595</v>
      </c>
      <c r="C580" s="377" t="s">
        <v>2596</v>
      </c>
      <c r="D580" s="304" t="s">
        <v>2597</v>
      </c>
      <c r="E580" s="375" t="s">
        <v>2598</v>
      </c>
      <c r="F580" s="209"/>
      <c r="G580" s="209"/>
      <c r="H580" s="209"/>
      <c r="I580" s="209"/>
      <c r="J580" s="300" t="b">
        <v>1</v>
      </c>
      <c r="K580" s="301" t="b">
        <v>0</v>
      </c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  <c r="AH580" s="209"/>
      <c r="AI580" s="209"/>
      <c r="AJ580" s="209"/>
    </row>
    <row r="581">
      <c r="A581" s="291"/>
      <c r="B581" s="378" t="s">
        <v>2599</v>
      </c>
      <c r="C581" s="379" t="s">
        <v>2589</v>
      </c>
      <c r="D581" s="311" t="s">
        <v>2600</v>
      </c>
      <c r="E581" s="380" t="s">
        <v>2601</v>
      </c>
      <c r="F581" s="313"/>
      <c r="G581" s="313"/>
      <c r="H581" s="313"/>
      <c r="I581" s="313"/>
      <c r="J581" s="350" t="b">
        <v>1</v>
      </c>
      <c r="K581" s="314" t="b">
        <v>0</v>
      </c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  <c r="AH581" s="209"/>
      <c r="AI581" s="209"/>
      <c r="AJ581" s="209"/>
    </row>
    <row r="582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  <c r="AH582" s="209"/>
      <c r="AI582" s="209"/>
      <c r="AJ582" s="209"/>
    </row>
    <row r="583">
      <c r="A583" s="316" t="s">
        <v>2602</v>
      </c>
      <c r="B583" s="319" t="s">
        <v>2603</v>
      </c>
      <c r="C583" s="320"/>
      <c r="D583" s="283" t="s">
        <v>2604</v>
      </c>
      <c r="E583" s="322" t="s">
        <v>2580</v>
      </c>
      <c r="F583" s="320"/>
      <c r="G583" s="320"/>
      <c r="H583" s="276" t="s">
        <v>572</v>
      </c>
      <c r="I583" s="285" t="s">
        <v>4162</v>
      </c>
      <c r="J583" s="278" t="str">
        <f>IF(COUNTIF(J584:J593, TRUE) = COUNTA(J584:J593), "Complete!", IF(COUNTIF(J584:J593, TRUE) &gt; 0, "Partial", "Not Started"))</f>
        <v>Complete!</v>
      </c>
      <c r="K583" s="279"/>
      <c r="L583" s="280">
        <v>10.0</v>
      </c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  <c r="AH583" s="209"/>
      <c r="AI583" s="209"/>
      <c r="AJ583" s="209"/>
    </row>
    <row r="584">
      <c r="A584" s="291"/>
      <c r="B584" s="376" t="s">
        <v>2606</v>
      </c>
      <c r="C584" s="377" t="s">
        <v>2607</v>
      </c>
      <c r="D584" s="304" t="s">
        <v>2608</v>
      </c>
      <c r="E584" s="395">
        <v>8.1011597851E11</v>
      </c>
      <c r="F584" s="209"/>
      <c r="G584" s="209"/>
      <c r="H584" s="209"/>
      <c r="I584" s="209"/>
      <c r="J584" s="300" t="b">
        <v>1</v>
      </c>
      <c r="K584" s="301" t="b">
        <v>0</v>
      </c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  <c r="AH584" s="209"/>
      <c r="AI584" s="209"/>
      <c r="AJ584" s="209"/>
    </row>
    <row r="585">
      <c r="A585" s="291"/>
      <c r="B585" s="376" t="s">
        <v>2609</v>
      </c>
      <c r="C585" s="377" t="s">
        <v>2607</v>
      </c>
      <c r="D585" s="304" t="s">
        <v>2610</v>
      </c>
      <c r="E585" s="395">
        <v>8.10115978527E11</v>
      </c>
      <c r="F585" s="209"/>
      <c r="G585" s="209"/>
      <c r="H585" s="209"/>
      <c r="I585" s="209"/>
      <c r="J585" s="300" t="b">
        <v>1</v>
      </c>
      <c r="K585" s="301" t="b">
        <v>0</v>
      </c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  <c r="AH585" s="209"/>
      <c r="AI585" s="209"/>
      <c r="AJ585" s="209"/>
    </row>
    <row r="586">
      <c r="A586" s="291"/>
      <c r="B586" s="376" t="s">
        <v>2611</v>
      </c>
      <c r="C586" s="377" t="s">
        <v>2607</v>
      </c>
      <c r="D586" s="304" t="s">
        <v>2612</v>
      </c>
      <c r="E586" s="395">
        <v>8.10115978534E11</v>
      </c>
      <c r="F586" s="209"/>
      <c r="G586" s="209"/>
      <c r="H586" s="209"/>
      <c r="I586" s="209"/>
      <c r="J586" s="300" t="b">
        <v>1</v>
      </c>
      <c r="K586" s="301" t="b">
        <v>0</v>
      </c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  <c r="AH586" s="209"/>
      <c r="AI586" s="209"/>
      <c r="AJ586" s="209"/>
    </row>
    <row r="587">
      <c r="A587" s="291"/>
      <c r="B587" s="376" t="s">
        <v>2613</v>
      </c>
      <c r="C587" s="377" t="s">
        <v>2607</v>
      </c>
      <c r="D587" s="304" t="s">
        <v>2614</v>
      </c>
      <c r="E587" s="395">
        <v>8.10115978541E11</v>
      </c>
      <c r="F587" s="209"/>
      <c r="G587" s="209"/>
      <c r="H587" s="209"/>
      <c r="I587" s="209"/>
      <c r="J587" s="300" t="b">
        <v>1</v>
      </c>
      <c r="K587" s="301" t="b">
        <v>0</v>
      </c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  <c r="AH587" s="209"/>
      <c r="AI587" s="209"/>
      <c r="AJ587" s="209"/>
    </row>
    <row r="588">
      <c r="A588" s="291"/>
      <c r="B588" s="376" t="s">
        <v>2615</v>
      </c>
      <c r="C588" s="377" t="s">
        <v>2607</v>
      </c>
      <c r="D588" s="304" t="s">
        <v>2616</v>
      </c>
      <c r="E588" s="395">
        <v>8.10115978558E11</v>
      </c>
      <c r="F588" s="209"/>
      <c r="G588" s="209"/>
      <c r="H588" s="209"/>
      <c r="I588" s="209"/>
      <c r="J588" s="300" t="b">
        <v>1</v>
      </c>
      <c r="K588" s="301" t="b">
        <v>0</v>
      </c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  <c r="AH588" s="209"/>
      <c r="AI588" s="209"/>
      <c r="AJ588" s="209"/>
    </row>
    <row r="589">
      <c r="A589" s="291"/>
      <c r="B589" s="377" t="s">
        <v>2617</v>
      </c>
      <c r="C589" s="377" t="s">
        <v>2607</v>
      </c>
      <c r="D589" s="304" t="s">
        <v>2618</v>
      </c>
      <c r="E589" s="395">
        <v>8.10115978565E11</v>
      </c>
      <c r="F589" s="209"/>
      <c r="G589" s="209"/>
      <c r="H589" s="209"/>
      <c r="I589" s="209"/>
      <c r="J589" s="300" t="b">
        <v>1</v>
      </c>
      <c r="K589" s="301" t="b">
        <v>0</v>
      </c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  <c r="AH589" s="209"/>
      <c r="AI589" s="209"/>
      <c r="AJ589" s="209"/>
    </row>
    <row r="590">
      <c r="A590" s="291"/>
      <c r="B590" s="354" t="s">
        <v>2619</v>
      </c>
      <c r="C590" s="377" t="s">
        <v>2607</v>
      </c>
      <c r="D590" s="304" t="s">
        <v>2620</v>
      </c>
      <c r="E590" s="305">
        <v>8.10115976073E11</v>
      </c>
      <c r="F590" s="325"/>
      <c r="G590" s="325"/>
      <c r="H590" s="325"/>
      <c r="I590" s="325"/>
      <c r="J590" s="300" t="b">
        <v>1</v>
      </c>
      <c r="K590" s="301" t="b">
        <v>0</v>
      </c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  <c r="AH590" s="209"/>
      <c r="AI590" s="209"/>
      <c r="AJ590" s="209"/>
    </row>
    <row r="591">
      <c r="A591" s="291"/>
      <c r="B591" s="303" t="s">
        <v>2621</v>
      </c>
      <c r="C591" s="377" t="s">
        <v>2607</v>
      </c>
      <c r="D591" s="304" t="s">
        <v>2622</v>
      </c>
      <c r="E591" s="375">
        <v>8.1011597608E11</v>
      </c>
      <c r="F591" s="325"/>
      <c r="G591" s="325"/>
      <c r="H591" s="325"/>
      <c r="I591" s="325"/>
      <c r="J591" s="300" t="b">
        <v>1</v>
      </c>
      <c r="K591" s="301" t="b">
        <v>0</v>
      </c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  <c r="AH591" s="209"/>
      <c r="AI591" s="209"/>
      <c r="AJ591" s="209"/>
    </row>
    <row r="592">
      <c r="A592" s="291"/>
      <c r="B592" s="303" t="s">
        <v>2623</v>
      </c>
      <c r="C592" s="377" t="s">
        <v>2607</v>
      </c>
      <c r="D592" s="304" t="s">
        <v>2624</v>
      </c>
      <c r="E592" s="375">
        <v>8.10115976097E11</v>
      </c>
      <c r="F592" s="325"/>
      <c r="G592" s="325"/>
      <c r="H592" s="325"/>
      <c r="I592" s="325"/>
      <c r="J592" s="300" t="b">
        <v>1</v>
      </c>
      <c r="K592" s="301" t="b">
        <v>0</v>
      </c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  <c r="AH592" s="209"/>
      <c r="AI592" s="209"/>
      <c r="AJ592" s="209"/>
    </row>
    <row r="593">
      <c r="A593" s="309"/>
      <c r="B593" s="310" t="s">
        <v>2625</v>
      </c>
      <c r="C593" s="379" t="s">
        <v>2607</v>
      </c>
      <c r="D593" s="311" t="s">
        <v>2626</v>
      </c>
      <c r="E593" s="380">
        <v>8.1011597611E11</v>
      </c>
      <c r="F593" s="331"/>
      <c r="G593" s="331"/>
      <c r="H593" s="331"/>
      <c r="I593" s="331"/>
      <c r="J593" s="350" t="b">
        <v>1</v>
      </c>
      <c r="K593" s="314" t="b">
        <v>0</v>
      </c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  <c r="AH593" s="209"/>
      <c r="AI593" s="209"/>
      <c r="AJ593" s="209"/>
    </row>
    <row r="594">
      <c r="A594" s="209"/>
      <c r="B594" s="209"/>
      <c r="C594" s="209"/>
      <c r="D594" s="209"/>
      <c r="E594" s="353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  <c r="AH594" s="209"/>
      <c r="AI594" s="209"/>
      <c r="AJ594" s="209"/>
    </row>
    <row r="595">
      <c r="A595" s="316" t="s">
        <v>2627</v>
      </c>
      <c r="B595" s="282" t="s">
        <v>2628</v>
      </c>
      <c r="C595" s="273"/>
      <c r="D595" s="274" t="s">
        <v>2629</v>
      </c>
      <c r="E595" s="411" t="s">
        <v>374</v>
      </c>
      <c r="F595" s="273"/>
      <c r="G595" s="273"/>
      <c r="H595" s="276" t="s">
        <v>900</v>
      </c>
      <c r="I595" s="276" t="s">
        <v>4163</v>
      </c>
      <c r="J595" s="278" t="str">
        <f>IF(COUNTIF(J596:J605, TRUE) = COUNTA(J596:J605), "Complete!", IF(COUNTIF(J596:J605, TRUE) &gt; 0, "Partial", "Not Started"))</f>
        <v>Complete!</v>
      </c>
      <c r="K595" s="279"/>
      <c r="L595" s="280">
        <v>10.0</v>
      </c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  <c r="AH595" s="209"/>
      <c r="AI595" s="209"/>
      <c r="AJ595" s="209"/>
    </row>
    <row r="596">
      <c r="A596" s="291"/>
      <c r="B596" s="292" t="s">
        <v>2631</v>
      </c>
      <c r="C596" s="293" t="s">
        <v>944</v>
      </c>
      <c r="D596" s="293" t="s">
        <v>2632</v>
      </c>
      <c r="E596" s="374">
        <v>8.40472501328E11</v>
      </c>
      <c r="F596" s="295"/>
      <c r="G596" s="295"/>
      <c r="H596" s="295"/>
      <c r="I596" s="351" t="s">
        <v>4164</v>
      </c>
      <c r="J596" s="296" t="b">
        <v>1</v>
      </c>
      <c r="K596" s="297" t="b">
        <v>0</v>
      </c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  <c r="AH596" s="209"/>
      <c r="AI596" s="209"/>
      <c r="AJ596" s="209"/>
    </row>
    <row r="597">
      <c r="A597" s="291"/>
      <c r="B597" s="303" t="s">
        <v>2633</v>
      </c>
      <c r="C597" s="304" t="s">
        <v>826</v>
      </c>
      <c r="D597" s="304" t="s">
        <v>2634</v>
      </c>
      <c r="E597" s="305">
        <v>8.40472501342E11</v>
      </c>
      <c r="F597" s="209"/>
      <c r="G597" s="209"/>
      <c r="H597" s="209"/>
      <c r="I597" s="413" t="s">
        <v>4164</v>
      </c>
      <c r="J597" s="300" t="b">
        <v>1</v>
      </c>
      <c r="K597" s="301" t="b">
        <v>0</v>
      </c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  <c r="AH597" s="209"/>
      <c r="AI597" s="209"/>
      <c r="AJ597" s="209"/>
    </row>
    <row r="598">
      <c r="A598" s="291"/>
      <c r="B598" s="354" t="s">
        <v>2635</v>
      </c>
      <c r="C598" s="304" t="s">
        <v>499</v>
      </c>
      <c r="D598" s="304" t="s">
        <v>2636</v>
      </c>
      <c r="E598" s="305">
        <v>8.40472501359E11</v>
      </c>
      <c r="F598" s="209"/>
      <c r="G598" s="209"/>
      <c r="H598" s="209"/>
      <c r="I598" s="413" t="s">
        <v>4164</v>
      </c>
      <c r="J598" s="300" t="b">
        <v>1</v>
      </c>
      <c r="K598" s="301" t="b">
        <v>0</v>
      </c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  <c r="AH598" s="209"/>
      <c r="AI598" s="209"/>
      <c r="AJ598" s="209"/>
    </row>
    <row r="599">
      <c r="A599" s="291"/>
      <c r="B599" s="303" t="s">
        <v>2637</v>
      </c>
      <c r="C599" s="304" t="s">
        <v>499</v>
      </c>
      <c r="D599" s="304" t="s">
        <v>2638</v>
      </c>
      <c r="E599" s="305">
        <v>8.40472501366E11</v>
      </c>
      <c r="F599" s="209"/>
      <c r="G599" s="209"/>
      <c r="H599" s="209"/>
      <c r="I599" s="413" t="s">
        <v>4164</v>
      </c>
      <c r="J599" s="300" t="b">
        <v>1</v>
      </c>
      <c r="K599" s="301" t="b">
        <v>0</v>
      </c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  <c r="AH599" s="209"/>
      <c r="AI599" s="209"/>
      <c r="AJ599" s="209"/>
    </row>
    <row r="600">
      <c r="A600" s="291"/>
      <c r="B600" s="303" t="s">
        <v>2639</v>
      </c>
      <c r="C600" s="304" t="s">
        <v>617</v>
      </c>
      <c r="D600" s="304" t="s">
        <v>2640</v>
      </c>
      <c r="E600" s="375" t="s">
        <v>2641</v>
      </c>
      <c r="F600" s="209"/>
      <c r="G600" s="209"/>
      <c r="H600" s="209"/>
      <c r="I600" s="413" t="s">
        <v>4164</v>
      </c>
      <c r="J600" s="300" t="b">
        <v>1</v>
      </c>
      <c r="K600" s="301" t="b">
        <v>0</v>
      </c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  <c r="AH600" s="209"/>
      <c r="AI600" s="209"/>
      <c r="AJ600" s="209"/>
    </row>
    <row r="601">
      <c r="A601" s="291"/>
      <c r="B601" s="303" t="s">
        <v>2642</v>
      </c>
      <c r="C601" s="304" t="s">
        <v>826</v>
      </c>
      <c r="D601" s="304" t="s">
        <v>2643</v>
      </c>
      <c r="E601" s="375" t="s">
        <v>2644</v>
      </c>
      <c r="F601" s="209"/>
      <c r="G601" s="209"/>
      <c r="H601" s="209"/>
      <c r="I601" s="413" t="s">
        <v>4164</v>
      </c>
      <c r="J601" s="300" t="b">
        <v>1</v>
      </c>
      <c r="K601" s="301" t="b">
        <v>0</v>
      </c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  <c r="AH601" s="209"/>
      <c r="AI601" s="209"/>
      <c r="AJ601" s="209"/>
    </row>
    <row r="602">
      <c r="A602" s="291"/>
      <c r="B602" s="303" t="s">
        <v>2645</v>
      </c>
      <c r="C602" s="304" t="s">
        <v>2646</v>
      </c>
      <c r="D602" s="304" t="s">
        <v>2647</v>
      </c>
      <c r="E602" s="305">
        <v>8.40472501304E11</v>
      </c>
      <c r="F602" s="209"/>
      <c r="G602" s="209"/>
      <c r="H602" s="209"/>
      <c r="I602" s="413" t="s">
        <v>4164</v>
      </c>
      <c r="J602" s="300" t="b">
        <v>1</v>
      </c>
      <c r="K602" s="301" t="b">
        <v>0</v>
      </c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  <c r="AH602" s="209"/>
      <c r="AI602" s="209"/>
      <c r="AJ602" s="209"/>
    </row>
    <row r="603">
      <c r="A603" s="291"/>
      <c r="B603" s="303" t="s">
        <v>2648</v>
      </c>
      <c r="C603" s="304" t="s">
        <v>2649</v>
      </c>
      <c r="D603" s="304" t="s">
        <v>2650</v>
      </c>
      <c r="E603" s="375" t="s">
        <v>2651</v>
      </c>
      <c r="F603" s="325"/>
      <c r="G603" s="325"/>
      <c r="H603" s="325"/>
      <c r="I603" s="325"/>
      <c r="J603" s="300" t="b">
        <v>1</v>
      </c>
      <c r="K603" s="301" t="b">
        <v>0</v>
      </c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  <c r="AH603" s="209"/>
      <c r="AI603" s="209"/>
      <c r="AJ603" s="209"/>
    </row>
    <row r="604">
      <c r="A604" s="291"/>
      <c r="B604" s="303" t="s">
        <v>2652</v>
      </c>
      <c r="C604" s="304" t="s">
        <v>437</v>
      </c>
      <c r="D604" s="304" t="s">
        <v>2653</v>
      </c>
      <c r="E604" s="375" t="s">
        <v>2654</v>
      </c>
      <c r="F604" s="325"/>
      <c r="G604" s="325"/>
      <c r="H604" s="325"/>
      <c r="I604" s="325"/>
      <c r="J604" s="300" t="b">
        <v>1</v>
      </c>
      <c r="K604" s="301" t="b">
        <v>0</v>
      </c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  <c r="AH604" s="209"/>
      <c r="AI604" s="209"/>
      <c r="AJ604" s="209"/>
    </row>
    <row r="605">
      <c r="A605" s="309"/>
      <c r="B605" s="310" t="s">
        <v>2655</v>
      </c>
      <c r="C605" s="311" t="s">
        <v>836</v>
      </c>
      <c r="D605" s="311" t="s">
        <v>2656</v>
      </c>
      <c r="E605" s="380" t="s">
        <v>2657</v>
      </c>
      <c r="F605" s="331"/>
      <c r="G605" s="331"/>
      <c r="H605" s="331"/>
      <c r="I605" s="331"/>
      <c r="J605" s="300" t="b">
        <v>1</v>
      </c>
      <c r="K605" s="314" t="b">
        <v>0</v>
      </c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  <c r="AH605" s="209"/>
      <c r="AI605" s="209"/>
      <c r="AJ605" s="209"/>
    </row>
    <row r="606">
      <c r="A606" s="209"/>
      <c r="B606" s="209"/>
      <c r="C606" s="209"/>
      <c r="D606" s="209"/>
      <c r="E606" s="209"/>
      <c r="F606" s="325"/>
      <c r="G606" s="325"/>
      <c r="H606" s="325"/>
      <c r="I606" s="325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  <c r="AH606" s="209"/>
      <c r="AI606" s="209"/>
      <c r="AJ606" s="209"/>
    </row>
    <row r="607">
      <c r="A607" s="316" t="s">
        <v>2658</v>
      </c>
      <c r="B607" s="282" t="s">
        <v>2659</v>
      </c>
      <c r="C607" s="273"/>
      <c r="D607" s="273"/>
      <c r="E607" s="275" t="s">
        <v>374</v>
      </c>
      <c r="F607" s="412"/>
      <c r="G607" s="412"/>
      <c r="H607" s="276" t="s">
        <v>370</v>
      </c>
      <c r="I607" s="363" t="s">
        <v>4165</v>
      </c>
      <c r="J607" s="278" t="str">
        <f>IF(COUNTIF(J608:J615, TRUE) = COUNTA(J608:J615), "Complete!", IF(COUNTIF(J608:J615, TRUE) &gt; 0, "Partial", "Not Started"))</f>
        <v>Complete!</v>
      </c>
      <c r="K607" s="279"/>
      <c r="L607" s="280">
        <v>8.0</v>
      </c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  <c r="AH607" s="209"/>
      <c r="AI607" s="209"/>
      <c r="AJ607" s="209"/>
    </row>
    <row r="608">
      <c r="A608" s="291"/>
      <c r="B608" s="292" t="s">
        <v>2661</v>
      </c>
      <c r="C608" s="293" t="s">
        <v>2662</v>
      </c>
      <c r="D608" s="293" t="s">
        <v>2663</v>
      </c>
      <c r="E608" s="294">
        <v>8.10115975076E11</v>
      </c>
      <c r="F608" s="328"/>
      <c r="G608" s="328"/>
      <c r="H608" s="328"/>
      <c r="I608" s="328"/>
      <c r="J608" s="296" t="b">
        <v>1</v>
      </c>
      <c r="K608" s="297" t="b">
        <v>0</v>
      </c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  <c r="AH608" s="209"/>
      <c r="AI608" s="209"/>
      <c r="AJ608" s="209"/>
    </row>
    <row r="609">
      <c r="A609" s="291"/>
      <c r="B609" s="303" t="s">
        <v>2664</v>
      </c>
      <c r="C609" s="304" t="s">
        <v>2665</v>
      </c>
      <c r="D609" s="304" t="s">
        <v>2666</v>
      </c>
      <c r="E609" s="305">
        <v>8.10115975083E11</v>
      </c>
      <c r="F609" s="209"/>
      <c r="G609" s="209"/>
      <c r="H609" s="209"/>
      <c r="I609" s="209"/>
      <c r="J609" s="300" t="b">
        <v>1</v>
      </c>
      <c r="K609" s="301" t="b">
        <v>0</v>
      </c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  <c r="AH609" s="209"/>
      <c r="AI609" s="209"/>
      <c r="AJ609" s="209"/>
    </row>
    <row r="610">
      <c r="A610" s="291"/>
      <c r="B610" s="303" t="s">
        <v>2667</v>
      </c>
      <c r="C610" s="304" t="s">
        <v>685</v>
      </c>
      <c r="D610" s="304" t="s">
        <v>2668</v>
      </c>
      <c r="E610" s="305">
        <v>8.40472501472E11</v>
      </c>
      <c r="F610" s="209"/>
      <c r="G610" s="209"/>
      <c r="H610" s="209"/>
      <c r="I610" s="413" t="s">
        <v>4164</v>
      </c>
      <c r="J610" s="300" t="b">
        <v>1</v>
      </c>
      <c r="K610" s="301" t="b">
        <v>0</v>
      </c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  <c r="AI610" s="209"/>
      <c r="AJ610" s="209"/>
    </row>
    <row r="611">
      <c r="A611" s="291"/>
      <c r="B611" s="303" t="s">
        <v>2669</v>
      </c>
      <c r="C611" s="304" t="s">
        <v>588</v>
      </c>
      <c r="D611" s="304" t="s">
        <v>2670</v>
      </c>
      <c r="E611" s="305">
        <v>8.40472501502E11</v>
      </c>
      <c r="F611" s="209"/>
      <c r="G611" s="209"/>
      <c r="H611" s="209"/>
      <c r="I611" s="413" t="s">
        <v>4164</v>
      </c>
      <c r="J611" s="300" t="b">
        <v>1</v>
      </c>
      <c r="K611" s="301" t="b">
        <v>0</v>
      </c>
      <c r="L611" s="209"/>
      <c r="M611" s="209"/>
      <c r="N611" s="209"/>
      <c r="O611" s="209"/>
      <c r="P611" s="209"/>
      <c r="Q611" s="353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  <c r="AI611" s="209"/>
      <c r="AJ611" s="209"/>
    </row>
    <row r="612">
      <c r="A612" s="291"/>
      <c r="B612" s="303" t="s">
        <v>2671</v>
      </c>
      <c r="C612" s="304" t="s">
        <v>668</v>
      </c>
      <c r="D612" s="304" t="s">
        <v>2672</v>
      </c>
      <c r="E612" s="305">
        <v>8.40472501434E11</v>
      </c>
      <c r="F612" s="209"/>
      <c r="G612" s="209"/>
      <c r="H612" s="209"/>
      <c r="I612" s="413" t="s">
        <v>4164</v>
      </c>
      <c r="J612" s="300" t="b">
        <v>1</v>
      </c>
      <c r="K612" s="301" t="b">
        <v>0</v>
      </c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  <c r="AI612" s="209"/>
      <c r="AJ612" s="209"/>
    </row>
    <row r="613">
      <c r="A613" s="291"/>
      <c r="B613" s="303" t="s">
        <v>2673</v>
      </c>
      <c r="C613" s="304" t="s">
        <v>659</v>
      </c>
      <c r="D613" s="304" t="s">
        <v>2674</v>
      </c>
      <c r="E613" s="305">
        <v>8.40472501441E11</v>
      </c>
      <c r="F613" s="209"/>
      <c r="G613" s="209"/>
      <c r="H613" s="209"/>
      <c r="I613" s="304" t="s">
        <v>4051</v>
      </c>
      <c r="J613" s="300" t="b">
        <v>1</v>
      </c>
      <c r="K613" s="301" t="b">
        <v>0</v>
      </c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  <c r="AI613" s="209"/>
      <c r="AJ613" s="209"/>
    </row>
    <row r="614">
      <c r="A614" s="291"/>
      <c r="B614" s="303" t="s">
        <v>2675</v>
      </c>
      <c r="C614" s="304" t="s">
        <v>745</v>
      </c>
      <c r="D614" s="209"/>
      <c r="E614" s="209"/>
      <c r="F614" s="209"/>
      <c r="G614" s="209"/>
      <c r="H614" s="209"/>
      <c r="I614" s="413" t="s">
        <v>4164</v>
      </c>
      <c r="J614" s="300" t="b">
        <v>1</v>
      </c>
      <c r="K614" s="301" t="b">
        <v>0</v>
      </c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  <c r="AI614" s="209"/>
      <c r="AJ614" s="209"/>
    </row>
    <row r="615">
      <c r="A615" s="291"/>
      <c r="B615" s="310" t="s">
        <v>2677</v>
      </c>
      <c r="C615" s="311" t="s">
        <v>390</v>
      </c>
      <c r="D615" s="311" t="s">
        <v>2678</v>
      </c>
      <c r="E615" s="380">
        <v>8.40472503957E11</v>
      </c>
      <c r="F615" s="313"/>
      <c r="G615" s="313"/>
      <c r="H615" s="313"/>
      <c r="I615" s="352" t="s">
        <v>4164</v>
      </c>
      <c r="J615" s="300" t="b">
        <v>1</v>
      </c>
      <c r="K615" s="314" t="b">
        <v>0</v>
      </c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  <c r="AI615" s="209"/>
      <c r="AJ615" s="209"/>
    </row>
    <row r="616">
      <c r="A616" s="209"/>
      <c r="B616" s="209"/>
      <c r="C616" s="209"/>
      <c r="D616" s="209"/>
      <c r="E616" s="353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  <c r="AI616" s="209"/>
      <c r="AJ616" s="209"/>
    </row>
    <row r="617">
      <c r="A617" s="316" t="s">
        <v>2679</v>
      </c>
      <c r="B617" s="319" t="s">
        <v>2680</v>
      </c>
      <c r="C617" s="320"/>
      <c r="D617" s="320"/>
      <c r="E617" s="322" t="s">
        <v>374</v>
      </c>
      <c r="F617" s="320"/>
      <c r="G617" s="320"/>
      <c r="H617" s="276" t="s">
        <v>563</v>
      </c>
      <c r="I617" s="285" t="s">
        <v>1959</v>
      </c>
      <c r="J617" s="333" t="str">
        <f>IF(COUNTIF(J618:J623, TRUE) = COUNTA(J618:J623), "Complete!", IF(COUNTIF(J618:J623, TRUE) &gt; 0, "Partial", "Not Started"))</f>
        <v>Not Started</v>
      </c>
      <c r="K617" s="334"/>
      <c r="L617" s="280">
        <v>6.0</v>
      </c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  <c r="AI617" s="209"/>
      <c r="AJ617" s="209"/>
    </row>
    <row r="618">
      <c r="A618" s="291"/>
      <c r="B618" s="303" t="s">
        <v>2682</v>
      </c>
      <c r="C618" s="304" t="s">
        <v>2683</v>
      </c>
      <c r="D618" s="304" t="s">
        <v>2684</v>
      </c>
      <c r="E618" s="375">
        <v>8.4047250141E11</v>
      </c>
      <c r="F618" s="325"/>
      <c r="G618" s="325"/>
      <c r="H618" s="325"/>
      <c r="I618" s="413" t="s">
        <v>4164</v>
      </c>
      <c r="J618" s="307" t="b">
        <v>0</v>
      </c>
      <c r="K618" s="301" t="b">
        <v>0</v>
      </c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  <c r="AI618" s="209"/>
      <c r="AJ618" s="209"/>
    </row>
    <row r="619">
      <c r="A619" s="291"/>
      <c r="B619" s="303" t="s">
        <v>2685</v>
      </c>
      <c r="C619" s="304" t="s">
        <v>736</v>
      </c>
      <c r="D619" s="304" t="s">
        <v>2686</v>
      </c>
      <c r="E619" s="375">
        <v>8.40472501403E11</v>
      </c>
      <c r="F619" s="325"/>
      <c r="G619" s="325"/>
      <c r="H619" s="325"/>
      <c r="I619" s="413" t="s">
        <v>4164</v>
      </c>
      <c r="J619" s="307" t="b">
        <v>0</v>
      </c>
      <c r="K619" s="301" t="b">
        <v>0</v>
      </c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  <c r="AI619" s="209"/>
      <c r="AJ619" s="209"/>
    </row>
    <row r="620">
      <c r="A620" s="291"/>
      <c r="B620" s="303" t="s">
        <v>2688</v>
      </c>
      <c r="C620" s="304" t="s">
        <v>2665</v>
      </c>
      <c r="D620" s="304" t="s">
        <v>2689</v>
      </c>
      <c r="E620" s="375">
        <v>8.40472501397E11</v>
      </c>
      <c r="F620" s="325"/>
      <c r="G620" s="325"/>
      <c r="H620" s="325"/>
      <c r="I620" s="413" t="s">
        <v>4164</v>
      </c>
      <c r="J620" s="307" t="b">
        <v>0</v>
      </c>
      <c r="K620" s="301" t="b">
        <v>0</v>
      </c>
      <c r="L620" s="209"/>
      <c r="M620" s="209"/>
      <c r="N620" s="209"/>
      <c r="O620" s="209"/>
      <c r="P620" s="209"/>
      <c r="Q620" s="353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  <c r="AI620" s="209"/>
      <c r="AJ620" s="209"/>
    </row>
    <row r="621">
      <c r="A621" s="291"/>
      <c r="B621" s="303" t="s">
        <v>2690</v>
      </c>
      <c r="C621" s="304" t="s">
        <v>2683</v>
      </c>
      <c r="D621" s="304" t="s">
        <v>2691</v>
      </c>
      <c r="E621" s="305">
        <v>8.40472503865E11</v>
      </c>
      <c r="F621" s="209"/>
      <c r="G621" s="209"/>
      <c r="H621" s="209"/>
      <c r="I621" s="413" t="s">
        <v>4164</v>
      </c>
      <c r="J621" s="307" t="b">
        <v>0</v>
      </c>
      <c r="K621" s="301" t="b">
        <v>0</v>
      </c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  <c r="AI621" s="209"/>
      <c r="AJ621" s="209"/>
    </row>
    <row r="622">
      <c r="A622" s="291"/>
      <c r="B622" s="303" t="s">
        <v>2692</v>
      </c>
      <c r="C622" s="304" t="s">
        <v>2665</v>
      </c>
      <c r="D622" s="304" t="s">
        <v>2693</v>
      </c>
      <c r="E622" s="375" t="s">
        <v>2694</v>
      </c>
      <c r="F622" s="325"/>
      <c r="G622" s="325"/>
      <c r="H622" s="325"/>
      <c r="I622" s="325"/>
      <c r="J622" s="307" t="b">
        <v>0</v>
      </c>
      <c r="K622" s="301" t="b">
        <v>0</v>
      </c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  <c r="AI622" s="209"/>
      <c r="AJ622" s="209"/>
    </row>
    <row r="623">
      <c r="A623" s="309"/>
      <c r="B623" s="310" t="s">
        <v>2695</v>
      </c>
      <c r="C623" s="311" t="s">
        <v>2696</v>
      </c>
      <c r="D623" s="311" t="s">
        <v>2697</v>
      </c>
      <c r="E623" s="380" t="s">
        <v>2698</v>
      </c>
      <c r="F623" s="331"/>
      <c r="G623" s="331"/>
      <c r="H623" s="331"/>
      <c r="I623" s="331"/>
      <c r="J623" s="318" t="b">
        <v>0</v>
      </c>
      <c r="K623" s="314" t="b">
        <v>0</v>
      </c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  <c r="AI623" s="209"/>
      <c r="AJ623" s="209"/>
    </row>
    <row r="624">
      <c r="A624" s="414"/>
      <c r="B624" s="365"/>
      <c r="C624" s="313"/>
      <c r="D624" s="313"/>
      <c r="E624" s="313"/>
      <c r="F624" s="398"/>
      <c r="G624" s="313"/>
      <c r="H624" s="313"/>
      <c r="I624" s="313"/>
      <c r="J624" s="313"/>
      <c r="K624" s="366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  <c r="AI624" s="209"/>
      <c r="AJ624" s="209"/>
    </row>
    <row r="625">
      <c r="A625" s="316" t="s">
        <v>2699</v>
      </c>
      <c r="B625" s="282" t="s">
        <v>2700</v>
      </c>
      <c r="C625" s="273"/>
      <c r="D625" s="273"/>
      <c r="E625" s="275" t="s">
        <v>374</v>
      </c>
      <c r="F625" s="415"/>
      <c r="G625" s="273"/>
      <c r="H625" s="276" t="s">
        <v>900</v>
      </c>
      <c r="I625" s="276" t="s">
        <v>4163</v>
      </c>
      <c r="J625" s="278" t="str">
        <f>IF(COUNTIF(J626:J635, TRUE) = COUNTA(J626:J635), "Complete!", IF(COUNTIF(J626:J635, TRUE) &gt; 0, "Partial", "Not Started"))</f>
        <v>Complete!</v>
      </c>
      <c r="K625" s="279"/>
      <c r="L625" s="280">
        <v>10.0</v>
      </c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  <c r="AI625" s="209"/>
      <c r="AJ625" s="209"/>
    </row>
    <row r="626">
      <c r="A626" s="291"/>
      <c r="B626" s="292" t="s">
        <v>2703</v>
      </c>
      <c r="C626" s="293" t="s">
        <v>2662</v>
      </c>
      <c r="D626" s="293" t="s">
        <v>2704</v>
      </c>
      <c r="E626" s="374">
        <v>8.4047250138E11</v>
      </c>
      <c r="F626" s="295"/>
      <c r="G626" s="295"/>
      <c r="H626" s="295"/>
      <c r="I626" s="293" t="s">
        <v>4166</v>
      </c>
      <c r="J626" s="296" t="b">
        <v>1</v>
      </c>
      <c r="K626" s="297" t="b">
        <v>0</v>
      </c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  <c r="AI626" s="209"/>
      <c r="AJ626" s="209"/>
    </row>
    <row r="627">
      <c r="A627" s="291"/>
      <c r="B627" s="303" t="s">
        <v>2705</v>
      </c>
      <c r="C627" s="304" t="s">
        <v>2662</v>
      </c>
      <c r="D627" s="304" t="s">
        <v>2706</v>
      </c>
      <c r="E627" s="305">
        <v>8.40472501373E11</v>
      </c>
      <c r="F627" s="209"/>
      <c r="G627" s="209"/>
      <c r="H627" s="209"/>
      <c r="I627" s="209"/>
      <c r="J627" s="300" t="b">
        <v>1</v>
      </c>
      <c r="K627" s="301" t="b">
        <v>0</v>
      </c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  <c r="AI627" s="209"/>
      <c r="AJ627" s="209"/>
    </row>
    <row r="628">
      <c r="A628" s="291"/>
      <c r="B628" s="303" t="s">
        <v>2707</v>
      </c>
      <c r="C628" s="304" t="s">
        <v>685</v>
      </c>
      <c r="D628" s="304" t="s">
        <v>2708</v>
      </c>
      <c r="E628" s="305">
        <v>8.40472501465E11</v>
      </c>
      <c r="F628" s="209"/>
      <c r="G628" s="209"/>
      <c r="H628" s="209"/>
      <c r="I628" s="209"/>
      <c r="J628" s="300" t="b">
        <v>1</v>
      </c>
      <c r="K628" s="301" t="b">
        <v>0</v>
      </c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  <c r="AI628" s="209"/>
      <c r="AJ628" s="209"/>
    </row>
    <row r="629">
      <c r="A629" s="291"/>
      <c r="B629" s="303" t="s">
        <v>2709</v>
      </c>
      <c r="C629" s="304" t="s">
        <v>588</v>
      </c>
      <c r="D629" s="304" t="s">
        <v>2710</v>
      </c>
      <c r="E629" s="305">
        <v>8.40472501496E11</v>
      </c>
      <c r="F629" s="209"/>
      <c r="G629" s="209"/>
      <c r="H629" s="209"/>
      <c r="I629" s="209"/>
      <c r="J629" s="300" t="b">
        <v>1</v>
      </c>
      <c r="K629" s="301" t="b">
        <v>0</v>
      </c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  <c r="AI629" s="209"/>
      <c r="AJ629" s="209"/>
    </row>
    <row r="630">
      <c r="A630" s="291"/>
      <c r="B630" s="303" t="s">
        <v>2711</v>
      </c>
      <c r="C630" s="304" t="s">
        <v>685</v>
      </c>
      <c r="D630" s="304" t="s">
        <v>2712</v>
      </c>
      <c r="E630" s="209"/>
      <c r="F630" s="209"/>
      <c r="G630" s="209"/>
      <c r="H630" s="209"/>
      <c r="I630" s="209"/>
      <c r="J630" s="300" t="b">
        <v>1</v>
      </c>
      <c r="K630" s="301" t="b">
        <v>0</v>
      </c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  <c r="AI630" s="209"/>
      <c r="AJ630" s="209"/>
    </row>
    <row r="631">
      <c r="A631" s="291"/>
      <c r="B631" s="303" t="s">
        <v>2713</v>
      </c>
      <c r="C631" s="304" t="s">
        <v>394</v>
      </c>
      <c r="D631" s="304" t="s">
        <v>2714</v>
      </c>
      <c r="E631" s="209"/>
      <c r="F631" s="209"/>
      <c r="G631" s="209"/>
      <c r="H631" s="209"/>
      <c r="I631" s="209"/>
      <c r="J631" s="300" t="b">
        <v>1</v>
      </c>
      <c r="K631" s="301" t="b">
        <v>0</v>
      </c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  <c r="AI631" s="209"/>
      <c r="AJ631" s="209"/>
    </row>
    <row r="632">
      <c r="A632" s="291"/>
      <c r="B632" s="303" t="s">
        <v>2715</v>
      </c>
      <c r="C632" s="304" t="s">
        <v>662</v>
      </c>
      <c r="D632" s="304" t="s">
        <v>2716</v>
      </c>
      <c r="E632" s="305">
        <v>8.40472501564E11</v>
      </c>
      <c r="F632" s="209"/>
      <c r="G632" s="209"/>
      <c r="H632" s="209"/>
      <c r="I632" s="209"/>
      <c r="J632" s="300" t="b">
        <v>1</v>
      </c>
      <c r="K632" s="301" t="b">
        <v>0</v>
      </c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  <c r="AI632" s="209"/>
      <c r="AJ632" s="209"/>
    </row>
    <row r="633">
      <c r="A633" s="291"/>
      <c r="B633" s="303" t="s">
        <v>2717</v>
      </c>
      <c r="C633" s="304" t="s">
        <v>394</v>
      </c>
      <c r="D633" s="304" t="s">
        <v>2718</v>
      </c>
      <c r="E633" s="305">
        <v>8.40472501533E11</v>
      </c>
      <c r="F633" s="209"/>
      <c r="G633" s="209"/>
      <c r="H633" s="209"/>
      <c r="I633" s="209"/>
      <c r="J633" s="300" t="b">
        <v>1</v>
      </c>
      <c r="K633" s="301" t="b">
        <v>0</v>
      </c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  <c r="AI633" s="209"/>
      <c r="AJ633" s="209"/>
    </row>
    <row r="634">
      <c r="A634" s="291"/>
      <c r="B634" s="303" t="s">
        <v>2719</v>
      </c>
      <c r="C634" s="304" t="s">
        <v>588</v>
      </c>
      <c r="D634" s="304" t="s">
        <v>2720</v>
      </c>
      <c r="E634" s="209"/>
      <c r="F634" s="209"/>
      <c r="G634" s="209"/>
      <c r="H634" s="209"/>
      <c r="I634" s="209"/>
      <c r="J634" s="300" t="b">
        <v>1</v>
      </c>
      <c r="K634" s="301" t="b">
        <v>0</v>
      </c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  <c r="AI634" s="209"/>
      <c r="AJ634" s="209"/>
    </row>
    <row r="635">
      <c r="A635" s="309"/>
      <c r="B635" s="310" t="s">
        <v>2721</v>
      </c>
      <c r="C635" s="311" t="s">
        <v>662</v>
      </c>
      <c r="D635" s="311" t="s">
        <v>2722</v>
      </c>
      <c r="E635" s="398"/>
      <c r="F635" s="331"/>
      <c r="G635" s="331"/>
      <c r="H635" s="331"/>
      <c r="I635" s="313"/>
      <c r="J635" s="300" t="b">
        <v>1</v>
      </c>
      <c r="K635" s="314" t="b">
        <v>0</v>
      </c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209"/>
      <c r="AJ635" s="209"/>
    </row>
    <row r="636">
      <c r="A636" s="209"/>
      <c r="B636" s="209"/>
      <c r="C636" s="209"/>
      <c r="D636" s="209"/>
      <c r="E636" s="353"/>
      <c r="F636" s="325"/>
      <c r="G636" s="325"/>
      <c r="H636" s="325"/>
      <c r="I636" s="325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  <c r="AI636" s="209"/>
      <c r="AJ636" s="209"/>
    </row>
    <row r="637">
      <c r="A637" s="316" t="s">
        <v>2723</v>
      </c>
      <c r="B637" s="282" t="s">
        <v>2724</v>
      </c>
      <c r="C637" s="273"/>
      <c r="D637" s="273"/>
      <c r="E637" s="275" t="s">
        <v>374</v>
      </c>
      <c r="F637" s="415"/>
      <c r="G637" s="273"/>
      <c r="H637" s="276" t="s">
        <v>572</v>
      </c>
      <c r="I637" s="276" t="s">
        <v>3052</v>
      </c>
      <c r="J637" s="278" t="str">
        <f>IF(COUNTIF(J638:J645, TRUE) = COUNTA(J638:J645), "Complete!", IF(COUNTIF(J638:J645, TRUE) &gt; 0, "Partial", "Not Started"))</f>
        <v>Complete!</v>
      </c>
      <c r="K637" s="279"/>
      <c r="L637" s="280">
        <v>8.0</v>
      </c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  <c r="AI637" s="209"/>
      <c r="AJ637" s="209"/>
    </row>
    <row r="638">
      <c r="A638" s="291"/>
      <c r="B638" s="292" t="s">
        <v>2727</v>
      </c>
      <c r="C638" s="293" t="s">
        <v>2728</v>
      </c>
      <c r="D638" s="293" t="s">
        <v>2729</v>
      </c>
      <c r="E638" s="294">
        <v>8.40472501427E11</v>
      </c>
      <c r="F638" s="416"/>
      <c r="G638" s="295"/>
      <c r="H638" s="295"/>
      <c r="I638" s="293" t="s">
        <v>4164</v>
      </c>
      <c r="J638" s="296" t="b">
        <v>1</v>
      </c>
      <c r="K638" s="297" t="b">
        <v>0</v>
      </c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  <c r="AI638" s="209"/>
      <c r="AJ638" s="209"/>
    </row>
    <row r="639">
      <c r="A639" s="291"/>
      <c r="B639" s="303" t="s">
        <v>2730</v>
      </c>
      <c r="C639" s="304" t="s">
        <v>542</v>
      </c>
      <c r="D639" s="304" t="s">
        <v>2731</v>
      </c>
      <c r="E639" s="305">
        <v>8.40472503964E11</v>
      </c>
      <c r="F639" s="209"/>
      <c r="G639" s="209"/>
      <c r="H639" s="209"/>
      <c r="I639" s="304" t="s">
        <v>4164</v>
      </c>
      <c r="J639" s="300" t="b">
        <v>1</v>
      </c>
      <c r="K639" s="301" t="b">
        <v>0</v>
      </c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  <c r="AI639" s="209"/>
      <c r="AJ639" s="209"/>
    </row>
    <row r="640">
      <c r="A640" s="291"/>
      <c r="B640" s="303" t="s">
        <v>2732</v>
      </c>
      <c r="C640" s="304" t="s">
        <v>595</v>
      </c>
      <c r="D640" s="304" t="s">
        <v>2733</v>
      </c>
      <c r="E640" s="305">
        <v>8.40472503971E11</v>
      </c>
      <c r="F640" s="209"/>
      <c r="G640" s="209"/>
      <c r="H640" s="209"/>
      <c r="I640" s="304" t="s">
        <v>4164</v>
      </c>
      <c r="J640" s="300" t="b">
        <v>1</v>
      </c>
      <c r="K640" s="301" t="b">
        <v>0</v>
      </c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  <c r="AI640" s="209"/>
      <c r="AJ640" s="209"/>
    </row>
    <row r="641">
      <c r="A641" s="291"/>
      <c r="B641" s="303" t="s">
        <v>2734</v>
      </c>
      <c r="C641" s="304" t="s">
        <v>2735</v>
      </c>
      <c r="D641" s="304" t="s">
        <v>2736</v>
      </c>
      <c r="E641" s="305">
        <v>8.40472503995E11</v>
      </c>
      <c r="F641" s="209"/>
      <c r="G641" s="209"/>
      <c r="H641" s="209"/>
      <c r="I641" s="304" t="s">
        <v>4164</v>
      </c>
      <c r="J641" s="300" t="b">
        <v>1</v>
      </c>
      <c r="K641" s="301" t="b">
        <v>0</v>
      </c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  <c r="AI641" s="209"/>
      <c r="AJ641" s="209"/>
    </row>
    <row r="642">
      <c r="A642" s="291"/>
      <c r="B642" s="417" t="s">
        <v>2737</v>
      </c>
      <c r="C642" s="209"/>
      <c r="D642" s="304" t="s">
        <v>2739</v>
      </c>
      <c r="E642" s="209"/>
      <c r="F642" s="209"/>
      <c r="G642" s="209"/>
      <c r="H642" s="209"/>
      <c r="I642" s="304" t="s">
        <v>4164</v>
      </c>
      <c r="J642" s="300" t="b">
        <v>1</v>
      </c>
      <c r="K642" s="301" t="b">
        <v>0</v>
      </c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  <c r="AI642" s="209"/>
      <c r="AJ642" s="209"/>
    </row>
    <row r="643">
      <c r="A643" s="291"/>
      <c r="B643" s="303" t="s">
        <v>2740</v>
      </c>
      <c r="C643" s="304" t="s">
        <v>736</v>
      </c>
      <c r="D643" s="304" t="s">
        <v>2741</v>
      </c>
      <c r="E643" s="305">
        <v>8.1011597509E11</v>
      </c>
      <c r="F643" s="209"/>
      <c r="G643" s="209"/>
      <c r="H643" s="209"/>
      <c r="I643" s="209"/>
      <c r="J643" s="300" t="b">
        <v>1</v>
      </c>
      <c r="K643" s="301" t="b">
        <v>0</v>
      </c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  <c r="AI643" s="209"/>
      <c r="AJ643" s="209"/>
    </row>
    <row r="644">
      <c r="A644" s="291"/>
      <c r="B644" s="303" t="s">
        <v>2742</v>
      </c>
      <c r="C644" s="304" t="s">
        <v>782</v>
      </c>
      <c r="D644" s="304" t="s">
        <v>2743</v>
      </c>
      <c r="E644" s="305">
        <v>8.40472503988E11</v>
      </c>
      <c r="F644" s="209"/>
      <c r="G644" s="209"/>
      <c r="H644" s="209"/>
      <c r="I644" s="304" t="s">
        <v>4164</v>
      </c>
      <c r="J644" s="300" t="b">
        <v>1</v>
      </c>
      <c r="K644" s="301" t="b">
        <v>0</v>
      </c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  <c r="AI644" s="209"/>
      <c r="AJ644" s="209"/>
    </row>
    <row r="645">
      <c r="A645" s="291"/>
      <c r="B645" s="310" t="s">
        <v>2744</v>
      </c>
      <c r="C645" s="311" t="s">
        <v>972</v>
      </c>
      <c r="D645" s="311" t="s">
        <v>2745</v>
      </c>
      <c r="E645" s="313"/>
      <c r="F645" s="313"/>
      <c r="G645" s="313"/>
      <c r="H645" s="313"/>
      <c r="I645" s="313"/>
      <c r="J645" s="300" t="b">
        <v>1</v>
      </c>
      <c r="K645" s="314" t="b">
        <v>0</v>
      </c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  <c r="AI645" s="209"/>
      <c r="AJ645" s="209"/>
    </row>
    <row r="646">
      <c r="A646" s="418"/>
      <c r="B646" s="419"/>
      <c r="C646" s="209"/>
      <c r="D646" s="209"/>
      <c r="E646" s="209"/>
      <c r="F646" s="353"/>
      <c r="G646" s="209"/>
      <c r="H646" s="209"/>
      <c r="I646" s="209"/>
      <c r="J646" s="209"/>
      <c r="K646" s="390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  <c r="AI646" s="209"/>
      <c r="AJ646" s="209"/>
    </row>
    <row r="647">
      <c r="A647" s="316" t="s">
        <v>2746</v>
      </c>
      <c r="B647" s="282" t="s">
        <v>2747</v>
      </c>
      <c r="C647" s="273"/>
      <c r="D647" s="273"/>
      <c r="E647" s="275" t="s">
        <v>374</v>
      </c>
      <c r="F647" s="415"/>
      <c r="G647" s="273"/>
      <c r="H647" s="276" t="s">
        <v>370</v>
      </c>
      <c r="I647" s="276" t="s">
        <v>4167</v>
      </c>
      <c r="J647" s="278" t="str">
        <f>IF(COUNTIF(J648:J655, TRUE) = COUNTA(J648:J655), "Complete!", IF(COUNTIF(J648:J655, TRUE) &gt; 0, "Partial", "Not Started"))</f>
        <v>Complete!</v>
      </c>
      <c r="K647" s="279"/>
      <c r="L647" s="280">
        <v>8.0</v>
      </c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  <c r="AI647" s="209"/>
      <c r="AJ647" s="209"/>
    </row>
    <row r="648">
      <c r="A648" s="291"/>
      <c r="B648" s="292" t="s">
        <v>2750</v>
      </c>
      <c r="C648" s="293" t="s">
        <v>662</v>
      </c>
      <c r="D648" s="293" t="s">
        <v>2751</v>
      </c>
      <c r="E648" s="294">
        <v>8.40472501571E11</v>
      </c>
      <c r="F648" s="295"/>
      <c r="G648" s="295"/>
      <c r="H648" s="295"/>
      <c r="I648" s="293" t="s">
        <v>4164</v>
      </c>
      <c r="J648" s="296" t="b">
        <v>1</v>
      </c>
      <c r="K648" s="297" t="b">
        <v>0</v>
      </c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  <c r="AI648" s="209"/>
      <c r="AJ648" s="209"/>
    </row>
    <row r="649">
      <c r="A649" s="291"/>
      <c r="B649" s="303" t="s">
        <v>2752</v>
      </c>
      <c r="C649" s="304" t="s">
        <v>2683</v>
      </c>
      <c r="D649" s="304" t="s">
        <v>2753</v>
      </c>
      <c r="E649" s="305">
        <v>8.10115975106E11</v>
      </c>
      <c r="F649" s="209"/>
      <c r="G649" s="209"/>
      <c r="H649" s="209"/>
      <c r="I649" s="209"/>
      <c r="J649" s="296" t="b">
        <v>1</v>
      </c>
      <c r="K649" s="301" t="b">
        <v>0</v>
      </c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  <c r="AI649" s="209"/>
      <c r="AJ649" s="209"/>
    </row>
    <row r="650">
      <c r="A650" s="291"/>
      <c r="B650" s="303" t="s">
        <v>2754</v>
      </c>
      <c r="C650" s="304" t="s">
        <v>826</v>
      </c>
      <c r="D650" s="304" t="s">
        <v>2755</v>
      </c>
      <c r="E650" s="209"/>
      <c r="F650" s="209"/>
      <c r="G650" s="209"/>
      <c r="H650" s="209"/>
      <c r="I650" s="209"/>
      <c r="J650" s="296" t="b">
        <v>1</v>
      </c>
      <c r="K650" s="301" t="b">
        <v>0</v>
      </c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  <c r="AI650" s="209"/>
      <c r="AJ650" s="209"/>
    </row>
    <row r="651">
      <c r="A651" s="291"/>
      <c r="B651" s="303" t="s">
        <v>4168</v>
      </c>
      <c r="C651" s="304" t="s">
        <v>400</v>
      </c>
      <c r="D651" s="304" t="s">
        <v>4169</v>
      </c>
      <c r="E651" s="305">
        <v>8.40472503919E11</v>
      </c>
      <c r="F651" s="304" t="s">
        <v>1062</v>
      </c>
      <c r="G651" s="209"/>
      <c r="H651" s="209"/>
      <c r="I651" s="209"/>
      <c r="J651" s="296" t="b">
        <v>1</v>
      </c>
      <c r="K651" s="301" t="b">
        <v>0</v>
      </c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  <c r="AI651" s="209"/>
      <c r="AJ651" s="209"/>
    </row>
    <row r="652">
      <c r="A652" s="291"/>
      <c r="B652" s="303" t="s">
        <v>2758</v>
      </c>
      <c r="C652" s="304" t="s">
        <v>394</v>
      </c>
      <c r="D652" s="304" t="s">
        <v>2759</v>
      </c>
      <c r="E652" s="305">
        <v>8.4047250154E11</v>
      </c>
      <c r="F652" s="353"/>
      <c r="G652" s="209"/>
      <c r="H652" s="209"/>
      <c r="I652" s="304" t="s">
        <v>4164</v>
      </c>
      <c r="J652" s="296" t="b">
        <v>1</v>
      </c>
      <c r="K652" s="301" t="b">
        <v>0</v>
      </c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  <c r="AI652" s="209"/>
      <c r="AJ652" s="209"/>
    </row>
    <row r="653">
      <c r="A653" s="291"/>
      <c r="B653" s="303" t="s">
        <v>2760</v>
      </c>
      <c r="C653" s="304" t="s">
        <v>2761</v>
      </c>
      <c r="D653" s="304" t="s">
        <v>2762</v>
      </c>
      <c r="E653" s="209"/>
      <c r="F653" s="209"/>
      <c r="G653" s="209"/>
      <c r="H653" s="209"/>
      <c r="I653" s="209"/>
      <c r="J653" s="296" t="b">
        <v>1</v>
      </c>
      <c r="K653" s="301" t="b">
        <v>0</v>
      </c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  <c r="AI653" s="209"/>
      <c r="AJ653" s="209"/>
    </row>
    <row r="654">
      <c r="A654" s="291"/>
      <c r="B654" s="303" t="s">
        <v>2763</v>
      </c>
      <c r="C654" s="304" t="s">
        <v>617</v>
      </c>
      <c r="D654" s="304" t="s">
        <v>2764</v>
      </c>
      <c r="E654" s="209"/>
      <c r="F654" s="209"/>
      <c r="G654" s="209"/>
      <c r="H654" s="209"/>
      <c r="I654" s="209"/>
      <c r="J654" s="296" t="b">
        <v>1</v>
      </c>
      <c r="K654" s="301" t="b">
        <v>0</v>
      </c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  <c r="AI654" s="209"/>
      <c r="AJ654" s="209"/>
    </row>
    <row r="655">
      <c r="A655" s="291"/>
      <c r="B655" s="310" t="s">
        <v>2765</v>
      </c>
      <c r="C655" s="311" t="s">
        <v>944</v>
      </c>
      <c r="D655" s="311" t="s">
        <v>2766</v>
      </c>
      <c r="E655" s="313"/>
      <c r="F655" s="313"/>
      <c r="G655" s="313"/>
      <c r="H655" s="313"/>
      <c r="I655" s="313"/>
      <c r="J655" s="296" t="b">
        <v>1</v>
      </c>
      <c r="K655" s="314" t="b">
        <v>0</v>
      </c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  <c r="AI655" s="209"/>
      <c r="AJ655" s="209"/>
    </row>
    <row r="656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  <c r="AI656" s="209"/>
      <c r="AJ656" s="209"/>
    </row>
    <row r="657">
      <c r="A657" s="316" t="s">
        <v>2767</v>
      </c>
      <c r="B657" s="282" t="s">
        <v>2768</v>
      </c>
      <c r="C657" s="273"/>
      <c r="D657" s="273"/>
      <c r="E657" s="275" t="s">
        <v>374</v>
      </c>
      <c r="F657" s="415"/>
      <c r="G657" s="273"/>
      <c r="H657" s="276" t="s">
        <v>2770</v>
      </c>
      <c r="I657" s="276" t="s">
        <v>1848</v>
      </c>
      <c r="J657" s="278" t="str">
        <f>IF(COUNTIF(J658:J665, TRUE) = COUNTA(J658:J665), "Complete!", IF(COUNTIF(J658:J665, TRUE) &gt; 0, "Partial", "Not Started"))</f>
        <v>Complete!</v>
      </c>
      <c r="K657" s="279"/>
      <c r="L657" s="280">
        <v>8.0</v>
      </c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  <c r="AI657" s="209"/>
      <c r="AJ657" s="209"/>
    </row>
    <row r="658">
      <c r="A658" s="291"/>
      <c r="B658" s="292" t="s">
        <v>2771</v>
      </c>
      <c r="C658" s="293" t="s">
        <v>2761</v>
      </c>
      <c r="D658" s="293" t="s">
        <v>2772</v>
      </c>
      <c r="E658" s="294">
        <v>8.40472503834E11</v>
      </c>
      <c r="F658" s="295"/>
      <c r="G658" s="295"/>
      <c r="H658" s="295"/>
      <c r="I658" s="293" t="s">
        <v>4166</v>
      </c>
      <c r="J658" s="296" t="b">
        <v>1</v>
      </c>
      <c r="K658" s="297" t="b">
        <v>0</v>
      </c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  <c r="AI658" s="209"/>
      <c r="AJ658" s="209"/>
    </row>
    <row r="659">
      <c r="A659" s="291"/>
      <c r="B659" s="303" t="s">
        <v>2773</v>
      </c>
      <c r="C659" s="304" t="s">
        <v>617</v>
      </c>
      <c r="D659" s="304" t="s">
        <v>2774</v>
      </c>
      <c r="E659" s="305">
        <v>8.40472503841E11</v>
      </c>
      <c r="F659" s="209"/>
      <c r="G659" s="209"/>
      <c r="H659" s="209"/>
      <c r="I659" s="209"/>
      <c r="J659" s="300" t="b">
        <v>1</v>
      </c>
      <c r="K659" s="301" t="b">
        <v>0</v>
      </c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  <c r="AI659" s="209"/>
      <c r="AJ659" s="209"/>
    </row>
    <row r="660">
      <c r="A660" s="291"/>
      <c r="B660" s="303" t="s">
        <v>2775</v>
      </c>
      <c r="C660" s="304" t="s">
        <v>944</v>
      </c>
      <c r="D660" s="304" t="s">
        <v>2776</v>
      </c>
      <c r="E660" s="305">
        <v>8.40472503858E11</v>
      </c>
      <c r="F660" s="353"/>
      <c r="G660" s="209"/>
      <c r="H660" s="209"/>
      <c r="I660" s="209"/>
      <c r="J660" s="300" t="b">
        <v>1</v>
      </c>
      <c r="K660" s="301" t="b">
        <v>0</v>
      </c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  <c r="AI660" s="209"/>
      <c r="AJ660" s="209"/>
    </row>
    <row r="661">
      <c r="A661" s="291"/>
      <c r="B661" s="303" t="s">
        <v>2777</v>
      </c>
      <c r="C661" s="304" t="s">
        <v>400</v>
      </c>
      <c r="D661" s="304" t="s">
        <v>2778</v>
      </c>
      <c r="E661" s="305">
        <v>8.40472503872E11</v>
      </c>
      <c r="F661" s="209"/>
      <c r="G661" s="209"/>
      <c r="H661" s="209"/>
      <c r="I661" s="209"/>
      <c r="J661" s="300" t="b">
        <v>1</v>
      </c>
      <c r="K661" s="301" t="b">
        <v>0</v>
      </c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  <c r="AI661" s="209"/>
      <c r="AJ661" s="209"/>
    </row>
    <row r="662">
      <c r="A662" s="291"/>
      <c r="B662" s="303" t="s">
        <v>4170</v>
      </c>
      <c r="C662" s="304" t="s">
        <v>400</v>
      </c>
      <c r="D662" s="304" t="s">
        <v>4171</v>
      </c>
      <c r="E662" s="305">
        <v>8.40472503896E11</v>
      </c>
      <c r="F662" s="304" t="s">
        <v>1062</v>
      </c>
      <c r="G662" s="209"/>
      <c r="H662" s="209"/>
      <c r="I662" s="209"/>
      <c r="J662" s="300" t="b">
        <v>1</v>
      </c>
      <c r="K662" s="301" t="b">
        <v>0</v>
      </c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  <c r="AI662" s="209"/>
      <c r="AJ662" s="209"/>
    </row>
    <row r="663">
      <c r="A663" s="291"/>
      <c r="B663" s="303" t="s">
        <v>4172</v>
      </c>
      <c r="C663" s="304" t="s">
        <v>400</v>
      </c>
      <c r="D663" s="304" t="s">
        <v>4173</v>
      </c>
      <c r="E663" s="305">
        <v>8.40472503933E11</v>
      </c>
      <c r="F663" s="304" t="s">
        <v>1062</v>
      </c>
      <c r="G663" s="209"/>
      <c r="H663" s="209"/>
      <c r="I663" s="209"/>
      <c r="J663" s="300" t="b">
        <v>1</v>
      </c>
      <c r="K663" s="301" t="b">
        <v>0</v>
      </c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  <c r="AI663" s="209"/>
      <c r="AJ663" s="209"/>
    </row>
    <row r="664">
      <c r="A664" s="291"/>
      <c r="B664" s="303" t="s">
        <v>2783</v>
      </c>
      <c r="C664" s="304" t="s">
        <v>400</v>
      </c>
      <c r="D664" s="304" t="s">
        <v>2784</v>
      </c>
      <c r="E664" s="305">
        <v>8.40472503889E11</v>
      </c>
      <c r="F664" s="209"/>
      <c r="G664" s="209"/>
      <c r="H664" s="209"/>
      <c r="I664" s="209"/>
      <c r="J664" s="300" t="b">
        <v>1</v>
      </c>
      <c r="K664" s="301" t="b">
        <v>0</v>
      </c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  <c r="AI664" s="209"/>
      <c r="AJ664" s="209"/>
    </row>
    <row r="665">
      <c r="A665" s="309"/>
      <c r="B665" s="310" t="s">
        <v>4174</v>
      </c>
      <c r="C665" s="311" t="s">
        <v>400</v>
      </c>
      <c r="D665" s="311" t="s">
        <v>4175</v>
      </c>
      <c r="E665" s="313"/>
      <c r="F665" s="311" t="s">
        <v>1062</v>
      </c>
      <c r="G665" s="313"/>
      <c r="H665" s="313"/>
      <c r="I665" s="313"/>
      <c r="J665" s="300" t="b">
        <v>1</v>
      </c>
      <c r="K665" s="314" t="b">
        <v>0</v>
      </c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  <c r="AI665" s="209"/>
      <c r="AJ665" s="209"/>
    </row>
    <row r="666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  <c r="AI666" s="209"/>
      <c r="AJ666" s="209"/>
    </row>
    <row r="667">
      <c r="A667" s="316" t="s">
        <v>2787</v>
      </c>
      <c r="B667" s="319" t="s">
        <v>2788</v>
      </c>
      <c r="C667" s="320"/>
      <c r="D667" s="283" t="s">
        <v>2789</v>
      </c>
      <c r="E667" s="322" t="s">
        <v>1067</v>
      </c>
      <c r="F667" s="320"/>
      <c r="G667" s="320"/>
      <c r="H667" s="285" t="s">
        <v>4176</v>
      </c>
      <c r="I667" s="285" t="s">
        <v>3346</v>
      </c>
      <c r="J667" s="278" t="str">
        <f>IF(COUNTIF(J668:J670, TRUE) = COUNTA(J668:J670), "Complete!", IF(COUNTIF(J668:J670, TRUE) &gt; 0, "Partial", "Not Started"))</f>
        <v>Complete!</v>
      </c>
      <c r="K667" s="279"/>
      <c r="L667" s="280">
        <v>3.0</v>
      </c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  <c r="AI667" s="209"/>
      <c r="AJ667" s="209"/>
    </row>
    <row r="668">
      <c r="A668" s="291"/>
      <c r="B668" s="292" t="s">
        <v>2791</v>
      </c>
      <c r="C668" s="293" t="s">
        <v>944</v>
      </c>
      <c r="D668" s="304" t="s">
        <v>2792</v>
      </c>
      <c r="E668" s="374" t="s">
        <v>2793</v>
      </c>
      <c r="F668" s="353"/>
      <c r="G668" s="209"/>
      <c r="H668" s="209"/>
      <c r="I668" s="209"/>
      <c r="J668" s="300" t="b">
        <v>1</v>
      </c>
      <c r="K668" s="301" t="b">
        <v>0</v>
      </c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  <c r="AI668" s="209"/>
      <c r="AJ668" s="209"/>
    </row>
    <row r="669">
      <c r="A669" s="291"/>
      <c r="B669" s="303" t="s">
        <v>2794</v>
      </c>
      <c r="C669" s="304" t="s">
        <v>726</v>
      </c>
      <c r="D669" s="304" t="s">
        <v>2795</v>
      </c>
      <c r="E669" s="375" t="s">
        <v>2796</v>
      </c>
      <c r="F669" s="209"/>
      <c r="G669" s="209"/>
      <c r="H669" s="209"/>
      <c r="I669" s="209"/>
      <c r="J669" s="300" t="b">
        <v>1</v>
      </c>
      <c r="K669" s="301" t="b">
        <v>0</v>
      </c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  <c r="AI669" s="209"/>
      <c r="AJ669" s="209"/>
    </row>
    <row r="670">
      <c r="A670" s="309"/>
      <c r="B670" s="310" t="s">
        <v>2797</v>
      </c>
      <c r="C670" s="311" t="s">
        <v>736</v>
      </c>
      <c r="D670" s="311" t="s">
        <v>2798</v>
      </c>
      <c r="E670" s="380" t="s">
        <v>2799</v>
      </c>
      <c r="F670" s="313"/>
      <c r="G670" s="313"/>
      <c r="H670" s="313"/>
      <c r="I670" s="313"/>
      <c r="J670" s="318" t="b">
        <v>1</v>
      </c>
      <c r="K670" s="381" t="b">
        <v>0</v>
      </c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  <c r="AI670" s="209"/>
      <c r="AJ670" s="209"/>
    </row>
    <row r="67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  <c r="AI671" s="209"/>
      <c r="AJ671" s="209"/>
    </row>
    <row r="672">
      <c r="A672" s="316" t="s">
        <v>2800</v>
      </c>
      <c r="B672" s="282" t="s">
        <v>2801</v>
      </c>
      <c r="C672" s="273"/>
      <c r="D672" s="274" t="s">
        <v>2802</v>
      </c>
      <c r="E672" s="275" t="s">
        <v>1067</v>
      </c>
      <c r="F672" s="273"/>
      <c r="G672" s="273"/>
      <c r="H672" s="276" t="s">
        <v>468</v>
      </c>
      <c r="I672" s="276" t="s">
        <v>4056</v>
      </c>
      <c r="J672" s="278" t="str">
        <f>IF(COUNTIF(J673:J679, TRUE) = COUNTA(J673:J679), "Complete!", IF(COUNTIF(J673:J679, TRUE) &gt; 0, "Partial", "Not Started"))</f>
        <v>Complete!</v>
      </c>
      <c r="K672" s="279"/>
      <c r="L672" s="280">
        <v>7.0</v>
      </c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  <c r="AH672" s="209"/>
      <c r="AI672" s="209"/>
      <c r="AJ672" s="209"/>
    </row>
    <row r="673">
      <c r="A673" s="291"/>
      <c r="B673" s="408" t="s">
        <v>2805</v>
      </c>
      <c r="C673" s="409" t="s">
        <v>400</v>
      </c>
      <c r="D673" s="293" t="s">
        <v>2806</v>
      </c>
      <c r="E673" s="421">
        <v>8.10115978619E11</v>
      </c>
      <c r="F673" s="295"/>
      <c r="G673" s="295"/>
      <c r="H673" s="295"/>
      <c r="I673" s="295"/>
      <c r="J673" s="296" t="b">
        <v>1</v>
      </c>
      <c r="K673" s="297" t="b">
        <v>0</v>
      </c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  <c r="AH673" s="209"/>
      <c r="AI673" s="209"/>
      <c r="AJ673" s="209"/>
    </row>
    <row r="674">
      <c r="A674" s="291"/>
      <c r="B674" s="376" t="s">
        <v>2807</v>
      </c>
      <c r="C674" s="377" t="s">
        <v>400</v>
      </c>
      <c r="D674" s="304" t="s">
        <v>2808</v>
      </c>
      <c r="E674" s="395">
        <v>8.10115978589E11</v>
      </c>
      <c r="F674" s="209"/>
      <c r="G674" s="209"/>
      <c r="H674" s="209"/>
      <c r="I674" s="209"/>
      <c r="J674" s="300" t="b">
        <v>1</v>
      </c>
      <c r="K674" s="301" t="b">
        <v>0</v>
      </c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  <c r="AH674" s="209"/>
      <c r="AI674" s="209"/>
      <c r="AJ674" s="209"/>
    </row>
    <row r="675">
      <c r="A675" s="291"/>
      <c r="B675" s="376" t="s">
        <v>2809</v>
      </c>
      <c r="C675" s="377" t="s">
        <v>400</v>
      </c>
      <c r="D675" s="304" t="s">
        <v>2810</v>
      </c>
      <c r="E675" s="395">
        <v>8.10115978602E11</v>
      </c>
      <c r="F675" s="353"/>
      <c r="G675" s="209"/>
      <c r="H675" s="209"/>
      <c r="I675" s="209"/>
      <c r="J675" s="300" t="b">
        <v>1</v>
      </c>
      <c r="K675" s="301" t="b">
        <v>0</v>
      </c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  <c r="AH675" s="209"/>
      <c r="AI675" s="209"/>
      <c r="AJ675" s="209"/>
    </row>
    <row r="676">
      <c r="A676" s="291"/>
      <c r="B676" s="376" t="s">
        <v>2811</v>
      </c>
      <c r="C676" s="377" t="s">
        <v>400</v>
      </c>
      <c r="D676" s="304" t="s">
        <v>2812</v>
      </c>
      <c r="E676" s="395">
        <v>8.10115978596E11</v>
      </c>
      <c r="F676" s="209"/>
      <c r="G676" s="209"/>
      <c r="H676" s="209"/>
      <c r="I676" s="209"/>
      <c r="J676" s="300" t="b">
        <v>1</v>
      </c>
      <c r="K676" s="301" t="b">
        <v>0</v>
      </c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  <c r="AI676" s="209"/>
      <c r="AJ676" s="209"/>
    </row>
    <row r="677">
      <c r="A677" s="291"/>
      <c r="B677" s="303" t="s">
        <v>2813</v>
      </c>
      <c r="C677" s="377" t="s">
        <v>400</v>
      </c>
      <c r="D677" s="304" t="s">
        <v>2814</v>
      </c>
      <c r="E677" s="305">
        <v>8.40472501908E11</v>
      </c>
      <c r="F677" s="209"/>
      <c r="G677" s="209"/>
      <c r="H677" s="209"/>
      <c r="I677" s="209"/>
      <c r="J677" s="300" t="b">
        <v>1</v>
      </c>
      <c r="K677" s="301" t="b">
        <v>0</v>
      </c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  <c r="AI677" s="209"/>
      <c r="AJ677" s="209"/>
    </row>
    <row r="678">
      <c r="A678" s="291"/>
      <c r="B678" s="303" t="s">
        <v>2815</v>
      </c>
      <c r="C678" s="377" t="s">
        <v>400</v>
      </c>
      <c r="D678" s="304" t="s">
        <v>2816</v>
      </c>
      <c r="E678" s="305">
        <v>8.40472501915E11</v>
      </c>
      <c r="F678" s="209"/>
      <c r="G678" s="209"/>
      <c r="H678" s="209"/>
      <c r="I678" s="209"/>
      <c r="J678" s="300" t="b">
        <v>1</v>
      </c>
      <c r="K678" s="301" t="b">
        <v>0</v>
      </c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  <c r="AI678" s="209"/>
      <c r="AJ678" s="209"/>
    </row>
    <row r="679">
      <c r="A679" s="309"/>
      <c r="B679" s="310" t="s">
        <v>2817</v>
      </c>
      <c r="C679" s="379" t="s">
        <v>400</v>
      </c>
      <c r="D679" s="311" t="s">
        <v>2818</v>
      </c>
      <c r="E679" s="312">
        <v>8.40472502974E11</v>
      </c>
      <c r="F679" s="313"/>
      <c r="G679" s="313"/>
      <c r="H679" s="313"/>
      <c r="I679" s="313"/>
      <c r="J679" s="300" t="b">
        <v>1</v>
      </c>
      <c r="K679" s="314" t="b">
        <v>0</v>
      </c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  <c r="AI679" s="209"/>
      <c r="AJ679" s="209"/>
    </row>
    <row r="680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  <c r="AI680" s="209"/>
      <c r="AJ680" s="209"/>
    </row>
    <row r="681">
      <c r="A681" s="316" t="s">
        <v>2819</v>
      </c>
      <c r="B681" s="319" t="s">
        <v>2820</v>
      </c>
      <c r="C681" s="320"/>
      <c r="D681" s="283" t="s">
        <v>2821</v>
      </c>
      <c r="E681" s="322" t="s">
        <v>1067</v>
      </c>
      <c r="F681" s="320"/>
      <c r="G681" s="320"/>
      <c r="H681" s="276" t="s">
        <v>1796</v>
      </c>
      <c r="I681" s="285" t="s">
        <v>3251</v>
      </c>
      <c r="J681" s="278" t="str">
        <f>IF(COUNTIF(J682:J686, TRUE) = COUNTA(J682:J686), "Complete!", IF(COUNTIF(J682:J686, TRUE) &gt; 0, "Partial", "Not Started"))</f>
        <v>Complete!</v>
      </c>
      <c r="K681" s="279"/>
      <c r="L681" s="280">
        <v>5.0</v>
      </c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  <c r="AI681" s="209"/>
      <c r="AJ681" s="209"/>
    </row>
    <row r="682">
      <c r="A682" s="291"/>
      <c r="B682" s="292" t="s">
        <v>2822</v>
      </c>
      <c r="C682" s="293" t="s">
        <v>400</v>
      </c>
      <c r="D682" s="293" t="s">
        <v>2823</v>
      </c>
      <c r="E682" s="294">
        <v>8.40472504022E11</v>
      </c>
      <c r="F682" s="295"/>
      <c r="G682" s="295"/>
      <c r="H682" s="295"/>
      <c r="I682" s="293" t="s">
        <v>4164</v>
      </c>
      <c r="J682" s="296" t="b">
        <v>1</v>
      </c>
      <c r="K682" s="297" t="b">
        <v>0</v>
      </c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  <c r="AI682" s="209"/>
      <c r="AJ682" s="209"/>
    </row>
    <row r="683">
      <c r="A683" s="291"/>
      <c r="B683" s="354" t="s">
        <v>2824</v>
      </c>
      <c r="C683" s="304" t="s">
        <v>400</v>
      </c>
      <c r="D683" s="304" t="s">
        <v>2825</v>
      </c>
      <c r="E683" s="209"/>
      <c r="F683" s="209"/>
      <c r="G683" s="209"/>
      <c r="H683" s="209"/>
      <c r="I683" s="209"/>
      <c r="J683" s="300" t="b">
        <v>1</v>
      </c>
      <c r="K683" s="301" t="b">
        <v>0</v>
      </c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  <c r="AI683" s="209"/>
      <c r="AJ683" s="209"/>
    </row>
    <row r="684">
      <c r="A684" s="291"/>
      <c r="B684" s="303" t="s">
        <v>2826</v>
      </c>
      <c r="C684" s="304" t="s">
        <v>400</v>
      </c>
      <c r="D684" s="304" t="s">
        <v>2827</v>
      </c>
      <c r="E684" s="375">
        <v>8.40472504008E11</v>
      </c>
      <c r="F684" s="209"/>
      <c r="G684" s="209"/>
      <c r="H684" s="209"/>
      <c r="I684" s="304" t="s">
        <v>4164</v>
      </c>
      <c r="J684" s="300" t="b">
        <v>1</v>
      </c>
      <c r="K684" s="301" t="b">
        <v>0</v>
      </c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  <c r="AI684" s="209"/>
      <c r="AJ684" s="209"/>
    </row>
    <row r="685">
      <c r="A685" s="291"/>
      <c r="B685" s="303" t="s">
        <v>2828</v>
      </c>
      <c r="C685" s="304" t="s">
        <v>400</v>
      </c>
      <c r="D685" s="304" t="s">
        <v>2829</v>
      </c>
      <c r="E685" s="375">
        <v>8.40472504015E11</v>
      </c>
      <c r="F685" s="209"/>
      <c r="G685" s="209"/>
      <c r="H685" s="209"/>
      <c r="I685" s="304" t="s">
        <v>4164</v>
      </c>
      <c r="J685" s="300" t="b">
        <v>1</v>
      </c>
      <c r="K685" s="301" t="b">
        <v>0</v>
      </c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</row>
    <row r="686">
      <c r="A686" s="309"/>
      <c r="B686" s="310" t="s">
        <v>2830</v>
      </c>
      <c r="C686" s="311" t="s">
        <v>400</v>
      </c>
      <c r="D686" s="311" t="s">
        <v>2831</v>
      </c>
      <c r="E686" s="380">
        <v>8.40472504039E11</v>
      </c>
      <c r="F686" s="313"/>
      <c r="G686" s="313"/>
      <c r="H686" s="313"/>
      <c r="I686" s="311" t="s">
        <v>4164</v>
      </c>
      <c r="J686" s="350" t="b">
        <v>1</v>
      </c>
      <c r="K686" s="314" t="b">
        <v>0</v>
      </c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  <c r="AI686" s="209"/>
      <c r="AJ686" s="209"/>
    </row>
    <row r="687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  <c r="AI687" s="209"/>
      <c r="AJ687" s="209"/>
    </row>
    <row r="688">
      <c r="A688" s="316" t="s">
        <v>2832</v>
      </c>
      <c r="B688" s="319" t="s">
        <v>2833</v>
      </c>
      <c r="C688" s="320"/>
      <c r="D688" s="283" t="s">
        <v>2834</v>
      </c>
      <c r="E688" s="322" t="s">
        <v>2835</v>
      </c>
      <c r="F688" s="320"/>
      <c r="G688" s="320"/>
      <c r="H688" s="285" t="s">
        <v>888</v>
      </c>
      <c r="I688" s="285" t="s">
        <v>889</v>
      </c>
      <c r="J688" s="278" t="str">
        <f>IF(COUNTIF(J689:J693, TRUE) = COUNTA(J689:J693), "Complete!", IF(COUNTIF(J689:J693, TRUE) &gt; 0, "Partial", "Not Started"))</f>
        <v>Complete!</v>
      </c>
      <c r="K688" s="279"/>
      <c r="L688" s="280">
        <v>5.0</v>
      </c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  <c r="AI688" s="209"/>
      <c r="AJ688" s="209"/>
    </row>
    <row r="689">
      <c r="A689" s="291"/>
      <c r="B689" s="292" t="s">
        <v>2836</v>
      </c>
      <c r="C689" s="295"/>
      <c r="D689" s="293" t="s">
        <v>2837</v>
      </c>
      <c r="E689" s="294">
        <v>8.4047250378E11</v>
      </c>
      <c r="F689" s="295"/>
      <c r="G689" s="295"/>
      <c r="H689" s="295"/>
      <c r="I689" s="295"/>
      <c r="J689" s="296" t="b">
        <v>1</v>
      </c>
      <c r="K689" s="297" t="b">
        <v>0</v>
      </c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  <c r="AI689" s="209"/>
      <c r="AJ689" s="209"/>
    </row>
    <row r="690">
      <c r="A690" s="291"/>
      <c r="B690" s="303" t="s">
        <v>2838</v>
      </c>
      <c r="C690" s="209"/>
      <c r="D690" s="304" t="s">
        <v>2839</v>
      </c>
      <c r="E690" s="305">
        <v>8.40472503797E11</v>
      </c>
      <c r="F690" s="209"/>
      <c r="G690" s="209"/>
      <c r="H690" s="209"/>
      <c r="I690" s="209"/>
      <c r="J690" s="300" t="b">
        <v>1</v>
      </c>
      <c r="K690" s="301" t="b">
        <v>0</v>
      </c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  <c r="AI690" s="209"/>
      <c r="AJ690" s="209"/>
    </row>
    <row r="691">
      <c r="A691" s="291"/>
      <c r="B691" s="303" t="s">
        <v>2840</v>
      </c>
      <c r="C691" s="209"/>
      <c r="D691" s="304" t="s">
        <v>2841</v>
      </c>
      <c r="E691" s="305">
        <v>8.40472503803E11</v>
      </c>
      <c r="F691" s="209"/>
      <c r="G691" s="209"/>
      <c r="H691" s="209"/>
      <c r="I691" s="209"/>
      <c r="J691" s="300" t="b">
        <v>1</v>
      </c>
      <c r="K691" s="301" t="b">
        <v>0</v>
      </c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  <c r="AI691" s="209"/>
      <c r="AJ691" s="209"/>
    </row>
    <row r="692">
      <c r="A692" s="291"/>
      <c r="B692" s="303" t="s">
        <v>2842</v>
      </c>
      <c r="C692" s="209"/>
      <c r="D692" s="304" t="s">
        <v>2843</v>
      </c>
      <c r="E692" s="305">
        <v>8.4047250381E11</v>
      </c>
      <c r="F692" s="209"/>
      <c r="G692" s="209"/>
      <c r="H692" s="209"/>
      <c r="I692" s="209"/>
      <c r="J692" s="300" t="b">
        <v>1</v>
      </c>
      <c r="K692" s="301" t="b">
        <v>0</v>
      </c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  <c r="AI692" s="209"/>
      <c r="AJ692" s="209"/>
    </row>
    <row r="693">
      <c r="A693" s="309"/>
      <c r="B693" s="310" t="s">
        <v>2845</v>
      </c>
      <c r="C693" s="313"/>
      <c r="D693" s="311" t="s">
        <v>2847</v>
      </c>
      <c r="E693" s="312">
        <v>8.40472503827E11</v>
      </c>
      <c r="F693" s="313"/>
      <c r="G693" s="313"/>
      <c r="H693" s="313"/>
      <c r="I693" s="313"/>
      <c r="J693" s="350" t="b">
        <v>1</v>
      </c>
      <c r="K693" s="314" t="b">
        <v>0</v>
      </c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  <c r="AI693" s="209"/>
      <c r="AJ693" s="209"/>
    </row>
    <row r="694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  <c r="AI694" s="209"/>
      <c r="AJ694" s="209"/>
    </row>
    <row r="695">
      <c r="A695" s="316" t="s">
        <v>2848</v>
      </c>
      <c r="B695" s="319" t="s">
        <v>2849</v>
      </c>
      <c r="C695" s="320"/>
      <c r="D695" s="283" t="s">
        <v>2850</v>
      </c>
      <c r="E695" s="322" t="s">
        <v>116</v>
      </c>
      <c r="F695" s="320"/>
      <c r="G695" s="320"/>
      <c r="H695" s="276" t="s">
        <v>376</v>
      </c>
      <c r="I695" s="285" t="s">
        <v>4177</v>
      </c>
      <c r="J695" s="278" t="str">
        <f>IF(COUNTIF(J696:J727, TRUE) = COUNTA(J696:J727), "Complete!", IF(COUNTIF(J696:J727, TRUE) &gt; 0, "Partial", "Not Started"))</f>
        <v>Complete!</v>
      </c>
      <c r="K695" s="279"/>
      <c r="L695" s="280">
        <v>32.0</v>
      </c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</row>
    <row r="696">
      <c r="A696" s="291"/>
      <c r="B696" s="377" t="s">
        <v>2852</v>
      </c>
      <c r="C696" s="377" t="s">
        <v>659</v>
      </c>
      <c r="D696" s="304" t="s">
        <v>2853</v>
      </c>
      <c r="E696" s="305">
        <v>8.10115975267E11</v>
      </c>
      <c r="F696" s="209"/>
      <c r="G696" s="209"/>
      <c r="H696" s="209"/>
      <c r="I696" s="304" t="s">
        <v>2849</v>
      </c>
      <c r="J696" s="300" t="b">
        <v>1</v>
      </c>
      <c r="K696" s="301" t="b">
        <v>0</v>
      </c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  <c r="AI696" s="209"/>
      <c r="AJ696" s="209"/>
    </row>
    <row r="697">
      <c r="A697" s="291"/>
      <c r="B697" s="304" t="s">
        <v>2854</v>
      </c>
      <c r="C697" s="304" t="s">
        <v>659</v>
      </c>
      <c r="D697" s="304" t="s">
        <v>2855</v>
      </c>
      <c r="E697" s="305">
        <v>8.10115975274E11</v>
      </c>
      <c r="F697" s="209"/>
      <c r="G697" s="209"/>
      <c r="H697" s="209"/>
      <c r="I697" s="304" t="s">
        <v>2849</v>
      </c>
      <c r="J697" s="300" t="b">
        <v>1</v>
      </c>
      <c r="K697" s="301" t="b">
        <v>0</v>
      </c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  <c r="AI697" s="209"/>
      <c r="AJ697" s="209"/>
    </row>
    <row r="698">
      <c r="A698" s="291"/>
      <c r="B698" s="304" t="s">
        <v>2856</v>
      </c>
      <c r="C698" s="410" t="s">
        <v>659</v>
      </c>
      <c r="D698" s="304" t="s">
        <v>2857</v>
      </c>
      <c r="E698" s="305">
        <v>8.10115975564E11</v>
      </c>
      <c r="F698" s="209"/>
      <c r="G698" s="209"/>
      <c r="H698" s="209"/>
      <c r="I698" s="304" t="s">
        <v>2849</v>
      </c>
      <c r="J698" s="300" t="b">
        <v>1</v>
      </c>
      <c r="K698" s="301" t="b">
        <v>0</v>
      </c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  <c r="AI698" s="209"/>
      <c r="AJ698" s="209"/>
    </row>
    <row r="699">
      <c r="A699" s="291"/>
      <c r="B699" s="304" t="s">
        <v>2858</v>
      </c>
      <c r="C699" s="410" t="s">
        <v>659</v>
      </c>
      <c r="D699" s="304" t="s">
        <v>2859</v>
      </c>
      <c r="E699" s="305">
        <v>8.10115975281E11</v>
      </c>
      <c r="F699" s="209"/>
      <c r="G699" s="209"/>
      <c r="H699" s="209"/>
      <c r="I699" s="304" t="s">
        <v>2849</v>
      </c>
      <c r="J699" s="300" t="b">
        <v>1</v>
      </c>
      <c r="K699" s="301" t="b">
        <v>0</v>
      </c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  <c r="AI699" s="209"/>
      <c r="AJ699" s="209"/>
    </row>
    <row r="700">
      <c r="A700" s="291"/>
      <c r="B700" s="304" t="s">
        <v>2860</v>
      </c>
      <c r="C700" s="304" t="s">
        <v>2861</v>
      </c>
      <c r="D700" s="304" t="s">
        <v>2862</v>
      </c>
      <c r="E700" s="305">
        <v>8.10115974567E11</v>
      </c>
      <c r="F700" s="209"/>
      <c r="G700" s="209"/>
      <c r="H700" s="209"/>
      <c r="I700" s="209"/>
      <c r="J700" s="300" t="b">
        <v>1</v>
      </c>
      <c r="K700" s="301" t="b">
        <v>0</v>
      </c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</row>
    <row r="701">
      <c r="A701" s="291"/>
      <c r="B701" s="304" t="s">
        <v>2863</v>
      </c>
      <c r="C701" s="304" t="s">
        <v>2861</v>
      </c>
      <c r="D701" s="304" t="s">
        <v>2864</v>
      </c>
      <c r="E701" s="375" t="s">
        <v>2865</v>
      </c>
      <c r="F701" s="209"/>
      <c r="G701" s="209"/>
      <c r="H701" s="209"/>
      <c r="I701" s="209"/>
      <c r="J701" s="300" t="b">
        <v>1</v>
      </c>
      <c r="K701" s="301" t="b">
        <v>0</v>
      </c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  <c r="AI701" s="209"/>
      <c r="AJ701" s="209"/>
    </row>
    <row r="702">
      <c r="A702" s="291"/>
      <c r="B702" s="304" t="s">
        <v>2866</v>
      </c>
      <c r="C702" s="304" t="s">
        <v>2861</v>
      </c>
      <c r="D702" s="304" t="s">
        <v>2867</v>
      </c>
      <c r="E702" s="375" t="s">
        <v>2868</v>
      </c>
      <c r="F702" s="209"/>
      <c r="G702" s="209"/>
      <c r="H702" s="209"/>
      <c r="I702" s="209"/>
      <c r="J702" s="300" t="b">
        <v>1</v>
      </c>
      <c r="K702" s="301" t="b">
        <v>0</v>
      </c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  <c r="AI702" s="209"/>
      <c r="AJ702" s="209"/>
    </row>
    <row r="703">
      <c r="A703" s="291"/>
      <c r="B703" s="304" t="s">
        <v>2869</v>
      </c>
      <c r="C703" s="304" t="s">
        <v>2861</v>
      </c>
      <c r="D703" s="304" t="s">
        <v>2870</v>
      </c>
      <c r="E703" s="305">
        <v>8.10115974581E11</v>
      </c>
      <c r="F703" s="209"/>
      <c r="G703" s="209"/>
      <c r="H703" s="209"/>
      <c r="I703" s="209"/>
      <c r="J703" s="300" t="b">
        <v>1</v>
      </c>
      <c r="K703" s="301" t="b">
        <v>0</v>
      </c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  <c r="AI703" s="209"/>
      <c r="AJ703" s="209"/>
    </row>
    <row r="704">
      <c r="A704" s="291"/>
      <c r="B704" s="377" t="s">
        <v>2871</v>
      </c>
      <c r="C704" s="377" t="s">
        <v>813</v>
      </c>
      <c r="D704" s="304" t="s">
        <v>2872</v>
      </c>
      <c r="E704" s="305">
        <v>8.10115975113E11</v>
      </c>
      <c r="F704" s="209"/>
      <c r="G704" s="209"/>
      <c r="H704" s="209"/>
      <c r="I704" s="209"/>
      <c r="J704" s="300" t="b">
        <v>1</v>
      </c>
      <c r="K704" s="301" t="b">
        <v>0</v>
      </c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  <c r="AI704" s="209"/>
      <c r="AJ704" s="209"/>
    </row>
    <row r="705">
      <c r="A705" s="291"/>
      <c r="B705" s="304" t="s">
        <v>2873</v>
      </c>
      <c r="C705" s="377" t="s">
        <v>813</v>
      </c>
      <c r="D705" s="304" t="s">
        <v>2874</v>
      </c>
      <c r="E705" s="305">
        <v>8.1011597512E11</v>
      </c>
      <c r="F705" s="209"/>
      <c r="G705" s="209"/>
      <c r="H705" s="209"/>
      <c r="I705" s="209"/>
      <c r="J705" s="300" t="b">
        <v>1</v>
      </c>
      <c r="K705" s="301" t="b">
        <v>0</v>
      </c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</row>
    <row r="706">
      <c r="A706" s="291"/>
      <c r="B706" s="304" t="s">
        <v>2875</v>
      </c>
      <c r="C706" s="377" t="s">
        <v>813</v>
      </c>
      <c r="D706" s="304" t="s">
        <v>2876</v>
      </c>
      <c r="E706" s="305">
        <v>8.10115975519E11</v>
      </c>
      <c r="F706" s="209"/>
      <c r="G706" s="209"/>
      <c r="H706" s="209"/>
      <c r="I706" s="209"/>
      <c r="J706" s="300" t="b">
        <v>1</v>
      </c>
      <c r="K706" s="301" t="b">
        <v>0</v>
      </c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  <c r="AI706" s="209"/>
      <c r="AJ706" s="209"/>
    </row>
    <row r="707">
      <c r="A707" s="291"/>
      <c r="B707" s="304" t="s">
        <v>2877</v>
      </c>
      <c r="C707" s="377" t="s">
        <v>813</v>
      </c>
      <c r="D707" s="304" t="s">
        <v>2878</v>
      </c>
      <c r="E707" s="305">
        <v>8.10115975137E11</v>
      </c>
      <c r="F707" s="209"/>
      <c r="G707" s="209"/>
      <c r="H707" s="209"/>
      <c r="I707" s="209"/>
      <c r="J707" s="300" t="b">
        <v>1</v>
      </c>
      <c r="K707" s="301" t="b">
        <v>0</v>
      </c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  <c r="AI707" s="209"/>
      <c r="AJ707" s="209"/>
    </row>
    <row r="708">
      <c r="A708" s="291"/>
      <c r="B708" s="377" t="s">
        <v>2879</v>
      </c>
      <c r="C708" s="377" t="s">
        <v>2880</v>
      </c>
      <c r="D708" s="304" t="s">
        <v>2881</v>
      </c>
      <c r="E708" s="305">
        <v>8.10115974659E11</v>
      </c>
      <c r="F708" s="209"/>
      <c r="G708" s="209"/>
      <c r="H708" s="209"/>
      <c r="I708" s="209"/>
      <c r="J708" s="300" t="b">
        <v>1</v>
      </c>
      <c r="K708" s="301" t="b">
        <v>0</v>
      </c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  <c r="AI708" s="209"/>
      <c r="AJ708" s="209"/>
    </row>
    <row r="709">
      <c r="A709" s="291"/>
      <c r="B709" s="304" t="s">
        <v>2882</v>
      </c>
      <c r="C709" s="410" t="s">
        <v>2880</v>
      </c>
      <c r="D709" s="304" t="s">
        <v>2883</v>
      </c>
      <c r="E709" s="305">
        <v>8.10115974666E11</v>
      </c>
      <c r="F709" s="209"/>
      <c r="G709" s="209"/>
      <c r="H709" s="209"/>
      <c r="I709" s="209"/>
      <c r="J709" s="300" t="b">
        <v>1</v>
      </c>
      <c r="K709" s="301" t="b">
        <v>0</v>
      </c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  <c r="AI709" s="209"/>
      <c r="AJ709" s="209"/>
    </row>
    <row r="710">
      <c r="A710" s="291"/>
      <c r="B710" s="304" t="s">
        <v>2884</v>
      </c>
      <c r="C710" s="410" t="s">
        <v>2880</v>
      </c>
      <c r="D710" s="304" t="s">
        <v>2885</v>
      </c>
      <c r="E710" s="305">
        <v>8.10115975373E11</v>
      </c>
      <c r="F710" s="209"/>
      <c r="G710" s="209"/>
      <c r="H710" s="209"/>
      <c r="I710" s="304" t="s">
        <v>2849</v>
      </c>
      <c r="J710" s="300" t="b">
        <v>1</v>
      </c>
      <c r="K710" s="301" t="b">
        <v>0</v>
      </c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</row>
    <row r="711">
      <c r="A711" s="291"/>
      <c r="B711" s="422" t="s">
        <v>2886</v>
      </c>
      <c r="C711" s="410" t="s">
        <v>2880</v>
      </c>
      <c r="D711" s="304" t="s">
        <v>2887</v>
      </c>
      <c r="E711" s="305">
        <v>8.10115974673E11</v>
      </c>
      <c r="F711" s="209"/>
      <c r="G711" s="209"/>
      <c r="H711" s="209"/>
      <c r="I711" s="209"/>
      <c r="J711" s="300" t="b">
        <v>1</v>
      </c>
      <c r="K711" s="301" t="b">
        <v>0</v>
      </c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  <c r="AI711" s="209"/>
      <c r="AJ711" s="209"/>
    </row>
    <row r="712">
      <c r="A712" s="291"/>
      <c r="B712" s="377" t="s">
        <v>2888</v>
      </c>
      <c r="C712" s="377" t="s">
        <v>2889</v>
      </c>
      <c r="D712" s="304" t="s">
        <v>2890</v>
      </c>
      <c r="E712" s="305">
        <v>8.1011597864E11</v>
      </c>
      <c r="F712" s="209"/>
      <c r="G712" s="209"/>
      <c r="H712" s="209"/>
      <c r="I712" s="304" t="s">
        <v>2849</v>
      </c>
      <c r="J712" s="300" t="b">
        <v>1</v>
      </c>
      <c r="K712" s="301" t="b">
        <v>0</v>
      </c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  <c r="AI712" s="209"/>
      <c r="AJ712" s="209"/>
    </row>
    <row r="713">
      <c r="A713" s="291"/>
      <c r="B713" s="377" t="s">
        <v>2891</v>
      </c>
      <c r="C713" s="410" t="s">
        <v>2889</v>
      </c>
      <c r="D713" s="304" t="s">
        <v>2892</v>
      </c>
      <c r="E713" s="395">
        <v>8.10115978756E11</v>
      </c>
      <c r="F713" s="209"/>
      <c r="G713" s="209"/>
      <c r="H713" s="209"/>
      <c r="I713" s="209"/>
      <c r="J713" s="300" t="b">
        <v>1</v>
      </c>
      <c r="K713" s="301" t="b">
        <v>0</v>
      </c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  <c r="AI713" s="209"/>
      <c r="AJ713" s="209"/>
    </row>
    <row r="714">
      <c r="A714" s="291"/>
      <c r="B714" s="304" t="s">
        <v>2893</v>
      </c>
      <c r="C714" s="410" t="s">
        <v>2889</v>
      </c>
      <c r="D714" s="304" t="s">
        <v>2894</v>
      </c>
      <c r="E714" s="305">
        <v>8.1011597707E11</v>
      </c>
      <c r="F714" s="209"/>
      <c r="G714" s="209"/>
      <c r="H714" s="209"/>
      <c r="I714" s="209"/>
      <c r="J714" s="300" t="b">
        <v>1</v>
      </c>
      <c r="K714" s="301" t="b">
        <v>0</v>
      </c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  <c r="AI714" s="209"/>
      <c r="AJ714" s="209"/>
    </row>
    <row r="715">
      <c r="A715" s="291"/>
      <c r="B715" s="377" t="s">
        <v>2895</v>
      </c>
      <c r="C715" s="410" t="s">
        <v>2889</v>
      </c>
      <c r="D715" s="304" t="s">
        <v>2896</v>
      </c>
      <c r="E715" s="395">
        <v>8.10115978657E11</v>
      </c>
      <c r="F715" s="209"/>
      <c r="G715" s="209"/>
      <c r="H715" s="209"/>
      <c r="I715" s="209"/>
      <c r="J715" s="300" t="b">
        <v>1</v>
      </c>
      <c r="K715" s="301" t="b">
        <v>0</v>
      </c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  <c r="AI715" s="209"/>
      <c r="AJ715" s="209"/>
    </row>
    <row r="716">
      <c r="A716" s="291"/>
      <c r="B716" s="377" t="s">
        <v>2897</v>
      </c>
      <c r="C716" s="410" t="s">
        <v>775</v>
      </c>
      <c r="D716" s="304" t="s">
        <v>2898</v>
      </c>
      <c r="E716" s="305">
        <v>8.10115978664E11</v>
      </c>
      <c r="F716" s="209"/>
      <c r="G716" s="209"/>
      <c r="H716" s="209"/>
      <c r="I716" s="209"/>
      <c r="J716" s="300" t="b">
        <v>1</v>
      </c>
      <c r="K716" s="301" t="b">
        <v>0</v>
      </c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  <c r="AI716" s="209"/>
      <c r="AJ716" s="209"/>
    </row>
    <row r="717">
      <c r="A717" s="291"/>
      <c r="B717" s="304" t="s">
        <v>2899</v>
      </c>
      <c r="C717" s="410" t="s">
        <v>775</v>
      </c>
      <c r="D717" s="304" t="s">
        <v>2900</v>
      </c>
      <c r="E717" s="375">
        <v>8.10115978763E11</v>
      </c>
      <c r="F717" s="209"/>
      <c r="G717" s="209"/>
      <c r="H717" s="209"/>
      <c r="I717" s="209"/>
      <c r="J717" s="300" t="b">
        <v>1</v>
      </c>
      <c r="K717" s="301" t="b">
        <v>0</v>
      </c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  <c r="AI717" s="209"/>
      <c r="AJ717" s="209"/>
    </row>
    <row r="718">
      <c r="A718" s="291"/>
      <c r="B718" s="304" t="s">
        <v>2901</v>
      </c>
      <c r="C718" s="410" t="s">
        <v>775</v>
      </c>
      <c r="D718" s="304" t="s">
        <v>2902</v>
      </c>
      <c r="E718" s="375">
        <v>8.10115977087E11</v>
      </c>
      <c r="F718" s="209"/>
      <c r="G718" s="209"/>
      <c r="H718" s="209"/>
      <c r="I718" s="209"/>
      <c r="J718" s="300" t="b">
        <v>1</v>
      </c>
      <c r="K718" s="301" t="b">
        <v>0</v>
      </c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  <c r="AI718" s="209"/>
      <c r="AJ718" s="209"/>
    </row>
    <row r="719">
      <c r="A719" s="291"/>
      <c r="B719" s="304" t="s">
        <v>2903</v>
      </c>
      <c r="C719" s="410" t="s">
        <v>775</v>
      </c>
      <c r="D719" s="304" t="s">
        <v>2904</v>
      </c>
      <c r="E719" s="305">
        <v>8.10115978671E11</v>
      </c>
      <c r="F719" s="209"/>
      <c r="G719" s="209"/>
      <c r="H719" s="209"/>
      <c r="I719" s="209"/>
      <c r="J719" s="300" t="b">
        <v>1</v>
      </c>
      <c r="K719" s="301" t="b">
        <v>0</v>
      </c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  <c r="AI719" s="209"/>
      <c r="AJ719" s="209"/>
    </row>
    <row r="720">
      <c r="A720" s="291"/>
      <c r="B720" s="377" t="s">
        <v>2905</v>
      </c>
      <c r="C720" s="410" t="s">
        <v>2906</v>
      </c>
      <c r="D720" s="304" t="s">
        <v>2907</v>
      </c>
      <c r="E720" s="305">
        <v>8.10115975014E11</v>
      </c>
      <c r="F720" s="209"/>
      <c r="G720" s="209"/>
      <c r="H720" s="209"/>
      <c r="I720" s="209"/>
      <c r="J720" s="300" t="b">
        <v>1</v>
      </c>
      <c r="K720" s="301" t="b">
        <v>0</v>
      </c>
      <c r="L720" s="344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  <c r="AI720" s="209"/>
      <c r="AJ720" s="209"/>
    </row>
    <row r="721">
      <c r="A721" s="291"/>
      <c r="B721" s="304" t="s">
        <v>2908</v>
      </c>
      <c r="C721" s="410" t="s">
        <v>2906</v>
      </c>
      <c r="D721" s="304" t="s">
        <v>2909</v>
      </c>
      <c r="E721" s="305">
        <v>8.10115975021E11</v>
      </c>
      <c r="F721" s="209"/>
      <c r="G721" s="209"/>
      <c r="H721" s="209"/>
      <c r="I721" s="209"/>
      <c r="J721" s="300" t="b">
        <v>1</v>
      </c>
      <c r="K721" s="301" t="b">
        <v>0</v>
      </c>
      <c r="L721" s="344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  <c r="AI721" s="209"/>
      <c r="AJ721" s="209"/>
    </row>
    <row r="722">
      <c r="A722" s="291"/>
      <c r="B722" s="304" t="s">
        <v>2910</v>
      </c>
      <c r="C722" s="410" t="s">
        <v>2906</v>
      </c>
      <c r="D722" s="304" t="s">
        <v>2911</v>
      </c>
      <c r="E722" s="305">
        <v>8.10115975496E11</v>
      </c>
      <c r="F722" s="209"/>
      <c r="G722" s="209"/>
      <c r="H722" s="209"/>
      <c r="I722" s="209"/>
      <c r="J722" s="300" t="b">
        <v>1</v>
      </c>
      <c r="K722" s="301" t="b">
        <v>0</v>
      </c>
      <c r="L722" s="344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  <c r="AI722" s="209"/>
      <c r="AJ722" s="209"/>
    </row>
    <row r="723">
      <c r="A723" s="291"/>
      <c r="B723" s="304" t="s">
        <v>2912</v>
      </c>
      <c r="C723" s="410" t="s">
        <v>2906</v>
      </c>
      <c r="D723" s="304" t="s">
        <v>2913</v>
      </c>
      <c r="E723" s="305">
        <v>8.10115975038E11</v>
      </c>
      <c r="F723" s="209"/>
      <c r="G723" s="209"/>
      <c r="H723" s="209"/>
      <c r="I723" s="209"/>
      <c r="J723" s="300" t="b">
        <v>1</v>
      </c>
      <c r="K723" s="301" t="b">
        <v>0</v>
      </c>
      <c r="L723" s="344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  <c r="AI723" s="209"/>
      <c r="AJ723" s="209"/>
    </row>
    <row r="724">
      <c r="A724" s="291"/>
      <c r="B724" s="304" t="s">
        <v>2914</v>
      </c>
      <c r="C724" s="410" t="s">
        <v>2915</v>
      </c>
      <c r="D724" s="304" t="s">
        <v>2916</v>
      </c>
      <c r="E724" s="305">
        <v>8.10115978688E11</v>
      </c>
      <c r="F724" s="209"/>
      <c r="G724" s="209"/>
      <c r="H724" s="209"/>
      <c r="I724" s="209"/>
      <c r="J724" s="300" t="b">
        <v>1</v>
      </c>
      <c r="K724" s="301" t="b">
        <v>0</v>
      </c>
      <c r="L724" s="344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  <c r="AI724" s="209"/>
      <c r="AJ724" s="209"/>
    </row>
    <row r="725">
      <c r="A725" s="291"/>
      <c r="B725" s="304" t="s">
        <v>2917</v>
      </c>
      <c r="C725" s="410" t="s">
        <v>2915</v>
      </c>
      <c r="D725" s="304" t="s">
        <v>2918</v>
      </c>
      <c r="E725" s="305">
        <v>8.1011597877E11</v>
      </c>
      <c r="F725" s="209"/>
      <c r="G725" s="209"/>
      <c r="H725" s="209"/>
      <c r="I725" s="209"/>
      <c r="J725" s="300" t="b">
        <v>1</v>
      </c>
      <c r="K725" s="301" t="b">
        <v>0</v>
      </c>
      <c r="L725" s="344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  <c r="AI725" s="209"/>
      <c r="AJ725" s="209"/>
    </row>
    <row r="726">
      <c r="A726" s="291"/>
      <c r="B726" s="304" t="s">
        <v>2919</v>
      </c>
      <c r="C726" s="410" t="s">
        <v>2915</v>
      </c>
      <c r="D726" s="304" t="s">
        <v>2920</v>
      </c>
      <c r="E726" s="305">
        <v>8.101159771E11</v>
      </c>
      <c r="F726" s="209"/>
      <c r="G726" s="209"/>
      <c r="H726" s="209"/>
      <c r="I726" s="209"/>
      <c r="J726" s="300" t="b">
        <v>1</v>
      </c>
      <c r="K726" s="301" t="b">
        <v>0</v>
      </c>
      <c r="L726" s="344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  <c r="AI726" s="209"/>
      <c r="AJ726" s="209"/>
    </row>
    <row r="727">
      <c r="A727" s="309"/>
      <c r="B727" s="311" t="s">
        <v>2921</v>
      </c>
      <c r="C727" s="423" t="s">
        <v>2915</v>
      </c>
      <c r="D727" s="311" t="s">
        <v>2922</v>
      </c>
      <c r="E727" s="312">
        <v>8.10115978695E11</v>
      </c>
      <c r="F727" s="313"/>
      <c r="G727" s="313"/>
      <c r="H727" s="313"/>
      <c r="I727" s="313"/>
      <c r="J727" s="300" t="b">
        <v>1</v>
      </c>
      <c r="K727" s="314" t="b">
        <v>0</v>
      </c>
      <c r="L727" s="344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  <c r="AI727" s="209"/>
      <c r="AJ727" s="209"/>
    </row>
    <row r="728">
      <c r="A728" s="344"/>
      <c r="B728" s="344"/>
      <c r="C728" s="344"/>
      <c r="D728" s="344"/>
      <c r="E728" s="344"/>
      <c r="F728" s="344"/>
      <c r="G728" s="344"/>
      <c r="H728" s="344"/>
      <c r="I728" s="209"/>
      <c r="J728" s="344"/>
      <c r="K728" s="344"/>
      <c r="L728" s="344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325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  <c r="AI728" s="209"/>
      <c r="AJ728" s="209"/>
    </row>
    <row r="729">
      <c r="A729" s="316" t="s">
        <v>2923</v>
      </c>
      <c r="B729" s="319" t="s">
        <v>2924</v>
      </c>
      <c r="C729" s="320"/>
      <c r="D729" s="283" t="s">
        <v>2925</v>
      </c>
      <c r="E729" s="322" t="s">
        <v>116</v>
      </c>
      <c r="F729" s="320"/>
      <c r="G729" s="320"/>
      <c r="H729" s="276" t="s">
        <v>1796</v>
      </c>
      <c r="I729" s="285" t="s">
        <v>4178</v>
      </c>
      <c r="J729" s="278" t="str">
        <f>IF(COUNTIF(J730:J761, TRUE) = COUNTA(J730:J761), "Complete!", IF(COUNTIF(J730:J761, TRUE) &gt; 0, "Partial", "Not Started"))</f>
        <v>Complete!</v>
      </c>
      <c r="K729" s="279"/>
      <c r="L729" s="280">
        <v>32.0</v>
      </c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325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  <c r="AI729" s="209"/>
      <c r="AJ729" s="209"/>
    </row>
    <row r="730">
      <c r="A730" s="291"/>
      <c r="B730" s="377" t="s">
        <v>2927</v>
      </c>
      <c r="C730" s="377" t="s">
        <v>1134</v>
      </c>
      <c r="D730" s="304" t="s">
        <v>2928</v>
      </c>
      <c r="E730" s="305">
        <v>8.10115978701E11</v>
      </c>
      <c r="F730" s="209"/>
      <c r="G730" s="209"/>
      <c r="H730" s="209"/>
      <c r="I730" s="209"/>
      <c r="J730" s="300" t="b">
        <v>1</v>
      </c>
      <c r="K730" s="301" t="b">
        <v>0</v>
      </c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  <c r="AI730" s="209"/>
      <c r="AJ730" s="209"/>
    </row>
    <row r="731">
      <c r="A731" s="291"/>
      <c r="B731" s="304" t="s">
        <v>2929</v>
      </c>
      <c r="C731" s="304" t="s">
        <v>685</v>
      </c>
      <c r="D731" s="304" t="s">
        <v>2930</v>
      </c>
      <c r="E731" s="305">
        <v>8.10115978787E11</v>
      </c>
      <c r="F731" s="209"/>
      <c r="G731" s="209"/>
      <c r="H731" s="209"/>
      <c r="I731" s="209"/>
      <c r="J731" s="300" t="b">
        <v>1</v>
      </c>
      <c r="K731" s="301" t="b">
        <v>0</v>
      </c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  <c r="AI731" s="209"/>
      <c r="AJ731" s="209"/>
    </row>
    <row r="732">
      <c r="A732" s="291"/>
      <c r="B732" s="304" t="s">
        <v>2931</v>
      </c>
      <c r="C732" s="410" t="s">
        <v>685</v>
      </c>
      <c r="D732" s="304" t="s">
        <v>2932</v>
      </c>
      <c r="E732" s="305">
        <v>8.10115977049E11</v>
      </c>
      <c r="F732" s="209"/>
      <c r="G732" s="209"/>
      <c r="H732" s="209"/>
      <c r="I732" s="209"/>
      <c r="J732" s="300" t="b">
        <v>1</v>
      </c>
      <c r="K732" s="301" t="b">
        <v>0</v>
      </c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  <c r="AI732" s="209"/>
      <c r="AJ732" s="209"/>
    </row>
    <row r="733">
      <c r="A733" s="291"/>
      <c r="B733" s="304" t="s">
        <v>2933</v>
      </c>
      <c r="C733" s="410" t="s">
        <v>685</v>
      </c>
      <c r="D733" s="304" t="s">
        <v>2934</v>
      </c>
      <c r="E733" s="305">
        <v>8.10115978718E11</v>
      </c>
      <c r="F733" s="209"/>
      <c r="G733" s="209"/>
      <c r="H733" s="209"/>
      <c r="I733" s="209"/>
      <c r="J733" s="300" t="b">
        <v>1</v>
      </c>
      <c r="K733" s="301" t="b">
        <v>0</v>
      </c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  <c r="AI733" s="209"/>
      <c r="AJ733" s="209"/>
    </row>
    <row r="734">
      <c r="A734" s="291"/>
      <c r="B734" s="304" t="s">
        <v>2935</v>
      </c>
      <c r="C734" s="304" t="s">
        <v>2936</v>
      </c>
      <c r="D734" s="304" t="s">
        <v>2937</v>
      </c>
      <c r="E734" s="305">
        <v>8.10115974536E11</v>
      </c>
      <c r="F734" s="209"/>
      <c r="G734" s="209"/>
      <c r="H734" s="209"/>
      <c r="I734" s="209"/>
      <c r="J734" s="300" t="b">
        <v>1</v>
      </c>
      <c r="K734" s="301" t="b">
        <v>0</v>
      </c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  <c r="AI734" s="209"/>
      <c r="AJ734" s="209"/>
    </row>
    <row r="735">
      <c r="A735" s="291"/>
      <c r="B735" s="377" t="s">
        <v>2938</v>
      </c>
      <c r="C735" s="377" t="s">
        <v>2936</v>
      </c>
      <c r="D735" s="304" t="s">
        <v>2939</v>
      </c>
      <c r="E735" s="395">
        <v>8.10115974543E11</v>
      </c>
      <c r="F735" s="209"/>
      <c r="G735" s="209"/>
      <c r="H735" s="209"/>
      <c r="I735" s="209"/>
      <c r="J735" s="300" t="b">
        <v>1</v>
      </c>
      <c r="K735" s="301" t="b">
        <v>0</v>
      </c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  <c r="AI735" s="209"/>
      <c r="AJ735" s="209"/>
    </row>
    <row r="736">
      <c r="A736" s="291"/>
      <c r="B736" s="377" t="s">
        <v>2940</v>
      </c>
      <c r="C736" s="377" t="s">
        <v>2936</v>
      </c>
      <c r="D736" s="304" t="s">
        <v>2941</v>
      </c>
      <c r="E736" s="395">
        <v>8.10115975335E11</v>
      </c>
      <c r="F736" s="209"/>
      <c r="G736" s="209"/>
      <c r="H736" s="209"/>
      <c r="I736" s="209"/>
      <c r="J736" s="300" t="b">
        <v>1</v>
      </c>
      <c r="K736" s="301" t="b">
        <v>0</v>
      </c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  <c r="AI736" s="209"/>
      <c r="AJ736" s="209"/>
    </row>
    <row r="737">
      <c r="A737" s="291"/>
      <c r="B737" s="377" t="s">
        <v>2942</v>
      </c>
      <c r="C737" s="377" t="s">
        <v>2936</v>
      </c>
      <c r="D737" s="304" t="s">
        <v>2943</v>
      </c>
      <c r="E737" s="395">
        <v>8.1011597455E11</v>
      </c>
      <c r="F737" s="209"/>
      <c r="G737" s="209"/>
      <c r="H737" s="209"/>
      <c r="I737" s="209"/>
      <c r="J737" s="300" t="b">
        <v>1</v>
      </c>
      <c r="K737" s="301" t="b">
        <v>0</v>
      </c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  <c r="AI737" s="209"/>
      <c r="AJ737" s="209"/>
    </row>
    <row r="738">
      <c r="A738" s="291"/>
      <c r="B738" s="377" t="s">
        <v>2944</v>
      </c>
      <c r="C738" s="377" t="s">
        <v>588</v>
      </c>
      <c r="D738" s="304" t="s">
        <v>2945</v>
      </c>
      <c r="E738" s="305">
        <v>8.10115978732E11</v>
      </c>
      <c r="F738" s="209"/>
      <c r="G738" s="209"/>
      <c r="H738" s="209"/>
      <c r="I738" s="209"/>
      <c r="J738" s="300" t="b">
        <v>1</v>
      </c>
      <c r="K738" s="301" t="b">
        <v>0</v>
      </c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  <c r="AI738" s="209"/>
      <c r="AJ738" s="209"/>
    </row>
    <row r="739">
      <c r="A739" s="291"/>
      <c r="B739" s="304" t="s">
        <v>2946</v>
      </c>
      <c r="C739" s="304" t="s">
        <v>588</v>
      </c>
      <c r="D739" s="304" t="s">
        <v>2947</v>
      </c>
      <c r="E739" s="305">
        <v>8.10115978794E11</v>
      </c>
      <c r="F739" s="209"/>
      <c r="G739" s="209"/>
      <c r="H739" s="209"/>
      <c r="I739" s="209"/>
      <c r="J739" s="300" t="b">
        <v>1</v>
      </c>
      <c r="K739" s="301" t="b">
        <v>0</v>
      </c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  <c r="AI739" s="209"/>
      <c r="AJ739" s="209"/>
    </row>
    <row r="740">
      <c r="A740" s="291"/>
      <c r="B740" s="377" t="s">
        <v>2948</v>
      </c>
      <c r="C740" s="410" t="s">
        <v>588</v>
      </c>
      <c r="D740" s="304" t="s">
        <v>2949</v>
      </c>
      <c r="E740" s="395">
        <v>8.10115977056E11</v>
      </c>
      <c r="F740" s="209"/>
      <c r="G740" s="209"/>
      <c r="H740" s="209"/>
      <c r="I740" s="209"/>
      <c r="J740" s="300" t="b">
        <v>1</v>
      </c>
      <c r="K740" s="301" t="b">
        <v>0</v>
      </c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325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  <c r="AI740" s="209"/>
      <c r="AJ740" s="209"/>
    </row>
    <row r="741">
      <c r="A741" s="291"/>
      <c r="B741" s="377" t="s">
        <v>2950</v>
      </c>
      <c r="C741" s="410" t="s">
        <v>588</v>
      </c>
      <c r="D741" s="304" t="s">
        <v>2951</v>
      </c>
      <c r="E741" s="395">
        <v>8.10115978725E11</v>
      </c>
      <c r="F741" s="209"/>
      <c r="G741" s="209"/>
      <c r="H741" s="209"/>
      <c r="I741" s="209"/>
      <c r="J741" s="300" t="b">
        <v>1</v>
      </c>
      <c r="K741" s="301" t="b">
        <v>0</v>
      </c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325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  <c r="AI741" s="209"/>
      <c r="AJ741" s="209"/>
    </row>
    <row r="742">
      <c r="A742" s="291"/>
      <c r="B742" s="377" t="s">
        <v>2952</v>
      </c>
      <c r="C742" s="410" t="s">
        <v>944</v>
      </c>
      <c r="D742" s="304" t="s">
        <v>2953</v>
      </c>
      <c r="E742" s="305">
        <v>8.10115978626E11</v>
      </c>
      <c r="F742" s="209"/>
      <c r="G742" s="209"/>
      <c r="H742" s="209"/>
      <c r="I742" s="209"/>
      <c r="J742" s="300" t="b">
        <v>1</v>
      </c>
      <c r="K742" s="301" t="b">
        <v>0</v>
      </c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  <c r="AI742" s="209"/>
      <c r="AJ742" s="209"/>
    </row>
    <row r="743">
      <c r="A743" s="291"/>
      <c r="B743" s="377" t="s">
        <v>2955</v>
      </c>
      <c r="C743" s="410" t="s">
        <v>944</v>
      </c>
      <c r="D743" s="304" t="s">
        <v>2956</v>
      </c>
      <c r="E743" s="395">
        <v>8.10115978749E11</v>
      </c>
      <c r="F743" s="209"/>
      <c r="G743" s="209"/>
      <c r="H743" s="209"/>
      <c r="I743" s="209"/>
      <c r="J743" s="300" t="b">
        <v>1</v>
      </c>
      <c r="K743" s="301" t="b">
        <v>0</v>
      </c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  <c r="AH743" s="209"/>
      <c r="AI743" s="209"/>
      <c r="AJ743" s="209"/>
    </row>
    <row r="744">
      <c r="A744" s="291"/>
      <c r="B744" s="377" t="s">
        <v>2957</v>
      </c>
      <c r="C744" s="410" t="s">
        <v>944</v>
      </c>
      <c r="D744" s="304" t="s">
        <v>2958</v>
      </c>
      <c r="E744" s="395">
        <v>8.10115977063E11</v>
      </c>
      <c r="F744" s="209"/>
      <c r="G744" s="209"/>
      <c r="H744" s="209"/>
      <c r="I744" s="209"/>
      <c r="J744" s="300" t="b">
        <v>1</v>
      </c>
      <c r="K744" s="301" t="b">
        <v>0</v>
      </c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  <c r="AH744" s="209"/>
      <c r="AI744" s="209"/>
      <c r="AJ744" s="209"/>
    </row>
    <row r="745">
      <c r="A745" s="291"/>
      <c r="B745" s="424" t="s">
        <v>2959</v>
      </c>
      <c r="C745" s="410" t="s">
        <v>944</v>
      </c>
      <c r="D745" s="304" t="s">
        <v>2960</v>
      </c>
      <c r="E745" s="395">
        <v>8.10115978633E11</v>
      </c>
      <c r="F745" s="209"/>
      <c r="G745" s="209"/>
      <c r="H745" s="209"/>
      <c r="I745" s="209"/>
      <c r="J745" s="300" t="b">
        <v>1</v>
      </c>
      <c r="K745" s="301" t="b">
        <v>0</v>
      </c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  <c r="AI745" s="209"/>
      <c r="AJ745" s="209"/>
    </row>
    <row r="746">
      <c r="A746" s="291"/>
      <c r="B746" s="377" t="s">
        <v>2961</v>
      </c>
      <c r="C746" s="410" t="s">
        <v>2005</v>
      </c>
      <c r="D746" s="304" t="s">
        <v>2962</v>
      </c>
      <c r="E746" s="305">
        <v>8.10115974505E11</v>
      </c>
      <c r="F746" s="209"/>
      <c r="G746" s="209"/>
      <c r="H746" s="209"/>
      <c r="I746" s="209"/>
      <c r="J746" s="300" t="b">
        <v>1</v>
      </c>
      <c r="K746" s="301" t="b">
        <v>0</v>
      </c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  <c r="AI746" s="209"/>
      <c r="AJ746" s="209"/>
    </row>
    <row r="747">
      <c r="A747" s="291"/>
      <c r="B747" s="304" t="s">
        <v>2963</v>
      </c>
      <c r="C747" s="410" t="s">
        <v>2005</v>
      </c>
      <c r="D747" s="304" t="s">
        <v>2964</v>
      </c>
      <c r="E747" s="375" t="s">
        <v>2965</v>
      </c>
      <c r="F747" s="209"/>
      <c r="G747" s="209"/>
      <c r="H747" s="209"/>
      <c r="I747" s="209"/>
      <c r="J747" s="300" t="b">
        <v>1</v>
      </c>
      <c r="K747" s="301" t="b">
        <v>0</v>
      </c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  <c r="AI747" s="209"/>
      <c r="AJ747" s="209"/>
    </row>
    <row r="748">
      <c r="A748" s="291"/>
      <c r="B748" s="304" t="s">
        <v>2966</v>
      </c>
      <c r="C748" s="410" t="s">
        <v>2005</v>
      </c>
      <c r="D748" s="304" t="s">
        <v>2967</v>
      </c>
      <c r="E748" s="375" t="s">
        <v>2968</v>
      </c>
      <c r="F748" s="209"/>
      <c r="G748" s="209"/>
      <c r="H748" s="209"/>
      <c r="I748" s="209"/>
      <c r="J748" s="300" t="b">
        <v>1</v>
      </c>
      <c r="K748" s="301" t="b">
        <v>0</v>
      </c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  <c r="AI748" s="209"/>
      <c r="AJ748" s="209"/>
    </row>
    <row r="749">
      <c r="A749" s="291"/>
      <c r="B749" s="304" t="s">
        <v>2969</v>
      </c>
      <c r="C749" s="410" t="s">
        <v>2005</v>
      </c>
      <c r="D749" s="304" t="s">
        <v>2970</v>
      </c>
      <c r="E749" s="305">
        <v>8.10115974529E11</v>
      </c>
      <c r="F749" s="209"/>
      <c r="G749" s="209"/>
      <c r="H749" s="209"/>
      <c r="I749" s="209"/>
      <c r="J749" s="300" t="b">
        <v>1</v>
      </c>
      <c r="K749" s="301" t="b">
        <v>0</v>
      </c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  <c r="AI749" s="209"/>
      <c r="AJ749" s="209"/>
    </row>
    <row r="750">
      <c r="A750" s="291"/>
      <c r="B750" s="304" t="s">
        <v>2971</v>
      </c>
      <c r="C750" s="410" t="s">
        <v>2972</v>
      </c>
      <c r="D750" s="304" t="s">
        <v>2973</v>
      </c>
      <c r="E750" s="305">
        <v>8.10115974741E11</v>
      </c>
      <c r="F750" s="209"/>
      <c r="G750" s="209"/>
      <c r="H750" s="209"/>
      <c r="I750" s="209"/>
      <c r="J750" s="300" t="b">
        <v>1</v>
      </c>
      <c r="K750" s="301" t="b">
        <v>0</v>
      </c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</row>
    <row r="751">
      <c r="A751" s="291"/>
      <c r="B751" s="377" t="s">
        <v>2974</v>
      </c>
      <c r="C751" s="410" t="s">
        <v>2972</v>
      </c>
      <c r="D751" s="304" t="s">
        <v>2975</v>
      </c>
      <c r="E751" s="406" t="s">
        <v>2976</v>
      </c>
      <c r="F751" s="209"/>
      <c r="G751" s="209"/>
      <c r="H751" s="209"/>
      <c r="I751" s="209"/>
      <c r="J751" s="300" t="b">
        <v>1</v>
      </c>
      <c r="K751" s="301" t="b">
        <v>0</v>
      </c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  <c r="AI751" s="209"/>
      <c r="AJ751" s="209"/>
    </row>
    <row r="752">
      <c r="A752" s="291"/>
      <c r="B752" s="377" t="s">
        <v>2977</v>
      </c>
      <c r="C752" s="410" t="s">
        <v>2972</v>
      </c>
      <c r="D752" s="304" t="s">
        <v>2978</v>
      </c>
      <c r="E752" s="406" t="s">
        <v>2979</v>
      </c>
      <c r="F752" s="209"/>
      <c r="G752" s="209"/>
      <c r="H752" s="209"/>
      <c r="I752" s="209"/>
      <c r="J752" s="300" t="b">
        <v>1</v>
      </c>
      <c r="K752" s="301" t="b">
        <v>0</v>
      </c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  <c r="AI752" s="209"/>
      <c r="AJ752" s="209"/>
    </row>
    <row r="753">
      <c r="A753" s="291"/>
      <c r="B753" s="377" t="s">
        <v>2980</v>
      </c>
      <c r="C753" s="410" t="s">
        <v>2972</v>
      </c>
      <c r="D753" s="304" t="s">
        <v>2981</v>
      </c>
      <c r="E753" s="395">
        <v>8.10115974765E11</v>
      </c>
      <c r="F753" s="209"/>
      <c r="G753" s="209"/>
      <c r="H753" s="209"/>
      <c r="I753" s="209"/>
      <c r="J753" s="300" t="b">
        <v>1</v>
      </c>
      <c r="K753" s="301" t="b">
        <v>0</v>
      </c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  <c r="AI753" s="209"/>
      <c r="AJ753" s="209"/>
    </row>
    <row r="754">
      <c r="A754" s="291"/>
      <c r="B754" s="377" t="s">
        <v>2982</v>
      </c>
      <c r="C754" s="410" t="s">
        <v>2983</v>
      </c>
      <c r="D754" s="304" t="s">
        <v>2984</v>
      </c>
      <c r="E754" s="305">
        <v>8.10115974833E11</v>
      </c>
      <c r="F754" s="209"/>
      <c r="G754" s="209"/>
      <c r="H754" s="209"/>
      <c r="I754" s="209"/>
      <c r="J754" s="300" t="b">
        <v>1</v>
      </c>
      <c r="K754" s="301" t="b">
        <v>0</v>
      </c>
      <c r="L754" s="344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  <c r="AI754" s="209"/>
      <c r="AJ754" s="209"/>
    </row>
    <row r="755">
      <c r="A755" s="291"/>
      <c r="B755" s="304" t="s">
        <v>2985</v>
      </c>
      <c r="C755" s="410" t="s">
        <v>2983</v>
      </c>
      <c r="D755" s="304" t="s">
        <v>2986</v>
      </c>
      <c r="E755" s="375" t="s">
        <v>2987</v>
      </c>
      <c r="F755" s="209"/>
      <c r="G755" s="209"/>
      <c r="H755" s="209"/>
      <c r="I755" s="209"/>
      <c r="J755" s="300" t="b">
        <v>1</v>
      </c>
      <c r="K755" s="301" t="b">
        <v>0</v>
      </c>
      <c r="L755" s="344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  <c r="AI755" s="209"/>
      <c r="AJ755" s="209"/>
    </row>
    <row r="756">
      <c r="A756" s="291"/>
      <c r="B756" s="304" t="s">
        <v>2988</v>
      </c>
      <c r="C756" s="410" t="s">
        <v>2983</v>
      </c>
      <c r="D756" s="304" t="s">
        <v>2989</v>
      </c>
      <c r="E756" s="375" t="s">
        <v>2990</v>
      </c>
      <c r="F756" s="209"/>
      <c r="G756" s="209"/>
      <c r="H756" s="209"/>
      <c r="I756" s="209"/>
      <c r="J756" s="300" t="b">
        <v>1</v>
      </c>
      <c r="K756" s="301" t="b">
        <v>0</v>
      </c>
      <c r="L756" s="344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  <c r="AI756" s="209"/>
      <c r="AJ756" s="209"/>
    </row>
    <row r="757">
      <c r="A757" s="291"/>
      <c r="B757" s="304" t="s">
        <v>2991</v>
      </c>
      <c r="C757" s="410" t="s">
        <v>2983</v>
      </c>
      <c r="D757" s="304" t="s">
        <v>2992</v>
      </c>
      <c r="E757" s="305">
        <v>8.10115974857E11</v>
      </c>
      <c r="F757" s="209"/>
      <c r="G757" s="209"/>
      <c r="H757" s="209"/>
      <c r="I757" s="209"/>
      <c r="J757" s="300" t="b">
        <v>1</v>
      </c>
      <c r="K757" s="301" t="b">
        <v>0</v>
      </c>
      <c r="L757" s="344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  <c r="AI757" s="209"/>
      <c r="AJ757" s="209"/>
    </row>
    <row r="758">
      <c r="A758" s="291"/>
      <c r="B758" s="377" t="s">
        <v>2993</v>
      </c>
      <c r="C758" s="410" t="s">
        <v>2994</v>
      </c>
      <c r="D758" s="304" t="s">
        <v>2995</v>
      </c>
      <c r="E758" s="305">
        <v>8.10115974895E11</v>
      </c>
      <c r="F758" s="209"/>
      <c r="G758" s="209"/>
      <c r="H758" s="209"/>
      <c r="I758" s="209"/>
      <c r="J758" s="300" t="b">
        <v>1</v>
      </c>
      <c r="K758" s="301" t="b">
        <v>0</v>
      </c>
      <c r="L758" s="344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  <c r="AI758" s="209"/>
      <c r="AJ758" s="209"/>
    </row>
    <row r="759">
      <c r="A759" s="291"/>
      <c r="B759" s="304" t="s">
        <v>2996</v>
      </c>
      <c r="C759" s="410" t="s">
        <v>2994</v>
      </c>
      <c r="D759" s="304" t="s">
        <v>2997</v>
      </c>
      <c r="E759" s="375" t="s">
        <v>2998</v>
      </c>
      <c r="F759" s="209"/>
      <c r="G759" s="209"/>
      <c r="H759" s="209"/>
      <c r="I759" s="209"/>
      <c r="J759" s="300" t="b">
        <v>1</v>
      </c>
      <c r="K759" s="301" t="b">
        <v>0</v>
      </c>
      <c r="L759" s="344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  <c r="AI759" s="209"/>
      <c r="AJ759" s="209"/>
    </row>
    <row r="760">
      <c r="A760" s="291"/>
      <c r="B760" s="304" t="s">
        <v>2999</v>
      </c>
      <c r="C760" s="410" t="s">
        <v>2994</v>
      </c>
      <c r="D760" s="304" t="s">
        <v>3000</v>
      </c>
      <c r="E760" s="375" t="s">
        <v>3001</v>
      </c>
      <c r="F760" s="209"/>
      <c r="G760" s="209"/>
      <c r="H760" s="209"/>
      <c r="I760" s="209"/>
      <c r="J760" s="300" t="b">
        <v>1</v>
      </c>
      <c r="K760" s="301" t="b">
        <v>0</v>
      </c>
      <c r="L760" s="344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  <c r="AI760" s="209"/>
      <c r="AJ760" s="209"/>
    </row>
    <row r="761">
      <c r="A761" s="309"/>
      <c r="B761" s="311" t="s">
        <v>3002</v>
      </c>
      <c r="C761" s="423" t="s">
        <v>2994</v>
      </c>
      <c r="D761" s="311" t="s">
        <v>3003</v>
      </c>
      <c r="E761" s="312">
        <v>8.10115974918E11</v>
      </c>
      <c r="F761" s="313"/>
      <c r="G761" s="313"/>
      <c r="H761" s="313"/>
      <c r="I761" s="313"/>
      <c r="J761" s="350" t="b">
        <v>1</v>
      </c>
      <c r="K761" s="314" t="b">
        <v>0</v>
      </c>
      <c r="L761" s="344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209"/>
      <c r="AJ761" s="209"/>
    </row>
    <row r="762">
      <c r="A762" s="344"/>
      <c r="B762" s="344"/>
      <c r="C762" s="344"/>
      <c r="D762" s="344"/>
      <c r="E762" s="344"/>
      <c r="F762" s="344"/>
      <c r="G762" s="344"/>
      <c r="H762" s="344"/>
      <c r="I762" s="209"/>
      <c r="J762" s="344"/>
      <c r="K762" s="344"/>
      <c r="L762" s="344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  <c r="AI762" s="209"/>
      <c r="AJ762" s="209"/>
    </row>
    <row r="763">
      <c r="A763" s="316" t="s">
        <v>3004</v>
      </c>
      <c r="B763" s="319" t="s">
        <v>3005</v>
      </c>
      <c r="C763" s="320"/>
      <c r="D763" s="283" t="s">
        <v>3006</v>
      </c>
      <c r="E763" s="402" t="s">
        <v>116</v>
      </c>
      <c r="F763" s="320"/>
      <c r="G763" s="320"/>
      <c r="H763" s="276" t="s">
        <v>4179</v>
      </c>
      <c r="I763" s="285" t="s">
        <v>4180</v>
      </c>
      <c r="J763" s="278" t="str">
        <f>IF(COUNTIF(J764:J775, TRUE) = COUNTA(J764:J775), "Complete!", IF(COUNTIF(J764:J775, TRUE) &gt; 0, "Partial", "Not Started"))</f>
        <v>Complete!</v>
      </c>
      <c r="K763" s="279"/>
      <c r="L763" s="280">
        <v>12.0</v>
      </c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  <c r="AI763" s="209"/>
      <c r="AJ763" s="209"/>
    </row>
    <row r="764">
      <c r="A764" s="291"/>
      <c r="B764" s="377" t="s">
        <v>3008</v>
      </c>
      <c r="C764" s="377" t="s">
        <v>3009</v>
      </c>
      <c r="D764" s="304" t="s">
        <v>3010</v>
      </c>
      <c r="E764" s="375">
        <v>8.10115975236E11</v>
      </c>
      <c r="F764" s="209"/>
      <c r="G764" s="209"/>
      <c r="H764" s="209"/>
      <c r="I764" s="209"/>
      <c r="J764" s="300" t="b">
        <v>1</v>
      </c>
      <c r="K764" s="301" t="b">
        <v>0</v>
      </c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  <c r="AI764" s="209"/>
      <c r="AJ764" s="209"/>
    </row>
    <row r="765">
      <c r="A765" s="291"/>
      <c r="B765" s="304" t="s">
        <v>3011</v>
      </c>
      <c r="C765" s="410" t="s">
        <v>3009</v>
      </c>
      <c r="D765" s="304" t="s">
        <v>3012</v>
      </c>
      <c r="E765" s="305">
        <v>8.10115975243E11</v>
      </c>
      <c r="F765" s="209"/>
      <c r="G765" s="209"/>
      <c r="H765" s="209"/>
      <c r="I765" s="209"/>
      <c r="J765" s="300" t="b">
        <v>1</v>
      </c>
      <c r="K765" s="301" t="b">
        <v>0</v>
      </c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  <c r="AI765" s="209"/>
      <c r="AJ765" s="209"/>
    </row>
    <row r="766">
      <c r="A766" s="291"/>
      <c r="B766" s="304" t="s">
        <v>3013</v>
      </c>
      <c r="C766" s="410" t="s">
        <v>3009</v>
      </c>
      <c r="D766" s="304" t="s">
        <v>3014</v>
      </c>
      <c r="E766" s="305">
        <v>8.10115975557E11</v>
      </c>
      <c r="F766" s="209"/>
      <c r="G766" s="209"/>
      <c r="H766" s="209"/>
      <c r="I766" s="209"/>
      <c r="J766" s="300" t="b">
        <v>1</v>
      </c>
      <c r="K766" s="301" t="b">
        <v>0</v>
      </c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  <c r="AI766" s="209"/>
      <c r="AJ766" s="209"/>
    </row>
    <row r="767">
      <c r="A767" s="291"/>
      <c r="B767" s="304" t="s">
        <v>3015</v>
      </c>
      <c r="C767" s="410" t="s">
        <v>3009</v>
      </c>
      <c r="D767" s="304" t="s">
        <v>3016</v>
      </c>
      <c r="E767" s="375">
        <v>8.1011597525E11</v>
      </c>
      <c r="F767" s="209"/>
      <c r="G767" s="209"/>
      <c r="H767" s="209"/>
      <c r="I767" s="209"/>
      <c r="J767" s="300" t="b">
        <v>1</v>
      </c>
      <c r="K767" s="301" t="b">
        <v>0</v>
      </c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  <c r="AI767" s="209"/>
      <c r="AJ767" s="209"/>
    </row>
    <row r="768">
      <c r="A768" s="291"/>
      <c r="B768" s="304" t="s">
        <v>3017</v>
      </c>
      <c r="C768" s="410" t="s">
        <v>3018</v>
      </c>
      <c r="D768" s="304" t="s">
        <v>3019</v>
      </c>
      <c r="E768" s="375">
        <v>8.1011597471E11</v>
      </c>
      <c r="F768" s="209"/>
      <c r="G768" s="209"/>
      <c r="H768" s="209"/>
      <c r="I768" s="209"/>
      <c r="J768" s="300" t="b">
        <v>1</v>
      </c>
      <c r="K768" s="301" t="b">
        <v>0</v>
      </c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  <c r="AI768" s="209"/>
      <c r="AJ768" s="209"/>
    </row>
    <row r="769">
      <c r="A769" s="291"/>
      <c r="B769" s="377" t="s">
        <v>3020</v>
      </c>
      <c r="C769" s="410" t="s">
        <v>3018</v>
      </c>
      <c r="D769" s="304" t="s">
        <v>3021</v>
      </c>
      <c r="E769" s="395">
        <v>8.10115974727E11</v>
      </c>
      <c r="F769" s="209"/>
      <c r="G769" s="209"/>
      <c r="H769" s="209"/>
      <c r="I769" s="209"/>
      <c r="J769" s="300" t="b">
        <v>1</v>
      </c>
      <c r="K769" s="301" t="b">
        <v>0</v>
      </c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  <c r="AI769" s="209"/>
      <c r="AJ769" s="209"/>
    </row>
    <row r="770">
      <c r="A770" s="291"/>
      <c r="B770" s="304" t="s">
        <v>3022</v>
      </c>
      <c r="C770" s="410" t="s">
        <v>3018</v>
      </c>
      <c r="D770" s="304" t="s">
        <v>3023</v>
      </c>
      <c r="E770" s="305">
        <v>8.10115975397E11</v>
      </c>
      <c r="F770" s="209"/>
      <c r="G770" s="209"/>
      <c r="H770" s="209"/>
      <c r="I770" s="209"/>
      <c r="J770" s="300" t="b">
        <v>1</v>
      </c>
      <c r="K770" s="301" t="b">
        <v>0</v>
      </c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  <c r="AI770" s="209"/>
      <c r="AJ770" s="209"/>
    </row>
    <row r="771">
      <c r="A771" s="291"/>
      <c r="B771" s="377" t="s">
        <v>3024</v>
      </c>
      <c r="C771" s="410" t="s">
        <v>3018</v>
      </c>
      <c r="D771" s="304" t="s">
        <v>3025</v>
      </c>
      <c r="E771" s="406">
        <v>8.10115974734E11</v>
      </c>
      <c r="F771" s="209"/>
      <c r="G771" s="209"/>
      <c r="H771" s="209"/>
      <c r="I771" s="209"/>
      <c r="J771" s="300" t="b">
        <v>1</v>
      </c>
      <c r="K771" s="301" t="b">
        <v>0</v>
      </c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  <c r="AI771" s="209"/>
      <c r="AJ771" s="209"/>
    </row>
    <row r="772">
      <c r="A772" s="291"/>
      <c r="B772" s="377" t="s">
        <v>3026</v>
      </c>
      <c r="C772" s="410" t="s">
        <v>3027</v>
      </c>
      <c r="D772" s="304" t="s">
        <v>3028</v>
      </c>
      <c r="E772" s="375">
        <v>8.10115975144E11</v>
      </c>
      <c r="F772" s="209"/>
      <c r="G772" s="209"/>
      <c r="H772" s="209"/>
      <c r="I772" s="209"/>
      <c r="J772" s="300" t="b">
        <v>1</v>
      </c>
      <c r="K772" s="301" t="b">
        <v>0</v>
      </c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  <c r="AI772" s="209"/>
      <c r="AJ772" s="209"/>
    </row>
    <row r="773">
      <c r="A773" s="291"/>
      <c r="B773" s="304" t="s">
        <v>3029</v>
      </c>
      <c r="C773" s="410" t="s">
        <v>3027</v>
      </c>
      <c r="D773" s="304" t="s">
        <v>3030</v>
      </c>
      <c r="E773" s="305">
        <v>8.10115975151E11</v>
      </c>
      <c r="F773" s="209"/>
      <c r="G773" s="209"/>
      <c r="H773" s="209"/>
      <c r="I773" s="209"/>
      <c r="J773" s="300" t="b">
        <v>1</v>
      </c>
      <c r="K773" s="301" t="b">
        <v>0</v>
      </c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  <c r="AI773" s="209"/>
      <c r="AJ773" s="209"/>
    </row>
    <row r="774">
      <c r="A774" s="291"/>
      <c r="B774" s="304" t="s">
        <v>3031</v>
      </c>
      <c r="C774" s="410" t="s">
        <v>3027</v>
      </c>
      <c r="D774" s="304" t="s">
        <v>3032</v>
      </c>
      <c r="E774" s="305">
        <v>8.10115975526E11</v>
      </c>
      <c r="F774" s="209"/>
      <c r="G774" s="209"/>
      <c r="H774" s="209"/>
      <c r="I774" s="209"/>
      <c r="J774" s="300" t="b">
        <v>1</v>
      </c>
      <c r="K774" s="301" t="b">
        <v>0</v>
      </c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  <c r="AI774" s="209"/>
      <c r="AJ774" s="209"/>
    </row>
    <row r="775">
      <c r="A775" s="309"/>
      <c r="B775" s="311" t="s">
        <v>3033</v>
      </c>
      <c r="C775" s="423" t="s">
        <v>3027</v>
      </c>
      <c r="D775" s="311" t="s">
        <v>3034</v>
      </c>
      <c r="E775" s="380">
        <v>8.10115975168E11</v>
      </c>
      <c r="F775" s="313"/>
      <c r="G775" s="313"/>
      <c r="H775" s="313"/>
      <c r="I775" s="313"/>
      <c r="J775" s="350" t="b">
        <v>1</v>
      </c>
      <c r="K775" s="314" t="b">
        <v>0</v>
      </c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  <c r="AI775" s="209"/>
      <c r="AJ775" s="209"/>
    </row>
    <row r="776">
      <c r="A776" s="209"/>
      <c r="B776" s="209"/>
      <c r="C776" s="209"/>
      <c r="D776" s="209"/>
      <c r="E776" s="353"/>
      <c r="F776" s="344"/>
      <c r="G776" s="344"/>
      <c r="H776" s="344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  <c r="AI776" s="209"/>
      <c r="AJ776" s="209"/>
    </row>
    <row r="777">
      <c r="A777" s="316" t="s">
        <v>3035</v>
      </c>
      <c r="B777" s="319" t="s">
        <v>3036</v>
      </c>
      <c r="C777" s="320"/>
      <c r="D777" s="283" t="s">
        <v>3037</v>
      </c>
      <c r="E777" s="322" t="s">
        <v>116</v>
      </c>
      <c r="F777" s="320"/>
      <c r="G777" s="320"/>
      <c r="H777" s="276" t="s">
        <v>2803</v>
      </c>
      <c r="I777" s="285" t="s">
        <v>4181</v>
      </c>
      <c r="J777" s="278" t="str">
        <f>IF(COUNTIF(J778:J781, TRUE) = COUNTA(J778:J781), "Complete!", IF(COUNTIF(J778:J781, TRUE) &gt; 0, "Partial", "Not Started"))</f>
        <v>Complete!</v>
      </c>
      <c r="K777" s="279"/>
      <c r="L777" s="280">
        <v>4.0</v>
      </c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  <c r="AI777" s="209"/>
      <c r="AJ777" s="209"/>
    </row>
    <row r="778">
      <c r="A778" s="291"/>
      <c r="B778" s="377" t="s">
        <v>3039</v>
      </c>
      <c r="C778" s="377" t="s">
        <v>2738</v>
      </c>
      <c r="D778" s="304" t="s">
        <v>3040</v>
      </c>
      <c r="E778" s="305">
        <v>8.10115975205E11</v>
      </c>
      <c r="F778" s="209"/>
      <c r="G778" s="209"/>
      <c r="H778" s="209"/>
      <c r="I778" s="209"/>
      <c r="J778" s="300" t="b">
        <v>1</v>
      </c>
      <c r="K778" s="301" t="b">
        <v>0</v>
      </c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  <c r="AI778" s="209"/>
      <c r="AJ778" s="209"/>
    </row>
    <row r="779">
      <c r="A779" s="291"/>
      <c r="B779" s="422" t="s">
        <v>3041</v>
      </c>
      <c r="C779" s="377" t="s">
        <v>2738</v>
      </c>
      <c r="D779" s="304" t="s">
        <v>3042</v>
      </c>
      <c r="E779" s="375" t="s">
        <v>3043</v>
      </c>
      <c r="F779" s="209"/>
      <c r="G779" s="209"/>
      <c r="H779" s="209"/>
      <c r="I779" s="209"/>
      <c r="J779" s="300" t="b">
        <v>1</v>
      </c>
      <c r="K779" s="301" t="b">
        <v>0</v>
      </c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  <c r="AI779" s="209"/>
      <c r="AJ779" s="209"/>
    </row>
    <row r="780">
      <c r="A780" s="291"/>
      <c r="B780" s="304" t="s">
        <v>3044</v>
      </c>
      <c r="C780" s="377" t="s">
        <v>2738</v>
      </c>
      <c r="D780" s="304" t="s">
        <v>3045</v>
      </c>
      <c r="E780" s="375" t="s">
        <v>3046</v>
      </c>
      <c r="F780" s="209"/>
      <c r="G780" s="209"/>
      <c r="H780" s="209"/>
      <c r="I780" s="209"/>
      <c r="J780" s="300" t="b">
        <v>1</v>
      </c>
      <c r="K780" s="301" t="b">
        <v>0</v>
      </c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  <c r="AI780" s="209"/>
      <c r="AJ780" s="209"/>
    </row>
    <row r="781">
      <c r="A781" s="309"/>
      <c r="B781" s="379" t="s">
        <v>3047</v>
      </c>
      <c r="C781" s="379" t="s">
        <v>2738</v>
      </c>
      <c r="D781" s="311" t="s">
        <v>3048</v>
      </c>
      <c r="E781" s="425">
        <v>8.10115975229E11</v>
      </c>
      <c r="F781" s="313"/>
      <c r="G781" s="313"/>
      <c r="H781" s="313"/>
      <c r="I781" s="313"/>
      <c r="J781" s="350" t="b">
        <v>1</v>
      </c>
      <c r="K781" s="314" t="b">
        <v>0</v>
      </c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  <c r="AI781" s="209"/>
      <c r="AJ781" s="209"/>
    </row>
    <row r="782">
      <c r="A782" s="209"/>
      <c r="B782" s="209"/>
      <c r="C782" s="209"/>
      <c r="D782" s="209"/>
      <c r="E782" s="209"/>
      <c r="F782" s="344"/>
      <c r="G782" s="344"/>
      <c r="H782" s="344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  <c r="AI782" s="209"/>
      <c r="AJ782" s="209"/>
    </row>
    <row r="783">
      <c r="A783" s="316" t="s">
        <v>3049</v>
      </c>
      <c r="B783" s="319" t="s">
        <v>3050</v>
      </c>
      <c r="C783" s="320"/>
      <c r="D783" s="283" t="s">
        <v>3051</v>
      </c>
      <c r="E783" s="322" t="s">
        <v>116</v>
      </c>
      <c r="F783" s="320"/>
      <c r="G783" s="320"/>
      <c r="H783" s="276" t="s">
        <v>1796</v>
      </c>
      <c r="I783" s="285" t="s">
        <v>469</v>
      </c>
      <c r="J783" s="278" t="str">
        <f>IF(COUNTIF(J784:J787, TRUE) = COUNTA(J784:J787), "Complete!", IF(COUNTIF(J784:J787, TRUE) &gt; 0, "Partial", "Not Started"))</f>
        <v>Complete!</v>
      </c>
      <c r="K783" s="279"/>
      <c r="L783" s="280">
        <v>4.0</v>
      </c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  <c r="AI783" s="209"/>
      <c r="AJ783" s="209"/>
    </row>
    <row r="784">
      <c r="A784" s="291"/>
      <c r="B784" s="304" t="s">
        <v>3053</v>
      </c>
      <c r="C784" s="304" t="s">
        <v>745</v>
      </c>
      <c r="D784" s="304" t="s">
        <v>3054</v>
      </c>
      <c r="E784" s="305">
        <v>8.10115974864E11</v>
      </c>
      <c r="F784" s="209"/>
      <c r="G784" s="209"/>
      <c r="H784" s="209"/>
      <c r="I784" s="209"/>
      <c r="J784" s="300" t="b">
        <v>1</v>
      </c>
      <c r="K784" s="301" t="b">
        <v>0</v>
      </c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  <c r="AI784" s="209"/>
      <c r="AJ784" s="209"/>
    </row>
    <row r="785">
      <c r="A785" s="291"/>
      <c r="B785" s="304" t="s">
        <v>3055</v>
      </c>
      <c r="C785" s="304" t="s">
        <v>745</v>
      </c>
      <c r="D785" s="304" t="s">
        <v>3056</v>
      </c>
      <c r="E785" s="375">
        <v>8.10115974871E11</v>
      </c>
      <c r="F785" s="209"/>
      <c r="G785" s="209"/>
      <c r="H785" s="209"/>
      <c r="I785" s="209"/>
      <c r="J785" s="300" t="b">
        <v>1</v>
      </c>
      <c r="K785" s="301" t="b">
        <v>0</v>
      </c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  <c r="AI785" s="209"/>
      <c r="AJ785" s="209"/>
    </row>
    <row r="786">
      <c r="A786" s="291"/>
      <c r="B786" s="304" t="s">
        <v>3057</v>
      </c>
      <c r="C786" s="304" t="s">
        <v>745</v>
      </c>
      <c r="D786" s="304" t="s">
        <v>3058</v>
      </c>
      <c r="E786" s="375">
        <v>8.10115975441E11</v>
      </c>
      <c r="F786" s="209"/>
      <c r="G786" s="209"/>
      <c r="H786" s="209"/>
      <c r="I786" s="209"/>
      <c r="J786" s="300" t="b">
        <v>1</v>
      </c>
      <c r="K786" s="301" t="b">
        <v>0</v>
      </c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  <c r="AI786" s="209"/>
      <c r="AJ786" s="209"/>
    </row>
    <row r="787">
      <c r="A787" s="309"/>
      <c r="B787" s="311" t="s">
        <v>3059</v>
      </c>
      <c r="C787" s="311" t="s">
        <v>745</v>
      </c>
      <c r="D787" s="311" t="s">
        <v>3060</v>
      </c>
      <c r="E787" s="312">
        <v>8.10115974888E11</v>
      </c>
      <c r="F787" s="313"/>
      <c r="G787" s="313"/>
      <c r="H787" s="313"/>
      <c r="I787" s="313"/>
      <c r="J787" s="350" t="b">
        <v>1</v>
      </c>
      <c r="K787" s="314" t="b">
        <v>0</v>
      </c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</row>
    <row r="788">
      <c r="A788" s="209"/>
      <c r="B788" s="209"/>
      <c r="C788" s="209"/>
      <c r="D788" s="209"/>
      <c r="E788" s="209"/>
      <c r="F788" s="344"/>
      <c r="G788" s="344"/>
      <c r="H788" s="344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</row>
    <row r="789">
      <c r="A789" s="316" t="s">
        <v>3061</v>
      </c>
      <c r="B789" s="319" t="s">
        <v>3062</v>
      </c>
      <c r="C789" s="320"/>
      <c r="D789" s="283" t="s">
        <v>3063</v>
      </c>
      <c r="E789" s="322" t="s">
        <v>116</v>
      </c>
      <c r="F789" s="320"/>
      <c r="G789" s="320"/>
      <c r="H789" s="276" t="s">
        <v>468</v>
      </c>
      <c r="I789" s="285" t="s">
        <v>4182</v>
      </c>
      <c r="J789" s="278" t="str">
        <f>IF(COUNTIF(J790:J793, TRUE) = COUNTA(J790:J793), "Complete!", IF(COUNTIF(J790:J793, TRUE) &gt; 0, "Partial", "Not Started"))</f>
        <v>Complete!</v>
      </c>
      <c r="K789" s="279"/>
      <c r="L789" s="280">
        <v>4.0</v>
      </c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  <c r="AI789" s="209"/>
      <c r="AJ789" s="209"/>
    </row>
    <row r="790">
      <c r="A790" s="291"/>
      <c r="B790" s="377" t="s">
        <v>3064</v>
      </c>
      <c r="C790" s="377" t="s">
        <v>2696</v>
      </c>
      <c r="D790" s="304" t="s">
        <v>3065</v>
      </c>
      <c r="E790" s="305">
        <v>8.10115974772E11</v>
      </c>
      <c r="F790" s="209"/>
      <c r="G790" s="209"/>
      <c r="H790" s="209"/>
      <c r="I790" s="209"/>
      <c r="J790" s="300" t="b">
        <v>1</v>
      </c>
      <c r="K790" s="301" t="b">
        <v>0</v>
      </c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  <c r="AI790" s="209"/>
      <c r="AJ790" s="209"/>
    </row>
    <row r="791">
      <c r="A791" s="291"/>
      <c r="B791" s="304" t="s">
        <v>3066</v>
      </c>
      <c r="C791" s="377" t="s">
        <v>2696</v>
      </c>
      <c r="D791" s="304" t="s">
        <v>3067</v>
      </c>
      <c r="E791" s="375">
        <v>8.10115974789E11</v>
      </c>
      <c r="F791" s="209"/>
      <c r="G791" s="209"/>
      <c r="H791" s="209"/>
      <c r="I791" s="209"/>
      <c r="J791" s="300" t="b">
        <v>1</v>
      </c>
      <c r="K791" s="301" t="b">
        <v>0</v>
      </c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</row>
    <row r="792">
      <c r="A792" s="291"/>
      <c r="B792" s="304" t="s">
        <v>3068</v>
      </c>
      <c r="C792" s="377" t="s">
        <v>2696</v>
      </c>
      <c r="D792" s="304" t="s">
        <v>3069</v>
      </c>
      <c r="E792" s="375">
        <v>8.1011597541E11</v>
      </c>
      <c r="F792" s="209"/>
      <c r="G792" s="209"/>
      <c r="H792" s="209"/>
      <c r="I792" s="209"/>
      <c r="J792" s="300" t="b">
        <v>1</v>
      </c>
      <c r="K792" s="301" t="b">
        <v>0</v>
      </c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  <c r="AI792" s="209"/>
      <c r="AJ792" s="209"/>
    </row>
    <row r="793">
      <c r="A793" s="309"/>
      <c r="B793" s="426" t="s">
        <v>3070</v>
      </c>
      <c r="C793" s="379" t="s">
        <v>2696</v>
      </c>
      <c r="D793" s="311" t="s">
        <v>3071</v>
      </c>
      <c r="E793" s="312">
        <v>8.10115974796E11</v>
      </c>
      <c r="F793" s="313"/>
      <c r="G793" s="313"/>
      <c r="H793" s="313"/>
      <c r="I793" s="313"/>
      <c r="J793" s="350" t="b">
        <v>1</v>
      </c>
      <c r="K793" s="314" t="b">
        <v>0</v>
      </c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  <c r="AI793" s="209"/>
      <c r="AJ793" s="209"/>
    </row>
    <row r="794">
      <c r="A794" s="209"/>
      <c r="B794" s="209"/>
      <c r="C794" s="209"/>
      <c r="D794" s="209"/>
      <c r="E794" s="209"/>
      <c r="F794" s="344"/>
      <c r="G794" s="344"/>
      <c r="H794" s="344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  <c r="AI794" s="209"/>
      <c r="AJ794" s="209"/>
    </row>
    <row r="795">
      <c r="A795" s="316" t="s">
        <v>3072</v>
      </c>
      <c r="B795" s="319" t="s">
        <v>3073</v>
      </c>
      <c r="C795" s="320"/>
      <c r="D795" s="283" t="s">
        <v>3074</v>
      </c>
      <c r="E795" s="402" t="s">
        <v>116</v>
      </c>
      <c r="F795" s="320"/>
      <c r="G795" s="320"/>
      <c r="H795" s="276" t="s">
        <v>376</v>
      </c>
      <c r="I795" s="285" t="s">
        <v>2702</v>
      </c>
      <c r="J795" s="278" t="str">
        <f>IF(COUNTIF(J796:J799, TRUE) = COUNTA(J796:J799), "Complete!", IF(COUNTIF(J796:J799, TRUE) &gt; 0, "Partial", "Not Started"))</f>
        <v>Complete!</v>
      </c>
      <c r="K795" s="279"/>
      <c r="L795" s="280">
        <v>4.0</v>
      </c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  <c r="AI795" s="209"/>
      <c r="AJ795" s="209"/>
    </row>
    <row r="796">
      <c r="A796" s="291"/>
      <c r="B796" s="377" t="s">
        <v>3076</v>
      </c>
      <c r="C796" s="377" t="s">
        <v>3077</v>
      </c>
      <c r="D796" s="304" t="s">
        <v>3078</v>
      </c>
      <c r="E796" s="427">
        <v>8.10115975533E11</v>
      </c>
      <c r="F796" s="209"/>
      <c r="G796" s="209"/>
      <c r="H796" s="209"/>
      <c r="I796" s="209"/>
      <c r="J796" s="300" t="b">
        <v>1</v>
      </c>
      <c r="K796" s="301" t="b">
        <v>0</v>
      </c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  <c r="AI796" s="209"/>
      <c r="AJ796" s="209"/>
    </row>
    <row r="797">
      <c r="A797" s="291"/>
      <c r="B797" s="304" t="s">
        <v>3079</v>
      </c>
      <c r="C797" s="377" t="s">
        <v>3077</v>
      </c>
      <c r="D797" s="304" t="s">
        <v>3080</v>
      </c>
      <c r="E797" s="375" t="s">
        <v>3081</v>
      </c>
      <c r="F797" s="209"/>
      <c r="G797" s="209"/>
      <c r="H797" s="209"/>
      <c r="I797" s="209"/>
      <c r="J797" s="300" t="b">
        <v>1</v>
      </c>
      <c r="K797" s="301" t="b">
        <v>0</v>
      </c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  <c r="AI797" s="209"/>
      <c r="AJ797" s="209"/>
    </row>
    <row r="798">
      <c r="A798" s="291"/>
      <c r="B798" s="304" t="s">
        <v>3082</v>
      </c>
      <c r="C798" s="377" t="s">
        <v>3077</v>
      </c>
      <c r="D798" s="304" t="s">
        <v>3083</v>
      </c>
      <c r="E798" s="375" t="s">
        <v>3084</v>
      </c>
      <c r="F798" s="209"/>
      <c r="G798" s="209"/>
      <c r="H798" s="209"/>
      <c r="I798" s="209"/>
      <c r="J798" s="300" t="b">
        <v>1</v>
      </c>
      <c r="K798" s="301" t="b">
        <v>0</v>
      </c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  <c r="AI798" s="209"/>
      <c r="AJ798" s="209"/>
    </row>
    <row r="799">
      <c r="A799" s="309"/>
      <c r="B799" s="426" t="s">
        <v>3085</v>
      </c>
      <c r="C799" s="379" t="s">
        <v>3077</v>
      </c>
      <c r="D799" s="311" t="s">
        <v>3086</v>
      </c>
      <c r="E799" s="312">
        <v>8.10115975199E11</v>
      </c>
      <c r="F799" s="313"/>
      <c r="G799" s="313"/>
      <c r="H799" s="313"/>
      <c r="I799" s="313"/>
      <c r="J799" s="350" t="b">
        <v>1</v>
      </c>
      <c r="K799" s="314" t="b">
        <v>0</v>
      </c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  <c r="AI799" s="209"/>
      <c r="AJ799" s="209"/>
    </row>
    <row r="800">
      <c r="A800" s="209"/>
      <c r="B800" s="209"/>
      <c r="C800" s="209"/>
      <c r="D800" s="209"/>
      <c r="E800" s="209"/>
      <c r="F800" s="344"/>
      <c r="G800" s="344"/>
      <c r="H800" s="344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  <c r="AI800" s="209"/>
      <c r="AJ800" s="209"/>
    </row>
    <row r="801">
      <c r="A801" s="316" t="s">
        <v>3087</v>
      </c>
      <c r="B801" s="319" t="s">
        <v>3088</v>
      </c>
      <c r="C801" s="320"/>
      <c r="D801" s="283" t="s">
        <v>3089</v>
      </c>
      <c r="E801" s="402" t="s">
        <v>116</v>
      </c>
      <c r="F801" s="320"/>
      <c r="G801" s="320"/>
      <c r="H801" s="276" t="s">
        <v>376</v>
      </c>
      <c r="I801" s="285" t="s">
        <v>4183</v>
      </c>
      <c r="J801" s="278" t="str">
        <f>IF(COUNTIF(J802:J805, TRUE) = COUNTA(J802:J805), "Complete!", IF(COUNTIF(J802:J805, TRUE) &gt; 0, "Partial", "Not Started"))</f>
        <v>Complete!</v>
      </c>
      <c r="K801" s="279"/>
      <c r="L801" s="280">
        <v>4.0</v>
      </c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  <c r="AI801" s="209"/>
      <c r="AJ801" s="209"/>
    </row>
    <row r="802">
      <c r="A802" s="291"/>
      <c r="B802" s="377" t="s">
        <v>3091</v>
      </c>
      <c r="C802" s="377" t="s">
        <v>3092</v>
      </c>
      <c r="D802" s="304" t="s">
        <v>3093</v>
      </c>
      <c r="E802" s="375">
        <v>8.10115974987E11</v>
      </c>
      <c r="F802" s="209"/>
      <c r="G802" s="209"/>
      <c r="H802" s="209"/>
      <c r="I802" s="209"/>
      <c r="J802" s="300" t="b">
        <v>1</v>
      </c>
      <c r="K802" s="301" t="b">
        <v>0</v>
      </c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  <c r="AI802" s="209"/>
      <c r="AJ802" s="209"/>
    </row>
    <row r="803">
      <c r="A803" s="291"/>
      <c r="B803" s="304" t="s">
        <v>3094</v>
      </c>
      <c r="C803" s="377" t="s">
        <v>3092</v>
      </c>
      <c r="D803" s="304" t="s">
        <v>3095</v>
      </c>
      <c r="E803" s="375">
        <v>8.10115974994E11</v>
      </c>
      <c r="F803" s="209"/>
      <c r="G803" s="209"/>
      <c r="H803" s="209"/>
      <c r="I803" s="209"/>
      <c r="J803" s="300" t="b">
        <v>1</v>
      </c>
      <c r="K803" s="301" t="b">
        <v>0</v>
      </c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  <c r="AI803" s="209"/>
      <c r="AJ803" s="209"/>
    </row>
    <row r="804">
      <c r="A804" s="291"/>
      <c r="B804" s="377" t="s">
        <v>3096</v>
      </c>
      <c r="C804" s="377" t="s">
        <v>3092</v>
      </c>
      <c r="D804" s="304" t="s">
        <v>3097</v>
      </c>
      <c r="E804" s="375">
        <v>8.10115975489E11</v>
      </c>
      <c r="F804" s="209"/>
      <c r="G804" s="209"/>
      <c r="H804" s="209"/>
      <c r="I804" s="209"/>
      <c r="J804" s="300" t="b">
        <v>1</v>
      </c>
      <c r="K804" s="301" t="b">
        <v>0</v>
      </c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  <c r="AI804" s="209"/>
      <c r="AJ804" s="209"/>
    </row>
    <row r="805">
      <c r="A805" s="309"/>
      <c r="B805" s="426" t="s">
        <v>3098</v>
      </c>
      <c r="C805" s="379" t="s">
        <v>3092</v>
      </c>
      <c r="D805" s="311" t="s">
        <v>3099</v>
      </c>
      <c r="E805" s="380" t="s">
        <v>3100</v>
      </c>
      <c r="F805" s="313"/>
      <c r="G805" s="313"/>
      <c r="H805" s="313"/>
      <c r="I805" s="313"/>
      <c r="J805" s="350" t="b">
        <v>1</v>
      </c>
      <c r="K805" s="314" t="b">
        <v>0</v>
      </c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  <c r="AI805" s="209"/>
      <c r="AJ805" s="209"/>
    </row>
    <row r="806">
      <c r="A806" s="209"/>
      <c r="B806" s="209"/>
      <c r="C806" s="209"/>
      <c r="D806" s="209"/>
      <c r="E806" s="209"/>
      <c r="F806" s="344"/>
      <c r="G806" s="344"/>
      <c r="H806" s="344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  <c r="AI806" s="209"/>
      <c r="AJ806" s="209"/>
    </row>
    <row r="807">
      <c r="A807" s="271" t="s">
        <v>3101</v>
      </c>
      <c r="B807" s="339" t="s">
        <v>3102</v>
      </c>
      <c r="C807" s="320"/>
      <c r="D807" s="283" t="s">
        <v>3103</v>
      </c>
      <c r="E807" s="402" t="s">
        <v>116</v>
      </c>
      <c r="F807" s="320"/>
      <c r="G807" s="320"/>
      <c r="H807" s="276" t="s">
        <v>376</v>
      </c>
      <c r="I807" s="285" t="s">
        <v>4184</v>
      </c>
      <c r="J807" s="278" t="str">
        <f>IF(COUNTIF(J808:J811, TRUE) = COUNTA(J808:J811), "Complete!", IF(COUNTIF(J808:J811, TRUE) &gt; 0, "Partial", "Not Started"))</f>
        <v>Complete!</v>
      </c>
      <c r="K807" s="279"/>
      <c r="L807" s="280">
        <v>4.0</v>
      </c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  <c r="AI807" s="209"/>
      <c r="AJ807" s="209"/>
    </row>
    <row r="808">
      <c r="A808" s="291"/>
      <c r="B808" s="304" t="s">
        <v>3105</v>
      </c>
      <c r="C808" s="304" t="s">
        <v>617</v>
      </c>
      <c r="D808" s="304" t="s">
        <v>3106</v>
      </c>
      <c r="E808" s="375">
        <v>8.10115974628E11</v>
      </c>
      <c r="F808" s="209"/>
      <c r="G808" s="209"/>
      <c r="H808" s="209"/>
      <c r="I808" s="209"/>
      <c r="J808" s="300" t="b">
        <v>1</v>
      </c>
      <c r="K808" s="301" t="b">
        <v>0</v>
      </c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  <c r="AI808" s="209"/>
      <c r="AJ808" s="209"/>
    </row>
    <row r="809">
      <c r="A809" s="291"/>
      <c r="B809" s="304" t="s">
        <v>3107</v>
      </c>
      <c r="C809" s="304" t="s">
        <v>617</v>
      </c>
      <c r="D809" s="304" t="s">
        <v>3108</v>
      </c>
      <c r="E809" s="305">
        <v>8.10115974642E11</v>
      </c>
      <c r="F809" s="209"/>
      <c r="G809" s="209"/>
      <c r="H809" s="209"/>
      <c r="I809" s="209"/>
      <c r="J809" s="300" t="b">
        <v>1</v>
      </c>
      <c r="K809" s="301" t="b">
        <v>0</v>
      </c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  <c r="AI809" s="209"/>
      <c r="AJ809" s="209"/>
    </row>
    <row r="810">
      <c r="A810" s="291"/>
      <c r="B810" s="304" t="s">
        <v>3109</v>
      </c>
      <c r="C810" s="304" t="s">
        <v>617</v>
      </c>
      <c r="D810" s="304" t="s">
        <v>3110</v>
      </c>
      <c r="E810" s="305">
        <v>8.10115974635E11</v>
      </c>
      <c r="F810" s="209"/>
      <c r="G810" s="209"/>
      <c r="H810" s="209"/>
      <c r="I810" s="209"/>
      <c r="J810" s="300" t="b">
        <v>1</v>
      </c>
      <c r="K810" s="301" t="b">
        <v>0</v>
      </c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  <c r="AI810" s="209"/>
      <c r="AJ810" s="209"/>
    </row>
    <row r="811">
      <c r="A811" s="291"/>
      <c r="B811" s="426" t="s">
        <v>3111</v>
      </c>
      <c r="C811" s="311" t="s">
        <v>617</v>
      </c>
      <c r="D811" s="311" t="s">
        <v>3112</v>
      </c>
      <c r="E811" s="312">
        <v>8.10115975366E11</v>
      </c>
      <c r="F811" s="313"/>
      <c r="G811" s="313"/>
      <c r="H811" s="313"/>
      <c r="I811" s="313"/>
      <c r="J811" s="350" t="b">
        <v>1</v>
      </c>
      <c r="K811" s="314" t="b">
        <v>0</v>
      </c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  <c r="AI811" s="209"/>
      <c r="AJ811" s="209"/>
    </row>
    <row r="812">
      <c r="A812" s="313"/>
      <c r="B812" s="313"/>
      <c r="C812" s="313"/>
      <c r="D812" s="313"/>
      <c r="E812" s="313"/>
      <c r="F812" s="344"/>
      <c r="G812" s="344"/>
      <c r="H812" s="344"/>
      <c r="I812" s="313"/>
      <c r="J812" s="313"/>
      <c r="K812" s="313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  <c r="AI812" s="209"/>
      <c r="AJ812" s="209"/>
    </row>
    <row r="813">
      <c r="A813" s="271" t="s">
        <v>3113</v>
      </c>
      <c r="B813" s="428" t="s">
        <v>3114</v>
      </c>
      <c r="C813" s="429"/>
      <c r="D813" s="430" t="s">
        <v>3115</v>
      </c>
      <c r="E813" s="431" t="s">
        <v>116</v>
      </c>
      <c r="F813" s="320"/>
      <c r="G813" s="320"/>
      <c r="H813" s="276" t="s">
        <v>376</v>
      </c>
      <c r="I813" s="432" t="s">
        <v>4185</v>
      </c>
      <c r="J813" s="278" t="str">
        <f>IF(COUNTIF(J814:J817, TRUE) = COUNTA(J814:J817), "Complete!", IF(COUNTIF(J814:J817, TRUE) &gt; 0, "Partial", "Not Started"))</f>
        <v>Complete!</v>
      </c>
      <c r="K813" s="279"/>
      <c r="L813" s="280">
        <v>4.0</v>
      </c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  <c r="AI813" s="209"/>
      <c r="AJ813" s="209"/>
    </row>
    <row r="814">
      <c r="A814" s="291"/>
      <c r="B814" s="377" t="s">
        <v>3117</v>
      </c>
      <c r="C814" s="377" t="s">
        <v>394</v>
      </c>
      <c r="D814" s="304" t="s">
        <v>3118</v>
      </c>
      <c r="E814" s="406">
        <v>8.10115974802E11</v>
      </c>
      <c r="F814" s="209"/>
      <c r="G814" s="209"/>
      <c r="H814" s="209"/>
      <c r="I814" s="209"/>
      <c r="J814" s="300" t="b">
        <v>1</v>
      </c>
      <c r="K814" s="301" t="b">
        <v>0</v>
      </c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  <c r="AI814" s="209"/>
      <c r="AJ814" s="209"/>
    </row>
    <row r="815">
      <c r="A815" s="291"/>
      <c r="B815" s="377" t="s">
        <v>3119</v>
      </c>
      <c r="C815" s="377" t="s">
        <v>394</v>
      </c>
      <c r="D815" s="304" t="s">
        <v>3120</v>
      </c>
      <c r="E815" s="406" t="s">
        <v>3121</v>
      </c>
      <c r="F815" s="209"/>
      <c r="G815" s="209"/>
      <c r="H815" s="209"/>
      <c r="I815" s="209"/>
      <c r="J815" s="300" t="b">
        <v>1</v>
      </c>
      <c r="K815" s="301" t="b">
        <v>0</v>
      </c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  <c r="AI815" s="209"/>
      <c r="AJ815" s="209"/>
    </row>
    <row r="816">
      <c r="A816" s="291"/>
      <c r="B816" s="377" t="s">
        <v>3122</v>
      </c>
      <c r="C816" s="377" t="s">
        <v>394</v>
      </c>
      <c r="D816" s="304" t="s">
        <v>3123</v>
      </c>
      <c r="E816" s="406" t="s">
        <v>3124</v>
      </c>
      <c r="F816" s="209"/>
      <c r="G816" s="209"/>
      <c r="H816" s="209"/>
      <c r="I816" s="209"/>
      <c r="J816" s="300" t="b">
        <v>1</v>
      </c>
      <c r="K816" s="301" t="b">
        <v>0</v>
      </c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  <c r="AI816" s="209"/>
      <c r="AJ816" s="209"/>
    </row>
    <row r="817">
      <c r="A817" s="309"/>
      <c r="B817" s="433" t="s">
        <v>3125</v>
      </c>
      <c r="C817" s="379" t="s">
        <v>394</v>
      </c>
      <c r="D817" s="311" t="s">
        <v>3126</v>
      </c>
      <c r="E817" s="425">
        <v>8.10115974826E11</v>
      </c>
      <c r="F817" s="313"/>
      <c r="G817" s="313"/>
      <c r="H817" s="313"/>
      <c r="I817" s="313"/>
      <c r="J817" s="350" t="b">
        <v>1</v>
      </c>
      <c r="K817" s="314" t="b">
        <v>0</v>
      </c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  <c r="AI817" s="209"/>
      <c r="AJ817" s="209"/>
    </row>
    <row r="818">
      <c r="A818" s="313"/>
      <c r="B818" s="209"/>
      <c r="C818" s="209"/>
      <c r="D818" s="209"/>
      <c r="E818" s="353"/>
      <c r="F818" s="344"/>
      <c r="G818" s="344"/>
      <c r="H818" s="344"/>
      <c r="I818" s="209"/>
      <c r="J818" s="313"/>
      <c r="K818" s="313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  <c r="AI818" s="209"/>
      <c r="AJ818" s="209"/>
    </row>
    <row r="819">
      <c r="A819" s="316" t="s">
        <v>3127</v>
      </c>
      <c r="B819" s="339" t="s">
        <v>3128</v>
      </c>
      <c r="C819" s="320"/>
      <c r="D819" s="283" t="s">
        <v>3129</v>
      </c>
      <c r="E819" s="402" t="s">
        <v>116</v>
      </c>
      <c r="F819" s="320"/>
      <c r="G819" s="320"/>
      <c r="H819" s="276" t="s">
        <v>370</v>
      </c>
      <c r="I819" s="285" t="s">
        <v>4186</v>
      </c>
      <c r="J819" s="278" t="str">
        <f>IF(COUNTIF(J820:J823, TRUE) = COUNTA(J820:J823), "Complete!", IF(COUNTIF(J820:J823, TRUE) &gt; 0, "Partial", "Not Started"))</f>
        <v>Complete!</v>
      </c>
      <c r="K819" s="279"/>
      <c r="L819" s="280">
        <v>4.0</v>
      </c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  <c r="AI819" s="209"/>
      <c r="AJ819" s="209"/>
    </row>
    <row r="820">
      <c r="A820" s="291"/>
      <c r="B820" s="304" t="s">
        <v>3130</v>
      </c>
      <c r="C820" s="304" t="s">
        <v>726</v>
      </c>
      <c r="D820" s="304" t="s">
        <v>3131</v>
      </c>
      <c r="E820" s="375">
        <v>8.10115974925E11</v>
      </c>
      <c r="F820" s="209"/>
      <c r="G820" s="209"/>
      <c r="H820" s="209"/>
      <c r="I820" s="209"/>
      <c r="J820" s="300" t="b">
        <v>1</v>
      </c>
      <c r="K820" s="301" t="b">
        <v>0</v>
      </c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  <c r="AI820" s="209"/>
      <c r="AJ820" s="209"/>
    </row>
    <row r="821">
      <c r="A821" s="291"/>
      <c r="B821" s="304" t="s">
        <v>3132</v>
      </c>
      <c r="C821" s="304" t="s">
        <v>726</v>
      </c>
      <c r="D821" s="304" t="s">
        <v>3133</v>
      </c>
      <c r="E821" s="375">
        <v>8.10115974932E11</v>
      </c>
      <c r="F821" s="209"/>
      <c r="G821" s="209"/>
      <c r="H821" s="209"/>
      <c r="I821" s="209"/>
      <c r="J821" s="300" t="b">
        <v>1</v>
      </c>
      <c r="K821" s="301" t="b">
        <v>0</v>
      </c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  <c r="AI821" s="209"/>
      <c r="AJ821" s="209"/>
    </row>
    <row r="822">
      <c r="A822" s="291"/>
      <c r="B822" s="304" t="s">
        <v>3134</v>
      </c>
      <c r="C822" s="304" t="s">
        <v>726</v>
      </c>
      <c r="D822" s="304" t="s">
        <v>3135</v>
      </c>
      <c r="E822" s="305">
        <v>8.10115975465E11</v>
      </c>
      <c r="F822" s="209"/>
      <c r="G822" s="209"/>
      <c r="H822" s="209"/>
      <c r="I822" s="209"/>
      <c r="J822" s="300" t="b">
        <v>1</v>
      </c>
      <c r="K822" s="301" t="b">
        <v>0</v>
      </c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  <c r="AI822" s="209"/>
      <c r="AJ822" s="209"/>
    </row>
    <row r="823">
      <c r="A823" s="309"/>
      <c r="B823" s="426" t="s">
        <v>3136</v>
      </c>
      <c r="C823" s="311" t="s">
        <v>726</v>
      </c>
      <c r="D823" s="311" t="s">
        <v>3137</v>
      </c>
      <c r="E823" s="312">
        <v>8.10115974949E11</v>
      </c>
      <c r="F823" s="313"/>
      <c r="G823" s="313"/>
      <c r="H823" s="313"/>
      <c r="I823" s="313"/>
      <c r="J823" s="350" t="b">
        <v>1</v>
      </c>
      <c r="K823" s="314" t="b">
        <v>0</v>
      </c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  <c r="AI823" s="209"/>
      <c r="AJ823" s="209"/>
    </row>
    <row r="824">
      <c r="A824" s="313"/>
      <c r="B824" s="209"/>
      <c r="C824" s="209"/>
      <c r="D824" s="209"/>
      <c r="E824" s="209"/>
      <c r="F824" s="344"/>
      <c r="G824" s="344"/>
      <c r="H824" s="344"/>
      <c r="I824" s="209"/>
      <c r="J824" s="313"/>
      <c r="K824" s="313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  <c r="AI824" s="209"/>
      <c r="AJ824" s="209"/>
    </row>
    <row r="825">
      <c r="A825" s="316" t="s">
        <v>3138</v>
      </c>
      <c r="B825" s="339" t="s">
        <v>3139</v>
      </c>
      <c r="C825" s="320"/>
      <c r="D825" s="283" t="s">
        <v>3140</v>
      </c>
      <c r="E825" s="322" t="s">
        <v>116</v>
      </c>
      <c r="F825" s="320"/>
      <c r="G825" s="320"/>
      <c r="H825" s="276" t="s">
        <v>376</v>
      </c>
      <c r="I825" s="285" t="s">
        <v>4187</v>
      </c>
      <c r="J825" s="278" t="str">
        <f>IF(COUNTIF(J826:J829, TRUE) = COUNTA(J826:J829), "Complete!", IF(COUNTIF(J826:J829, TRUE) &gt; 0, "Partial", "Not Started"))</f>
        <v>Complete!</v>
      </c>
      <c r="K825" s="279"/>
      <c r="L825" s="280">
        <v>4.0</v>
      </c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  <c r="AI825" s="209"/>
      <c r="AJ825" s="209"/>
    </row>
    <row r="826">
      <c r="A826" s="291"/>
      <c r="B826" s="377" t="s">
        <v>3142</v>
      </c>
      <c r="C826" s="377" t="s">
        <v>3143</v>
      </c>
      <c r="D826" s="304" t="s">
        <v>3144</v>
      </c>
      <c r="E826" s="395">
        <v>8.10115974956E11</v>
      </c>
      <c r="F826" s="209"/>
      <c r="G826" s="209"/>
      <c r="H826" s="209"/>
      <c r="I826" s="209"/>
      <c r="J826" s="300" t="b">
        <v>1</v>
      </c>
      <c r="K826" s="301" t="b">
        <v>0</v>
      </c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  <c r="AI826" s="209"/>
      <c r="AJ826" s="209"/>
    </row>
    <row r="827">
      <c r="A827" s="291"/>
      <c r="B827" s="377" t="s">
        <v>3145</v>
      </c>
      <c r="C827" s="377" t="s">
        <v>3143</v>
      </c>
      <c r="D827" s="304" t="s">
        <v>3146</v>
      </c>
      <c r="E827" s="406" t="s">
        <v>3147</v>
      </c>
      <c r="F827" s="209"/>
      <c r="G827" s="209"/>
      <c r="H827" s="209"/>
      <c r="I827" s="209"/>
      <c r="J827" s="300" t="b">
        <v>1</v>
      </c>
      <c r="K827" s="301" t="b">
        <v>0</v>
      </c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  <c r="AI827" s="209"/>
      <c r="AJ827" s="209"/>
    </row>
    <row r="828">
      <c r="A828" s="291"/>
      <c r="B828" s="377" t="s">
        <v>3148</v>
      </c>
      <c r="C828" s="377" t="s">
        <v>3143</v>
      </c>
      <c r="D828" s="304" t="s">
        <v>3149</v>
      </c>
      <c r="E828" s="406" t="s">
        <v>3150</v>
      </c>
      <c r="F828" s="209"/>
      <c r="G828" s="209"/>
      <c r="H828" s="209"/>
      <c r="I828" s="209"/>
      <c r="J828" s="300" t="b">
        <v>1</v>
      </c>
      <c r="K828" s="301" t="b">
        <v>0</v>
      </c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  <c r="AI828" s="209"/>
      <c r="AJ828" s="209"/>
    </row>
    <row r="829">
      <c r="A829" s="309"/>
      <c r="B829" s="433" t="s">
        <v>3151</v>
      </c>
      <c r="C829" s="379" t="s">
        <v>3143</v>
      </c>
      <c r="D829" s="311" t="s">
        <v>3152</v>
      </c>
      <c r="E829" s="425">
        <v>8.1011597497E11</v>
      </c>
      <c r="F829" s="313"/>
      <c r="G829" s="313"/>
      <c r="H829" s="313"/>
      <c r="I829" s="313"/>
      <c r="J829" s="350" t="b">
        <v>1</v>
      </c>
      <c r="K829" s="314" t="b">
        <v>0</v>
      </c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  <c r="AI829" s="209"/>
      <c r="AJ829" s="209"/>
    </row>
    <row r="830">
      <c r="A830" s="209"/>
      <c r="B830" s="209"/>
      <c r="C830" s="209"/>
      <c r="D830" s="209"/>
      <c r="E830" s="209"/>
      <c r="F830" s="344"/>
      <c r="G830" s="344"/>
      <c r="H830" s="344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  <c r="AI830" s="209"/>
      <c r="AJ830" s="209"/>
    </row>
    <row r="831">
      <c r="A831" s="316" t="s">
        <v>3153</v>
      </c>
      <c r="B831" s="319" t="s">
        <v>3154</v>
      </c>
      <c r="C831" s="320"/>
      <c r="D831" s="283" t="s">
        <v>3155</v>
      </c>
      <c r="E831" s="322" t="s">
        <v>116</v>
      </c>
      <c r="F831" s="320"/>
      <c r="G831" s="320"/>
      <c r="H831" s="276" t="s">
        <v>1796</v>
      </c>
      <c r="I831" s="285" t="s">
        <v>4188</v>
      </c>
      <c r="J831" s="278" t="str">
        <f>IF(COUNTIF(J832:J855, TRUE) = COUNTA(J832:J855), "Complete!", IF(COUNTIF(J832:J855, TRUE) &gt; 0, "Partial", "Not Started"))</f>
        <v>Complete!</v>
      </c>
      <c r="K831" s="279"/>
      <c r="L831" s="280">
        <v>24.0</v>
      </c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  <c r="AI831" s="209"/>
      <c r="AJ831" s="209"/>
    </row>
    <row r="832">
      <c r="A832" s="291"/>
      <c r="B832" s="303" t="s">
        <v>3157</v>
      </c>
      <c r="C832" s="304" t="s">
        <v>3158</v>
      </c>
      <c r="D832" s="304" t="s">
        <v>3159</v>
      </c>
      <c r="E832" s="305">
        <v>8.10115975045E11</v>
      </c>
      <c r="F832" s="209"/>
      <c r="G832" s="209"/>
      <c r="H832" s="209"/>
      <c r="I832" s="209"/>
      <c r="J832" s="300" t="b">
        <v>1</v>
      </c>
      <c r="K832" s="301" t="b">
        <v>0</v>
      </c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  <c r="AI832" s="209"/>
      <c r="AJ832" s="209"/>
    </row>
    <row r="833">
      <c r="A833" s="291"/>
      <c r="B833" s="376" t="s">
        <v>3160</v>
      </c>
      <c r="C833" s="304" t="s">
        <v>3158</v>
      </c>
      <c r="D833" s="304" t="s">
        <v>3161</v>
      </c>
      <c r="E833" s="305">
        <v>8.10115975052E11</v>
      </c>
      <c r="F833" s="209"/>
      <c r="G833" s="209"/>
      <c r="H833" s="209"/>
      <c r="I833" s="209"/>
      <c r="J833" s="300" t="b">
        <v>1</v>
      </c>
      <c r="K833" s="301" t="b">
        <v>0</v>
      </c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  <c r="AI833" s="209"/>
      <c r="AJ833" s="209"/>
    </row>
    <row r="834">
      <c r="A834" s="291"/>
      <c r="B834" s="376" t="s">
        <v>3162</v>
      </c>
      <c r="C834" s="304" t="s">
        <v>3158</v>
      </c>
      <c r="D834" s="304" t="s">
        <v>3163</v>
      </c>
      <c r="E834" s="305">
        <v>8.10115975502E11</v>
      </c>
      <c r="F834" s="209"/>
      <c r="G834" s="209"/>
      <c r="H834" s="209"/>
      <c r="I834" s="209"/>
      <c r="J834" s="300" t="b">
        <v>1</v>
      </c>
      <c r="K834" s="301" t="b">
        <v>0</v>
      </c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  <c r="AI834" s="209"/>
      <c r="AJ834" s="209"/>
    </row>
    <row r="835">
      <c r="A835" s="291"/>
      <c r="B835" s="354" t="s">
        <v>3164</v>
      </c>
      <c r="C835" s="304" t="s">
        <v>3158</v>
      </c>
      <c r="D835" s="304" t="s">
        <v>3165</v>
      </c>
      <c r="E835" s="305">
        <v>8.10115975069E11</v>
      </c>
      <c r="F835" s="209"/>
      <c r="G835" s="209"/>
      <c r="H835" s="209"/>
      <c r="I835" s="209"/>
      <c r="J835" s="300" t="b">
        <v>1</v>
      </c>
      <c r="K835" s="301" t="b">
        <v>0</v>
      </c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  <c r="AI835" s="209"/>
      <c r="AJ835" s="209"/>
    </row>
    <row r="836">
      <c r="A836" s="291"/>
      <c r="B836" s="303" t="s">
        <v>3166</v>
      </c>
      <c r="C836" s="304" t="s">
        <v>3167</v>
      </c>
      <c r="D836" s="304" t="s">
        <v>3168</v>
      </c>
      <c r="E836" s="375" t="s">
        <v>3169</v>
      </c>
      <c r="F836" s="209"/>
      <c r="G836" s="209"/>
      <c r="H836" s="209"/>
      <c r="I836" s="304" t="s">
        <v>3154</v>
      </c>
      <c r="J836" s="300" t="b">
        <v>1</v>
      </c>
      <c r="K836" s="301" t="b">
        <v>0</v>
      </c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  <c r="AI836" s="209"/>
      <c r="AJ836" s="209"/>
    </row>
    <row r="837">
      <c r="A837" s="291"/>
      <c r="B837" s="376" t="s">
        <v>3170</v>
      </c>
      <c r="C837" s="304" t="s">
        <v>3167</v>
      </c>
      <c r="D837" s="304" t="s">
        <v>3171</v>
      </c>
      <c r="E837" s="375" t="s">
        <v>3172</v>
      </c>
      <c r="F837" s="209"/>
      <c r="G837" s="209"/>
      <c r="H837" s="209"/>
      <c r="I837" s="304" t="s">
        <v>3154</v>
      </c>
      <c r="J837" s="300" t="b">
        <v>1</v>
      </c>
      <c r="K837" s="301" t="b">
        <v>0</v>
      </c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  <c r="AI837" s="209"/>
      <c r="AJ837" s="209"/>
    </row>
    <row r="838">
      <c r="A838" s="291"/>
      <c r="B838" s="376" t="s">
        <v>3173</v>
      </c>
      <c r="C838" s="304" t="s">
        <v>3167</v>
      </c>
      <c r="D838" s="304" t="s">
        <v>3174</v>
      </c>
      <c r="E838" s="375" t="s">
        <v>3175</v>
      </c>
      <c r="F838" s="209"/>
      <c r="G838" s="209"/>
      <c r="H838" s="209"/>
      <c r="I838" s="209"/>
      <c r="J838" s="300" t="b">
        <v>1</v>
      </c>
      <c r="K838" s="301" t="b">
        <v>0</v>
      </c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  <c r="AI838" s="209"/>
      <c r="AJ838" s="209"/>
    </row>
    <row r="839">
      <c r="A839" s="291"/>
      <c r="B839" s="303" t="s">
        <v>3176</v>
      </c>
      <c r="C839" s="304" t="s">
        <v>3167</v>
      </c>
      <c r="D839" s="304" t="s">
        <v>3177</v>
      </c>
      <c r="E839" s="375" t="s">
        <v>3178</v>
      </c>
      <c r="F839" s="209"/>
      <c r="G839" s="209"/>
      <c r="H839" s="209"/>
      <c r="I839" s="209"/>
      <c r="J839" s="300" t="b">
        <v>1</v>
      </c>
      <c r="K839" s="301" t="b">
        <v>0</v>
      </c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  <c r="AI839" s="209"/>
      <c r="AJ839" s="209"/>
    </row>
    <row r="840">
      <c r="A840" s="291"/>
      <c r="B840" s="303" t="s">
        <v>3179</v>
      </c>
      <c r="C840" s="410" t="s">
        <v>3180</v>
      </c>
      <c r="D840" s="304" t="s">
        <v>3181</v>
      </c>
      <c r="E840" s="375" t="s">
        <v>3182</v>
      </c>
      <c r="F840" s="209"/>
      <c r="G840" s="209"/>
      <c r="H840" s="209"/>
      <c r="I840" s="304" t="s">
        <v>3154</v>
      </c>
      <c r="J840" s="300" t="b">
        <v>1</v>
      </c>
      <c r="K840" s="301" t="b">
        <v>0</v>
      </c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  <c r="AI840" s="209"/>
      <c r="AJ840" s="209"/>
    </row>
    <row r="841">
      <c r="A841" s="291"/>
      <c r="B841" s="396" t="s">
        <v>3183</v>
      </c>
      <c r="C841" s="410" t="s">
        <v>3180</v>
      </c>
      <c r="D841" s="304" t="s">
        <v>3184</v>
      </c>
      <c r="E841" s="375" t="s">
        <v>3185</v>
      </c>
      <c r="F841" s="209"/>
      <c r="G841" s="209"/>
      <c r="H841" s="209"/>
      <c r="I841" s="209"/>
      <c r="J841" s="300" t="b">
        <v>1</v>
      </c>
      <c r="K841" s="301" t="b">
        <v>0</v>
      </c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  <c r="AI841" s="209"/>
      <c r="AJ841" s="209"/>
    </row>
    <row r="842">
      <c r="A842" s="291"/>
      <c r="B842" s="376" t="s">
        <v>3186</v>
      </c>
      <c r="C842" s="410" t="s">
        <v>3180</v>
      </c>
      <c r="D842" s="304" t="s">
        <v>3187</v>
      </c>
      <c r="E842" s="375" t="s">
        <v>3188</v>
      </c>
      <c r="F842" s="209"/>
      <c r="G842" s="209"/>
      <c r="H842" s="209"/>
      <c r="I842" s="209"/>
      <c r="J842" s="300" t="b">
        <v>1</v>
      </c>
      <c r="K842" s="301" t="b">
        <v>0</v>
      </c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  <c r="AI842" s="209"/>
      <c r="AJ842" s="209"/>
    </row>
    <row r="843">
      <c r="A843" s="291"/>
      <c r="B843" s="303" t="s">
        <v>3189</v>
      </c>
      <c r="C843" s="410" t="s">
        <v>3180</v>
      </c>
      <c r="D843" s="304" t="s">
        <v>3190</v>
      </c>
      <c r="E843" s="375" t="s">
        <v>3191</v>
      </c>
      <c r="F843" s="209"/>
      <c r="G843" s="209"/>
      <c r="H843" s="209"/>
      <c r="I843" s="209"/>
      <c r="J843" s="300" t="b">
        <v>1</v>
      </c>
      <c r="K843" s="301" t="b">
        <v>0</v>
      </c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  <c r="AI843" s="209"/>
      <c r="AJ843" s="209"/>
    </row>
    <row r="844">
      <c r="A844" s="291"/>
      <c r="B844" s="376" t="s">
        <v>3192</v>
      </c>
      <c r="C844" s="377" t="s">
        <v>3193</v>
      </c>
      <c r="D844" s="304" t="s">
        <v>3194</v>
      </c>
      <c r="E844" s="406">
        <v>8.10115978916E11</v>
      </c>
      <c r="F844" s="209"/>
      <c r="G844" s="209"/>
      <c r="H844" s="209"/>
      <c r="I844" s="304" t="s">
        <v>3154</v>
      </c>
      <c r="J844" s="300" t="b">
        <v>1</v>
      </c>
      <c r="K844" s="301" t="b">
        <v>0</v>
      </c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  <c r="AI844" s="209"/>
      <c r="AJ844" s="209"/>
    </row>
    <row r="845">
      <c r="A845" s="291"/>
      <c r="B845" s="376" t="s">
        <v>3195</v>
      </c>
      <c r="C845" s="377" t="s">
        <v>3193</v>
      </c>
      <c r="D845" s="304" t="s">
        <v>3196</v>
      </c>
      <c r="E845" s="305">
        <v>8.10115978909E11</v>
      </c>
      <c r="F845" s="209"/>
      <c r="G845" s="209"/>
      <c r="H845" s="209"/>
      <c r="I845" s="209"/>
      <c r="J845" s="300" t="b">
        <v>1</v>
      </c>
      <c r="K845" s="301" t="b">
        <v>0</v>
      </c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  <c r="AI845" s="209"/>
      <c r="AJ845" s="209"/>
    </row>
    <row r="846">
      <c r="A846" s="291"/>
      <c r="B846" s="376" t="s">
        <v>3197</v>
      </c>
      <c r="C846" s="377" t="s">
        <v>3193</v>
      </c>
      <c r="D846" s="304" t="s">
        <v>3198</v>
      </c>
      <c r="E846" s="305">
        <v>8.10115977131E11</v>
      </c>
      <c r="F846" s="209"/>
      <c r="G846" s="209"/>
      <c r="H846" s="209"/>
      <c r="I846" s="209"/>
      <c r="J846" s="300" t="b">
        <v>1</v>
      </c>
      <c r="K846" s="301" t="b">
        <v>0</v>
      </c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  <c r="AI846" s="209"/>
      <c r="AJ846" s="209"/>
    </row>
    <row r="847">
      <c r="A847" s="291"/>
      <c r="B847" s="354" t="s">
        <v>3199</v>
      </c>
      <c r="C847" s="377" t="s">
        <v>3193</v>
      </c>
      <c r="D847" s="304" t="s">
        <v>3200</v>
      </c>
      <c r="E847" s="375" t="s">
        <v>3201</v>
      </c>
      <c r="F847" s="209"/>
      <c r="G847" s="209"/>
      <c r="H847" s="209"/>
      <c r="I847" s="209"/>
      <c r="J847" s="300" t="b">
        <v>1</v>
      </c>
      <c r="K847" s="301" t="b">
        <v>0</v>
      </c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  <c r="AI847" s="209"/>
      <c r="AJ847" s="209"/>
    </row>
    <row r="848">
      <c r="A848" s="291"/>
      <c r="B848" s="303" t="s">
        <v>3202</v>
      </c>
      <c r="C848" s="304" t="s">
        <v>3203</v>
      </c>
      <c r="D848" s="304" t="s">
        <v>3204</v>
      </c>
      <c r="E848" s="375">
        <v>8.10115978817E11</v>
      </c>
      <c r="F848" s="209"/>
      <c r="G848" s="209"/>
      <c r="H848" s="209"/>
      <c r="I848" s="209"/>
      <c r="J848" s="300" t="b">
        <v>1</v>
      </c>
      <c r="K848" s="301" t="b">
        <v>0</v>
      </c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  <c r="AI848" s="209"/>
      <c r="AJ848" s="209"/>
    </row>
    <row r="849">
      <c r="A849" s="291"/>
      <c r="B849" s="376" t="s">
        <v>3205</v>
      </c>
      <c r="C849" s="304" t="s">
        <v>3203</v>
      </c>
      <c r="D849" s="304" t="s">
        <v>3206</v>
      </c>
      <c r="E849" s="305">
        <v>8.10115978824E11</v>
      </c>
      <c r="F849" s="209"/>
      <c r="G849" s="209"/>
      <c r="H849" s="209"/>
      <c r="I849" s="304" t="s">
        <v>3154</v>
      </c>
      <c r="J849" s="300" t="b">
        <v>1</v>
      </c>
      <c r="K849" s="301" t="b">
        <v>0</v>
      </c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  <c r="AI849" s="209"/>
      <c r="AJ849" s="209"/>
    </row>
    <row r="850">
      <c r="A850" s="291"/>
      <c r="B850" s="376" t="s">
        <v>3207</v>
      </c>
      <c r="C850" s="304" t="s">
        <v>3203</v>
      </c>
      <c r="D850" s="304" t="s">
        <v>3208</v>
      </c>
      <c r="E850" s="305">
        <v>8.10115977148E11</v>
      </c>
      <c r="F850" s="209"/>
      <c r="G850" s="209"/>
      <c r="H850" s="209"/>
      <c r="I850" s="209"/>
      <c r="J850" s="300" t="b">
        <v>1</v>
      </c>
      <c r="K850" s="301" t="b">
        <v>0</v>
      </c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</row>
    <row r="851">
      <c r="A851" s="291"/>
      <c r="B851" s="303" t="s">
        <v>3209</v>
      </c>
      <c r="C851" s="304" t="s">
        <v>3203</v>
      </c>
      <c r="D851" s="304" t="s">
        <v>3210</v>
      </c>
      <c r="E851" s="305">
        <v>8.101159788E11</v>
      </c>
      <c r="F851" s="209"/>
      <c r="G851" s="209"/>
      <c r="H851" s="209"/>
      <c r="I851" s="209"/>
      <c r="J851" s="300" t="b">
        <v>1</v>
      </c>
      <c r="K851" s="301" t="b">
        <v>0</v>
      </c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  <c r="AI851" s="209"/>
      <c r="AJ851" s="209"/>
    </row>
    <row r="852">
      <c r="A852" s="291"/>
      <c r="B852" s="376" t="s">
        <v>3211</v>
      </c>
      <c r="C852" s="377" t="s">
        <v>3212</v>
      </c>
      <c r="D852" s="304" t="s">
        <v>3213</v>
      </c>
      <c r="E852" s="395">
        <v>8.10115978855E11</v>
      </c>
      <c r="F852" s="209"/>
      <c r="G852" s="209"/>
      <c r="H852" s="209"/>
      <c r="I852" s="304" t="s">
        <v>3154</v>
      </c>
      <c r="J852" s="300" t="b">
        <v>1</v>
      </c>
      <c r="K852" s="301" t="b">
        <v>0</v>
      </c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  <c r="AI852" s="209"/>
      <c r="AJ852" s="209"/>
    </row>
    <row r="853">
      <c r="A853" s="291"/>
      <c r="B853" s="396" t="s">
        <v>3214</v>
      </c>
      <c r="C853" s="377" t="s">
        <v>3212</v>
      </c>
      <c r="D853" s="304" t="s">
        <v>3215</v>
      </c>
      <c r="E853" s="305">
        <v>8.10115978848E11</v>
      </c>
      <c r="F853" s="209"/>
      <c r="G853" s="209"/>
      <c r="H853" s="209"/>
      <c r="I853" s="209"/>
      <c r="J853" s="300" t="b">
        <v>1</v>
      </c>
      <c r="K853" s="301" t="b">
        <v>0</v>
      </c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  <c r="AI853" s="209"/>
      <c r="AJ853" s="209"/>
    </row>
    <row r="854">
      <c r="A854" s="291"/>
      <c r="B854" s="376" t="s">
        <v>3216</v>
      </c>
      <c r="C854" s="377" t="s">
        <v>3212</v>
      </c>
      <c r="D854" s="304" t="s">
        <v>3217</v>
      </c>
      <c r="E854" s="305">
        <v>8.10115977155E11</v>
      </c>
      <c r="F854" s="209"/>
      <c r="G854" s="209"/>
      <c r="H854" s="209"/>
      <c r="I854" s="209"/>
      <c r="J854" s="300" t="b">
        <v>1</v>
      </c>
      <c r="K854" s="301" t="b">
        <v>0</v>
      </c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</row>
    <row r="855">
      <c r="A855" s="309"/>
      <c r="B855" s="378" t="s">
        <v>3218</v>
      </c>
      <c r="C855" s="379" t="s">
        <v>3212</v>
      </c>
      <c r="D855" s="311" t="s">
        <v>3219</v>
      </c>
      <c r="E855" s="407">
        <v>8.10115978831E11</v>
      </c>
      <c r="F855" s="313"/>
      <c r="G855" s="313"/>
      <c r="H855" s="313"/>
      <c r="I855" s="313"/>
      <c r="J855" s="350" t="b">
        <v>1</v>
      </c>
      <c r="K855" s="314" t="b">
        <v>0</v>
      </c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</row>
    <row r="856">
      <c r="A856" s="209"/>
      <c r="B856" s="209"/>
      <c r="C856" s="209"/>
      <c r="D856" s="209"/>
      <c r="E856" s="353"/>
      <c r="F856" s="344"/>
      <c r="G856" s="344"/>
      <c r="H856" s="344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  <c r="AI856" s="209"/>
      <c r="AJ856" s="209"/>
    </row>
    <row r="857">
      <c r="A857" s="316" t="s">
        <v>3220</v>
      </c>
      <c r="B857" s="339" t="s">
        <v>3221</v>
      </c>
      <c r="C857" s="320"/>
      <c r="D857" s="283" t="s">
        <v>3222</v>
      </c>
      <c r="E857" s="322" t="s">
        <v>116</v>
      </c>
      <c r="F857" s="320"/>
      <c r="G857" s="320"/>
      <c r="H857" s="276" t="s">
        <v>468</v>
      </c>
      <c r="I857" s="285" t="s">
        <v>1596</v>
      </c>
      <c r="J857" s="278" t="str">
        <f>IF(COUNTIF(J858:J861, TRUE) = COUNTA(J858:J861), "Complete!", IF(COUNTIF(J858:J861, TRUE) &gt; 0, "Partial", "Not Started"))</f>
        <v>Complete!</v>
      </c>
      <c r="K857" s="279"/>
      <c r="L857" s="280">
        <v>4.0</v>
      </c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  <c r="AI857" s="209"/>
      <c r="AJ857" s="209"/>
    </row>
    <row r="858">
      <c r="A858" s="291"/>
      <c r="B858" s="377" t="s">
        <v>3224</v>
      </c>
      <c r="C858" s="377" t="s">
        <v>651</v>
      </c>
      <c r="D858" s="304" t="s">
        <v>3225</v>
      </c>
      <c r="E858" s="395">
        <v>8.4047250026E11</v>
      </c>
      <c r="F858" s="209"/>
      <c r="G858" s="209"/>
      <c r="H858" s="209"/>
      <c r="I858" s="209"/>
      <c r="J858" s="300" t="b">
        <v>1</v>
      </c>
      <c r="K858" s="301" t="b">
        <v>0</v>
      </c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  <c r="AI858" s="209"/>
      <c r="AJ858" s="209"/>
    </row>
    <row r="859">
      <c r="A859" s="291"/>
      <c r="B859" s="424" t="s">
        <v>3226</v>
      </c>
      <c r="C859" s="377" t="s">
        <v>651</v>
      </c>
      <c r="D859" s="304" t="s">
        <v>3227</v>
      </c>
      <c r="E859" s="406" t="s">
        <v>3228</v>
      </c>
      <c r="F859" s="209"/>
      <c r="G859" s="209"/>
      <c r="H859" s="209"/>
      <c r="I859" s="304" t="s">
        <v>4051</v>
      </c>
      <c r="J859" s="300" t="b">
        <v>1</v>
      </c>
      <c r="K859" s="301" t="b">
        <v>0</v>
      </c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  <c r="AI859" s="209"/>
      <c r="AJ859" s="209"/>
    </row>
    <row r="860">
      <c r="A860" s="291"/>
      <c r="B860" s="377" t="s">
        <v>3229</v>
      </c>
      <c r="C860" s="377" t="s">
        <v>651</v>
      </c>
      <c r="D860" s="304" t="s">
        <v>3230</v>
      </c>
      <c r="E860" s="406" t="s">
        <v>3231</v>
      </c>
      <c r="F860" s="209"/>
      <c r="G860" s="209"/>
      <c r="H860" s="209"/>
      <c r="I860" s="209"/>
      <c r="J860" s="300" t="b">
        <v>1</v>
      </c>
      <c r="K860" s="301" t="b">
        <v>0</v>
      </c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  <c r="AI860" s="209"/>
      <c r="AJ860" s="209"/>
    </row>
    <row r="861">
      <c r="A861" s="309"/>
      <c r="B861" s="379" t="s">
        <v>3232</v>
      </c>
      <c r="C861" s="379" t="s">
        <v>651</v>
      </c>
      <c r="D861" s="311" t="s">
        <v>3233</v>
      </c>
      <c r="E861" s="425">
        <v>8.40472500291E11</v>
      </c>
      <c r="F861" s="313"/>
      <c r="G861" s="313"/>
      <c r="H861" s="313"/>
      <c r="I861" s="313"/>
      <c r="J861" s="350" t="b">
        <v>1</v>
      </c>
      <c r="K861" s="314" t="b">
        <v>0</v>
      </c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  <c r="AI861" s="209"/>
      <c r="AJ861" s="209"/>
    </row>
    <row r="862">
      <c r="A862" s="209"/>
      <c r="B862" s="209"/>
      <c r="C862" s="209"/>
      <c r="D862" s="209"/>
      <c r="E862" s="209"/>
      <c r="F862" s="344"/>
      <c r="G862" s="344"/>
      <c r="H862" s="344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  <c r="AI862" s="209"/>
      <c r="AJ862" s="209"/>
    </row>
    <row r="863">
      <c r="A863" s="316" t="s">
        <v>3234</v>
      </c>
      <c r="B863" s="339" t="s">
        <v>3235</v>
      </c>
      <c r="C863" s="320"/>
      <c r="D863" s="283" t="s">
        <v>3236</v>
      </c>
      <c r="E863" s="322" t="s">
        <v>116</v>
      </c>
      <c r="F863" s="320"/>
      <c r="G863" s="320"/>
      <c r="H863" s="276" t="s">
        <v>376</v>
      </c>
      <c r="I863" s="285" t="s">
        <v>4189</v>
      </c>
      <c r="J863" s="278" t="str">
        <f>IF(COUNTIF(J864:J867, TRUE) = COUNTA(J864:J867), "Complete!", IF(COUNTIF(J864:J867, TRUE) &gt; 0, "Partial", "Not Started"))</f>
        <v>Complete!</v>
      </c>
      <c r="K863" s="279"/>
      <c r="L863" s="280">
        <v>4.0</v>
      </c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  <c r="AI863" s="209"/>
      <c r="AJ863" s="209"/>
    </row>
    <row r="864">
      <c r="A864" s="291"/>
      <c r="B864" s="377" t="s">
        <v>3238</v>
      </c>
      <c r="C864" s="377" t="s">
        <v>3239</v>
      </c>
      <c r="D864" s="304" t="s">
        <v>3240</v>
      </c>
      <c r="E864" s="406">
        <v>8.40472500468E11</v>
      </c>
      <c r="F864" s="209"/>
      <c r="G864" s="209"/>
      <c r="H864" s="209"/>
      <c r="I864" s="209"/>
      <c r="J864" s="300" t="b">
        <v>1</v>
      </c>
      <c r="K864" s="301" t="b">
        <v>0</v>
      </c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  <c r="AI864" s="209"/>
      <c r="AJ864" s="209"/>
    </row>
    <row r="865">
      <c r="A865" s="291"/>
      <c r="B865" s="377" t="s">
        <v>3241</v>
      </c>
      <c r="C865" s="377" t="s">
        <v>3239</v>
      </c>
      <c r="D865" s="304" t="s">
        <v>3242</v>
      </c>
      <c r="E865" s="406" t="s">
        <v>3243</v>
      </c>
      <c r="F865" s="209"/>
      <c r="G865" s="209"/>
      <c r="H865" s="209"/>
      <c r="I865" s="209"/>
      <c r="J865" s="300" t="b">
        <v>1</v>
      </c>
      <c r="K865" s="301" t="b">
        <v>0</v>
      </c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  <c r="AI865" s="209"/>
      <c r="AJ865" s="209"/>
    </row>
    <row r="866">
      <c r="A866" s="291"/>
      <c r="B866" s="377" t="s">
        <v>3244</v>
      </c>
      <c r="C866" s="377" t="s">
        <v>3239</v>
      </c>
      <c r="D866" s="304" t="s">
        <v>3245</v>
      </c>
      <c r="E866" s="353"/>
      <c r="F866" s="209"/>
      <c r="G866" s="209"/>
      <c r="H866" s="209"/>
      <c r="I866" s="209"/>
      <c r="J866" s="300" t="b">
        <v>1</v>
      </c>
      <c r="K866" s="301" t="b">
        <v>0</v>
      </c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  <c r="AI866" s="209"/>
      <c r="AJ866" s="209"/>
    </row>
    <row r="867">
      <c r="A867" s="309"/>
      <c r="B867" s="379" t="s">
        <v>3246</v>
      </c>
      <c r="C867" s="379" t="s">
        <v>3239</v>
      </c>
      <c r="D867" s="311" t="s">
        <v>3247</v>
      </c>
      <c r="E867" s="407">
        <v>8.40472500482E11</v>
      </c>
      <c r="F867" s="313"/>
      <c r="G867" s="313"/>
      <c r="H867" s="313"/>
      <c r="I867" s="313"/>
      <c r="J867" s="350" t="b">
        <v>1</v>
      </c>
      <c r="K867" s="314" t="b">
        <v>0</v>
      </c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  <c r="AI867" s="209"/>
      <c r="AJ867" s="209"/>
    </row>
    <row r="868">
      <c r="A868" s="209"/>
      <c r="B868" s="209"/>
      <c r="C868" s="209"/>
      <c r="D868" s="209"/>
      <c r="E868" s="353"/>
      <c r="F868" s="344"/>
      <c r="G868" s="344"/>
      <c r="H868" s="344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  <c r="AI868" s="209"/>
      <c r="AJ868" s="209"/>
    </row>
    <row r="869">
      <c r="A869" s="316" t="s">
        <v>3248</v>
      </c>
      <c r="B869" s="339" t="s">
        <v>3249</v>
      </c>
      <c r="C869" s="320"/>
      <c r="D869" s="283" t="s">
        <v>3250</v>
      </c>
      <c r="E869" s="402" t="s">
        <v>116</v>
      </c>
      <c r="F869" s="320"/>
      <c r="G869" s="320"/>
      <c r="H869" s="276" t="s">
        <v>563</v>
      </c>
      <c r="I869" s="285" t="s">
        <v>1037</v>
      </c>
      <c r="J869" s="278" t="str">
        <f>IF(COUNTIF(J870:J873, TRUE) = COUNTA(J870:J873), "Complete!", IF(COUNTIF(J870:J873, TRUE) &gt; 0, "Partial", "Not Started"))</f>
        <v>Complete!</v>
      </c>
      <c r="K869" s="279"/>
      <c r="L869" s="280">
        <v>4.0</v>
      </c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</row>
    <row r="870">
      <c r="A870" s="291"/>
      <c r="B870" s="377" t="s">
        <v>3252</v>
      </c>
      <c r="C870" s="377" t="s">
        <v>3253</v>
      </c>
      <c r="D870" s="304" t="s">
        <v>3254</v>
      </c>
      <c r="E870" s="406">
        <v>8.40472500345E11</v>
      </c>
      <c r="F870" s="209"/>
      <c r="G870" s="209"/>
      <c r="H870" s="209"/>
      <c r="I870" s="209"/>
      <c r="J870" s="300" t="b">
        <v>1</v>
      </c>
      <c r="K870" s="301" t="b">
        <v>0</v>
      </c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  <c r="AI870" s="209"/>
      <c r="AJ870" s="209"/>
    </row>
    <row r="871">
      <c r="A871" s="291"/>
      <c r="B871" s="377" t="s">
        <v>3255</v>
      </c>
      <c r="C871" s="377" t="s">
        <v>3253</v>
      </c>
      <c r="D871" s="304" t="s">
        <v>3256</v>
      </c>
      <c r="E871" s="406" t="s">
        <v>3257</v>
      </c>
      <c r="F871" s="209"/>
      <c r="G871" s="209"/>
      <c r="H871" s="209"/>
      <c r="I871" s="209"/>
      <c r="J871" s="300" t="b">
        <v>1</v>
      </c>
      <c r="K871" s="301" t="b">
        <v>0</v>
      </c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  <c r="AI871" s="209"/>
      <c r="AJ871" s="209"/>
    </row>
    <row r="872">
      <c r="A872" s="291"/>
      <c r="B872" s="377" t="s">
        <v>3258</v>
      </c>
      <c r="C872" s="377" t="s">
        <v>3253</v>
      </c>
      <c r="D872" s="304" t="s">
        <v>3259</v>
      </c>
      <c r="E872" s="353"/>
      <c r="F872" s="209"/>
      <c r="G872" s="209"/>
      <c r="H872" s="209"/>
      <c r="I872" s="209"/>
      <c r="J872" s="300" t="b">
        <v>1</v>
      </c>
      <c r="K872" s="301" t="b">
        <v>0</v>
      </c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  <c r="AI872" s="209"/>
      <c r="AJ872" s="209"/>
    </row>
    <row r="873">
      <c r="A873" s="309"/>
      <c r="B873" s="379" t="s">
        <v>3260</v>
      </c>
      <c r="C873" s="379" t="s">
        <v>3253</v>
      </c>
      <c r="D873" s="311" t="s">
        <v>3261</v>
      </c>
      <c r="E873" s="425">
        <v>8.40472500369E11</v>
      </c>
      <c r="F873" s="313"/>
      <c r="G873" s="313"/>
      <c r="H873" s="313"/>
      <c r="I873" s="313"/>
      <c r="J873" s="350" t="b">
        <v>1</v>
      </c>
      <c r="K873" s="314" t="b">
        <v>0</v>
      </c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  <c r="AI873" s="209"/>
      <c r="AJ873" s="209"/>
    </row>
    <row r="874">
      <c r="A874" s="209"/>
      <c r="B874" s="209"/>
      <c r="C874" s="209"/>
      <c r="D874" s="209"/>
      <c r="E874" s="209"/>
      <c r="F874" s="344"/>
      <c r="G874" s="344"/>
      <c r="H874" s="344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  <c r="AI874" s="209"/>
      <c r="AJ874" s="209"/>
    </row>
    <row r="875">
      <c r="A875" s="316" t="s">
        <v>3262</v>
      </c>
      <c r="B875" s="339" t="s">
        <v>3263</v>
      </c>
      <c r="C875" s="320"/>
      <c r="D875" s="283" t="s">
        <v>3264</v>
      </c>
      <c r="E875" s="402" t="s">
        <v>116</v>
      </c>
      <c r="F875" s="320"/>
      <c r="G875" s="320"/>
      <c r="H875" s="276" t="s">
        <v>468</v>
      </c>
      <c r="I875" s="285" t="s">
        <v>3251</v>
      </c>
      <c r="J875" s="278" t="str">
        <f>IF(COUNTIF(J876:J879, TRUE) = COUNTA(J876:J879), "Complete!", IF(COUNTIF(J876:J879, TRUE) &gt; 0, "Partial", "Not Started"))</f>
        <v>Complete!</v>
      </c>
      <c r="K875" s="279"/>
      <c r="L875" s="280">
        <v>4.0</v>
      </c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  <c r="AI875" s="209"/>
      <c r="AJ875" s="209"/>
    </row>
    <row r="876">
      <c r="A876" s="291"/>
      <c r="B876" s="304" t="s">
        <v>3265</v>
      </c>
      <c r="C876" s="304" t="s">
        <v>662</v>
      </c>
      <c r="D876" s="304" t="s">
        <v>3266</v>
      </c>
      <c r="E876" s="375">
        <v>8.4047250042E11</v>
      </c>
      <c r="F876" s="209"/>
      <c r="G876" s="209"/>
      <c r="H876" s="209"/>
      <c r="I876" s="209"/>
      <c r="J876" s="300" t="b">
        <v>1</v>
      </c>
      <c r="K876" s="301" t="b">
        <v>0</v>
      </c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  <c r="AI876" s="209"/>
      <c r="AJ876" s="209"/>
    </row>
    <row r="877">
      <c r="A877" s="291"/>
      <c r="B877" s="304" t="s">
        <v>3267</v>
      </c>
      <c r="C877" s="304" t="s">
        <v>662</v>
      </c>
      <c r="D877" s="304" t="s">
        <v>3268</v>
      </c>
      <c r="E877" s="375" t="s">
        <v>3269</v>
      </c>
      <c r="F877" s="209"/>
      <c r="G877" s="209"/>
      <c r="H877" s="209"/>
      <c r="I877" s="209"/>
      <c r="J877" s="300" t="b">
        <v>1</v>
      </c>
      <c r="K877" s="301" t="b">
        <v>0</v>
      </c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  <c r="AI877" s="209"/>
      <c r="AJ877" s="209"/>
    </row>
    <row r="878">
      <c r="A878" s="291"/>
      <c r="B878" s="304" t="s">
        <v>3270</v>
      </c>
      <c r="C878" s="304" t="s">
        <v>662</v>
      </c>
      <c r="D878" s="304" t="s">
        <v>3271</v>
      </c>
      <c r="E878" s="375" t="s">
        <v>3272</v>
      </c>
      <c r="F878" s="209"/>
      <c r="G878" s="209"/>
      <c r="H878" s="209"/>
      <c r="I878" s="209"/>
      <c r="J878" s="300" t="b">
        <v>1</v>
      </c>
      <c r="K878" s="301" t="b">
        <v>0</v>
      </c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  <c r="AI878" s="209"/>
      <c r="AJ878" s="209"/>
    </row>
    <row r="879">
      <c r="A879" s="309"/>
      <c r="B879" s="311" t="s">
        <v>3274</v>
      </c>
      <c r="C879" s="311" t="s">
        <v>662</v>
      </c>
      <c r="D879" s="311" t="s">
        <v>3275</v>
      </c>
      <c r="E879" s="312">
        <v>8.40472500444E11</v>
      </c>
      <c r="F879" s="313"/>
      <c r="G879" s="313"/>
      <c r="H879" s="313"/>
      <c r="I879" s="313"/>
      <c r="J879" s="350" t="b">
        <v>1</v>
      </c>
      <c r="K879" s="314" t="b">
        <v>0</v>
      </c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  <c r="AI879" s="209"/>
      <c r="AJ879" s="209"/>
    </row>
    <row r="880">
      <c r="A880" s="209"/>
      <c r="B880" s="209"/>
      <c r="C880" s="209"/>
      <c r="D880" s="209"/>
      <c r="E880" s="209"/>
      <c r="F880" s="344"/>
      <c r="G880" s="344"/>
      <c r="H880" s="344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  <c r="AI880" s="209"/>
      <c r="AJ880" s="209"/>
    </row>
    <row r="881">
      <c r="A881" s="316" t="s">
        <v>3276</v>
      </c>
      <c r="B881" s="339" t="s">
        <v>3277</v>
      </c>
      <c r="C881" s="320"/>
      <c r="D881" s="283" t="s">
        <v>3278</v>
      </c>
      <c r="E881" s="322" t="s">
        <v>116</v>
      </c>
      <c r="F881" s="320"/>
      <c r="G881" s="320"/>
      <c r="H881" s="276" t="s">
        <v>370</v>
      </c>
      <c r="I881" s="285" t="s">
        <v>4126</v>
      </c>
      <c r="J881" s="278" t="str">
        <f>IF(COUNTIF(J882:J885, TRUE) = COUNTA(J882:J885), "Complete!", IF(COUNTIF(J882:J885, TRUE) &gt; 0, "Partial", "Not Started"))</f>
        <v>Complete!</v>
      </c>
      <c r="K881" s="279"/>
      <c r="L881" s="280">
        <v>4.0</v>
      </c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  <c r="AI881" s="209"/>
      <c r="AJ881" s="209"/>
    </row>
    <row r="882">
      <c r="A882" s="291"/>
      <c r="B882" s="304" t="s">
        <v>3279</v>
      </c>
      <c r="C882" s="304" t="s">
        <v>588</v>
      </c>
      <c r="D882" s="304" t="s">
        <v>3280</v>
      </c>
      <c r="E882" s="305">
        <v>8.40472500543E11</v>
      </c>
      <c r="F882" s="209"/>
      <c r="G882" s="209"/>
      <c r="H882" s="209"/>
      <c r="I882" s="209"/>
      <c r="J882" s="300" t="b">
        <v>1</v>
      </c>
      <c r="K882" s="301" t="b">
        <v>0</v>
      </c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  <c r="AI882" s="209"/>
      <c r="AJ882" s="209"/>
    </row>
    <row r="883">
      <c r="A883" s="291"/>
      <c r="B883" s="304" t="s">
        <v>3281</v>
      </c>
      <c r="C883" s="304" t="s">
        <v>588</v>
      </c>
      <c r="D883" s="304" t="s">
        <v>3282</v>
      </c>
      <c r="E883" s="375" t="s">
        <v>3283</v>
      </c>
      <c r="F883" s="209"/>
      <c r="G883" s="209"/>
      <c r="H883" s="209"/>
      <c r="I883" s="209"/>
      <c r="J883" s="300" t="b">
        <v>1</v>
      </c>
      <c r="K883" s="301" t="b">
        <v>0</v>
      </c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  <c r="AI883" s="209"/>
      <c r="AJ883" s="209"/>
    </row>
    <row r="884">
      <c r="A884" s="291"/>
      <c r="B884" s="304" t="s">
        <v>3284</v>
      </c>
      <c r="C884" s="304" t="s">
        <v>588</v>
      </c>
      <c r="D884" s="304" t="s">
        <v>3285</v>
      </c>
      <c r="E884" s="375" t="s">
        <v>3286</v>
      </c>
      <c r="F884" s="209"/>
      <c r="G884" s="209"/>
      <c r="H884" s="209"/>
      <c r="I884" s="209"/>
      <c r="J884" s="300" t="b">
        <v>1</v>
      </c>
      <c r="K884" s="301" t="b">
        <v>0</v>
      </c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  <c r="AI884" s="209"/>
      <c r="AJ884" s="209"/>
    </row>
    <row r="885">
      <c r="A885" s="309"/>
      <c r="B885" s="311" t="s">
        <v>3287</v>
      </c>
      <c r="C885" s="311" t="s">
        <v>588</v>
      </c>
      <c r="D885" s="311" t="s">
        <v>3288</v>
      </c>
      <c r="E885" s="313"/>
      <c r="F885" s="313"/>
      <c r="G885" s="313"/>
      <c r="H885" s="313"/>
      <c r="I885" s="313"/>
      <c r="J885" s="350" t="b">
        <v>1</v>
      </c>
      <c r="K885" s="314" t="b">
        <v>0</v>
      </c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  <c r="AI885" s="209"/>
      <c r="AJ885" s="209"/>
    </row>
    <row r="886">
      <c r="A886" s="209"/>
      <c r="B886" s="209"/>
      <c r="C886" s="209"/>
      <c r="D886" s="209"/>
      <c r="E886" s="209"/>
      <c r="F886" s="344"/>
      <c r="G886" s="344"/>
      <c r="H886" s="344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  <c r="AI886" s="209"/>
      <c r="AJ886" s="209"/>
    </row>
    <row r="887">
      <c r="A887" s="316" t="s">
        <v>3289</v>
      </c>
      <c r="B887" s="339" t="s">
        <v>3290</v>
      </c>
      <c r="C887" s="320"/>
      <c r="D887" s="283" t="s">
        <v>3291</v>
      </c>
      <c r="E887" s="402" t="s">
        <v>116</v>
      </c>
      <c r="F887" s="320"/>
      <c r="G887" s="320"/>
      <c r="H887" s="276" t="s">
        <v>888</v>
      </c>
      <c r="I887" s="285" t="s">
        <v>889</v>
      </c>
      <c r="J887" s="278" t="str">
        <f>IF(COUNTIF(J888:J891, TRUE) = COUNTA(J888:J891), "Complete!", IF(COUNTIF(J888:J891, TRUE) &gt; 0, "Partial", "Not Started"))</f>
        <v>Complete!</v>
      </c>
      <c r="K887" s="279"/>
      <c r="L887" s="280">
        <v>4.0</v>
      </c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  <c r="AI887" s="209"/>
      <c r="AJ887" s="209"/>
    </row>
    <row r="888">
      <c r="A888" s="291"/>
      <c r="B888" s="304" t="s">
        <v>3292</v>
      </c>
      <c r="C888" s="304" t="s">
        <v>394</v>
      </c>
      <c r="D888" s="304" t="s">
        <v>3293</v>
      </c>
      <c r="E888" s="375">
        <v>8.40472500581E11</v>
      </c>
      <c r="F888" s="209"/>
      <c r="G888" s="209"/>
      <c r="H888" s="209"/>
      <c r="I888" s="304" t="s">
        <v>4128</v>
      </c>
      <c r="J888" s="300" t="b">
        <v>1</v>
      </c>
      <c r="K888" s="301" t="b">
        <v>0</v>
      </c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209"/>
      <c r="AJ888" s="209"/>
    </row>
    <row r="889">
      <c r="A889" s="291"/>
      <c r="B889" s="304" t="s">
        <v>3294</v>
      </c>
      <c r="C889" s="304" t="s">
        <v>394</v>
      </c>
      <c r="D889" s="304" t="s">
        <v>3295</v>
      </c>
      <c r="E889" s="375" t="s">
        <v>3296</v>
      </c>
      <c r="F889" s="209"/>
      <c r="G889" s="209"/>
      <c r="H889" s="209"/>
      <c r="I889" s="304" t="s">
        <v>4128</v>
      </c>
      <c r="J889" s="300" t="b">
        <v>1</v>
      </c>
      <c r="K889" s="301" t="b">
        <v>0</v>
      </c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  <c r="AI889" s="209"/>
      <c r="AJ889" s="209"/>
    </row>
    <row r="890">
      <c r="A890" s="291"/>
      <c r="B890" s="304" t="s">
        <v>3297</v>
      </c>
      <c r="C890" s="304" t="s">
        <v>394</v>
      </c>
      <c r="D890" s="304" t="s">
        <v>3298</v>
      </c>
      <c r="E890" s="375" t="s">
        <v>3299</v>
      </c>
      <c r="F890" s="209"/>
      <c r="G890" s="209"/>
      <c r="H890" s="209"/>
      <c r="I890" s="304" t="s">
        <v>4128</v>
      </c>
      <c r="J890" s="300" t="b">
        <v>1</v>
      </c>
      <c r="K890" s="301" t="b">
        <v>0</v>
      </c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  <c r="AI890" s="209"/>
      <c r="AJ890" s="209"/>
    </row>
    <row r="891">
      <c r="A891" s="309"/>
      <c r="B891" s="311" t="s">
        <v>3300</v>
      </c>
      <c r="C891" s="311" t="s">
        <v>394</v>
      </c>
      <c r="D891" s="311" t="s">
        <v>3301</v>
      </c>
      <c r="E891" s="313"/>
      <c r="F891" s="313"/>
      <c r="G891" s="313"/>
      <c r="H891" s="313"/>
      <c r="I891" s="304" t="s">
        <v>4128</v>
      </c>
      <c r="J891" s="350" t="b">
        <v>1</v>
      </c>
      <c r="K891" s="314" t="b">
        <v>0</v>
      </c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  <c r="AI891" s="209"/>
      <c r="AJ891" s="209"/>
    </row>
    <row r="892">
      <c r="A892" s="209"/>
      <c r="B892" s="209"/>
      <c r="C892" s="209"/>
      <c r="D892" s="209"/>
      <c r="E892" s="209"/>
      <c r="F892" s="344"/>
      <c r="G892" s="344"/>
      <c r="H892" s="344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  <c r="AI892" s="209"/>
      <c r="AJ892" s="209"/>
    </row>
    <row r="893">
      <c r="A893" s="316" t="s">
        <v>3302</v>
      </c>
      <c r="B893" s="339" t="s">
        <v>3303</v>
      </c>
      <c r="C893" s="320"/>
      <c r="D893" s="283" t="s">
        <v>3304</v>
      </c>
      <c r="E893" s="402" t="s">
        <v>116</v>
      </c>
      <c r="F893" s="320"/>
      <c r="G893" s="320"/>
      <c r="H893" s="276" t="s">
        <v>572</v>
      </c>
      <c r="I893" s="285" t="s">
        <v>1706</v>
      </c>
      <c r="J893" s="278" t="str">
        <f>IF(COUNTIF(J894:J897, TRUE) = COUNTA(J894:J897), "Complete!", IF(COUNTIF(J894:J897, TRUE) &gt; 0, "Partial", "Not Started"))</f>
        <v>Complete!</v>
      </c>
      <c r="K893" s="279"/>
      <c r="L893" s="280">
        <v>4.0</v>
      </c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  <c r="AI893" s="209"/>
      <c r="AJ893" s="209"/>
    </row>
    <row r="894">
      <c r="A894" s="291"/>
      <c r="B894" s="304" t="s">
        <v>3305</v>
      </c>
      <c r="C894" s="304" t="s">
        <v>3306</v>
      </c>
      <c r="D894" s="304" t="s">
        <v>3307</v>
      </c>
      <c r="E894" s="375">
        <v>8.40472500666E11</v>
      </c>
      <c r="F894" s="209"/>
      <c r="G894" s="209"/>
      <c r="H894" s="209"/>
      <c r="I894" s="209"/>
      <c r="J894" s="300" t="b">
        <v>1</v>
      </c>
      <c r="K894" s="301" t="b">
        <v>0</v>
      </c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  <c r="AI894" s="209"/>
      <c r="AJ894" s="209"/>
    </row>
    <row r="895">
      <c r="A895" s="291"/>
      <c r="B895" s="304" t="s">
        <v>3308</v>
      </c>
      <c r="C895" s="304" t="s">
        <v>3306</v>
      </c>
      <c r="D895" s="304" t="s">
        <v>3309</v>
      </c>
      <c r="E895" s="375" t="s">
        <v>3310</v>
      </c>
      <c r="F895" s="209"/>
      <c r="G895" s="209"/>
      <c r="H895" s="209"/>
      <c r="I895" s="209"/>
      <c r="J895" s="300" t="b">
        <v>1</v>
      </c>
      <c r="K895" s="301" t="b">
        <v>0</v>
      </c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  <c r="AI895" s="209"/>
      <c r="AJ895" s="209"/>
    </row>
    <row r="896">
      <c r="A896" s="291"/>
      <c r="B896" s="304" t="s">
        <v>3311</v>
      </c>
      <c r="C896" s="304" t="s">
        <v>3306</v>
      </c>
      <c r="D896" s="304" t="s">
        <v>3312</v>
      </c>
      <c r="E896" s="375" t="s">
        <v>3313</v>
      </c>
      <c r="F896" s="209"/>
      <c r="G896" s="209"/>
      <c r="H896" s="209"/>
      <c r="I896" s="209"/>
      <c r="J896" s="300" t="b">
        <v>1</v>
      </c>
      <c r="K896" s="301" t="b">
        <v>0</v>
      </c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  <c r="AI896" s="209"/>
      <c r="AJ896" s="209"/>
    </row>
    <row r="897">
      <c r="A897" s="309"/>
      <c r="B897" s="311" t="s">
        <v>3314</v>
      </c>
      <c r="C897" s="311" t="s">
        <v>3306</v>
      </c>
      <c r="D897" s="311" t="s">
        <v>3315</v>
      </c>
      <c r="E897" s="312">
        <v>8.40472500697E11</v>
      </c>
      <c r="F897" s="313"/>
      <c r="G897" s="313"/>
      <c r="H897" s="313"/>
      <c r="I897" s="313"/>
      <c r="J897" s="350" t="b">
        <v>1</v>
      </c>
      <c r="K897" s="314" t="b">
        <v>0</v>
      </c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  <c r="AI897" s="209"/>
      <c r="AJ897" s="209"/>
    </row>
    <row r="898">
      <c r="A898" s="209"/>
      <c r="B898" s="209"/>
      <c r="C898" s="209"/>
      <c r="D898" s="209"/>
      <c r="E898" s="209"/>
      <c r="F898" s="344"/>
      <c r="G898" s="344"/>
      <c r="H898" s="344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  <c r="AI898" s="209"/>
      <c r="AJ898" s="209"/>
    </row>
    <row r="899">
      <c r="A899" s="316" t="s">
        <v>3316</v>
      </c>
      <c r="B899" s="339" t="s">
        <v>3317</v>
      </c>
      <c r="C899" s="320"/>
      <c r="D899" s="283" t="s">
        <v>3318</v>
      </c>
      <c r="E899" s="402" t="s">
        <v>116</v>
      </c>
      <c r="F899" s="320"/>
      <c r="G899" s="320"/>
      <c r="H899" s="276" t="s">
        <v>370</v>
      </c>
      <c r="I899" s="285" t="s">
        <v>1706</v>
      </c>
      <c r="J899" s="278" t="str">
        <f>IF(COUNTIF(J900:J903, TRUE) = COUNTA(J900:J903), "Complete!", IF(COUNTIF(J900:J903, TRUE) &gt; 0, "Partial", "Not Started"))</f>
        <v>Complete!</v>
      </c>
      <c r="K899" s="279"/>
      <c r="L899" s="280">
        <v>4.0</v>
      </c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  <c r="AI899" s="209"/>
      <c r="AJ899" s="209"/>
    </row>
    <row r="900">
      <c r="A900" s="291"/>
      <c r="B900" s="304" t="s">
        <v>3319</v>
      </c>
      <c r="C900" s="304" t="s">
        <v>3320</v>
      </c>
      <c r="D900" s="304" t="s">
        <v>3321</v>
      </c>
      <c r="E900" s="375">
        <v>8.40472500741E11</v>
      </c>
      <c r="F900" s="209"/>
      <c r="G900" s="209"/>
      <c r="H900" s="209"/>
      <c r="I900" s="209"/>
      <c r="J900" s="300" t="b">
        <v>1</v>
      </c>
      <c r="K900" s="301" t="b">
        <v>0</v>
      </c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  <c r="AH900" s="209"/>
      <c r="AI900" s="209"/>
      <c r="AJ900" s="209"/>
    </row>
    <row r="901">
      <c r="A901" s="291"/>
      <c r="B901" s="304" t="s">
        <v>3322</v>
      </c>
      <c r="C901" s="304" t="s">
        <v>3320</v>
      </c>
      <c r="D901" s="304" t="s">
        <v>3323</v>
      </c>
      <c r="E901" s="375" t="s">
        <v>3324</v>
      </c>
      <c r="F901" s="209"/>
      <c r="G901" s="209"/>
      <c r="H901" s="209"/>
      <c r="I901" s="209"/>
      <c r="J901" s="300" t="b">
        <v>1</v>
      </c>
      <c r="K901" s="301" t="b">
        <v>0</v>
      </c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  <c r="AH901" s="209"/>
      <c r="AI901" s="209"/>
      <c r="AJ901" s="209"/>
    </row>
    <row r="902">
      <c r="A902" s="291"/>
      <c r="B902" s="304" t="s">
        <v>3325</v>
      </c>
      <c r="C902" s="304" t="s">
        <v>3320</v>
      </c>
      <c r="D902" s="304" t="s">
        <v>3326</v>
      </c>
      <c r="E902" s="375" t="s">
        <v>3327</v>
      </c>
      <c r="F902" s="209"/>
      <c r="G902" s="209"/>
      <c r="H902" s="209"/>
      <c r="I902" s="209"/>
      <c r="J902" s="300" t="b">
        <v>1</v>
      </c>
      <c r="K902" s="301" t="b">
        <v>0</v>
      </c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  <c r="AH902" s="209"/>
      <c r="AI902" s="209"/>
      <c r="AJ902" s="209"/>
    </row>
    <row r="903">
      <c r="A903" s="309"/>
      <c r="B903" s="311" t="s">
        <v>3328</v>
      </c>
      <c r="C903" s="311" t="s">
        <v>3320</v>
      </c>
      <c r="D903" s="311" t="s">
        <v>3326</v>
      </c>
      <c r="E903" s="313"/>
      <c r="F903" s="313"/>
      <c r="G903" s="313"/>
      <c r="H903" s="313"/>
      <c r="I903" s="313"/>
      <c r="J903" s="350" t="b">
        <v>1</v>
      </c>
      <c r="K903" s="314" t="b">
        <v>0</v>
      </c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  <c r="AH903" s="209"/>
      <c r="AI903" s="209"/>
      <c r="AJ903" s="209"/>
    </row>
    <row r="904">
      <c r="A904" s="209"/>
      <c r="B904" s="209"/>
      <c r="C904" s="209"/>
      <c r="D904" s="209"/>
      <c r="E904" s="209"/>
      <c r="F904" s="344"/>
      <c r="G904" s="344"/>
      <c r="H904" s="344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  <c r="AH904" s="209"/>
      <c r="AI904" s="209"/>
      <c r="AJ904" s="209"/>
    </row>
    <row r="905">
      <c r="A905" s="316" t="s">
        <v>3329</v>
      </c>
      <c r="B905" s="339" t="s">
        <v>3330</v>
      </c>
      <c r="C905" s="320"/>
      <c r="D905" s="283" t="s">
        <v>3331</v>
      </c>
      <c r="E905" s="402" t="s">
        <v>116</v>
      </c>
      <c r="F905" s="320"/>
      <c r="G905" s="320"/>
      <c r="H905" s="276" t="s">
        <v>370</v>
      </c>
      <c r="I905" s="285" t="s">
        <v>3414</v>
      </c>
      <c r="J905" s="278" t="str">
        <f>IF(COUNTIF(J906:J909, TRUE) = COUNTA(J906:J909), "Complete!", IF(COUNTIF(J906:J909, TRUE) &gt; 0, "Partial", "Not Started"))</f>
        <v>Complete!</v>
      </c>
      <c r="K905" s="279"/>
      <c r="L905" s="280">
        <v>4.0</v>
      </c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  <c r="AH905" s="209"/>
      <c r="AI905" s="209"/>
      <c r="AJ905" s="209"/>
    </row>
    <row r="906">
      <c r="A906" s="291"/>
      <c r="B906" s="304" t="s">
        <v>3332</v>
      </c>
      <c r="C906" s="304" t="s">
        <v>3333</v>
      </c>
      <c r="D906" s="304" t="s">
        <v>3334</v>
      </c>
      <c r="E906" s="375">
        <v>8.40472500826E11</v>
      </c>
      <c r="F906" s="209"/>
      <c r="G906" s="209"/>
      <c r="H906" s="209"/>
      <c r="I906" s="209"/>
      <c r="J906" s="300" t="b">
        <v>1</v>
      </c>
      <c r="K906" s="301" t="b">
        <v>0</v>
      </c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  <c r="AH906" s="209"/>
      <c r="AI906" s="209"/>
      <c r="AJ906" s="209"/>
    </row>
    <row r="907">
      <c r="A907" s="291"/>
      <c r="B907" s="304" t="s">
        <v>3335</v>
      </c>
      <c r="C907" s="304" t="s">
        <v>3333</v>
      </c>
      <c r="D907" s="304" t="s">
        <v>3336</v>
      </c>
      <c r="E907" s="375" t="s">
        <v>3337</v>
      </c>
      <c r="F907" s="209"/>
      <c r="G907" s="209"/>
      <c r="H907" s="209"/>
      <c r="I907" s="209"/>
      <c r="J907" s="300" t="b">
        <v>1</v>
      </c>
      <c r="K907" s="301" t="b">
        <v>0</v>
      </c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  <c r="AH907" s="209"/>
      <c r="AI907" s="209"/>
      <c r="AJ907" s="209"/>
    </row>
    <row r="908">
      <c r="A908" s="291"/>
      <c r="B908" s="304" t="s">
        <v>3338</v>
      </c>
      <c r="C908" s="304" t="s">
        <v>3333</v>
      </c>
      <c r="D908" s="304" t="s">
        <v>3339</v>
      </c>
      <c r="E908" s="375" t="s">
        <v>3340</v>
      </c>
      <c r="F908" s="209"/>
      <c r="G908" s="209"/>
      <c r="H908" s="209"/>
      <c r="I908" s="209"/>
      <c r="J908" s="300" t="b">
        <v>1</v>
      </c>
      <c r="K908" s="301" t="b">
        <v>0</v>
      </c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  <c r="AH908" s="209"/>
      <c r="AI908" s="209"/>
      <c r="AJ908" s="209"/>
    </row>
    <row r="909">
      <c r="A909" s="309"/>
      <c r="B909" s="311" t="s">
        <v>3341</v>
      </c>
      <c r="C909" s="311" t="s">
        <v>3333</v>
      </c>
      <c r="D909" s="311" t="s">
        <v>3342</v>
      </c>
      <c r="E909" s="313"/>
      <c r="F909" s="313"/>
      <c r="G909" s="313"/>
      <c r="H909" s="313"/>
      <c r="I909" s="313"/>
      <c r="J909" s="350" t="b">
        <v>1</v>
      </c>
      <c r="K909" s="314" t="b">
        <v>0</v>
      </c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  <c r="AH909" s="209"/>
      <c r="AI909" s="209"/>
      <c r="AJ909" s="209"/>
    </row>
    <row r="910">
      <c r="A910" s="209"/>
      <c r="B910" s="209"/>
      <c r="C910" s="209"/>
      <c r="D910" s="209"/>
      <c r="E910" s="209"/>
      <c r="F910" s="344"/>
      <c r="G910" s="344"/>
      <c r="H910" s="344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  <c r="AH910" s="209"/>
      <c r="AI910" s="209"/>
      <c r="AJ910" s="209"/>
    </row>
    <row r="911">
      <c r="A911" s="316" t="s">
        <v>3343</v>
      </c>
      <c r="B911" s="339" t="s">
        <v>3344</v>
      </c>
      <c r="C911" s="320"/>
      <c r="D911" s="283" t="s">
        <v>3345</v>
      </c>
      <c r="E911" s="402" t="s">
        <v>116</v>
      </c>
      <c r="F911" s="320"/>
      <c r="G911" s="320"/>
      <c r="H911" s="276" t="s">
        <v>900</v>
      </c>
      <c r="I911" s="285" t="s">
        <v>4126</v>
      </c>
      <c r="J911" s="278" t="str">
        <f>IF(COUNTIF(J912:J915, TRUE) = COUNTA(J912:J915), "Complete!", IF(COUNTIF(J912:J915, TRUE) &gt; 0, "Partial", "Not Started"))</f>
        <v>Complete!</v>
      </c>
      <c r="K911" s="279"/>
      <c r="L911" s="280">
        <v>4.0</v>
      </c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  <c r="AH911" s="209"/>
      <c r="AI911" s="209"/>
      <c r="AJ911" s="209"/>
    </row>
    <row r="912">
      <c r="A912" s="291"/>
      <c r="B912" s="304" t="s">
        <v>3347</v>
      </c>
      <c r="C912" s="304" t="s">
        <v>3348</v>
      </c>
      <c r="D912" s="304" t="s">
        <v>3349</v>
      </c>
      <c r="E912" s="375">
        <v>8.40472500864E11</v>
      </c>
      <c r="F912" s="209"/>
      <c r="G912" s="209"/>
      <c r="H912" s="209"/>
      <c r="I912" s="209"/>
      <c r="J912" s="300" t="b">
        <v>1</v>
      </c>
      <c r="K912" s="301" t="b">
        <v>0</v>
      </c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  <c r="AH912" s="209"/>
      <c r="AI912" s="209"/>
      <c r="AJ912" s="209"/>
    </row>
    <row r="913">
      <c r="A913" s="291"/>
      <c r="B913" s="304" t="s">
        <v>3350</v>
      </c>
      <c r="C913" s="304" t="s">
        <v>3348</v>
      </c>
      <c r="D913" s="304" t="s">
        <v>3351</v>
      </c>
      <c r="E913" s="375" t="s">
        <v>3352</v>
      </c>
      <c r="F913" s="209"/>
      <c r="G913" s="209"/>
      <c r="H913" s="209"/>
      <c r="I913" s="209"/>
      <c r="J913" s="300" t="b">
        <v>1</v>
      </c>
      <c r="K913" s="301" t="b">
        <v>0</v>
      </c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  <c r="AH913" s="209"/>
      <c r="AI913" s="209"/>
      <c r="AJ913" s="209"/>
    </row>
    <row r="914">
      <c r="A914" s="291"/>
      <c r="B914" s="304" t="s">
        <v>3353</v>
      </c>
      <c r="C914" s="304" t="s">
        <v>3348</v>
      </c>
      <c r="D914" s="304" t="s">
        <v>3354</v>
      </c>
      <c r="E914" s="375" t="s">
        <v>3355</v>
      </c>
      <c r="F914" s="209"/>
      <c r="G914" s="209"/>
      <c r="H914" s="209"/>
      <c r="I914" s="209"/>
      <c r="J914" s="300" t="b">
        <v>1</v>
      </c>
      <c r="K914" s="301" t="b">
        <v>0</v>
      </c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  <c r="AH914" s="209"/>
      <c r="AI914" s="209"/>
      <c r="AJ914" s="209"/>
    </row>
    <row r="915">
      <c r="A915" s="309"/>
      <c r="B915" s="311" t="s">
        <v>3356</v>
      </c>
      <c r="C915" s="311" t="s">
        <v>3348</v>
      </c>
      <c r="D915" s="311" t="s">
        <v>3357</v>
      </c>
      <c r="E915" s="313"/>
      <c r="F915" s="313"/>
      <c r="G915" s="313"/>
      <c r="H915" s="313"/>
      <c r="I915" s="313"/>
      <c r="J915" s="350" t="b">
        <v>1</v>
      </c>
      <c r="K915" s="314" t="b">
        <v>0</v>
      </c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  <c r="AH915" s="209"/>
      <c r="AI915" s="209"/>
      <c r="AJ915" s="209"/>
    </row>
    <row r="916">
      <c r="A916" s="209"/>
      <c r="B916" s="209"/>
      <c r="C916" s="209"/>
      <c r="D916" s="209"/>
      <c r="E916" s="209"/>
      <c r="F916" s="344"/>
      <c r="G916" s="344"/>
      <c r="H916" s="344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  <c r="AH916" s="209"/>
      <c r="AI916" s="209"/>
      <c r="AJ916" s="209"/>
    </row>
    <row r="917">
      <c r="A917" s="316" t="s">
        <v>3358</v>
      </c>
      <c r="B917" s="339" t="s">
        <v>3359</v>
      </c>
      <c r="C917" s="320"/>
      <c r="D917" s="283" t="s">
        <v>3360</v>
      </c>
      <c r="E917" s="402" t="s">
        <v>116</v>
      </c>
      <c r="F917" s="320"/>
      <c r="G917" s="320"/>
      <c r="H917" s="276" t="s">
        <v>376</v>
      </c>
      <c r="I917" s="285" t="s">
        <v>1821</v>
      </c>
      <c r="J917" s="278" t="str">
        <f>IF(COUNTIF(J918:J921, TRUE) = COUNTA(J918:J921), "Complete!", IF(COUNTIF(J918:J921, TRUE) &gt; 0, "Partial", "Not Started"))</f>
        <v>Complete!</v>
      </c>
      <c r="K917" s="279"/>
      <c r="L917" s="280">
        <v>4.0</v>
      </c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  <c r="AH917" s="209"/>
      <c r="AI917" s="209"/>
      <c r="AJ917" s="209"/>
    </row>
    <row r="918">
      <c r="A918" s="291"/>
      <c r="B918" s="304" t="s">
        <v>3361</v>
      </c>
      <c r="C918" s="304" t="s">
        <v>390</v>
      </c>
      <c r="D918" s="304" t="s">
        <v>3362</v>
      </c>
      <c r="E918" s="375">
        <v>8.40472500901E11</v>
      </c>
      <c r="F918" s="209"/>
      <c r="G918" s="209"/>
      <c r="H918" s="209"/>
      <c r="I918" s="209"/>
      <c r="J918" s="300" t="b">
        <v>1</v>
      </c>
      <c r="K918" s="301" t="b">
        <v>0</v>
      </c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  <c r="AH918" s="209"/>
      <c r="AI918" s="209"/>
      <c r="AJ918" s="209"/>
    </row>
    <row r="919">
      <c r="A919" s="291"/>
      <c r="B919" s="304" t="s">
        <v>3363</v>
      </c>
      <c r="C919" s="304" t="s">
        <v>390</v>
      </c>
      <c r="D919" s="304" t="s">
        <v>3364</v>
      </c>
      <c r="E919" s="375" t="s">
        <v>3365</v>
      </c>
      <c r="F919" s="209"/>
      <c r="G919" s="209"/>
      <c r="H919" s="209"/>
      <c r="I919" s="209"/>
      <c r="J919" s="300" t="b">
        <v>1</v>
      </c>
      <c r="K919" s="301" t="b">
        <v>0</v>
      </c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  <c r="AH919" s="209"/>
      <c r="AI919" s="209"/>
      <c r="AJ919" s="209"/>
    </row>
    <row r="920">
      <c r="A920" s="291"/>
      <c r="B920" s="304" t="s">
        <v>3366</v>
      </c>
      <c r="C920" s="304" t="s">
        <v>390</v>
      </c>
      <c r="D920" s="304" t="s">
        <v>3367</v>
      </c>
      <c r="E920" s="375" t="s">
        <v>3368</v>
      </c>
      <c r="F920" s="209"/>
      <c r="G920" s="209"/>
      <c r="H920" s="209"/>
      <c r="I920" s="209"/>
      <c r="J920" s="300" t="b">
        <v>1</v>
      </c>
      <c r="K920" s="301" t="b">
        <v>0</v>
      </c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  <c r="AH920" s="209"/>
      <c r="AI920" s="209"/>
      <c r="AJ920" s="209"/>
    </row>
    <row r="921">
      <c r="A921" s="309"/>
      <c r="B921" s="311" t="s">
        <v>3369</v>
      </c>
      <c r="C921" s="311" t="s">
        <v>390</v>
      </c>
      <c r="D921" s="311" t="s">
        <v>3370</v>
      </c>
      <c r="E921" s="312">
        <v>8.40472500932E11</v>
      </c>
      <c r="F921" s="313"/>
      <c r="G921" s="313"/>
      <c r="H921" s="313"/>
      <c r="I921" s="313"/>
      <c r="J921" s="350" t="b">
        <v>1</v>
      </c>
      <c r="K921" s="314" t="b">
        <v>0</v>
      </c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  <c r="AH921" s="209"/>
      <c r="AI921" s="209"/>
      <c r="AJ921" s="209"/>
    </row>
    <row r="922">
      <c r="A922" s="209"/>
      <c r="B922" s="209"/>
      <c r="C922" s="209"/>
      <c r="D922" s="209"/>
      <c r="E922" s="209"/>
      <c r="F922" s="344"/>
      <c r="G922" s="344"/>
      <c r="H922" s="344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  <c r="AH922" s="209"/>
      <c r="AI922" s="209"/>
      <c r="AJ922" s="209"/>
    </row>
    <row r="923">
      <c r="A923" s="316" t="s">
        <v>3371</v>
      </c>
      <c r="B923" s="339" t="s">
        <v>3372</v>
      </c>
      <c r="C923" s="320"/>
      <c r="D923" s="283" t="s">
        <v>3373</v>
      </c>
      <c r="E923" s="402" t="s">
        <v>116</v>
      </c>
      <c r="F923" s="320"/>
      <c r="G923" s="320"/>
      <c r="H923" s="276" t="s">
        <v>468</v>
      </c>
      <c r="I923" s="285" t="s">
        <v>3414</v>
      </c>
      <c r="J923" s="278" t="str">
        <f>IF(COUNTIF(J924:J927, TRUE) = COUNTA(J924:J927), "Complete!", IF(COUNTIF(J924:J927, TRUE) &gt; 0, "Partial", "Not Started"))</f>
        <v>Complete!</v>
      </c>
      <c r="K923" s="279"/>
      <c r="L923" s="280">
        <v>4.0</v>
      </c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  <c r="AH923" s="209"/>
      <c r="AI923" s="209"/>
      <c r="AJ923" s="209"/>
    </row>
    <row r="924">
      <c r="A924" s="291"/>
      <c r="B924" s="304" t="s">
        <v>3374</v>
      </c>
      <c r="C924" s="304" t="s">
        <v>2880</v>
      </c>
      <c r="D924" s="304" t="s">
        <v>3375</v>
      </c>
      <c r="E924" s="375">
        <v>8.40472500307E11</v>
      </c>
      <c r="F924" s="209"/>
      <c r="G924" s="209"/>
      <c r="H924" s="209"/>
      <c r="I924" s="209"/>
      <c r="J924" s="300" t="b">
        <v>1</v>
      </c>
      <c r="K924" s="301" t="b">
        <v>0</v>
      </c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  <c r="AH924" s="209"/>
      <c r="AI924" s="209"/>
      <c r="AJ924" s="209"/>
    </row>
    <row r="925">
      <c r="A925" s="291"/>
      <c r="B925" s="304" t="s">
        <v>3376</v>
      </c>
      <c r="C925" s="304" t="s">
        <v>2880</v>
      </c>
      <c r="D925" s="304" t="s">
        <v>3377</v>
      </c>
      <c r="E925" s="375" t="s">
        <v>3378</v>
      </c>
      <c r="F925" s="209"/>
      <c r="G925" s="209"/>
      <c r="H925" s="209"/>
      <c r="I925" s="209"/>
      <c r="J925" s="300" t="b">
        <v>1</v>
      </c>
      <c r="K925" s="301" t="b">
        <v>0</v>
      </c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  <c r="AH925" s="209"/>
      <c r="AI925" s="209"/>
      <c r="AJ925" s="209"/>
    </row>
    <row r="926">
      <c r="A926" s="291"/>
      <c r="B926" s="304" t="s">
        <v>3379</v>
      </c>
      <c r="C926" s="304" t="s">
        <v>2880</v>
      </c>
      <c r="D926" s="304" t="s">
        <v>3380</v>
      </c>
      <c r="E926" s="375" t="s">
        <v>3381</v>
      </c>
      <c r="F926" s="209"/>
      <c r="G926" s="209"/>
      <c r="H926" s="209"/>
      <c r="I926" s="209"/>
      <c r="J926" s="300" t="b">
        <v>1</v>
      </c>
      <c r="K926" s="301" t="b">
        <v>0</v>
      </c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  <c r="AH926" s="209"/>
      <c r="AI926" s="209"/>
      <c r="AJ926" s="209"/>
    </row>
    <row r="927">
      <c r="A927" s="309"/>
      <c r="B927" s="311" t="s">
        <v>3382</v>
      </c>
      <c r="C927" s="311" t="s">
        <v>2880</v>
      </c>
      <c r="D927" s="311" t="s">
        <v>3383</v>
      </c>
      <c r="E927" s="312">
        <v>8.40472500321E11</v>
      </c>
      <c r="F927" s="313"/>
      <c r="G927" s="313"/>
      <c r="H927" s="313"/>
      <c r="I927" s="313"/>
      <c r="J927" s="350" t="b">
        <v>1</v>
      </c>
      <c r="K927" s="314" t="b">
        <v>0</v>
      </c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  <c r="AH927" s="209"/>
      <c r="AI927" s="209"/>
      <c r="AJ927" s="209"/>
    </row>
    <row r="928">
      <c r="A928" s="209"/>
      <c r="B928" s="209"/>
      <c r="C928" s="209"/>
      <c r="D928" s="209"/>
      <c r="E928" s="209"/>
      <c r="F928" s="344"/>
      <c r="G928" s="344"/>
      <c r="H928" s="344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  <c r="AH928" s="209"/>
      <c r="AI928" s="209"/>
      <c r="AJ928" s="209"/>
    </row>
    <row r="929">
      <c r="A929" s="316" t="s">
        <v>3384</v>
      </c>
      <c r="B929" s="339" t="s">
        <v>3385</v>
      </c>
      <c r="C929" s="320"/>
      <c r="D929" s="283" t="s">
        <v>3386</v>
      </c>
      <c r="E929" s="402" t="s">
        <v>116</v>
      </c>
      <c r="F929" s="320"/>
      <c r="G929" s="320"/>
      <c r="H929" s="276" t="s">
        <v>2790</v>
      </c>
      <c r="I929" s="285" t="s">
        <v>1037</v>
      </c>
      <c r="J929" s="278" t="str">
        <f>IF(COUNTIF(J930:J933, TRUE) = COUNTA(J930:J933), "Complete!", IF(COUNTIF(J930:J933, TRUE) &gt; 0, "Partial", "Not Started"))</f>
        <v>Complete!</v>
      </c>
      <c r="K929" s="279"/>
      <c r="L929" s="280">
        <v>4.0</v>
      </c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  <c r="AH929" s="209"/>
      <c r="AI929" s="209"/>
      <c r="AJ929" s="209"/>
    </row>
    <row r="930">
      <c r="A930" s="291"/>
      <c r="B930" s="304" t="s">
        <v>3388</v>
      </c>
      <c r="C930" s="304" t="s">
        <v>692</v>
      </c>
      <c r="D930" s="304" t="s">
        <v>3389</v>
      </c>
      <c r="E930" s="375">
        <v>8.40472500383E11</v>
      </c>
      <c r="F930" s="209"/>
      <c r="G930" s="209"/>
      <c r="H930" s="209"/>
      <c r="I930" s="209"/>
      <c r="J930" s="300" t="b">
        <v>1</v>
      </c>
      <c r="K930" s="301" t="b">
        <v>0</v>
      </c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  <c r="AH930" s="209"/>
      <c r="AI930" s="209"/>
      <c r="AJ930" s="209"/>
    </row>
    <row r="931">
      <c r="A931" s="291"/>
      <c r="B931" s="304" t="s">
        <v>3390</v>
      </c>
      <c r="C931" s="304" t="s">
        <v>692</v>
      </c>
      <c r="D931" s="304" t="s">
        <v>3391</v>
      </c>
      <c r="E931" s="375" t="s">
        <v>3392</v>
      </c>
      <c r="F931" s="209"/>
      <c r="G931" s="209"/>
      <c r="H931" s="209"/>
      <c r="I931" s="209"/>
      <c r="J931" s="300" t="b">
        <v>1</v>
      </c>
      <c r="K931" s="301" t="b">
        <v>0</v>
      </c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  <c r="AH931" s="209"/>
      <c r="AI931" s="209"/>
      <c r="AJ931" s="209"/>
    </row>
    <row r="932">
      <c r="A932" s="291"/>
      <c r="B932" s="304" t="s">
        <v>3393</v>
      </c>
      <c r="C932" s="304" t="s">
        <v>692</v>
      </c>
      <c r="D932" s="304" t="s">
        <v>3394</v>
      </c>
      <c r="E932" s="375" t="s">
        <v>3395</v>
      </c>
      <c r="F932" s="209"/>
      <c r="G932" s="209"/>
      <c r="H932" s="209"/>
      <c r="I932" s="209"/>
      <c r="J932" s="300" t="b">
        <v>1</v>
      </c>
      <c r="K932" s="301" t="b">
        <v>0</v>
      </c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  <c r="AH932" s="209"/>
      <c r="AI932" s="209"/>
      <c r="AJ932" s="209"/>
    </row>
    <row r="933">
      <c r="A933" s="309"/>
      <c r="B933" s="311" t="s">
        <v>3396</v>
      </c>
      <c r="C933" s="311" t="s">
        <v>692</v>
      </c>
      <c r="D933" s="311" t="s">
        <v>3397</v>
      </c>
      <c r="E933" s="312">
        <v>8.40472500406E11</v>
      </c>
      <c r="F933" s="313"/>
      <c r="G933" s="313"/>
      <c r="H933" s="313"/>
      <c r="I933" s="313"/>
      <c r="J933" s="350" t="b">
        <v>1</v>
      </c>
      <c r="K933" s="314" t="b">
        <v>0</v>
      </c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  <c r="AH933" s="209"/>
      <c r="AI933" s="209"/>
      <c r="AJ933" s="209"/>
    </row>
    <row r="934">
      <c r="A934" s="209"/>
      <c r="B934" s="209"/>
      <c r="C934" s="209"/>
      <c r="D934" s="209"/>
      <c r="E934" s="209"/>
      <c r="F934" s="344"/>
      <c r="G934" s="344"/>
      <c r="H934" s="344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  <c r="AH934" s="209"/>
      <c r="AI934" s="209"/>
      <c r="AJ934" s="209"/>
    </row>
    <row r="935">
      <c r="A935" s="316" t="s">
        <v>3398</v>
      </c>
      <c r="B935" s="339" t="s">
        <v>3399</v>
      </c>
      <c r="C935" s="320"/>
      <c r="D935" s="283" t="s">
        <v>3400</v>
      </c>
      <c r="E935" s="402" t="s">
        <v>116</v>
      </c>
      <c r="F935" s="320"/>
      <c r="G935" s="320"/>
      <c r="H935" s="276" t="s">
        <v>3401</v>
      </c>
      <c r="I935" s="285" t="s">
        <v>3387</v>
      </c>
      <c r="J935" s="278" t="str">
        <f>IF(COUNTIF(J936:J939, TRUE) = COUNTA(J936:J939), "Complete!", IF(COUNTIF(J936:J939, TRUE) &gt; 0, "Partial", "Not Started"))</f>
        <v>Complete!</v>
      </c>
      <c r="K935" s="279"/>
      <c r="L935" s="280">
        <v>4.0</v>
      </c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  <c r="AH935" s="209"/>
      <c r="AI935" s="209"/>
      <c r="AJ935" s="209"/>
    </row>
    <row r="936">
      <c r="A936" s="291"/>
      <c r="B936" s="304" t="s">
        <v>3402</v>
      </c>
      <c r="C936" s="304" t="s">
        <v>3403</v>
      </c>
      <c r="D936" s="304" t="s">
        <v>3404</v>
      </c>
      <c r="E936" s="375">
        <v>8.10115974598E11</v>
      </c>
      <c r="F936" s="209"/>
      <c r="G936" s="209"/>
      <c r="H936" s="209"/>
      <c r="I936" s="209"/>
      <c r="J936" s="300" t="b">
        <v>1</v>
      </c>
      <c r="K936" s="301" t="b">
        <v>0</v>
      </c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  <c r="AH936" s="209"/>
      <c r="AI936" s="209"/>
      <c r="AJ936" s="209"/>
    </row>
    <row r="937">
      <c r="A937" s="291"/>
      <c r="B937" s="304" t="s">
        <v>3405</v>
      </c>
      <c r="C937" s="304" t="s">
        <v>3403</v>
      </c>
      <c r="D937" s="304" t="s">
        <v>3406</v>
      </c>
      <c r="E937" s="305">
        <v>8.10115974611E11</v>
      </c>
      <c r="F937" s="209"/>
      <c r="G937" s="209"/>
      <c r="H937" s="209"/>
      <c r="I937" s="209"/>
      <c r="J937" s="300" t="b">
        <v>1</v>
      </c>
      <c r="K937" s="301" t="b">
        <v>0</v>
      </c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  <c r="AH937" s="209"/>
      <c r="AI937" s="209"/>
      <c r="AJ937" s="209"/>
    </row>
    <row r="938">
      <c r="A938" s="291"/>
      <c r="B938" s="377" t="s">
        <v>3407</v>
      </c>
      <c r="C938" s="304" t="s">
        <v>3403</v>
      </c>
      <c r="D938" s="304" t="s">
        <v>3408</v>
      </c>
      <c r="E938" s="395">
        <v>8.10115974604E11</v>
      </c>
      <c r="F938" s="209"/>
      <c r="G938" s="209"/>
      <c r="H938" s="209"/>
      <c r="I938" s="209"/>
      <c r="J938" s="300" t="b">
        <v>1</v>
      </c>
      <c r="K938" s="301" t="b">
        <v>0</v>
      </c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  <c r="AH938" s="209"/>
      <c r="AI938" s="209"/>
      <c r="AJ938" s="209"/>
    </row>
    <row r="939">
      <c r="A939" s="309"/>
      <c r="B939" s="311" t="s">
        <v>3409</v>
      </c>
      <c r="C939" s="311" t="s">
        <v>3403</v>
      </c>
      <c r="D939" s="311" t="s">
        <v>3410</v>
      </c>
      <c r="E939" s="312">
        <v>8.10115975359E11</v>
      </c>
      <c r="F939" s="313"/>
      <c r="G939" s="313"/>
      <c r="H939" s="313"/>
      <c r="I939" s="313"/>
      <c r="J939" s="350" t="b">
        <v>1</v>
      </c>
      <c r="K939" s="314" t="b">
        <v>0</v>
      </c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  <c r="AH939" s="209"/>
      <c r="AI939" s="209"/>
      <c r="AJ939" s="209"/>
    </row>
    <row r="940">
      <c r="A940" s="313"/>
      <c r="B940" s="209"/>
      <c r="C940" s="209"/>
      <c r="D940" s="209"/>
      <c r="E940" s="209"/>
      <c r="F940" s="344"/>
      <c r="G940" s="344"/>
      <c r="H940" s="344"/>
      <c r="I940" s="209"/>
      <c r="J940" s="313"/>
      <c r="K940" s="313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  <c r="AH940" s="209"/>
      <c r="AI940" s="209"/>
      <c r="AJ940" s="209"/>
    </row>
    <row r="941">
      <c r="A941" s="271" t="s">
        <v>3411</v>
      </c>
      <c r="B941" s="339" t="s">
        <v>3412</v>
      </c>
      <c r="C941" s="320"/>
      <c r="D941" s="283" t="s">
        <v>3413</v>
      </c>
      <c r="E941" s="402" t="s">
        <v>116</v>
      </c>
      <c r="F941" s="320"/>
      <c r="G941" s="320"/>
      <c r="H941" s="276" t="s">
        <v>1844</v>
      </c>
      <c r="I941" s="285" t="s">
        <v>3414</v>
      </c>
      <c r="J941" s="278" t="str">
        <f>IF(COUNTIF(J942:J945, TRUE) = COUNTA(J942:J945), "Complete!", IF(COUNTIF(J942:J945, TRUE) &gt; 0, "Partial", "Not Started"))</f>
        <v>Complete!</v>
      </c>
      <c r="K941" s="279"/>
      <c r="L941" s="280">
        <v>4.0</v>
      </c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  <c r="AH941" s="209"/>
      <c r="AI941" s="209"/>
      <c r="AJ941" s="209"/>
    </row>
    <row r="942">
      <c r="A942" s="291"/>
      <c r="B942" s="304" t="s">
        <v>3415</v>
      </c>
      <c r="C942" s="304" t="s">
        <v>3416</v>
      </c>
      <c r="D942" s="304" t="s">
        <v>3417</v>
      </c>
      <c r="E942" s="375">
        <v>8.1011597468E11</v>
      </c>
      <c r="F942" s="209"/>
      <c r="G942" s="209"/>
      <c r="H942" s="209"/>
      <c r="I942" s="209"/>
      <c r="J942" s="300" t="b">
        <v>1</v>
      </c>
      <c r="K942" s="301" t="b">
        <v>0</v>
      </c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  <c r="AH942" s="209"/>
      <c r="AI942" s="209"/>
      <c r="AJ942" s="209"/>
    </row>
    <row r="943">
      <c r="A943" s="291"/>
      <c r="B943" s="304" t="s">
        <v>3418</v>
      </c>
      <c r="C943" s="304" t="s">
        <v>3416</v>
      </c>
      <c r="D943" s="304" t="s">
        <v>3419</v>
      </c>
      <c r="E943" s="305">
        <v>8.10115974703E11</v>
      </c>
      <c r="F943" s="209"/>
      <c r="G943" s="209"/>
      <c r="H943" s="209"/>
      <c r="I943" s="209"/>
      <c r="J943" s="300" t="b">
        <v>1</v>
      </c>
      <c r="K943" s="301" t="b">
        <v>0</v>
      </c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  <c r="AH943" s="209"/>
      <c r="AI943" s="209"/>
      <c r="AJ943" s="209"/>
    </row>
    <row r="944">
      <c r="A944" s="291"/>
      <c r="B944" s="304" t="s">
        <v>3420</v>
      </c>
      <c r="C944" s="304" t="s">
        <v>3416</v>
      </c>
      <c r="D944" s="304" t="s">
        <v>3421</v>
      </c>
      <c r="E944" s="305">
        <v>8.10115974697E11</v>
      </c>
      <c r="F944" s="209"/>
      <c r="G944" s="209"/>
      <c r="H944" s="209"/>
      <c r="I944" s="209"/>
      <c r="J944" s="300" t="b">
        <v>1</v>
      </c>
      <c r="K944" s="301" t="b">
        <v>0</v>
      </c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  <c r="AH944" s="209"/>
      <c r="AI944" s="209"/>
      <c r="AJ944" s="209"/>
    </row>
    <row r="945">
      <c r="A945" s="309"/>
      <c r="B945" s="311" t="s">
        <v>3422</v>
      </c>
      <c r="C945" s="311" t="s">
        <v>3416</v>
      </c>
      <c r="D945" s="311" t="s">
        <v>3423</v>
      </c>
      <c r="E945" s="312">
        <v>8.1011597538E11</v>
      </c>
      <c r="F945" s="313"/>
      <c r="G945" s="313"/>
      <c r="H945" s="313"/>
      <c r="I945" s="313"/>
      <c r="J945" s="350" t="b">
        <v>1</v>
      </c>
      <c r="K945" s="314" t="b">
        <v>0</v>
      </c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  <c r="AH945" s="209"/>
      <c r="AI945" s="209"/>
      <c r="AJ945" s="209"/>
    </row>
    <row r="946">
      <c r="A946" s="437"/>
      <c r="B946" s="313"/>
      <c r="C946" s="313"/>
      <c r="D946" s="313"/>
      <c r="E946" s="313"/>
      <c r="F946" s="344"/>
      <c r="G946" s="344"/>
      <c r="H946" s="344"/>
      <c r="I946" s="313"/>
      <c r="J946" s="313"/>
      <c r="K946" s="366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  <c r="AH946" s="209"/>
      <c r="AI946" s="209"/>
      <c r="AJ946" s="209"/>
    </row>
    <row r="947">
      <c r="A947" s="316" t="s">
        <v>3470</v>
      </c>
      <c r="B947" s="319" t="s">
        <v>3471</v>
      </c>
      <c r="C947" s="320"/>
      <c r="D947" s="283" t="s">
        <v>3472</v>
      </c>
      <c r="E947" s="402" t="s">
        <v>3473</v>
      </c>
      <c r="F947" s="320"/>
      <c r="G947" s="320"/>
      <c r="H947" s="276" t="s">
        <v>563</v>
      </c>
      <c r="I947" s="285" t="s">
        <v>4190</v>
      </c>
      <c r="J947" s="278" t="str">
        <f>IF(COUNTIF(J948:J954, TRUE) = COUNTA(J948:J954), "Complete!", IF(COUNTIF(J948:J954, TRUE) &gt; 0, "Partial", "Not Started"))</f>
        <v>Complete!</v>
      </c>
      <c r="K947" s="279"/>
      <c r="L947" s="280">
        <v>7.0</v>
      </c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  <c r="AH947" s="209"/>
      <c r="AI947" s="209"/>
      <c r="AJ947" s="209"/>
    </row>
    <row r="948">
      <c r="A948" s="291"/>
      <c r="B948" s="408" t="s">
        <v>3475</v>
      </c>
      <c r="C948" s="304" t="s">
        <v>3476</v>
      </c>
      <c r="D948" s="304" t="s">
        <v>3477</v>
      </c>
      <c r="E948" s="374" t="s">
        <v>3478</v>
      </c>
      <c r="F948" s="209"/>
      <c r="G948" s="209"/>
      <c r="H948" s="209"/>
      <c r="I948" s="209"/>
      <c r="J948" s="300" t="b">
        <v>1</v>
      </c>
      <c r="K948" s="301" t="b">
        <v>0</v>
      </c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  <c r="AH948" s="209"/>
      <c r="AI948" s="209"/>
      <c r="AJ948" s="209"/>
    </row>
    <row r="949">
      <c r="A949" s="291"/>
      <c r="B949" s="376" t="s">
        <v>3479</v>
      </c>
      <c r="C949" s="304" t="s">
        <v>3476</v>
      </c>
      <c r="D949" s="304" t="s">
        <v>3480</v>
      </c>
      <c r="E949" s="375" t="s">
        <v>3481</v>
      </c>
      <c r="F949" s="304" t="s">
        <v>732</v>
      </c>
      <c r="G949" s="209"/>
      <c r="H949" s="209"/>
      <c r="I949" s="304" t="s">
        <v>733</v>
      </c>
      <c r="J949" s="300" t="b">
        <v>1</v>
      </c>
      <c r="K949" s="301" t="b">
        <v>0</v>
      </c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  <c r="AH949" s="209"/>
      <c r="AI949" s="209"/>
      <c r="AJ949" s="209"/>
    </row>
    <row r="950">
      <c r="A950" s="291"/>
      <c r="B950" s="376" t="s">
        <v>3482</v>
      </c>
      <c r="C950" s="304" t="s">
        <v>3476</v>
      </c>
      <c r="D950" s="304" t="s">
        <v>3483</v>
      </c>
      <c r="E950" s="375" t="s">
        <v>3484</v>
      </c>
      <c r="F950" s="209"/>
      <c r="G950" s="209"/>
      <c r="H950" s="209"/>
      <c r="I950" s="209"/>
      <c r="J950" s="300" t="b">
        <v>1</v>
      </c>
      <c r="K950" s="301" t="b">
        <v>0</v>
      </c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  <c r="AA950" s="209"/>
      <c r="AB950" s="209"/>
      <c r="AC950" s="209"/>
      <c r="AD950" s="209"/>
      <c r="AE950" s="209"/>
      <c r="AF950" s="209"/>
      <c r="AG950" s="209"/>
      <c r="AH950" s="209"/>
      <c r="AI950" s="209"/>
      <c r="AJ950" s="209"/>
    </row>
    <row r="951">
      <c r="A951" s="291"/>
      <c r="B951" s="376" t="s">
        <v>3485</v>
      </c>
      <c r="C951" s="304" t="s">
        <v>3476</v>
      </c>
      <c r="D951" s="304" t="s">
        <v>3486</v>
      </c>
      <c r="E951" s="375" t="s">
        <v>3487</v>
      </c>
      <c r="F951" s="209"/>
      <c r="G951" s="209"/>
      <c r="H951" s="209"/>
      <c r="I951" s="209"/>
      <c r="J951" s="300" t="b">
        <v>1</v>
      </c>
      <c r="K951" s="301" t="b">
        <v>0</v>
      </c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  <c r="AA951" s="209"/>
      <c r="AB951" s="209"/>
      <c r="AC951" s="209"/>
      <c r="AD951" s="209"/>
      <c r="AE951" s="209"/>
      <c r="AF951" s="209"/>
      <c r="AG951" s="209"/>
      <c r="AH951" s="209"/>
      <c r="AI951" s="209"/>
      <c r="AJ951" s="209"/>
    </row>
    <row r="952">
      <c r="A952" s="291"/>
      <c r="B952" s="376" t="s">
        <v>3488</v>
      </c>
      <c r="C952" s="304" t="s">
        <v>3476</v>
      </c>
      <c r="D952" s="304" t="s">
        <v>3489</v>
      </c>
      <c r="E952" s="375" t="s">
        <v>3490</v>
      </c>
      <c r="F952" s="209"/>
      <c r="G952" s="209"/>
      <c r="H952" s="209"/>
      <c r="I952" s="209"/>
      <c r="J952" s="300" t="b">
        <v>1</v>
      </c>
      <c r="K952" s="301" t="b">
        <v>0</v>
      </c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  <c r="AA952" s="209"/>
      <c r="AB952" s="209"/>
      <c r="AC952" s="209"/>
      <c r="AD952" s="209"/>
      <c r="AE952" s="209"/>
      <c r="AF952" s="209"/>
      <c r="AG952" s="209"/>
      <c r="AH952" s="209"/>
      <c r="AI952" s="209"/>
      <c r="AJ952" s="209"/>
    </row>
    <row r="953">
      <c r="A953" s="291"/>
      <c r="B953" s="376" t="s">
        <v>3491</v>
      </c>
      <c r="C953" s="304" t="s">
        <v>3492</v>
      </c>
      <c r="D953" s="304" t="s">
        <v>3493</v>
      </c>
      <c r="E953" s="375" t="s">
        <v>3494</v>
      </c>
      <c r="F953" s="209"/>
      <c r="G953" s="209"/>
      <c r="H953" s="209"/>
      <c r="I953" s="209"/>
      <c r="J953" s="300" t="b">
        <v>1</v>
      </c>
      <c r="K953" s="301" t="b">
        <v>0</v>
      </c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  <c r="AA953" s="209"/>
      <c r="AB953" s="209"/>
      <c r="AC953" s="209"/>
      <c r="AD953" s="209"/>
      <c r="AE953" s="209"/>
      <c r="AF953" s="209"/>
      <c r="AG953" s="209"/>
      <c r="AH953" s="209"/>
      <c r="AI953" s="209"/>
      <c r="AJ953" s="209"/>
    </row>
    <row r="954">
      <c r="A954" s="309"/>
      <c r="B954" s="378" t="s">
        <v>3495</v>
      </c>
      <c r="C954" s="379" t="s">
        <v>3492</v>
      </c>
      <c r="D954" s="311" t="s">
        <v>3496</v>
      </c>
      <c r="E954" s="380" t="s">
        <v>3497</v>
      </c>
      <c r="F954" s="313"/>
      <c r="G954" s="313"/>
      <c r="H954" s="313"/>
      <c r="I954" s="313"/>
      <c r="J954" s="300" t="b">
        <v>1</v>
      </c>
      <c r="K954" s="381" t="b">
        <v>0</v>
      </c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  <c r="AA954" s="209"/>
      <c r="AB954" s="209"/>
      <c r="AC954" s="209"/>
      <c r="AD954" s="209"/>
      <c r="AE954" s="209"/>
      <c r="AF954" s="209"/>
      <c r="AG954" s="209"/>
      <c r="AH954" s="209"/>
      <c r="AI954" s="209"/>
      <c r="AJ954" s="209"/>
    </row>
    <row r="955">
      <c r="A955" s="209"/>
      <c r="B955" s="209"/>
      <c r="C955" s="209"/>
      <c r="D955" s="209"/>
      <c r="E955" s="209"/>
      <c r="F955" s="344"/>
      <c r="G955" s="344"/>
      <c r="H955" s="344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  <c r="AA955" s="209"/>
      <c r="AB955" s="209"/>
      <c r="AC955" s="209"/>
      <c r="AD955" s="209"/>
      <c r="AE955" s="209"/>
      <c r="AF955" s="209"/>
      <c r="AG955" s="209"/>
      <c r="AH955" s="209"/>
      <c r="AI955" s="209"/>
      <c r="AJ955" s="209"/>
    </row>
    <row r="956">
      <c r="A956" s="316" t="s">
        <v>3498</v>
      </c>
      <c r="B956" s="319" t="s">
        <v>3499</v>
      </c>
      <c r="C956" s="320"/>
      <c r="D956" s="283" t="s">
        <v>3500</v>
      </c>
      <c r="E956" s="322" t="s">
        <v>343</v>
      </c>
      <c r="F956" s="320"/>
      <c r="G956" s="320"/>
      <c r="H956" s="276" t="s">
        <v>1796</v>
      </c>
      <c r="I956" s="285" t="s">
        <v>4191</v>
      </c>
      <c r="J956" s="278" t="str">
        <f>IF(COUNTIF(J957:J961, TRUE) = COUNTA(J957:J961), "Complete!", IF(COUNTIF(J957:J961, TRUE) &gt; 0, "Partial", "Not Started"))</f>
        <v>Complete!</v>
      </c>
      <c r="K956" s="279"/>
      <c r="L956" s="280">
        <v>5.0</v>
      </c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  <c r="AA956" s="209"/>
      <c r="AB956" s="209"/>
      <c r="AC956" s="209"/>
      <c r="AD956" s="209"/>
      <c r="AE956" s="209"/>
      <c r="AF956" s="209"/>
      <c r="AG956" s="209"/>
      <c r="AH956" s="209"/>
      <c r="AI956" s="209"/>
      <c r="AJ956" s="209"/>
    </row>
    <row r="957">
      <c r="A957" s="291"/>
      <c r="B957" s="376" t="s">
        <v>3501</v>
      </c>
      <c r="C957" s="377" t="s">
        <v>3502</v>
      </c>
      <c r="D957" s="304" t="s">
        <v>3503</v>
      </c>
      <c r="E957" s="375" t="s">
        <v>3504</v>
      </c>
      <c r="F957" s="304" t="s">
        <v>732</v>
      </c>
      <c r="G957" s="209"/>
      <c r="H957" s="209"/>
      <c r="I957" s="304" t="s">
        <v>733</v>
      </c>
      <c r="J957" s="300" t="b">
        <v>1</v>
      </c>
      <c r="K957" s="301" t="b">
        <v>0</v>
      </c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  <c r="AA957" s="209"/>
      <c r="AB957" s="209"/>
      <c r="AC957" s="209"/>
      <c r="AD957" s="209"/>
      <c r="AE957" s="209"/>
      <c r="AF957" s="209"/>
      <c r="AG957" s="209"/>
      <c r="AH957" s="209"/>
      <c r="AI957" s="209"/>
      <c r="AJ957" s="209"/>
    </row>
    <row r="958">
      <c r="A958" s="291"/>
      <c r="B958" s="376" t="s">
        <v>3505</v>
      </c>
      <c r="C958" s="377" t="s">
        <v>3506</v>
      </c>
      <c r="D958" s="304" t="s">
        <v>3507</v>
      </c>
      <c r="E958" s="375" t="s">
        <v>3508</v>
      </c>
      <c r="F958" s="209"/>
      <c r="G958" s="209"/>
      <c r="H958" s="209"/>
      <c r="I958" s="209"/>
      <c r="J958" s="300" t="b">
        <v>1</v>
      </c>
      <c r="K958" s="301" t="b">
        <v>0</v>
      </c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  <c r="AA958" s="209"/>
      <c r="AB958" s="209"/>
      <c r="AC958" s="209"/>
      <c r="AD958" s="209"/>
      <c r="AE958" s="209"/>
      <c r="AF958" s="209"/>
      <c r="AG958" s="209"/>
      <c r="AH958" s="209"/>
      <c r="AI958" s="209"/>
      <c r="AJ958" s="209"/>
    </row>
    <row r="959">
      <c r="A959" s="291"/>
      <c r="B959" s="376" t="s">
        <v>3509</v>
      </c>
      <c r="C959" s="377" t="s">
        <v>3510</v>
      </c>
      <c r="D959" s="304" t="s">
        <v>3511</v>
      </c>
      <c r="E959" s="375" t="s">
        <v>3512</v>
      </c>
      <c r="F959" s="304" t="s">
        <v>732</v>
      </c>
      <c r="G959" s="209"/>
      <c r="H959" s="209"/>
      <c r="I959" s="304" t="s">
        <v>733</v>
      </c>
      <c r="J959" s="300" t="b">
        <v>1</v>
      </c>
      <c r="K959" s="301" t="b">
        <v>0</v>
      </c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  <c r="AA959" s="209"/>
      <c r="AB959" s="209"/>
      <c r="AC959" s="209"/>
      <c r="AD959" s="209"/>
      <c r="AE959" s="209"/>
      <c r="AF959" s="209"/>
      <c r="AG959" s="209"/>
      <c r="AH959" s="209"/>
      <c r="AI959" s="209"/>
      <c r="AJ959" s="209"/>
    </row>
    <row r="960">
      <c r="A960" s="291"/>
      <c r="B960" s="376" t="s">
        <v>3513</v>
      </c>
      <c r="C960" s="377" t="s">
        <v>3502</v>
      </c>
      <c r="D960" s="304" t="s">
        <v>3514</v>
      </c>
      <c r="E960" s="375" t="s">
        <v>3515</v>
      </c>
      <c r="F960" s="304" t="s">
        <v>732</v>
      </c>
      <c r="G960" s="209"/>
      <c r="H960" s="209"/>
      <c r="I960" s="304" t="s">
        <v>733</v>
      </c>
      <c r="J960" s="300" t="b">
        <v>1</v>
      </c>
      <c r="K960" s="301" t="b">
        <v>0</v>
      </c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  <c r="AA960" s="209"/>
      <c r="AB960" s="209"/>
      <c r="AC960" s="209"/>
      <c r="AD960" s="209"/>
      <c r="AE960" s="209"/>
      <c r="AF960" s="209"/>
      <c r="AG960" s="209"/>
      <c r="AH960" s="209"/>
      <c r="AI960" s="209"/>
      <c r="AJ960" s="209"/>
    </row>
    <row r="961">
      <c r="A961" s="291"/>
      <c r="B961" s="378" t="s">
        <v>3516</v>
      </c>
      <c r="C961" s="379" t="s">
        <v>3517</v>
      </c>
      <c r="D961" s="311" t="s">
        <v>3518</v>
      </c>
      <c r="E961" s="380" t="s">
        <v>3519</v>
      </c>
      <c r="F961" s="311" t="s">
        <v>732</v>
      </c>
      <c r="G961" s="313"/>
      <c r="H961" s="313"/>
      <c r="I961" s="311" t="s">
        <v>733</v>
      </c>
      <c r="J961" s="318" t="b">
        <v>1</v>
      </c>
      <c r="K961" s="381" t="b">
        <v>0</v>
      </c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  <c r="AA961" s="209"/>
      <c r="AB961" s="209"/>
      <c r="AC961" s="209"/>
      <c r="AD961" s="209"/>
      <c r="AE961" s="209"/>
      <c r="AF961" s="209"/>
      <c r="AG961" s="209"/>
      <c r="AH961" s="209"/>
      <c r="AI961" s="209"/>
      <c r="AJ961" s="209"/>
    </row>
    <row r="962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  <c r="AA962" s="209"/>
      <c r="AB962" s="209"/>
      <c r="AC962" s="209"/>
      <c r="AD962" s="209"/>
      <c r="AE962" s="209"/>
      <c r="AF962" s="209"/>
      <c r="AG962" s="209"/>
      <c r="AH962" s="209"/>
      <c r="AI962" s="209"/>
      <c r="AJ962" s="209"/>
    </row>
    <row r="963">
      <c r="A963" s="316" t="s">
        <v>3520</v>
      </c>
      <c r="B963" s="319" t="s">
        <v>3521</v>
      </c>
      <c r="C963" s="320"/>
      <c r="D963" s="283" t="s">
        <v>3522</v>
      </c>
      <c r="E963" s="322" t="s">
        <v>3523</v>
      </c>
      <c r="F963" s="320"/>
      <c r="G963" s="320"/>
      <c r="H963" s="285" t="s">
        <v>2803</v>
      </c>
      <c r="I963" s="285" t="s">
        <v>2393</v>
      </c>
      <c r="J963" s="278" t="str">
        <f>IF(COUNTIF(J964:J969, TRUE) = COUNTA(J964:J969), "Complete!", IF(COUNTIF(J964:J969, TRUE) &gt; 0, "Partial", "Not Started"))</f>
        <v>Complete!</v>
      </c>
      <c r="K963" s="279"/>
      <c r="L963" s="280">
        <v>6.0</v>
      </c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  <c r="AA963" s="209"/>
      <c r="AB963" s="209"/>
      <c r="AC963" s="209"/>
      <c r="AD963" s="209"/>
      <c r="AE963" s="209"/>
      <c r="AF963" s="209"/>
      <c r="AG963" s="209"/>
      <c r="AH963" s="209"/>
      <c r="AI963" s="209"/>
      <c r="AJ963" s="209"/>
    </row>
    <row r="964">
      <c r="A964" s="291"/>
      <c r="B964" s="408" t="s">
        <v>3525</v>
      </c>
      <c r="C964" s="409" t="s">
        <v>3526</v>
      </c>
      <c r="D964" s="304" t="s">
        <v>3527</v>
      </c>
      <c r="E964" s="374" t="s">
        <v>3528</v>
      </c>
      <c r="F964" s="209"/>
      <c r="G964" s="209"/>
      <c r="H964" s="209"/>
      <c r="I964" s="209"/>
      <c r="J964" s="300" t="b">
        <v>1</v>
      </c>
      <c r="K964" s="301" t="b">
        <v>0</v>
      </c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  <c r="AA964" s="209"/>
      <c r="AB964" s="209"/>
      <c r="AC964" s="209"/>
      <c r="AD964" s="209"/>
      <c r="AE964" s="209"/>
      <c r="AF964" s="209"/>
      <c r="AG964" s="209"/>
      <c r="AH964" s="209"/>
      <c r="AI964" s="209"/>
      <c r="AJ964" s="209"/>
    </row>
    <row r="965">
      <c r="A965" s="291"/>
      <c r="B965" s="376" t="s">
        <v>3529</v>
      </c>
      <c r="C965" s="377" t="s">
        <v>3526</v>
      </c>
      <c r="D965" s="304" t="s">
        <v>3530</v>
      </c>
      <c r="E965" s="375" t="s">
        <v>3531</v>
      </c>
      <c r="F965" s="209"/>
      <c r="G965" s="209"/>
      <c r="H965" s="209"/>
      <c r="I965" s="209"/>
      <c r="J965" s="300" t="b">
        <v>1</v>
      </c>
      <c r="K965" s="301" t="b">
        <v>0</v>
      </c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  <c r="AA965" s="209"/>
      <c r="AB965" s="209"/>
      <c r="AC965" s="209"/>
      <c r="AD965" s="209"/>
      <c r="AE965" s="209"/>
      <c r="AF965" s="209"/>
      <c r="AG965" s="209"/>
      <c r="AH965" s="209"/>
      <c r="AI965" s="209"/>
      <c r="AJ965" s="209"/>
    </row>
    <row r="966">
      <c r="A966" s="291"/>
      <c r="B966" s="376" t="s">
        <v>3532</v>
      </c>
      <c r="C966" s="377" t="s">
        <v>3526</v>
      </c>
      <c r="D966" s="304" t="s">
        <v>3533</v>
      </c>
      <c r="E966" s="375" t="s">
        <v>3534</v>
      </c>
      <c r="F966" s="209"/>
      <c r="G966" s="209"/>
      <c r="H966" s="209"/>
      <c r="I966" s="209"/>
      <c r="J966" s="300" t="b">
        <v>1</v>
      </c>
      <c r="K966" s="301" t="b">
        <v>0</v>
      </c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  <c r="AA966" s="209"/>
      <c r="AB966" s="209"/>
      <c r="AC966" s="209"/>
      <c r="AD966" s="209"/>
      <c r="AE966" s="209"/>
      <c r="AF966" s="209"/>
      <c r="AG966" s="209"/>
      <c r="AH966" s="209"/>
      <c r="AI966" s="209"/>
      <c r="AJ966" s="209"/>
    </row>
    <row r="967">
      <c r="A967" s="291"/>
      <c r="B967" s="376" t="s">
        <v>3535</v>
      </c>
      <c r="C967" s="377" t="s">
        <v>3526</v>
      </c>
      <c r="D967" s="304" t="s">
        <v>3536</v>
      </c>
      <c r="E967" s="375" t="s">
        <v>3537</v>
      </c>
      <c r="F967" s="209"/>
      <c r="G967" s="209"/>
      <c r="H967" s="209"/>
      <c r="I967" s="209"/>
      <c r="J967" s="300" t="b">
        <v>1</v>
      </c>
      <c r="K967" s="301" t="b">
        <v>0</v>
      </c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  <c r="AA967" s="209"/>
      <c r="AB967" s="209"/>
      <c r="AC967" s="209"/>
      <c r="AD967" s="209"/>
      <c r="AE967" s="209"/>
      <c r="AF967" s="209"/>
      <c r="AG967" s="209"/>
      <c r="AH967" s="209"/>
      <c r="AI967" s="209"/>
      <c r="AJ967" s="209"/>
    </row>
    <row r="968">
      <c r="A968" s="291"/>
      <c r="B968" s="376" t="s">
        <v>3538</v>
      </c>
      <c r="C968" s="377" t="s">
        <v>3526</v>
      </c>
      <c r="D968" s="304" t="s">
        <v>3539</v>
      </c>
      <c r="E968" s="375" t="s">
        <v>3540</v>
      </c>
      <c r="F968" s="209"/>
      <c r="G968" s="209"/>
      <c r="H968" s="209"/>
      <c r="I968" s="209"/>
      <c r="J968" s="300" t="b">
        <v>1</v>
      </c>
      <c r="K968" s="301" t="b">
        <v>0</v>
      </c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  <c r="AA968" s="209"/>
      <c r="AB968" s="209"/>
      <c r="AC968" s="209"/>
      <c r="AD968" s="209"/>
      <c r="AE968" s="209"/>
      <c r="AF968" s="209"/>
      <c r="AG968" s="209"/>
      <c r="AH968" s="209"/>
      <c r="AI968" s="209"/>
      <c r="AJ968" s="209"/>
    </row>
    <row r="969">
      <c r="A969" s="309"/>
      <c r="B969" s="378" t="s">
        <v>3541</v>
      </c>
      <c r="C969" s="379" t="s">
        <v>3526</v>
      </c>
      <c r="D969" s="311" t="s">
        <v>3542</v>
      </c>
      <c r="E969" s="380" t="s">
        <v>3543</v>
      </c>
      <c r="F969" s="313"/>
      <c r="G969" s="313"/>
      <c r="H969" s="313"/>
      <c r="I969" s="313"/>
      <c r="J969" s="300" t="b">
        <v>1</v>
      </c>
      <c r="K969" s="381" t="b">
        <v>0</v>
      </c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  <c r="AA969" s="209"/>
      <c r="AB969" s="209"/>
      <c r="AC969" s="209"/>
      <c r="AD969" s="209"/>
      <c r="AE969" s="209"/>
      <c r="AF969" s="209"/>
      <c r="AG969" s="209"/>
      <c r="AH969" s="209"/>
      <c r="AI969" s="209"/>
      <c r="AJ969" s="209"/>
    </row>
    <row r="970">
      <c r="A970" s="209"/>
      <c r="B970" s="209"/>
      <c r="C970" s="209"/>
      <c r="D970" s="313"/>
      <c r="E970" s="353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  <c r="AA970" s="209"/>
      <c r="AB970" s="209"/>
      <c r="AC970" s="209"/>
      <c r="AD970" s="209"/>
      <c r="AE970" s="209"/>
      <c r="AF970" s="209"/>
      <c r="AG970" s="209"/>
      <c r="AH970" s="209"/>
      <c r="AI970" s="209"/>
      <c r="AJ970" s="209"/>
    </row>
    <row r="971">
      <c r="A971" s="316" t="s">
        <v>3544</v>
      </c>
      <c r="B971" s="319" t="s">
        <v>3545</v>
      </c>
      <c r="C971" s="320"/>
      <c r="D971" s="283" t="s">
        <v>3546</v>
      </c>
      <c r="E971" s="322" t="s">
        <v>3547</v>
      </c>
      <c r="F971" s="436"/>
      <c r="G971" s="320"/>
      <c r="H971" s="285" t="s">
        <v>376</v>
      </c>
      <c r="I971" s="285" t="s">
        <v>4192</v>
      </c>
      <c r="J971" s="278" t="str">
        <f>IF(COUNTIF(J972:J977, TRUE) = COUNTA(J972:J977), "Complete!", IF(COUNTIF(J972:J977, TRUE) &gt; 0, "Partial", "Not Started"))</f>
        <v>Complete!</v>
      </c>
      <c r="K971" s="279"/>
      <c r="L971" s="280">
        <v>6.0</v>
      </c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  <c r="AA971" s="209"/>
      <c r="AB971" s="209"/>
      <c r="AC971" s="209"/>
      <c r="AD971" s="209"/>
      <c r="AE971" s="209"/>
      <c r="AF971" s="209"/>
      <c r="AG971" s="209"/>
      <c r="AH971" s="209"/>
      <c r="AI971" s="209"/>
      <c r="AJ971" s="209"/>
    </row>
    <row r="972">
      <c r="A972" s="291"/>
      <c r="B972" s="422" t="s">
        <v>3549</v>
      </c>
      <c r="C972" s="304" t="s">
        <v>3550</v>
      </c>
      <c r="D972" s="304" t="s">
        <v>3551</v>
      </c>
      <c r="E972" s="375" t="s">
        <v>3552</v>
      </c>
      <c r="F972" s="209"/>
      <c r="G972" s="209"/>
      <c r="H972" s="209"/>
      <c r="I972" s="344"/>
      <c r="J972" s="300" t="b">
        <v>1</v>
      </c>
      <c r="K972" s="301" t="b">
        <v>0</v>
      </c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  <c r="AA972" s="209"/>
      <c r="AB972" s="209"/>
      <c r="AC972" s="209"/>
      <c r="AD972" s="209"/>
      <c r="AE972" s="209"/>
      <c r="AF972" s="209"/>
      <c r="AG972" s="209"/>
      <c r="AH972" s="209"/>
      <c r="AI972" s="209"/>
      <c r="AJ972" s="209"/>
    </row>
    <row r="973">
      <c r="A973" s="291"/>
      <c r="B973" s="304" t="s">
        <v>3553</v>
      </c>
      <c r="C973" s="304" t="s">
        <v>3550</v>
      </c>
      <c r="D973" s="304" t="s">
        <v>3554</v>
      </c>
      <c r="E973" s="375" t="s">
        <v>3555</v>
      </c>
      <c r="F973" s="209"/>
      <c r="G973" s="209"/>
      <c r="H973" s="209"/>
      <c r="I973" s="209"/>
      <c r="J973" s="300" t="b">
        <v>1</v>
      </c>
      <c r="K973" s="301" t="b">
        <v>0</v>
      </c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  <c r="AA973" s="209"/>
      <c r="AB973" s="209"/>
      <c r="AC973" s="209"/>
      <c r="AD973" s="209"/>
      <c r="AE973" s="209"/>
      <c r="AF973" s="209"/>
      <c r="AG973" s="209"/>
      <c r="AH973" s="209"/>
      <c r="AI973" s="209"/>
      <c r="AJ973" s="209"/>
    </row>
    <row r="974">
      <c r="A974" s="291"/>
      <c r="B974" s="304" t="s">
        <v>3556</v>
      </c>
      <c r="C974" s="304" t="s">
        <v>3550</v>
      </c>
      <c r="D974" s="304" t="s">
        <v>3557</v>
      </c>
      <c r="E974" s="375">
        <v>8.1011597765E11</v>
      </c>
      <c r="F974" s="209"/>
      <c r="G974" s="209"/>
      <c r="H974" s="209"/>
      <c r="I974" s="209"/>
      <c r="J974" s="300" t="b">
        <v>1</v>
      </c>
      <c r="K974" s="301" t="b">
        <v>0</v>
      </c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  <c r="AA974" s="209"/>
      <c r="AB974" s="209"/>
      <c r="AC974" s="209"/>
      <c r="AD974" s="209"/>
      <c r="AE974" s="209"/>
      <c r="AF974" s="209"/>
      <c r="AG974" s="209"/>
      <c r="AH974" s="209"/>
      <c r="AI974" s="209"/>
      <c r="AJ974" s="209"/>
    </row>
    <row r="975">
      <c r="A975" s="291"/>
      <c r="B975" s="304" t="s">
        <v>3558</v>
      </c>
      <c r="C975" s="304" t="s">
        <v>3559</v>
      </c>
      <c r="D975" s="304" t="s">
        <v>3560</v>
      </c>
      <c r="E975" s="375">
        <v>8.10115977698E11</v>
      </c>
      <c r="F975" s="304" t="s">
        <v>732</v>
      </c>
      <c r="G975" s="209"/>
      <c r="H975" s="209"/>
      <c r="I975" s="304" t="s">
        <v>733</v>
      </c>
      <c r="J975" s="300" t="b">
        <v>1</v>
      </c>
      <c r="K975" s="301" t="b">
        <v>0</v>
      </c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  <c r="AA975" s="209"/>
      <c r="AB975" s="209"/>
      <c r="AC975" s="209"/>
      <c r="AD975" s="209"/>
      <c r="AE975" s="209"/>
      <c r="AF975" s="209"/>
      <c r="AG975" s="209"/>
      <c r="AH975" s="209"/>
      <c r="AI975" s="209"/>
      <c r="AJ975" s="209"/>
    </row>
    <row r="976">
      <c r="A976" s="291"/>
      <c r="B976" s="304" t="s">
        <v>3561</v>
      </c>
      <c r="C976" s="304" t="s">
        <v>3559</v>
      </c>
      <c r="D976" s="304" t="s">
        <v>3562</v>
      </c>
      <c r="E976" s="375" t="s">
        <v>3563</v>
      </c>
      <c r="F976" s="304" t="s">
        <v>732</v>
      </c>
      <c r="G976" s="209"/>
      <c r="H976" s="209"/>
      <c r="I976" s="304" t="s">
        <v>733</v>
      </c>
      <c r="J976" s="300" t="b">
        <v>1</v>
      </c>
      <c r="K976" s="301" t="b">
        <v>0</v>
      </c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  <c r="AA976" s="209"/>
      <c r="AB976" s="209"/>
      <c r="AC976" s="209"/>
      <c r="AD976" s="209"/>
      <c r="AE976" s="209"/>
      <c r="AF976" s="209"/>
      <c r="AG976" s="209"/>
      <c r="AH976" s="209"/>
      <c r="AI976" s="209"/>
      <c r="AJ976" s="209"/>
    </row>
    <row r="977">
      <c r="A977" s="309"/>
      <c r="B977" s="311" t="s">
        <v>3564</v>
      </c>
      <c r="C977" s="311" t="s">
        <v>3559</v>
      </c>
      <c r="D977" s="311" t="s">
        <v>3565</v>
      </c>
      <c r="E977" s="380">
        <v>8.10115977681E11</v>
      </c>
      <c r="F977" s="311" t="s">
        <v>732</v>
      </c>
      <c r="G977" s="313"/>
      <c r="H977" s="313"/>
      <c r="I977" s="311" t="s">
        <v>733</v>
      </c>
      <c r="J977" s="300" t="b">
        <v>1</v>
      </c>
      <c r="K977" s="314" t="b">
        <v>0</v>
      </c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  <c r="AA977" s="209"/>
      <c r="AB977" s="209"/>
      <c r="AC977" s="209"/>
      <c r="AD977" s="209"/>
      <c r="AE977" s="209"/>
      <c r="AF977" s="209"/>
      <c r="AG977" s="209"/>
      <c r="AH977" s="209"/>
      <c r="AI977" s="209"/>
      <c r="AJ977" s="209"/>
    </row>
    <row r="978">
      <c r="A978" s="209"/>
      <c r="B978" s="209"/>
      <c r="C978" s="209"/>
      <c r="D978" s="313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  <c r="AI978" s="209"/>
      <c r="AJ978" s="209"/>
    </row>
    <row r="979">
      <c r="A979" s="316" t="s">
        <v>3566</v>
      </c>
      <c r="B979" s="339" t="s">
        <v>3567</v>
      </c>
      <c r="C979" s="320"/>
      <c r="D979" s="283" t="s">
        <v>3568</v>
      </c>
      <c r="E979" s="322" t="s">
        <v>348</v>
      </c>
      <c r="F979" s="436"/>
      <c r="G979" s="320"/>
      <c r="H979" s="285" t="s">
        <v>4176</v>
      </c>
      <c r="I979" s="285" t="s">
        <v>3141</v>
      </c>
      <c r="J979" s="278" t="str">
        <f>IF(COUNTIF(J980:J982, TRUE) = COUNTA(J980:J982), "Complete!", IF(COUNTIF(J980:J982, TRUE) &gt; 0, "Partial", "Not Started"))</f>
        <v>Complete!</v>
      </c>
      <c r="K979" s="279"/>
      <c r="L979" s="280">
        <v>3.0</v>
      </c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  <c r="AA979" s="209"/>
      <c r="AB979" s="209"/>
      <c r="AC979" s="209"/>
      <c r="AD979" s="209"/>
      <c r="AE979" s="209"/>
      <c r="AF979" s="209"/>
      <c r="AG979" s="209"/>
      <c r="AH979" s="209"/>
      <c r="AI979" s="209"/>
      <c r="AJ979" s="209"/>
    </row>
    <row r="980">
      <c r="A980" s="291"/>
      <c r="B980" s="304" t="s">
        <v>3570</v>
      </c>
      <c r="C980" s="304" t="s">
        <v>3559</v>
      </c>
      <c r="D980" s="304" t="s">
        <v>3571</v>
      </c>
      <c r="E980" s="375" t="s">
        <v>3572</v>
      </c>
      <c r="F980" s="209"/>
      <c r="G980" s="209"/>
      <c r="H980" s="209"/>
      <c r="I980" s="209"/>
      <c r="J980" s="300" t="b">
        <v>1</v>
      </c>
      <c r="K980" s="301" t="b">
        <v>0</v>
      </c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  <c r="AA980" s="209"/>
      <c r="AB980" s="209"/>
      <c r="AC980" s="209"/>
      <c r="AD980" s="209"/>
      <c r="AE980" s="209"/>
      <c r="AF980" s="209"/>
      <c r="AG980" s="209"/>
      <c r="AH980" s="209"/>
      <c r="AI980" s="209"/>
      <c r="AJ980" s="209"/>
    </row>
    <row r="981">
      <c r="A981" s="291"/>
      <c r="B981" s="304" t="s">
        <v>3573</v>
      </c>
      <c r="C981" s="304" t="s">
        <v>3559</v>
      </c>
      <c r="D981" s="304" t="s">
        <v>3574</v>
      </c>
      <c r="E981" s="375" t="s">
        <v>3575</v>
      </c>
      <c r="F981" s="209"/>
      <c r="G981" s="209"/>
      <c r="H981" s="209"/>
      <c r="I981" s="209"/>
      <c r="J981" s="300" t="b">
        <v>1</v>
      </c>
      <c r="K981" s="301" t="b">
        <v>0</v>
      </c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  <c r="AA981" s="209"/>
      <c r="AB981" s="209"/>
      <c r="AC981" s="209"/>
      <c r="AD981" s="209"/>
      <c r="AE981" s="209"/>
      <c r="AF981" s="209"/>
      <c r="AG981" s="209"/>
      <c r="AH981" s="209"/>
      <c r="AI981" s="209"/>
      <c r="AJ981" s="209"/>
    </row>
    <row r="982">
      <c r="A982" s="309"/>
      <c r="B982" s="311" t="s">
        <v>3576</v>
      </c>
      <c r="C982" s="311" t="s">
        <v>3559</v>
      </c>
      <c r="D982" s="311" t="s">
        <v>3577</v>
      </c>
      <c r="E982" s="380" t="s">
        <v>3578</v>
      </c>
      <c r="F982" s="313"/>
      <c r="G982" s="313"/>
      <c r="H982" s="313"/>
      <c r="I982" s="313"/>
      <c r="J982" s="350" t="b">
        <v>1</v>
      </c>
      <c r="K982" s="314" t="b">
        <v>0</v>
      </c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  <c r="AA982" s="209"/>
      <c r="AB982" s="209"/>
      <c r="AC982" s="209"/>
      <c r="AD982" s="209"/>
      <c r="AE982" s="209"/>
      <c r="AF982" s="209"/>
      <c r="AG982" s="209"/>
      <c r="AH982" s="209"/>
      <c r="AI982" s="209"/>
      <c r="AJ982" s="209"/>
    </row>
    <row r="983">
      <c r="A983" s="209"/>
      <c r="B983" s="209"/>
      <c r="C983" s="209"/>
      <c r="D983" s="313"/>
      <c r="E983" s="353"/>
      <c r="F983" s="344"/>
      <c r="G983" s="344"/>
      <c r="H983" s="344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  <c r="AA983" s="209"/>
      <c r="AB983" s="209"/>
      <c r="AC983" s="209"/>
      <c r="AD983" s="209"/>
      <c r="AE983" s="209"/>
      <c r="AF983" s="209"/>
      <c r="AG983" s="209"/>
      <c r="AH983" s="209"/>
      <c r="AI983" s="209"/>
      <c r="AJ983" s="209"/>
    </row>
    <row r="984">
      <c r="A984" s="316" t="s">
        <v>3579</v>
      </c>
      <c r="B984" s="319" t="s">
        <v>3580</v>
      </c>
      <c r="C984" s="320"/>
      <c r="D984" s="283" t="s">
        <v>3581</v>
      </c>
      <c r="E984" s="402" t="s">
        <v>3582</v>
      </c>
      <c r="F984" s="320"/>
      <c r="G984" s="320"/>
      <c r="H984" s="276" t="s">
        <v>2803</v>
      </c>
      <c r="I984" s="285" t="s">
        <v>4193</v>
      </c>
      <c r="J984" s="278" t="str">
        <f>IF(COUNTIF(J985:J1005, TRUE) = COUNTA(J985:J1005), "Complete!", IF(COUNTIF(J985:J1005, TRUE) &gt; 0, "Partial", "Not Started"))</f>
        <v>Complete!</v>
      </c>
      <c r="K984" s="279"/>
      <c r="L984" s="280">
        <v>21.0</v>
      </c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  <c r="AA984" s="209"/>
      <c r="AB984" s="209"/>
      <c r="AC984" s="209"/>
      <c r="AD984" s="209"/>
      <c r="AE984" s="209"/>
      <c r="AF984" s="209"/>
      <c r="AG984" s="209"/>
      <c r="AH984" s="209"/>
      <c r="AI984" s="209"/>
      <c r="AJ984" s="209"/>
    </row>
    <row r="985">
      <c r="A985" s="291"/>
      <c r="B985" s="408" t="s">
        <v>3584</v>
      </c>
      <c r="C985" s="409" t="s">
        <v>3585</v>
      </c>
      <c r="D985" s="304" t="s">
        <v>3586</v>
      </c>
      <c r="E985" s="374" t="s">
        <v>3587</v>
      </c>
      <c r="F985" s="209"/>
      <c r="G985" s="209"/>
      <c r="H985" s="209"/>
      <c r="I985" s="209"/>
      <c r="J985" s="296" t="b">
        <v>1</v>
      </c>
      <c r="K985" s="297" t="b">
        <v>0</v>
      </c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  <c r="AA985" s="209"/>
      <c r="AB985" s="209"/>
      <c r="AC985" s="209"/>
      <c r="AD985" s="209"/>
      <c r="AE985" s="209"/>
      <c r="AF985" s="209"/>
      <c r="AG985" s="209"/>
      <c r="AH985" s="209"/>
      <c r="AI985" s="209"/>
      <c r="AJ985" s="209"/>
    </row>
    <row r="986">
      <c r="A986" s="291"/>
      <c r="B986" s="376" t="s">
        <v>3588</v>
      </c>
      <c r="C986" s="377" t="s">
        <v>3585</v>
      </c>
      <c r="D986" s="304" t="s">
        <v>3589</v>
      </c>
      <c r="E986" s="375" t="s">
        <v>3590</v>
      </c>
      <c r="F986" s="209"/>
      <c r="G986" s="209"/>
      <c r="H986" s="209"/>
      <c r="I986" s="209"/>
      <c r="J986" s="296" t="b">
        <v>1</v>
      </c>
      <c r="K986" s="301" t="b">
        <v>0</v>
      </c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09"/>
      <c r="AI986" s="209"/>
      <c r="AJ986" s="209"/>
    </row>
    <row r="987">
      <c r="A987" s="291"/>
      <c r="B987" s="376" t="s">
        <v>3591</v>
      </c>
      <c r="C987" s="377" t="s">
        <v>3585</v>
      </c>
      <c r="D987" s="304" t="s">
        <v>3592</v>
      </c>
      <c r="E987" s="375" t="s">
        <v>3593</v>
      </c>
      <c r="F987" s="353"/>
      <c r="G987" s="209"/>
      <c r="H987" s="209"/>
      <c r="I987" s="209"/>
      <c r="J987" s="296" t="b">
        <v>1</v>
      </c>
      <c r="K987" s="301" t="b">
        <v>0</v>
      </c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  <c r="AA987" s="209"/>
      <c r="AB987" s="209"/>
      <c r="AC987" s="209"/>
      <c r="AD987" s="209"/>
      <c r="AE987" s="209"/>
      <c r="AF987" s="209"/>
      <c r="AG987" s="209"/>
      <c r="AH987" s="209"/>
      <c r="AI987" s="209"/>
      <c r="AJ987" s="209"/>
    </row>
    <row r="988">
      <c r="A988" s="291"/>
      <c r="B988" s="303" t="s">
        <v>3594</v>
      </c>
      <c r="C988" s="304" t="s">
        <v>3595</v>
      </c>
      <c r="D988" s="304" t="s">
        <v>3596</v>
      </c>
      <c r="E988" s="375">
        <v>8.10115977322E11</v>
      </c>
      <c r="F988" s="209"/>
      <c r="G988" s="209"/>
      <c r="H988" s="209"/>
      <c r="I988" s="209"/>
      <c r="J988" s="296" t="b">
        <v>1</v>
      </c>
      <c r="K988" s="301" t="b">
        <v>0</v>
      </c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  <c r="AA988" s="209"/>
      <c r="AB988" s="209"/>
      <c r="AC988" s="209"/>
      <c r="AD988" s="209"/>
      <c r="AE988" s="209"/>
      <c r="AF988" s="209"/>
      <c r="AG988" s="209"/>
      <c r="AH988" s="209"/>
      <c r="AI988" s="209"/>
      <c r="AJ988" s="209"/>
    </row>
    <row r="989">
      <c r="A989" s="291"/>
      <c r="B989" s="303" t="s">
        <v>3597</v>
      </c>
      <c r="C989" s="304" t="s">
        <v>3595</v>
      </c>
      <c r="D989" s="304" t="s">
        <v>3598</v>
      </c>
      <c r="E989" s="375">
        <v>8.10115977353E11</v>
      </c>
      <c r="F989" s="209"/>
      <c r="G989" s="209"/>
      <c r="H989" s="209"/>
      <c r="I989" s="209"/>
      <c r="J989" s="296" t="b">
        <v>1</v>
      </c>
      <c r="K989" s="301" t="b">
        <v>0</v>
      </c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  <c r="AA989" s="209"/>
      <c r="AB989" s="209"/>
      <c r="AC989" s="209"/>
      <c r="AD989" s="209"/>
      <c r="AE989" s="209"/>
      <c r="AF989" s="209"/>
      <c r="AG989" s="209"/>
      <c r="AH989" s="209"/>
      <c r="AI989" s="209"/>
      <c r="AJ989" s="209"/>
    </row>
    <row r="990">
      <c r="A990" s="291"/>
      <c r="B990" s="303" t="s">
        <v>3599</v>
      </c>
      <c r="C990" s="304" t="s">
        <v>3600</v>
      </c>
      <c r="D990" s="304" t="s">
        <v>3601</v>
      </c>
      <c r="E990" s="375" t="s">
        <v>3602</v>
      </c>
      <c r="F990" s="209"/>
      <c r="G990" s="209"/>
      <c r="H990" s="209"/>
      <c r="I990" s="209"/>
      <c r="J990" s="296" t="b">
        <v>1</v>
      </c>
      <c r="K990" s="301" t="b">
        <v>0</v>
      </c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  <c r="AA990" s="209"/>
      <c r="AB990" s="209"/>
      <c r="AC990" s="209"/>
      <c r="AD990" s="209"/>
      <c r="AE990" s="209"/>
      <c r="AF990" s="209"/>
      <c r="AG990" s="209"/>
      <c r="AH990" s="209"/>
      <c r="AI990" s="209"/>
      <c r="AJ990" s="209"/>
    </row>
    <row r="991">
      <c r="A991" s="291"/>
      <c r="B991" s="303" t="s">
        <v>3603</v>
      </c>
      <c r="C991" s="304" t="s">
        <v>3600</v>
      </c>
      <c r="D991" s="304" t="s">
        <v>3604</v>
      </c>
      <c r="E991" s="305">
        <v>8.10115977414E11</v>
      </c>
      <c r="F991" s="209"/>
      <c r="G991" s="209"/>
      <c r="H991" s="209"/>
      <c r="I991" s="209"/>
      <c r="J991" s="296" t="b">
        <v>1</v>
      </c>
      <c r="K991" s="301" t="b">
        <v>0</v>
      </c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  <c r="AA991" s="209"/>
      <c r="AB991" s="209"/>
      <c r="AC991" s="209"/>
      <c r="AD991" s="209"/>
      <c r="AE991" s="209"/>
      <c r="AF991" s="209"/>
      <c r="AG991" s="209"/>
      <c r="AH991" s="209"/>
      <c r="AI991" s="209"/>
      <c r="AJ991" s="209"/>
    </row>
    <row r="992">
      <c r="A992" s="291"/>
      <c r="B992" s="376" t="s">
        <v>3605</v>
      </c>
      <c r="C992" s="377" t="s">
        <v>3585</v>
      </c>
      <c r="D992" s="304" t="s">
        <v>3606</v>
      </c>
      <c r="E992" s="375" t="s">
        <v>3607</v>
      </c>
      <c r="F992" s="209"/>
      <c r="G992" s="209"/>
      <c r="H992" s="209"/>
      <c r="I992" s="209"/>
      <c r="J992" s="296" t="b">
        <v>1</v>
      </c>
      <c r="K992" s="301" t="b">
        <v>0</v>
      </c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  <c r="AA992" s="209"/>
      <c r="AB992" s="209"/>
      <c r="AC992" s="209"/>
      <c r="AD992" s="209"/>
      <c r="AE992" s="209"/>
      <c r="AF992" s="209"/>
      <c r="AG992" s="209"/>
      <c r="AH992" s="209"/>
      <c r="AI992" s="209"/>
      <c r="AJ992" s="209"/>
    </row>
    <row r="993">
      <c r="A993" s="291"/>
      <c r="B993" s="376" t="s">
        <v>3608</v>
      </c>
      <c r="C993" s="377" t="s">
        <v>3585</v>
      </c>
      <c r="D993" s="304" t="s">
        <v>3609</v>
      </c>
      <c r="E993" s="375" t="s">
        <v>3610</v>
      </c>
      <c r="F993" s="209"/>
      <c r="G993" s="209"/>
      <c r="H993" s="209"/>
      <c r="I993" s="209"/>
      <c r="J993" s="296" t="b">
        <v>1</v>
      </c>
      <c r="K993" s="301" t="b">
        <v>0</v>
      </c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  <c r="AA993" s="209"/>
      <c r="AB993" s="209"/>
      <c r="AC993" s="209"/>
      <c r="AD993" s="209"/>
      <c r="AE993" s="209"/>
      <c r="AF993" s="209"/>
      <c r="AG993" s="209"/>
      <c r="AH993" s="209"/>
      <c r="AI993" s="209"/>
      <c r="AJ993" s="209"/>
    </row>
    <row r="994">
      <c r="A994" s="291"/>
      <c r="B994" s="377" t="s">
        <v>3611</v>
      </c>
      <c r="C994" s="377" t="s">
        <v>3585</v>
      </c>
      <c r="D994" s="304" t="s">
        <v>3612</v>
      </c>
      <c r="E994" s="375" t="s">
        <v>3613</v>
      </c>
      <c r="F994" s="209"/>
      <c r="G994" s="209"/>
      <c r="H994" s="209"/>
      <c r="I994" s="209"/>
      <c r="J994" s="296" t="b">
        <v>1</v>
      </c>
      <c r="K994" s="301" t="b">
        <v>0</v>
      </c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  <c r="AA994" s="209"/>
      <c r="AB994" s="209"/>
      <c r="AC994" s="209"/>
      <c r="AD994" s="209"/>
      <c r="AE994" s="209"/>
      <c r="AF994" s="209"/>
      <c r="AG994" s="209"/>
      <c r="AH994" s="209"/>
      <c r="AI994" s="209"/>
      <c r="AJ994" s="209"/>
    </row>
    <row r="995">
      <c r="A995" s="291"/>
      <c r="B995" s="354" t="s">
        <v>3614</v>
      </c>
      <c r="C995" s="304" t="s">
        <v>3595</v>
      </c>
      <c r="D995" s="304" t="s">
        <v>3615</v>
      </c>
      <c r="E995" s="375" t="s">
        <v>3616</v>
      </c>
      <c r="F995" s="353"/>
      <c r="G995" s="209"/>
      <c r="H995" s="209"/>
      <c r="I995" s="209"/>
      <c r="J995" s="296" t="b">
        <v>1</v>
      </c>
      <c r="K995" s="301" t="b">
        <v>0</v>
      </c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  <c r="AA995" s="209"/>
      <c r="AB995" s="209"/>
      <c r="AC995" s="209"/>
      <c r="AD995" s="209"/>
      <c r="AE995" s="209"/>
      <c r="AF995" s="209"/>
      <c r="AG995" s="209"/>
      <c r="AH995" s="209"/>
      <c r="AI995" s="209"/>
      <c r="AJ995" s="209"/>
    </row>
    <row r="996">
      <c r="A996" s="291"/>
      <c r="B996" s="303" t="s">
        <v>3617</v>
      </c>
      <c r="C996" s="304" t="s">
        <v>3595</v>
      </c>
      <c r="D996" s="304" t="s">
        <v>3618</v>
      </c>
      <c r="E996" s="375" t="s">
        <v>3619</v>
      </c>
      <c r="F996" s="209"/>
      <c r="G996" s="209"/>
      <c r="H996" s="209"/>
      <c r="I996" s="209"/>
      <c r="J996" s="296" t="b">
        <v>1</v>
      </c>
      <c r="K996" s="301" t="b">
        <v>0</v>
      </c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  <c r="AA996" s="209"/>
      <c r="AB996" s="209"/>
      <c r="AC996" s="209"/>
      <c r="AD996" s="209"/>
      <c r="AE996" s="209"/>
      <c r="AF996" s="209"/>
      <c r="AG996" s="209"/>
      <c r="AH996" s="209"/>
      <c r="AI996" s="209"/>
      <c r="AJ996" s="209"/>
    </row>
    <row r="997">
      <c r="A997" s="291"/>
      <c r="B997" s="303" t="s">
        <v>3620</v>
      </c>
      <c r="C997" s="304" t="s">
        <v>3600</v>
      </c>
      <c r="D997" s="304" t="s">
        <v>3621</v>
      </c>
      <c r="E997" s="375" t="s">
        <v>3622</v>
      </c>
      <c r="F997" s="209"/>
      <c r="G997" s="209"/>
      <c r="H997" s="209"/>
      <c r="I997" s="209"/>
      <c r="J997" s="296" t="b">
        <v>1</v>
      </c>
      <c r="K997" s="301" t="b">
        <v>0</v>
      </c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  <c r="AA997" s="209"/>
      <c r="AB997" s="209"/>
      <c r="AC997" s="209"/>
      <c r="AD997" s="209"/>
      <c r="AE997" s="209"/>
      <c r="AF997" s="209"/>
      <c r="AG997" s="209"/>
      <c r="AH997" s="209"/>
      <c r="AI997" s="209"/>
      <c r="AJ997" s="209"/>
    </row>
    <row r="998">
      <c r="A998" s="291"/>
      <c r="B998" s="303" t="s">
        <v>3623</v>
      </c>
      <c r="C998" s="304" t="s">
        <v>3600</v>
      </c>
      <c r="D998" s="304" t="s">
        <v>3624</v>
      </c>
      <c r="E998" s="375">
        <v>8.10115977407E11</v>
      </c>
      <c r="F998" s="209"/>
      <c r="G998" s="209"/>
      <c r="H998" s="209"/>
      <c r="I998" s="209"/>
      <c r="J998" s="296" t="b">
        <v>1</v>
      </c>
      <c r="K998" s="301" t="b">
        <v>0</v>
      </c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  <c r="AA998" s="209"/>
      <c r="AB998" s="209"/>
      <c r="AC998" s="209"/>
      <c r="AD998" s="209"/>
      <c r="AE998" s="209"/>
      <c r="AF998" s="209"/>
      <c r="AG998" s="209"/>
      <c r="AH998" s="209"/>
      <c r="AI998" s="209"/>
      <c r="AJ998" s="209"/>
    </row>
    <row r="999">
      <c r="A999" s="291"/>
      <c r="B999" s="376" t="s">
        <v>3625</v>
      </c>
      <c r="C999" s="377" t="s">
        <v>3585</v>
      </c>
      <c r="D999" s="304" t="s">
        <v>3626</v>
      </c>
      <c r="E999" s="375" t="s">
        <v>3627</v>
      </c>
      <c r="F999" s="209"/>
      <c r="G999" s="209"/>
      <c r="H999" s="209"/>
      <c r="I999" s="209"/>
      <c r="J999" s="296" t="b">
        <v>1</v>
      </c>
      <c r="K999" s="301" t="b">
        <v>0</v>
      </c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  <c r="AA999" s="209"/>
      <c r="AB999" s="209"/>
      <c r="AC999" s="209"/>
      <c r="AD999" s="209"/>
      <c r="AE999" s="209"/>
      <c r="AF999" s="209"/>
      <c r="AG999" s="209"/>
      <c r="AH999" s="209"/>
      <c r="AI999" s="209"/>
      <c r="AJ999" s="209"/>
    </row>
    <row r="1000">
      <c r="A1000" s="291"/>
      <c r="B1000" s="424" t="s">
        <v>3628</v>
      </c>
      <c r="C1000" s="377" t="s">
        <v>3585</v>
      </c>
      <c r="D1000" s="304" t="s">
        <v>3629</v>
      </c>
      <c r="E1000" s="375" t="s">
        <v>3630</v>
      </c>
      <c r="F1000" s="209"/>
      <c r="G1000" s="209"/>
      <c r="H1000" s="209"/>
      <c r="I1000" s="209"/>
      <c r="J1000" s="296" t="b">
        <v>1</v>
      </c>
      <c r="K1000" s="301" t="b">
        <v>0</v>
      </c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  <c r="AA1000" s="209"/>
      <c r="AB1000" s="209"/>
      <c r="AC1000" s="209"/>
      <c r="AD1000" s="209"/>
      <c r="AE1000" s="209"/>
      <c r="AF1000" s="209"/>
      <c r="AG1000" s="209"/>
      <c r="AH1000" s="209"/>
      <c r="AI1000" s="209"/>
      <c r="AJ1000" s="209"/>
    </row>
    <row r="1001">
      <c r="A1001" s="291"/>
      <c r="B1001" s="377" t="s">
        <v>3631</v>
      </c>
      <c r="C1001" s="377" t="s">
        <v>3585</v>
      </c>
      <c r="D1001" s="304" t="s">
        <v>3632</v>
      </c>
      <c r="E1001" s="375" t="s">
        <v>3633</v>
      </c>
      <c r="F1001" s="209"/>
      <c r="G1001" s="209"/>
      <c r="H1001" s="209"/>
      <c r="I1001" s="209"/>
      <c r="J1001" s="296" t="b">
        <v>1</v>
      </c>
      <c r="K1001" s="301" t="b">
        <v>0</v>
      </c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09"/>
      <c r="Z1001" s="209"/>
      <c r="AA1001" s="209"/>
      <c r="AB1001" s="209"/>
      <c r="AC1001" s="209"/>
      <c r="AD1001" s="209"/>
      <c r="AE1001" s="209"/>
      <c r="AF1001" s="209"/>
      <c r="AG1001" s="209"/>
      <c r="AH1001" s="209"/>
      <c r="AI1001" s="209"/>
      <c r="AJ1001" s="209"/>
    </row>
    <row r="1002">
      <c r="A1002" s="291"/>
      <c r="B1002" s="304" t="s">
        <v>3634</v>
      </c>
      <c r="C1002" s="304" t="s">
        <v>3595</v>
      </c>
      <c r="D1002" s="304" t="s">
        <v>3635</v>
      </c>
      <c r="E1002" s="375">
        <v>8.10115977339E11</v>
      </c>
      <c r="F1002" s="209"/>
      <c r="G1002" s="209"/>
      <c r="H1002" s="209"/>
      <c r="I1002" s="209"/>
      <c r="J1002" s="296" t="b">
        <v>1</v>
      </c>
      <c r="K1002" s="301" t="b">
        <v>0</v>
      </c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09"/>
      <c r="Z1002" s="209"/>
      <c r="AA1002" s="209"/>
      <c r="AB1002" s="209"/>
      <c r="AC1002" s="209"/>
      <c r="AD1002" s="209"/>
      <c r="AE1002" s="209"/>
      <c r="AF1002" s="209"/>
      <c r="AG1002" s="209"/>
      <c r="AH1002" s="209"/>
      <c r="AI1002" s="209"/>
      <c r="AJ1002" s="209"/>
    </row>
    <row r="1003">
      <c r="A1003" s="291"/>
      <c r="B1003" s="304" t="s">
        <v>3636</v>
      </c>
      <c r="C1003" s="304" t="s">
        <v>3595</v>
      </c>
      <c r="D1003" s="304" t="s">
        <v>3637</v>
      </c>
      <c r="E1003" s="375" t="s">
        <v>3638</v>
      </c>
      <c r="F1003" s="304" t="s">
        <v>732</v>
      </c>
      <c r="G1003" s="209"/>
      <c r="H1003" s="209"/>
      <c r="I1003" s="304" t="s">
        <v>733</v>
      </c>
      <c r="J1003" s="296" t="b">
        <v>1</v>
      </c>
      <c r="K1003" s="301" t="b">
        <v>0</v>
      </c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09"/>
      <c r="Z1003" s="209"/>
      <c r="AA1003" s="209"/>
      <c r="AB1003" s="209"/>
      <c r="AC1003" s="209"/>
      <c r="AD1003" s="209"/>
      <c r="AE1003" s="209"/>
      <c r="AF1003" s="209"/>
      <c r="AG1003" s="209"/>
      <c r="AH1003" s="209"/>
      <c r="AI1003" s="209"/>
      <c r="AJ1003" s="209"/>
    </row>
    <row r="1004">
      <c r="A1004" s="291"/>
      <c r="B1004" s="304" t="s">
        <v>3639</v>
      </c>
      <c r="C1004" s="304" t="s">
        <v>3600</v>
      </c>
      <c r="D1004" s="304" t="s">
        <v>3640</v>
      </c>
      <c r="E1004" s="305">
        <v>8.10115977391E11</v>
      </c>
      <c r="F1004" s="304" t="s">
        <v>732</v>
      </c>
      <c r="G1004" s="209"/>
      <c r="H1004" s="209"/>
      <c r="I1004" s="304" t="s">
        <v>733</v>
      </c>
      <c r="J1004" s="296" t="b">
        <v>1</v>
      </c>
      <c r="K1004" s="301" t="b">
        <v>0</v>
      </c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09"/>
      <c r="Z1004" s="209"/>
      <c r="AA1004" s="209"/>
      <c r="AB1004" s="209"/>
      <c r="AC1004" s="209"/>
      <c r="AD1004" s="209"/>
      <c r="AE1004" s="209"/>
      <c r="AF1004" s="209"/>
      <c r="AG1004" s="209"/>
      <c r="AH1004" s="209"/>
      <c r="AI1004" s="209"/>
      <c r="AJ1004" s="209"/>
    </row>
    <row r="1005">
      <c r="A1005" s="309"/>
      <c r="B1005" s="311" t="s">
        <v>3641</v>
      </c>
      <c r="C1005" s="311" t="s">
        <v>3595</v>
      </c>
      <c r="D1005" s="311" t="s">
        <v>3642</v>
      </c>
      <c r="E1005" s="380" t="s">
        <v>3643</v>
      </c>
      <c r="F1005" s="313"/>
      <c r="G1005" s="313"/>
      <c r="H1005" s="313"/>
      <c r="I1005" s="313"/>
      <c r="J1005" s="296" t="b">
        <v>1</v>
      </c>
      <c r="K1005" s="314" t="b">
        <v>0</v>
      </c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09"/>
      <c r="Z1005" s="209"/>
      <c r="AA1005" s="209"/>
      <c r="AB1005" s="209"/>
      <c r="AC1005" s="209"/>
      <c r="AD1005" s="209"/>
      <c r="AE1005" s="209"/>
      <c r="AF1005" s="209"/>
      <c r="AG1005" s="209"/>
      <c r="AH1005" s="209"/>
      <c r="AI1005" s="209"/>
      <c r="AJ1005" s="209"/>
    </row>
    <row r="1006">
      <c r="A1006" s="209"/>
      <c r="B1006" s="209"/>
      <c r="C1006" s="209"/>
      <c r="D1006" s="209"/>
      <c r="E1006" s="353"/>
      <c r="F1006" s="344"/>
      <c r="G1006" s="344"/>
      <c r="H1006" s="344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09"/>
      <c r="Z1006" s="209"/>
      <c r="AA1006" s="209"/>
      <c r="AB1006" s="209"/>
      <c r="AC1006" s="209"/>
      <c r="AD1006" s="209"/>
      <c r="AE1006" s="209"/>
      <c r="AF1006" s="209"/>
      <c r="AG1006" s="209"/>
      <c r="AH1006" s="209"/>
      <c r="AI1006" s="209"/>
      <c r="AJ1006" s="209"/>
    </row>
    <row r="1007">
      <c r="A1007" s="316" t="s">
        <v>3644</v>
      </c>
      <c r="B1007" s="319" t="s">
        <v>3645</v>
      </c>
      <c r="C1007" s="320"/>
      <c r="D1007" s="283" t="s">
        <v>3646</v>
      </c>
      <c r="E1007" s="322" t="s">
        <v>3647</v>
      </c>
      <c r="F1007" s="320"/>
      <c r="G1007" s="320"/>
      <c r="H1007" s="276" t="s">
        <v>468</v>
      </c>
      <c r="I1007" s="285" t="s">
        <v>4161</v>
      </c>
      <c r="J1007" s="278" t="str">
        <f>IF(COUNTIF(J1008:J1021, TRUE) = COUNTA(J1008:J1021), "Complete!", IF(COUNTIF(J1008:J1021, TRUE) &gt; 0, "Partial", "Not Started"))</f>
        <v>Complete!</v>
      </c>
      <c r="K1007" s="279"/>
      <c r="L1007" s="280">
        <v>14.0</v>
      </c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09"/>
      <c r="Z1007" s="209"/>
      <c r="AA1007" s="209"/>
      <c r="AB1007" s="209"/>
      <c r="AC1007" s="209"/>
      <c r="AD1007" s="209"/>
      <c r="AE1007" s="209"/>
      <c r="AF1007" s="209"/>
      <c r="AG1007" s="209"/>
      <c r="AH1007" s="209"/>
      <c r="AI1007" s="209"/>
      <c r="AJ1007" s="209"/>
    </row>
    <row r="1008">
      <c r="A1008" s="291"/>
      <c r="B1008" s="304" t="s">
        <v>3649</v>
      </c>
      <c r="C1008" s="304" t="s">
        <v>3585</v>
      </c>
      <c r="D1008" s="304" t="s">
        <v>3650</v>
      </c>
      <c r="E1008" s="375">
        <v>8.10115977162E11</v>
      </c>
      <c r="F1008" s="295"/>
      <c r="G1008" s="295"/>
      <c r="H1008" s="209"/>
      <c r="I1008" s="209"/>
      <c r="J1008" s="300" t="b">
        <v>1</v>
      </c>
      <c r="K1008" s="301" t="b">
        <v>0</v>
      </c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09"/>
      <c r="Z1008" s="209"/>
      <c r="AA1008" s="209"/>
      <c r="AB1008" s="209"/>
      <c r="AC1008" s="209"/>
      <c r="AD1008" s="209"/>
      <c r="AE1008" s="209"/>
      <c r="AF1008" s="209"/>
      <c r="AG1008" s="209"/>
      <c r="AH1008" s="209"/>
      <c r="AI1008" s="209"/>
      <c r="AJ1008" s="209"/>
    </row>
    <row r="1009">
      <c r="A1009" s="291"/>
      <c r="B1009" s="304" t="s">
        <v>3651</v>
      </c>
      <c r="C1009" s="304" t="s">
        <v>3585</v>
      </c>
      <c r="D1009" s="304" t="s">
        <v>3652</v>
      </c>
      <c r="E1009" s="375" t="s">
        <v>3653</v>
      </c>
      <c r="F1009" s="209"/>
      <c r="G1009" s="209"/>
      <c r="H1009" s="209"/>
      <c r="I1009" s="209"/>
      <c r="J1009" s="300" t="b">
        <v>1</v>
      </c>
      <c r="K1009" s="301" t="b">
        <v>0</v>
      </c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09"/>
      <c r="Z1009" s="209"/>
      <c r="AA1009" s="209"/>
      <c r="AB1009" s="209"/>
      <c r="AC1009" s="209"/>
      <c r="AD1009" s="209"/>
      <c r="AE1009" s="209"/>
      <c r="AF1009" s="209"/>
      <c r="AG1009" s="209"/>
      <c r="AH1009" s="209"/>
      <c r="AI1009" s="209"/>
      <c r="AJ1009" s="209"/>
    </row>
    <row r="1010">
      <c r="A1010" s="291"/>
      <c r="B1010" s="304" t="s">
        <v>3654</v>
      </c>
      <c r="C1010" s="304" t="s">
        <v>3585</v>
      </c>
      <c r="D1010" s="304" t="s">
        <v>3655</v>
      </c>
      <c r="E1010" s="375">
        <v>8.10115977193E11</v>
      </c>
      <c r="F1010" s="209"/>
      <c r="G1010" s="209"/>
      <c r="H1010" s="209"/>
      <c r="I1010" s="209"/>
      <c r="J1010" s="300" t="b">
        <v>1</v>
      </c>
      <c r="K1010" s="301" t="b">
        <v>0</v>
      </c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09"/>
      <c r="Z1010" s="209"/>
      <c r="AA1010" s="209"/>
      <c r="AB1010" s="209"/>
      <c r="AC1010" s="209"/>
      <c r="AD1010" s="209"/>
      <c r="AE1010" s="209"/>
      <c r="AF1010" s="209"/>
      <c r="AG1010" s="209"/>
      <c r="AH1010" s="209"/>
      <c r="AI1010" s="209"/>
      <c r="AJ1010" s="209"/>
    </row>
    <row r="1011">
      <c r="A1011" s="291"/>
      <c r="B1011" s="304" t="s">
        <v>3656</v>
      </c>
      <c r="C1011" s="304" t="s">
        <v>3585</v>
      </c>
      <c r="D1011" s="304" t="s">
        <v>3657</v>
      </c>
      <c r="E1011" s="375">
        <v>8.10115977261E11</v>
      </c>
      <c r="F1011" s="209"/>
      <c r="G1011" s="209"/>
      <c r="H1011" s="209"/>
      <c r="I1011" s="209"/>
      <c r="J1011" s="300" t="b">
        <v>1</v>
      </c>
      <c r="K1011" s="301" t="b">
        <v>0</v>
      </c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09"/>
      <c r="Z1011" s="209"/>
      <c r="AA1011" s="209"/>
      <c r="AB1011" s="209"/>
      <c r="AC1011" s="209"/>
      <c r="AD1011" s="209"/>
      <c r="AE1011" s="209"/>
      <c r="AF1011" s="209"/>
      <c r="AG1011" s="209"/>
      <c r="AH1011" s="209"/>
      <c r="AI1011" s="209"/>
      <c r="AJ1011" s="209"/>
    </row>
    <row r="1012">
      <c r="A1012" s="291"/>
      <c r="B1012" s="304" t="s">
        <v>3658</v>
      </c>
      <c r="C1012" s="304" t="s">
        <v>3585</v>
      </c>
      <c r="D1012" s="304" t="s">
        <v>3659</v>
      </c>
      <c r="E1012" s="375" t="s">
        <v>3660</v>
      </c>
      <c r="F1012" s="209"/>
      <c r="G1012" s="209"/>
      <c r="H1012" s="209"/>
      <c r="I1012" s="209"/>
      <c r="J1012" s="300" t="b">
        <v>1</v>
      </c>
      <c r="K1012" s="301" t="b">
        <v>0</v>
      </c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09"/>
      <c r="Z1012" s="209"/>
      <c r="AA1012" s="209"/>
      <c r="AB1012" s="209"/>
      <c r="AC1012" s="209"/>
      <c r="AD1012" s="209"/>
      <c r="AE1012" s="209"/>
      <c r="AF1012" s="209"/>
      <c r="AG1012" s="209"/>
      <c r="AH1012" s="209"/>
      <c r="AI1012" s="209"/>
      <c r="AJ1012" s="209"/>
    </row>
    <row r="1013">
      <c r="A1013" s="291"/>
      <c r="B1013" s="304" t="s">
        <v>3661</v>
      </c>
      <c r="C1013" s="304" t="s">
        <v>3585</v>
      </c>
      <c r="D1013" s="304" t="s">
        <v>3662</v>
      </c>
      <c r="E1013" s="375" t="s">
        <v>3663</v>
      </c>
      <c r="F1013" s="304" t="s">
        <v>732</v>
      </c>
      <c r="G1013" s="209"/>
      <c r="H1013" s="209"/>
      <c r="I1013" s="304" t="s">
        <v>733</v>
      </c>
      <c r="J1013" s="300" t="b">
        <v>1</v>
      </c>
      <c r="K1013" s="301" t="b">
        <v>0</v>
      </c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09"/>
      <c r="Z1013" s="209"/>
      <c r="AA1013" s="209"/>
      <c r="AB1013" s="209"/>
      <c r="AC1013" s="209"/>
      <c r="AD1013" s="209"/>
      <c r="AE1013" s="209"/>
      <c r="AF1013" s="209"/>
      <c r="AG1013" s="209"/>
      <c r="AH1013" s="209"/>
      <c r="AI1013" s="209"/>
      <c r="AJ1013" s="209"/>
    </row>
    <row r="1014">
      <c r="A1014" s="291"/>
      <c r="B1014" s="304" t="s">
        <v>3664</v>
      </c>
      <c r="C1014" s="304" t="s">
        <v>3585</v>
      </c>
      <c r="D1014" s="304" t="s">
        <v>3665</v>
      </c>
      <c r="E1014" s="375" t="s">
        <v>3666</v>
      </c>
      <c r="F1014" s="304" t="s">
        <v>732</v>
      </c>
      <c r="G1014" s="209"/>
      <c r="H1014" s="209"/>
      <c r="I1014" s="304" t="s">
        <v>733</v>
      </c>
      <c r="J1014" s="300" t="b">
        <v>1</v>
      </c>
      <c r="K1014" s="301" t="b">
        <v>0</v>
      </c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09"/>
      <c r="Z1014" s="209"/>
      <c r="AA1014" s="209"/>
      <c r="AB1014" s="209"/>
      <c r="AC1014" s="209"/>
      <c r="AD1014" s="209"/>
      <c r="AE1014" s="209"/>
      <c r="AF1014" s="209"/>
      <c r="AG1014" s="209"/>
      <c r="AH1014" s="209"/>
      <c r="AI1014" s="209"/>
      <c r="AJ1014" s="209"/>
    </row>
    <row r="1015">
      <c r="A1015" s="291"/>
      <c r="B1015" s="304" t="s">
        <v>3667</v>
      </c>
      <c r="C1015" s="304" t="s">
        <v>3585</v>
      </c>
      <c r="D1015" s="304" t="s">
        <v>3668</v>
      </c>
      <c r="E1015" s="375">
        <v>8.10115977278E11</v>
      </c>
      <c r="F1015" s="209"/>
      <c r="G1015" s="209"/>
      <c r="H1015" s="209"/>
      <c r="I1015" s="209"/>
      <c r="J1015" s="300" t="b">
        <v>1</v>
      </c>
      <c r="K1015" s="301" t="b">
        <v>0</v>
      </c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09"/>
      <c r="Z1015" s="209"/>
      <c r="AA1015" s="209"/>
      <c r="AB1015" s="209"/>
      <c r="AC1015" s="209"/>
      <c r="AD1015" s="209"/>
      <c r="AE1015" s="209"/>
      <c r="AF1015" s="209"/>
      <c r="AG1015" s="209"/>
      <c r="AH1015" s="209"/>
      <c r="AI1015" s="209"/>
      <c r="AJ1015" s="209"/>
    </row>
    <row r="1016">
      <c r="A1016" s="291"/>
      <c r="B1016" s="304" t="s">
        <v>3669</v>
      </c>
      <c r="C1016" s="304" t="s">
        <v>3585</v>
      </c>
      <c r="D1016" s="304" t="s">
        <v>3670</v>
      </c>
      <c r="E1016" s="375">
        <v>8.10115977223E11</v>
      </c>
      <c r="F1016" s="209"/>
      <c r="G1016" s="209"/>
      <c r="H1016" s="209"/>
      <c r="I1016" s="209"/>
      <c r="J1016" s="300" t="b">
        <v>1</v>
      </c>
      <c r="K1016" s="301" t="b">
        <v>0</v>
      </c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09"/>
      <c r="Z1016" s="209"/>
      <c r="AA1016" s="209"/>
      <c r="AB1016" s="209"/>
      <c r="AC1016" s="209"/>
      <c r="AD1016" s="209"/>
      <c r="AE1016" s="209"/>
      <c r="AF1016" s="209"/>
      <c r="AG1016" s="209"/>
      <c r="AH1016" s="209"/>
      <c r="AI1016" s="209"/>
      <c r="AJ1016" s="209"/>
    </row>
    <row r="1017">
      <c r="A1017" s="291"/>
      <c r="B1017" s="304" t="s">
        <v>3671</v>
      </c>
      <c r="C1017" s="304" t="s">
        <v>3585</v>
      </c>
      <c r="D1017" s="304" t="s">
        <v>3672</v>
      </c>
      <c r="E1017" s="375" t="s">
        <v>3673</v>
      </c>
      <c r="F1017" s="209"/>
      <c r="G1017" s="209"/>
      <c r="H1017" s="209"/>
      <c r="I1017" s="209"/>
      <c r="J1017" s="300" t="b">
        <v>1</v>
      </c>
      <c r="K1017" s="301" t="b">
        <v>0</v>
      </c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09"/>
      <c r="Z1017" s="209"/>
      <c r="AA1017" s="209"/>
      <c r="AB1017" s="209"/>
      <c r="AC1017" s="209"/>
      <c r="AD1017" s="209"/>
      <c r="AE1017" s="209"/>
      <c r="AF1017" s="209"/>
      <c r="AG1017" s="209"/>
      <c r="AH1017" s="209"/>
      <c r="AI1017" s="209"/>
      <c r="AJ1017" s="209"/>
    </row>
    <row r="1018">
      <c r="A1018" s="291"/>
      <c r="B1018" s="304" t="s">
        <v>3674</v>
      </c>
      <c r="C1018" s="304" t="s">
        <v>3585</v>
      </c>
      <c r="D1018" s="304" t="s">
        <v>3675</v>
      </c>
      <c r="E1018" s="375" t="s">
        <v>3676</v>
      </c>
      <c r="F1018" s="304" t="s">
        <v>732</v>
      </c>
      <c r="G1018" s="209"/>
      <c r="H1018" s="209"/>
      <c r="I1018" s="304" t="s">
        <v>733</v>
      </c>
      <c r="J1018" s="300" t="b">
        <v>1</v>
      </c>
      <c r="K1018" s="301" t="b">
        <v>0</v>
      </c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09"/>
      <c r="Z1018" s="209"/>
      <c r="AA1018" s="209"/>
      <c r="AB1018" s="209"/>
      <c r="AC1018" s="209"/>
      <c r="AD1018" s="209"/>
      <c r="AE1018" s="209"/>
      <c r="AF1018" s="209"/>
      <c r="AG1018" s="209"/>
      <c r="AH1018" s="209"/>
      <c r="AI1018" s="209"/>
      <c r="AJ1018" s="209"/>
    </row>
    <row r="1019">
      <c r="A1019" s="291"/>
      <c r="B1019" s="304" t="s">
        <v>3677</v>
      </c>
      <c r="C1019" s="304" t="s">
        <v>3585</v>
      </c>
      <c r="D1019" s="304" t="s">
        <v>3678</v>
      </c>
      <c r="E1019" s="375">
        <v>8.10115977247E11</v>
      </c>
      <c r="F1019" s="209"/>
      <c r="G1019" s="209"/>
      <c r="H1019" s="209"/>
      <c r="I1019" s="209"/>
      <c r="J1019" s="300" t="b">
        <v>1</v>
      </c>
      <c r="K1019" s="301" t="b">
        <v>0</v>
      </c>
      <c r="L1019" s="209"/>
      <c r="M1019" s="209"/>
      <c r="N1019" s="209"/>
      <c r="O1019" s="209"/>
      <c r="P1019" s="209"/>
      <c r="Q1019" s="209"/>
      <c r="R1019" s="209"/>
      <c r="S1019" s="209"/>
      <c r="T1019" s="209"/>
      <c r="U1019" s="209"/>
      <c r="V1019" s="209"/>
      <c r="W1019" s="209"/>
      <c r="X1019" s="209"/>
      <c r="Y1019" s="209"/>
      <c r="Z1019" s="209"/>
      <c r="AA1019" s="209"/>
      <c r="AB1019" s="209"/>
      <c r="AC1019" s="209"/>
      <c r="AD1019" s="209"/>
      <c r="AE1019" s="209"/>
      <c r="AF1019" s="209"/>
      <c r="AG1019" s="209"/>
      <c r="AH1019" s="209"/>
      <c r="AI1019" s="209"/>
      <c r="AJ1019" s="209"/>
    </row>
    <row r="1020">
      <c r="A1020" s="291"/>
      <c r="B1020" s="304" t="s">
        <v>3679</v>
      </c>
      <c r="C1020" s="304" t="s">
        <v>3585</v>
      </c>
      <c r="D1020" s="304" t="s">
        <v>3680</v>
      </c>
      <c r="E1020" s="305">
        <v>8.10115977186E11</v>
      </c>
      <c r="F1020" s="209"/>
      <c r="G1020" s="209"/>
      <c r="H1020" s="209"/>
      <c r="I1020" s="209"/>
      <c r="J1020" s="300" t="b">
        <v>1</v>
      </c>
      <c r="K1020" s="301" t="b">
        <v>0</v>
      </c>
      <c r="L1020" s="209"/>
      <c r="M1020" s="209"/>
      <c r="N1020" s="209"/>
      <c r="O1020" s="209"/>
      <c r="P1020" s="209"/>
      <c r="Q1020" s="209"/>
      <c r="R1020" s="209"/>
      <c r="S1020" s="209"/>
      <c r="T1020" s="209"/>
      <c r="U1020" s="209"/>
      <c r="V1020" s="209"/>
      <c r="W1020" s="209"/>
      <c r="X1020" s="209"/>
      <c r="Y1020" s="209"/>
      <c r="Z1020" s="209"/>
      <c r="AA1020" s="209"/>
      <c r="AB1020" s="209"/>
      <c r="AC1020" s="209"/>
      <c r="AD1020" s="209"/>
      <c r="AE1020" s="209"/>
      <c r="AF1020" s="209"/>
      <c r="AG1020" s="209"/>
      <c r="AH1020" s="209"/>
      <c r="AI1020" s="209"/>
      <c r="AJ1020" s="209"/>
    </row>
    <row r="1021">
      <c r="A1021" s="309"/>
      <c r="B1021" s="311" t="s">
        <v>3681</v>
      </c>
      <c r="C1021" s="311" t="s">
        <v>3585</v>
      </c>
      <c r="D1021" s="311" t="s">
        <v>3682</v>
      </c>
      <c r="E1021" s="380">
        <v>8.10115977254E11</v>
      </c>
      <c r="F1021" s="313"/>
      <c r="G1021" s="313"/>
      <c r="H1021" s="313"/>
      <c r="I1021" s="313"/>
      <c r="J1021" s="300" t="b">
        <v>1</v>
      </c>
      <c r="K1021" s="314" t="b">
        <v>0</v>
      </c>
      <c r="L1021" s="209"/>
      <c r="M1021" s="209"/>
      <c r="N1021" s="209"/>
      <c r="O1021" s="209"/>
      <c r="P1021" s="209"/>
      <c r="Q1021" s="209"/>
      <c r="R1021" s="209"/>
      <c r="S1021" s="209"/>
      <c r="T1021" s="209"/>
      <c r="U1021" s="209"/>
      <c r="V1021" s="209"/>
      <c r="W1021" s="209"/>
      <c r="X1021" s="209"/>
      <c r="Y1021" s="209"/>
      <c r="Z1021" s="209"/>
      <c r="AA1021" s="209"/>
      <c r="AB1021" s="209"/>
      <c r="AC1021" s="209"/>
      <c r="AD1021" s="209"/>
      <c r="AE1021" s="209"/>
      <c r="AF1021" s="209"/>
      <c r="AG1021" s="209"/>
      <c r="AH1021" s="209"/>
      <c r="AI1021" s="209"/>
      <c r="AJ1021" s="209"/>
    </row>
    <row r="1022">
      <c r="A1022" s="209"/>
      <c r="B1022" s="209"/>
      <c r="C1022" s="209"/>
      <c r="D1022" s="209"/>
      <c r="E1022" s="209"/>
      <c r="F1022" s="353"/>
      <c r="G1022" s="209"/>
      <c r="H1022" s="209"/>
      <c r="I1022" s="209"/>
      <c r="J1022" s="209"/>
      <c r="K1022" s="209"/>
      <c r="L1022" s="209"/>
      <c r="M1022" s="209"/>
      <c r="N1022" s="209"/>
      <c r="O1022" s="209"/>
      <c r="P1022" s="209"/>
      <c r="Q1022" s="209"/>
      <c r="R1022" s="209"/>
      <c r="S1022" s="209"/>
      <c r="T1022" s="209"/>
      <c r="U1022" s="209"/>
      <c r="V1022" s="209"/>
      <c r="W1022" s="209"/>
      <c r="X1022" s="209"/>
      <c r="Y1022" s="209"/>
      <c r="Z1022" s="209"/>
      <c r="AA1022" s="209"/>
      <c r="AB1022" s="209"/>
      <c r="AC1022" s="209"/>
      <c r="AD1022" s="209"/>
      <c r="AE1022" s="209"/>
      <c r="AF1022" s="209"/>
      <c r="AG1022" s="209"/>
      <c r="AH1022" s="209"/>
      <c r="AI1022" s="209"/>
      <c r="AJ1022" s="209"/>
    </row>
    <row r="1023">
      <c r="A1023" s="316">
        <v>102.0</v>
      </c>
      <c r="B1023" s="339" t="s">
        <v>3683</v>
      </c>
      <c r="C1023" s="320"/>
      <c r="D1023" s="283" t="s">
        <v>3684</v>
      </c>
      <c r="E1023" s="322" t="s">
        <v>3685</v>
      </c>
      <c r="F1023" s="436"/>
      <c r="G1023" s="320"/>
      <c r="H1023" s="285" t="s">
        <v>1796</v>
      </c>
      <c r="I1023" s="285" t="s">
        <v>4194</v>
      </c>
      <c r="J1023" s="278" t="str">
        <f>IF(COUNTIF(J1024, TRUE) = COUNTA(J1024), "Complete!", IF(COUNTIF(J1024, TRUE) &gt; 0, "Partial", "Not Started"))</f>
        <v>Complete!</v>
      </c>
      <c r="K1023" s="279"/>
      <c r="L1023" s="280">
        <v>1.0</v>
      </c>
      <c r="M1023" s="209"/>
      <c r="N1023" s="209"/>
      <c r="O1023" s="209"/>
      <c r="P1023" s="209"/>
      <c r="Q1023" s="209"/>
      <c r="R1023" s="209"/>
      <c r="S1023" s="209"/>
      <c r="T1023" s="209"/>
      <c r="U1023" s="209"/>
      <c r="V1023" s="209"/>
      <c r="W1023" s="209"/>
      <c r="X1023" s="209"/>
      <c r="Y1023" s="209"/>
      <c r="Z1023" s="209"/>
      <c r="AA1023" s="209"/>
      <c r="AB1023" s="209"/>
      <c r="AC1023" s="209"/>
      <c r="AD1023" s="209"/>
      <c r="AE1023" s="209"/>
      <c r="AF1023" s="209"/>
      <c r="AG1023" s="209"/>
      <c r="AH1023" s="209"/>
      <c r="AI1023" s="209"/>
      <c r="AJ1023" s="209"/>
    </row>
    <row r="1024">
      <c r="A1024" s="309"/>
      <c r="B1024" s="426" t="s">
        <v>3686</v>
      </c>
      <c r="C1024" s="311" t="s">
        <v>3687</v>
      </c>
      <c r="D1024" s="311" t="s">
        <v>3684</v>
      </c>
      <c r="E1024" s="312">
        <v>8.10115977308E11</v>
      </c>
      <c r="F1024" s="313"/>
      <c r="G1024" s="313"/>
      <c r="H1024" s="313"/>
      <c r="I1024" s="313"/>
      <c r="J1024" s="350" t="b">
        <v>1</v>
      </c>
      <c r="K1024" s="314" t="b">
        <v>0</v>
      </c>
      <c r="L1024" s="209"/>
      <c r="M1024" s="209"/>
      <c r="N1024" s="209"/>
      <c r="O1024" s="209"/>
      <c r="P1024" s="209"/>
      <c r="Q1024" s="209"/>
      <c r="R1024" s="209"/>
      <c r="S1024" s="209"/>
      <c r="T1024" s="209"/>
      <c r="U1024" s="209"/>
      <c r="V1024" s="209"/>
      <c r="W1024" s="209"/>
      <c r="X1024" s="209"/>
      <c r="Y1024" s="209"/>
      <c r="Z1024" s="209"/>
      <c r="AA1024" s="209"/>
      <c r="AB1024" s="209"/>
      <c r="AC1024" s="209"/>
      <c r="AD1024" s="209"/>
      <c r="AE1024" s="209"/>
      <c r="AF1024" s="209"/>
      <c r="AG1024" s="209"/>
      <c r="AH1024" s="209"/>
      <c r="AI1024" s="209"/>
      <c r="AJ1024" s="209"/>
    </row>
    <row r="1025">
      <c r="A1025" s="209"/>
      <c r="B1025" s="209"/>
      <c r="C1025" s="209"/>
      <c r="D1025" s="209"/>
      <c r="E1025" s="353"/>
      <c r="F1025" s="344"/>
      <c r="G1025" s="344"/>
      <c r="H1025" s="344"/>
      <c r="I1025" s="209"/>
      <c r="J1025" s="209"/>
      <c r="K1025" s="209"/>
      <c r="L1025" s="209"/>
      <c r="M1025" s="209"/>
      <c r="N1025" s="209"/>
      <c r="O1025" s="209"/>
      <c r="P1025" s="209"/>
      <c r="Q1025" s="209"/>
      <c r="R1025" s="209"/>
      <c r="S1025" s="209"/>
      <c r="T1025" s="209"/>
      <c r="U1025" s="209"/>
      <c r="V1025" s="209"/>
      <c r="W1025" s="209"/>
      <c r="X1025" s="209"/>
      <c r="Y1025" s="209"/>
      <c r="Z1025" s="209"/>
      <c r="AA1025" s="209"/>
      <c r="AB1025" s="209"/>
      <c r="AC1025" s="209"/>
      <c r="AD1025" s="209"/>
      <c r="AE1025" s="209"/>
      <c r="AF1025" s="209"/>
      <c r="AG1025" s="209"/>
      <c r="AH1025" s="209"/>
      <c r="AI1025" s="209"/>
      <c r="AJ1025" s="209"/>
    </row>
    <row r="1026">
      <c r="A1026" s="316" t="s">
        <v>3688</v>
      </c>
      <c r="B1026" s="282" t="s">
        <v>3689</v>
      </c>
      <c r="C1026" s="273"/>
      <c r="D1026" s="283" t="s">
        <v>3690</v>
      </c>
      <c r="E1026" s="322" t="s">
        <v>3691</v>
      </c>
      <c r="F1026" s="320"/>
      <c r="G1026" s="320"/>
      <c r="H1026" s="276" t="s">
        <v>4195</v>
      </c>
      <c r="I1026" s="285" t="s">
        <v>4196</v>
      </c>
      <c r="J1026" s="278" t="str">
        <f>IF(COUNTIF(J1027:J1038, TRUE) = COUNTA(J1027:J1038), "Complete!", IF(COUNTIF(J1027:J1038, TRUE) &gt; 0, "Partial", "Not Started"))</f>
        <v>Complete!</v>
      </c>
      <c r="K1026" s="279"/>
      <c r="L1026" s="280">
        <v>12.0</v>
      </c>
      <c r="M1026" s="209"/>
      <c r="N1026" s="209"/>
      <c r="O1026" s="209"/>
      <c r="P1026" s="209"/>
      <c r="Q1026" s="209"/>
      <c r="R1026" s="209"/>
      <c r="S1026" s="209"/>
      <c r="T1026" s="209"/>
      <c r="U1026" s="209"/>
      <c r="V1026" s="209"/>
      <c r="W1026" s="209"/>
      <c r="X1026" s="209"/>
      <c r="Y1026" s="209"/>
      <c r="Z1026" s="209"/>
      <c r="AA1026" s="209"/>
      <c r="AB1026" s="209"/>
      <c r="AC1026" s="209"/>
      <c r="AD1026" s="209"/>
      <c r="AE1026" s="209"/>
      <c r="AF1026" s="209"/>
      <c r="AG1026" s="209"/>
      <c r="AH1026" s="209"/>
      <c r="AI1026" s="209"/>
      <c r="AJ1026" s="209"/>
    </row>
    <row r="1027">
      <c r="A1027" s="291"/>
      <c r="B1027" s="408" t="s">
        <v>3693</v>
      </c>
      <c r="C1027" s="409" t="s">
        <v>3694</v>
      </c>
      <c r="D1027" s="304" t="s">
        <v>3695</v>
      </c>
      <c r="E1027" s="374" t="s">
        <v>3696</v>
      </c>
      <c r="F1027" s="295"/>
      <c r="G1027" s="295"/>
      <c r="H1027" s="295"/>
      <c r="I1027" s="209"/>
      <c r="J1027" s="296" t="b">
        <v>1</v>
      </c>
      <c r="K1027" s="297" t="b">
        <v>0</v>
      </c>
      <c r="L1027" s="209"/>
      <c r="M1027" s="209"/>
      <c r="N1027" s="209"/>
      <c r="O1027" s="209"/>
      <c r="P1027" s="209"/>
      <c r="Q1027" s="209"/>
      <c r="R1027" s="209"/>
      <c r="S1027" s="209"/>
      <c r="T1027" s="209"/>
      <c r="U1027" s="209"/>
      <c r="V1027" s="209"/>
      <c r="W1027" s="209"/>
      <c r="X1027" s="209"/>
      <c r="Y1027" s="209"/>
      <c r="Z1027" s="209"/>
      <c r="AA1027" s="209"/>
      <c r="AB1027" s="209"/>
      <c r="AC1027" s="209"/>
      <c r="AD1027" s="209"/>
      <c r="AE1027" s="209"/>
      <c r="AF1027" s="209"/>
      <c r="AG1027" s="209"/>
      <c r="AH1027" s="209"/>
      <c r="AI1027" s="209"/>
      <c r="AJ1027" s="209"/>
    </row>
    <row r="1028">
      <c r="A1028" s="291"/>
      <c r="B1028" s="376" t="s">
        <v>3697</v>
      </c>
      <c r="C1028" s="377" t="s">
        <v>3694</v>
      </c>
      <c r="D1028" s="304" t="s">
        <v>3698</v>
      </c>
      <c r="E1028" s="375" t="s">
        <v>3699</v>
      </c>
      <c r="F1028" s="209"/>
      <c r="G1028" s="209"/>
      <c r="H1028" s="209"/>
      <c r="I1028" s="209"/>
      <c r="J1028" s="296" t="b">
        <v>1</v>
      </c>
      <c r="K1028" s="301" t="b">
        <v>0</v>
      </c>
      <c r="L1028" s="209"/>
      <c r="M1028" s="209"/>
      <c r="N1028" s="209"/>
      <c r="O1028" s="209"/>
      <c r="P1028" s="209"/>
      <c r="Q1028" s="209"/>
      <c r="R1028" s="209"/>
      <c r="S1028" s="209"/>
      <c r="T1028" s="209"/>
      <c r="U1028" s="209"/>
      <c r="V1028" s="209"/>
      <c r="W1028" s="209"/>
      <c r="X1028" s="209"/>
      <c r="Y1028" s="209"/>
      <c r="Z1028" s="209"/>
      <c r="AA1028" s="209"/>
      <c r="AB1028" s="209"/>
      <c r="AC1028" s="209"/>
      <c r="AD1028" s="209"/>
      <c r="AE1028" s="209"/>
      <c r="AF1028" s="209"/>
      <c r="AG1028" s="209"/>
      <c r="AH1028" s="209"/>
      <c r="AI1028" s="209"/>
      <c r="AJ1028" s="209"/>
    </row>
    <row r="1029">
      <c r="A1029" s="291"/>
      <c r="B1029" s="376" t="s">
        <v>3700</v>
      </c>
      <c r="C1029" s="377" t="s">
        <v>3701</v>
      </c>
      <c r="D1029" s="304" t="s">
        <v>3702</v>
      </c>
      <c r="E1029" s="375" t="s">
        <v>3703</v>
      </c>
      <c r="F1029" s="209"/>
      <c r="G1029" s="209"/>
      <c r="H1029" s="209"/>
      <c r="I1029" s="209"/>
      <c r="J1029" s="296" t="b">
        <v>1</v>
      </c>
      <c r="K1029" s="301" t="b">
        <v>0</v>
      </c>
      <c r="L1029" s="209"/>
      <c r="M1029" s="209"/>
      <c r="N1029" s="209"/>
      <c r="O1029" s="209"/>
      <c r="P1029" s="209"/>
      <c r="Q1029" s="209"/>
      <c r="R1029" s="209"/>
      <c r="S1029" s="209"/>
      <c r="T1029" s="209"/>
      <c r="U1029" s="209"/>
      <c r="V1029" s="209"/>
      <c r="W1029" s="209"/>
      <c r="X1029" s="209"/>
      <c r="Y1029" s="209"/>
      <c r="Z1029" s="209"/>
      <c r="AA1029" s="209"/>
      <c r="AB1029" s="209"/>
      <c r="AC1029" s="209"/>
      <c r="AD1029" s="209"/>
      <c r="AE1029" s="209"/>
      <c r="AF1029" s="209"/>
      <c r="AG1029" s="209"/>
      <c r="AH1029" s="209"/>
      <c r="AI1029" s="209"/>
      <c r="AJ1029" s="209"/>
    </row>
    <row r="1030">
      <c r="A1030" s="291"/>
      <c r="B1030" s="376" t="s">
        <v>3704</v>
      </c>
      <c r="C1030" s="377" t="s">
        <v>3705</v>
      </c>
      <c r="D1030" s="304" t="s">
        <v>3706</v>
      </c>
      <c r="E1030" s="375" t="s">
        <v>3707</v>
      </c>
      <c r="F1030" s="209"/>
      <c r="G1030" s="209"/>
      <c r="H1030" s="209"/>
      <c r="I1030" s="209"/>
      <c r="J1030" s="296" t="b">
        <v>1</v>
      </c>
      <c r="K1030" s="301" t="b">
        <v>0</v>
      </c>
      <c r="L1030" s="209"/>
      <c r="M1030" s="209"/>
      <c r="N1030" s="209"/>
      <c r="O1030" s="209"/>
      <c r="P1030" s="209"/>
      <c r="Q1030" s="209"/>
      <c r="R1030" s="209"/>
      <c r="S1030" s="209"/>
      <c r="T1030" s="209"/>
      <c r="U1030" s="209"/>
      <c r="V1030" s="209"/>
      <c r="W1030" s="209"/>
      <c r="X1030" s="209"/>
      <c r="Y1030" s="209"/>
      <c r="Z1030" s="209"/>
      <c r="AA1030" s="209"/>
      <c r="AB1030" s="209"/>
      <c r="AC1030" s="209"/>
      <c r="AD1030" s="209"/>
      <c r="AE1030" s="209"/>
      <c r="AF1030" s="209"/>
      <c r="AG1030" s="209"/>
      <c r="AH1030" s="209"/>
      <c r="AI1030" s="209"/>
      <c r="AJ1030" s="209"/>
    </row>
    <row r="1031">
      <c r="A1031" s="291"/>
      <c r="B1031" s="376" t="s">
        <v>3708</v>
      </c>
      <c r="C1031" s="377" t="s">
        <v>3705</v>
      </c>
      <c r="D1031" s="304" t="s">
        <v>3709</v>
      </c>
      <c r="E1031" s="375" t="s">
        <v>3710</v>
      </c>
      <c r="F1031" s="209"/>
      <c r="G1031" s="209"/>
      <c r="H1031" s="209"/>
      <c r="I1031" s="209"/>
      <c r="J1031" s="296" t="b">
        <v>1</v>
      </c>
      <c r="K1031" s="301" t="b">
        <v>0</v>
      </c>
      <c r="L1031" s="209"/>
      <c r="M1031" s="209"/>
      <c r="N1031" s="209"/>
      <c r="O1031" s="209"/>
      <c r="P1031" s="209"/>
      <c r="Q1031" s="209"/>
      <c r="R1031" s="209"/>
      <c r="S1031" s="209"/>
      <c r="T1031" s="209"/>
      <c r="U1031" s="209"/>
      <c r="V1031" s="209"/>
      <c r="W1031" s="209"/>
      <c r="X1031" s="209"/>
      <c r="Y1031" s="209"/>
      <c r="Z1031" s="209"/>
      <c r="AA1031" s="209"/>
      <c r="AB1031" s="209"/>
      <c r="AC1031" s="209"/>
      <c r="AD1031" s="209"/>
      <c r="AE1031" s="209"/>
      <c r="AF1031" s="209"/>
      <c r="AG1031" s="209"/>
      <c r="AH1031" s="209"/>
      <c r="AI1031" s="209"/>
      <c r="AJ1031" s="209"/>
    </row>
    <row r="1032">
      <c r="A1032" s="291"/>
      <c r="B1032" s="376" t="s">
        <v>3711</v>
      </c>
      <c r="C1032" s="377" t="s">
        <v>3712</v>
      </c>
      <c r="D1032" s="304" t="s">
        <v>3713</v>
      </c>
      <c r="E1032" s="375" t="s">
        <v>3714</v>
      </c>
      <c r="F1032" s="209"/>
      <c r="G1032" s="209"/>
      <c r="H1032" s="209"/>
      <c r="I1032" s="209"/>
      <c r="J1032" s="296" t="b">
        <v>1</v>
      </c>
      <c r="K1032" s="301" t="b">
        <v>0</v>
      </c>
      <c r="L1032" s="209"/>
      <c r="M1032" s="209"/>
      <c r="N1032" s="209"/>
      <c r="O1032" s="209"/>
      <c r="P1032" s="209"/>
      <c r="Q1032" s="209"/>
      <c r="R1032" s="209"/>
      <c r="S1032" s="209"/>
      <c r="T1032" s="209"/>
      <c r="U1032" s="209"/>
      <c r="V1032" s="209"/>
      <c r="W1032" s="209"/>
      <c r="X1032" s="209"/>
      <c r="Y1032" s="209"/>
      <c r="Z1032" s="209"/>
      <c r="AA1032" s="209"/>
      <c r="AB1032" s="209"/>
      <c r="AC1032" s="209"/>
      <c r="AD1032" s="209"/>
      <c r="AE1032" s="209"/>
      <c r="AF1032" s="209"/>
      <c r="AG1032" s="209"/>
      <c r="AH1032" s="209"/>
      <c r="AI1032" s="209"/>
      <c r="AJ1032" s="209"/>
    </row>
    <row r="1033">
      <c r="A1033" s="291"/>
      <c r="B1033" s="376" t="s">
        <v>3715</v>
      </c>
      <c r="C1033" s="377" t="s">
        <v>3716</v>
      </c>
      <c r="D1033" s="304" t="s">
        <v>3717</v>
      </c>
      <c r="E1033" s="375" t="s">
        <v>3718</v>
      </c>
      <c r="F1033" s="304" t="s">
        <v>732</v>
      </c>
      <c r="G1033" s="209"/>
      <c r="H1033" s="209"/>
      <c r="I1033" s="304" t="s">
        <v>733</v>
      </c>
      <c r="J1033" s="296" t="b">
        <v>1</v>
      </c>
      <c r="K1033" s="301" t="b">
        <v>0</v>
      </c>
      <c r="L1033" s="209"/>
      <c r="M1033" s="209"/>
      <c r="N1033" s="209"/>
      <c r="O1033" s="209"/>
      <c r="P1033" s="209"/>
      <c r="Q1033" s="209"/>
      <c r="R1033" s="209"/>
      <c r="S1033" s="209"/>
      <c r="T1033" s="209"/>
      <c r="U1033" s="209"/>
      <c r="V1033" s="209"/>
      <c r="W1033" s="209"/>
      <c r="X1033" s="209"/>
      <c r="Y1033" s="209"/>
      <c r="Z1033" s="209"/>
      <c r="AA1033" s="209"/>
      <c r="AB1033" s="209"/>
      <c r="AC1033" s="209"/>
      <c r="AD1033" s="209"/>
      <c r="AE1033" s="209"/>
      <c r="AF1033" s="209"/>
      <c r="AG1033" s="209"/>
      <c r="AH1033" s="209"/>
      <c r="AI1033" s="209"/>
      <c r="AJ1033" s="209"/>
    </row>
    <row r="1034">
      <c r="A1034" s="291"/>
      <c r="B1034" s="303" t="s">
        <v>3719</v>
      </c>
      <c r="C1034" s="304" t="s">
        <v>3716</v>
      </c>
      <c r="D1034" s="304" t="s">
        <v>3720</v>
      </c>
      <c r="E1034" s="375" t="s">
        <v>3721</v>
      </c>
      <c r="F1034" s="304" t="s">
        <v>732</v>
      </c>
      <c r="G1034" s="209"/>
      <c r="H1034" s="209"/>
      <c r="I1034" s="304" t="s">
        <v>733</v>
      </c>
      <c r="J1034" s="296" t="b">
        <v>1</v>
      </c>
      <c r="K1034" s="301" t="b">
        <v>0</v>
      </c>
      <c r="L1034" s="209"/>
      <c r="M1034" s="209"/>
      <c r="N1034" s="209"/>
      <c r="O1034" s="209"/>
      <c r="P1034" s="209"/>
      <c r="Q1034" s="209"/>
      <c r="R1034" s="209"/>
      <c r="S1034" s="209"/>
      <c r="T1034" s="209"/>
      <c r="U1034" s="209"/>
      <c r="V1034" s="209"/>
      <c r="W1034" s="209"/>
      <c r="X1034" s="209"/>
      <c r="Y1034" s="209"/>
      <c r="Z1034" s="209"/>
      <c r="AA1034" s="209"/>
      <c r="AB1034" s="209"/>
      <c r="AC1034" s="209"/>
      <c r="AD1034" s="209"/>
      <c r="AE1034" s="209"/>
      <c r="AF1034" s="209"/>
      <c r="AG1034" s="209"/>
      <c r="AH1034" s="209"/>
      <c r="AI1034" s="209"/>
      <c r="AJ1034" s="209"/>
    </row>
    <row r="1035">
      <c r="A1035" s="291"/>
      <c r="B1035" s="376" t="s">
        <v>3722</v>
      </c>
      <c r="C1035" s="377" t="s">
        <v>3723</v>
      </c>
      <c r="D1035" s="304" t="s">
        <v>3724</v>
      </c>
      <c r="E1035" s="375" t="s">
        <v>3725</v>
      </c>
      <c r="F1035" s="209"/>
      <c r="G1035" s="209"/>
      <c r="H1035" s="209"/>
      <c r="I1035" s="209"/>
      <c r="J1035" s="296" t="b">
        <v>1</v>
      </c>
      <c r="K1035" s="301" t="b">
        <v>0</v>
      </c>
      <c r="L1035" s="209"/>
      <c r="M1035" s="209"/>
      <c r="N1035" s="209"/>
      <c r="O1035" s="209"/>
      <c r="P1035" s="209"/>
      <c r="Q1035" s="209"/>
      <c r="R1035" s="209"/>
      <c r="S1035" s="209"/>
      <c r="T1035" s="209"/>
      <c r="U1035" s="209"/>
      <c r="V1035" s="209"/>
      <c r="W1035" s="209"/>
      <c r="X1035" s="209"/>
      <c r="Y1035" s="209"/>
      <c r="Z1035" s="209"/>
      <c r="AA1035" s="209"/>
      <c r="AB1035" s="209"/>
      <c r="AC1035" s="209"/>
      <c r="AD1035" s="209"/>
      <c r="AE1035" s="209"/>
      <c r="AF1035" s="209"/>
      <c r="AG1035" s="209"/>
      <c r="AH1035" s="209"/>
      <c r="AI1035" s="209"/>
      <c r="AJ1035" s="209"/>
    </row>
    <row r="1036">
      <c r="A1036" s="291"/>
      <c r="B1036" s="376" t="s">
        <v>3726</v>
      </c>
      <c r="C1036" s="377" t="s">
        <v>3476</v>
      </c>
      <c r="D1036" s="304" t="s">
        <v>3727</v>
      </c>
      <c r="E1036" s="375" t="s">
        <v>3728</v>
      </c>
      <c r="F1036" s="209"/>
      <c r="G1036" s="209"/>
      <c r="H1036" s="209"/>
      <c r="I1036" s="209"/>
      <c r="J1036" s="296" t="b">
        <v>1</v>
      </c>
      <c r="K1036" s="301" t="b">
        <v>0</v>
      </c>
      <c r="L1036" s="209"/>
      <c r="M1036" s="209"/>
      <c r="N1036" s="209"/>
      <c r="O1036" s="209"/>
      <c r="P1036" s="209"/>
      <c r="Q1036" s="209"/>
      <c r="R1036" s="209"/>
      <c r="S1036" s="209"/>
      <c r="T1036" s="209"/>
      <c r="U1036" s="209"/>
      <c r="V1036" s="209"/>
      <c r="W1036" s="209"/>
      <c r="X1036" s="209"/>
      <c r="Y1036" s="209"/>
      <c r="Z1036" s="209"/>
      <c r="AA1036" s="209"/>
      <c r="AB1036" s="209"/>
      <c r="AC1036" s="209"/>
      <c r="AD1036" s="209"/>
      <c r="AE1036" s="209"/>
      <c r="AF1036" s="209"/>
      <c r="AG1036" s="209"/>
      <c r="AH1036" s="209"/>
      <c r="AI1036" s="209"/>
      <c r="AJ1036" s="209"/>
    </row>
    <row r="1037">
      <c r="A1037" s="291"/>
      <c r="B1037" s="376" t="s">
        <v>3729</v>
      </c>
      <c r="C1037" s="377" t="s">
        <v>3476</v>
      </c>
      <c r="D1037" s="304" t="s">
        <v>3730</v>
      </c>
      <c r="E1037" s="375" t="s">
        <v>3731</v>
      </c>
      <c r="F1037" s="304" t="s">
        <v>732</v>
      </c>
      <c r="G1037" s="209"/>
      <c r="H1037" s="209"/>
      <c r="I1037" s="304" t="s">
        <v>733</v>
      </c>
      <c r="J1037" s="296" t="b">
        <v>1</v>
      </c>
      <c r="K1037" s="301" t="b">
        <v>0</v>
      </c>
      <c r="L1037" s="209"/>
      <c r="M1037" s="209"/>
      <c r="N1037" s="209"/>
      <c r="O1037" s="209"/>
      <c r="P1037" s="209"/>
      <c r="Q1037" s="209"/>
      <c r="R1037" s="209"/>
      <c r="S1037" s="209"/>
      <c r="T1037" s="209"/>
      <c r="U1037" s="209"/>
      <c r="V1037" s="209"/>
      <c r="W1037" s="209"/>
      <c r="X1037" s="209"/>
      <c r="Y1037" s="209"/>
      <c r="Z1037" s="209"/>
      <c r="AA1037" s="209"/>
      <c r="AB1037" s="209"/>
      <c r="AC1037" s="209"/>
      <c r="AD1037" s="209"/>
      <c r="AE1037" s="209"/>
      <c r="AF1037" s="209"/>
      <c r="AG1037" s="209"/>
      <c r="AH1037" s="209"/>
      <c r="AI1037" s="209"/>
      <c r="AJ1037" s="209"/>
    </row>
    <row r="1038">
      <c r="A1038" s="309"/>
      <c r="B1038" s="378" t="s">
        <v>3732</v>
      </c>
      <c r="C1038" s="379" t="s">
        <v>3476</v>
      </c>
      <c r="D1038" s="311" t="s">
        <v>3733</v>
      </c>
      <c r="E1038" s="380" t="s">
        <v>3734</v>
      </c>
      <c r="F1038" s="398"/>
      <c r="G1038" s="313"/>
      <c r="H1038" s="313"/>
      <c r="I1038" s="313"/>
      <c r="J1038" s="296" t="b">
        <v>1</v>
      </c>
      <c r="K1038" s="381" t="b">
        <v>0</v>
      </c>
      <c r="L1038" s="209"/>
      <c r="M1038" s="209"/>
      <c r="N1038" s="209"/>
      <c r="O1038" s="209"/>
      <c r="P1038" s="209"/>
      <c r="Q1038" s="209"/>
      <c r="R1038" s="209"/>
      <c r="S1038" s="209"/>
      <c r="T1038" s="209"/>
      <c r="U1038" s="209"/>
      <c r="V1038" s="209"/>
      <c r="W1038" s="209"/>
      <c r="X1038" s="209"/>
      <c r="Y1038" s="209"/>
      <c r="Z1038" s="209"/>
      <c r="AA1038" s="209"/>
      <c r="AB1038" s="209"/>
      <c r="AC1038" s="209"/>
      <c r="AD1038" s="209"/>
      <c r="AE1038" s="209"/>
      <c r="AF1038" s="209"/>
      <c r="AG1038" s="209"/>
      <c r="AH1038" s="209"/>
      <c r="AI1038" s="209"/>
      <c r="AJ1038" s="209"/>
    </row>
    <row r="1039">
      <c r="A1039" s="209"/>
      <c r="B1039" s="209"/>
      <c r="C1039" s="209"/>
      <c r="D1039" s="209"/>
      <c r="E1039" s="209"/>
      <c r="F1039" s="344"/>
      <c r="G1039" s="344"/>
      <c r="H1039" s="344"/>
      <c r="I1039" s="209"/>
      <c r="J1039" s="209"/>
      <c r="K1039" s="209"/>
      <c r="L1039" s="209"/>
      <c r="M1039" s="209"/>
      <c r="N1039" s="209"/>
      <c r="O1039" s="209"/>
      <c r="P1039" s="209"/>
      <c r="Q1039" s="209"/>
      <c r="R1039" s="209"/>
      <c r="S1039" s="209"/>
      <c r="T1039" s="209"/>
      <c r="U1039" s="209"/>
      <c r="V1039" s="209"/>
      <c r="W1039" s="209"/>
      <c r="X1039" s="209"/>
      <c r="Y1039" s="209"/>
      <c r="Z1039" s="209"/>
      <c r="AA1039" s="209"/>
      <c r="AB1039" s="209"/>
      <c r="AC1039" s="209"/>
      <c r="AD1039" s="209"/>
      <c r="AE1039" s="209"/>
      <c r="AF1039" s="209"/>
      <c r="AG1039" s="209"/>
      <c r="AH1039" s="209"/>
      <c r="AI1039" s="209"/>
      <c r="AJ1039" s="209"/>
    </row>
    <row r="1040">
      <c r="A1040" s="316" t="s">
        <v>3735</v>
      </c>
      <c r="B1040" s="319" t="s">
        <v>3736</v>
      </c>
      <c r="C1040" s="320"/>
      <c r="D1040" s="388" t="s">
        <v>3737</v>
      </c>
      <c r="E1040" s="322" t="s">
        <v>3738</v>
      </c>
      <c r="F1040" s="320"/>
      <c r="G1040" s="320"/>
      <c r="H1040" s="276" t="s">
        <v>1844</v>
      </c>
      <c r="I1040" s="285" t="s">
        <v>4162</v>
      </c>
      <c r="J1040" s="278" t="str">
        <f>IF(COUNTIF(J1041:J1058, TRUE) = COUNTA(J1041:J1058), "Complete!", IF(COUNTIF(J1041:J1058, TRUE) &gt; 0, "Partial", "Not Started"))</f>
        <v>Complete!</v>
      </c>
      <c r="K1040" s="279"/>
      <c r="L1040" s="280">
        <v>18.0</v>
      </c>
      <c r="M1040" s="209"/>
      <c r="N1040" s="209"/>
      <c r="O1040" s="209"/>
      <c r="P1040" s="209"/>
      <c r="Q1040" s="209"/>
      <c r="R1040" s="209"/>
      <c r="S1040" s="209"/>
      <c r="T1040" s="209"/>
      <c r="U1040" s="209"/>
      <c r="V1040" s="209"/>
      <c r="W1040" s="209"/>
      <c r="X1040" s="209"/>
      <c r="Y1040" s="209"/>
      <c r="Z1040" s="209"/>
      <c r="AA1040" s="209"/>
      <c r="AB1040" s="209"/>
      <c r="AC1040" s="209"/>
      <c r="AD1040" s="209"/>
      <c r="AE1040" s="209"/>
      <c r="AF1040" s="209"/>
      <c r="AG1040" s="209"/>
      <c r="AH1040" s="209"/>
      <c r="AI1040" s="209"/>
      <c r="AJ1040" s="209"/>
    </row>
    <row r="1041">
      <c r="A1041" s="291"/>
      <c r="B1041" s="303" t="s">
        <v>3740</v>
      </c>
      <c r="C1041" s="304" t="s">
        <v>3712</v>
      </c>
      <c r="D1041" s="304" t="s">
        <v>3741</v>
      </c>
      <c r="E1041" s="375" t="s">
        <v>3742</v>
      </c>
      <c r="F1041" s="209"/>
      <c r="G1041" s="209"/>
      <c r="H1041" s="209"/>
      <c r="I1041" s="209"/>
      <c r="J1041" s="300" t="b">
        <v>1</v>
      </c>
      <c r="K1041" s="301" t="b">
        <v>0</v>
      </c>
      <c r="L1041" s="209"/>
      <c r="M1041" s="209"/>
      <c r="N1041" s="209"/>
      <c r="O1041" s="209"/>
      <c r="P1041" s="209"/>
      <c r="Q1041" s="209"/>
      <c r="R1041" s="209"/>
      <c r="S1041" s="209"/>
      <c r="T1041" s="209"/>
      <c r="U1041" s="209"/>
      <c r="V1041" s="209"/>
      <c r="W1041" s="209"/>
      <c r="X1041" s="209"/>
      <c r="Y1041" s="209"/>
      <c r="Z1041" s="209"/>
      <c r="AA1041" s="209"/>
      <c r="AB1041" s="209"/>
      <c r="AC1041" s="209"/>
      <c r="AD1041" s="209"/>
      <c r="AE1041" s="209"/>
      <c r="AF1041" s="209"/>
      <c r="AG1041" s="209"/>
      <c r="AH1041" s="209"/>
      <c r="AI1041" s="209"/>
      <c r="AJ1041" s="209"/>
    </row>
    <row r="1042">
      <c r="A1042" s="291"/>
      <c r="B1042" s="354" t="s">
        <v>3743</v>
      </c>
      <c r="C1042" s="304" t="s">
        <v>3712</v>
      </c>
      <c r="D1042" s="304" t="s">
        <v>3744</v>
      </c>
      <c r="E1042" s="375" t="s">
        <v>3745</v>
      </c>
      <c r="F1042" s="209"/>
      <c r="G1042" s="209"/>
      <c r="H1042" s="209"/>
      <c r="I1042" s="209"/>
      <c r="J1042" s="300" t="b">
        <v>1</v>
      </c>
      <c r="K1042" s="301" t="b">
        <v>0</v>
      </c>
      <c r="L1042" s="209"/>
      <c r="M1042" s="209"/>
      <c r="N1042" s="209"/>
      <c r="O1042" s="209"/>
      <c r="P1042" s="209"/>
      <c r="Q1042" s="209"/>
      <c r="R1042" s="209"/>
      <c r="S1042" s="209"/>
      <c r="T1042" s="209"/>
      <c r="U1042" s="209"/>
      <c r="V1042" s="209"/>
      <c r="W1042" s="209"/>
      <c r="X1042" s="209"/>
      <c r="Y1042" s="209"/>
      <c r="Z1042" s="209"/>
      <c r="AA1042" s="209"/>
      <c r="AB1042" s="209"/>
      <c r="AC1042" s="209"/>
      <c r="AD1042" s="209"/>
      <c r="AE1042" s="209"/>
      <c r="AF1042" s="209"/>
      <c r="AG1042" s="209"/>
      <c r="AH1042" s="209"/>
      <c r="AI1042" s="209"/>
      <c r="AJ1042" s="209"/>
    </row>
    <row r="1043">
      <c r="A1043" s="291"/>
      <c r="B1043" s="303" t="s">
        <v>3746</v>
      </c>
      <c r="C1043" s="304" t="s">
        <v>3712</v>
      </c>
      <c r="D1043" s="304" t="s">
        <v>3747</v>
      </c>
      <c r="E1043" s="375" t="s">
        <v>3748</v>
      </c>
      <c r="F1043" s="209"/>
      <c r="G1043" s="209"/>
      <c r="H1043" s="209"/>
      <c r="I1043" s="209"/>
      <c r="J1043" s="300" t="b">
        <v>1</v>
      </c>
      <c r="K1043" s="301" t="b">
        <v>0</v>
      </c>
      <c r="L1043" s="209"/>
      <c r="M1043" s="209"/>
      <c r="N1043" s="209"/>
      <c r="O1043" s="209"/>
      <c r="P1043" s="209"/>
      <c r="Q1043" s="209"/>
      <c r="R1043" s="209"/>
      <c r="S1043" s="209"/>
      <c r="T1043" s="209"/>
      <c r="U1043" s="209"/>
      <c r="V1043" s="209"/>
      <c r="W1043" s="209"/>
      <c r="X1043" s="209"/>
      <c r="Y1043" s="209"/>
      <c r="Z1043" s="209"/>
      <c r="AA1043" s="209"/>
      <c r="AB1043" s="209"/>
      <c r="AC1043" s="209"/>
      <c r="AD1043" s="209"/>
      <c r="AE1043" s="209"/>
      <c r="AF1043" s="209"/>
      <c r="AG1043" s="209"/>
      <c r="AH1043" s="209"/>
      <c r="AI1043" s="209"/>
      <c r="AJ1043" s="209"/>
    </row>
    <row r="1044">
      <c r="A1044" s="291"/>
      <c r="B1044" s="303" t="s">
        <v>3749</v>
      </c>
      <c r="C1044" s="304" t="s">
        <v>3712</v>
      </c>
      <c r="D1044" s="304" t="s">
        <v>3750</v>
      </c>
      <c r="E1044" s="375" t="s">
        <v>3751</v>
      </c>
      <c r="F1044" s="209"/>
      <c r="G1044" s="209"/>
      <c r="H1044" s="209"/>
      <c r="I1044" s="209"/>
      <c r="J1044" s="300" t="b">
        <v>1</v>
      </c>
      <c r="K1044" s="301" t="b">
        <v>0</v>
      </c>
      <c r="L1044" s="209"/>
      <c r="M1044" s="209"/>
      <c r="N1044" s="209"/>
      <c r="O1044" s="209"/>
      <c r="P1044" s="209"/>
      <c r="Q1044" s="209"/>
      <c r="R1044" s="209"/>
      <c r="S1044" s="209"/>
      <c r="T1044" s="209"/>
      <c r="U1044" s="209"/>
      <c r="V1044" s="209"/>
      <c r="W1044" s="209"/>
      <c r="X1044" s="209"/>
      <c r="Y1044" s="209"/>
      <c r="Z1044" s="209"/>
      <c r="AA1044" s="209"/>
      <c r="AB1044" s="209"/>
      <c r="AC1044" s="209"/>
      <c r="AD1044" s="209"/>
      <c r="AE1044" s="209"/>
      <c r="AF1044" s="209"/>
      <c r="AG1044" s="209"/>
      <c r="AH1044" s="209"/>
      <c r="AI1044" s="209"/>
      <c r="AJ1044" s="209"/>
    </row>
    <row r="1045">
      <c r="A1045" s="291"/>
      <c r="B1045" s="303" t="s">
        <v>3752</v>
      </c>
      <c r="C1045" s="304" t="s">
        <v>3712</v>
      </c>
      <c r="D1045" s="304" t="s">
        <v>3753</v>
      </c>
      <c r="E1045" s="375" t="s">
        <v>3754</v>
      </c>
      <c r="F1045" s="209"/>
      <c r="G1045" s="209"/>
      <c r="H1045" s="209"/>
      <c r="I1045" s="209"/>
      <c r="J1045" s="300" t="b">
        <v>1</v>
      </c>
      <c r="K1045" s="301" t="b">
        <v>0</v>
      </c>
      <c r="L1045" s="209"/>
      <c r="M1045" s="209"/>
      <c r="N1045" s="209"/>
      <c r="O1045" s="209"/>
      <c r="P1045" s="209"/>
      <c r="Q1045" s="209"/>
      <c r="R1045" s="209"/>
      <c r="S1045" s="209"/>
      <c r="T1045" s="209"/>
      <c r="U1045" s="209"/>
      <c r="V1045" s="209"/>
      <c r="W1045" s="209"/>
      <c r="X1045" s="209"/>
      <c r="Y1045" s="209"/>
      <c r="Z1045" s="209"/>
      <c r="AA1045" s="209"/>
      <c r="AB1045" s="209"/>
      <c r="AC1045" s="209"/>
      <c r="AD1045" s="209"/>
      <c r="AE1045" s="209"/>
      <c r="AF1045" s="209"/>
      <c r="AG1045" s="209"/>
      <c r="AH1045" s="209"/>
      <c r="AI1045" s="209"/>
      <c r="AJ1045" s="209"/>
    </row>
    <row r="1046">
      <c r="A1046" s="291"/>
      <c r="B1046" s="303" t="s">
        <v>3755</v>
      </c>
      <c r="C1046" s="304" t="s">
        <v>3712</v>
      </c>
      <c r="D1046" s="304" t="s">
        <v>3756</v>
      </c>
      <c r="E1046" s="375" t="s">
        <v>3757</v>
      </c>
      <c r="F1046" s="209"/>
      <c r="G1046" s="209"/>
      <c r="H1046" s="209"/>
      <c r="I1046" s="209"/>
      <c r="J1046" s="300" t="b">
        <v>1</v>
      </c>
      <c r="K1046" s="301" t="b">
        <v>0</v>
      </c>
      <c r="L1046" s="209"/>
      <c r="M1046" s="209"/>
      <c r="N1046" s="209"/>
      <c r="O1046" s="209"/>
      <c r="P1046" s="209"/>
      <c r="Q1046" s="209"/>
      <c r="R1046" s="209"/>
      <c r="S1046" s="209"/>
      <c r="T1046" s="209"/>
      <c r="U1046" s="209"/>
      <c r="V1046" s="209"/>
      <c r="W1046" s="209"/>
      <c r="X1046" s="209"/>
      <c r="Y1046" s="209"/>
      <c r="Z1046" s="209"/>
      <c r="AA1046" s="209"/>
      <c r="AB1046" s="209"/>
      <c r="AC1046" s="209"/>
      <c r="AD1046" s="209"/>
      <c r="AE1046" s="209"/>
      <c r="AF1046" s="209"/>
      <c r="AG1046" s="209"/>
      <c r="AH1046" s="209"/>
      <c r="AI1046" s="209"/>
      <c r="AJ1046" s="209"/>
    </row>
    <row r="1047">
      <c r="A1047" s="291"/>
      <c r="B1047" s="303" t="s">
        <v>3758</v>
      </c>
      <c r="C1047" s="304" t="s">
        <v>3712</v>
      </c>
      <c r="D1047" s="304" t="s">
        <v>3759</v>
      </c>
      <c r="E1047" s="375" t="s">
        <v>3760</v>
      </c>
      <c r="F1047" s="209"/>
      <c r="G1047" s="209"/>
      <c r="H1047" s="209"/>
      <c r="I1047" s="209"/>
      <c r="J1047" s="300" t="b">
        <v>1</v>
      </c>
      <c r="K1047" s="301" t="b">
        <v>0</v>
      </c>
      <c r="L1047" s="209"/>
      <c r="M1047" s="209"/>
      <c r="N1047" s="209"/>
      <c r="O1047" s="209"/>
      <c r="P1047" s="209"/>
      <c r="Q1047" s="209"/>
      <c r="R1047" s="209"/>
      <c r="S1047" s="209"/>
      <c r="T1047" s="209"/>
      <c r="U1047" s="209"/>
      <c r="V1047" s="209"/>
      <c r="W1047" s="209"/>
      <c r="X1047" s="209"/>
      <c r="Y1047" s="209"/>
      <c r="Z1047" s="209"/>
      <c r="AA1047" s="209"/>
      <c r="AB1047" s="209"/>
      <c r="AC1047" s="209"/>
      <c r="AD1047" s="209"/>
      <c r="AE1047" s="209"/>
      <c r="AF1047" s="209"/>
      <c r="AG1047" s="209"/>
      <c r="AH1047" s="209"/>
      <c r="AI1047" s="209"/>
      <c r="AJ1047" s="209"/>
    </row>
    <row r="1048">
      <c r="A1048" s="291"/>
      <c r="B1048" s="303" t="s">
        <v>3761</v>
      </c>
      <c r="C1048" s="304" t="s">
        <v>3712</v>
      </c>
      <c r="D1048" s="304" t="s">
        <v>3762</v>
      </c>
      <c r="E1048" s="375" t="s">
        <v>3763</v>
      </c>
      <c r="F1048" s="304" t="s">
        <v>732</v>
      </c>
      <c r="G1048" s="209"/>
      <c r="H1048" s="209"/>
      <c r="I1048" s="304" t="s">
        <v>733</v>
      </c>
      <c r="J1048" s="300" t="b">
        <v>1</v>
      </c>
      <c r="K1048" s="301" t="b">
        <v>0</v>
      </c>
      <c r="L1048" s="209"/>
      <c r="M1048" s="209"/>
      <c r="N1048" s="209"/>
      <c r="O1048" s="209"/>
      <c r="P1048" s="209"/>
      <c r="Q1048" s="209"/>
      <c r="R1048" s="209"/>
      <c r="S1048" s="209"/>
      <c r="T1048" s="209"/>
      <c r="U1048" s="209"/>
      <c r="V1048" s="209"/>
      <c r="W1048" s="209"/>
      <c r="X1048" s="209"/>
      <c r="Y1048" s="209"/>
      <c r="Z1048" s="209"/>
      <c r="AA1048" s="209"/>
      <c r="AB1048" s="209"/>
      <c r="AC1048" s="209"/>
      <c r="AD1048" s="209"/>
      <c r="AE1048" s="209"/>
      <c r="AF1048" s="209"/>
      <c r="AG1048" s="209"/>
      <c r="AH1048" s="209"/>
      <c r="AI1048" s="209"/>
      <c r="AJ1048" s="209"/>
    </row>
    <row r="1049">
      <c r="A1049" s="291"/>
      <c r="B1049" s="303" t="s">
        <v>3764</v>
      </c>
      <c r="C1049" s="304" t="s">
        <v>3712</v>
      </c>
      <c r="D1049" s="304" t="s">
        <v>3765</v>
      </c>
      <c r="E1049" s="375" t="s">
        <v>3766</v>
      </c>
      <c r="F1049" s="209"/>
      <c r="G1049" s="209"/>
      <c r="H1049" s="209"/>
      <c r="I1049" s="209"/>
      <c r="J1049" s="300" t="b">
        <v>1</v>
      </c>
      <c r="K1049" s="301" t="b">
        <v>0</v>
      </c>
      <c r="L1049" s="209"/>
      <c r="M1049" s="209"/>
      <c r="N1049" s="209"/>
      <c r="O1049" s="209"/>
      <c r="P1049" s="209"/>
      <c r="Q1049" s="209"/>
      <c r="R1049" s="209"/>
      <c r="S1049" s="209"/>
      <c r="T1049" s="209"/>
      <c r="U1049" s="209"/>
      <c r="V1049" s="209"/>
      <c r="W1049" s="209"/>
      <c r="X1049" s="209"/>
      <c r="Y1049" s="209"/>
      <c r="Z1049" s="209"/>
      <c r="AA1049" s="209"/>
      <c r="AB1049" s="209"/>
      <c r="AC1049" s="209"/>
      <c r="AD1049" s="209"/>
      <c r="AE1049" s="209"/>
      <c r="AF1049" s="209"/>
      <c r="AG1049" s="209"/>
      <c r="AH1049" s="209"/>
      <c r="AI1049" s="209"/>
      <c r="AJ1049" s="209"/>
    </row>
    <row r="1050">
      <c r="A1050" s="291"/>
      <c r="B1050" s="303" t="s">
        <v>3767</v>
      </c>
      <c r="C1050" s="304" t="s">
        <v>3712</v>
      </c>
      <c r="D1050" s="304" t="s">
        <v>3768</v>
      </c>
      <c r="E1050" s="375" t="s">
        <v>3769</v>
      </c>
      <c r="F1050" s="209"/>
      <c r="G1050" s="209"/>
      <c r="H1050" s="209"/>
      <c r="I1050" s="209"/>
      <c r="J1050" s="300" t="b">
        <v>1</v>
      </c>
      <c r="K1050" s="301" t="b">
        <v>0</v>
      </c>
      <c r="L1050" s="209"/>
      <c r="M1050" s="209"/>
      <c r="N1050" s="209"/>
      <c r="O1050" s="209"/>
      <c r="P1050" s="209"/>
      <c r="Q1050" s="209"/>
      <c r="R1050" s="209"/>
      <c r="S1050" s="209"/>
      <c r="T1050" s="209"/>
      <c r="U1050" s="209"/>
      <c r="V1050" s="209"/>
      <c r="W1050" s="209"/>
      <c r="X1050" s="209"/>
      <c r="Y1050" s="209"/>
      <c r="Z1050" s="209"/>
      <c r="AA1050" s="209"/>
      <c r="AB1050" s="209"/>
      <c r="AC1050" s="209"/>
      <c r="AD1050" s="209"/>
      <c r="AE1050" s="209"/>
      <c r="AF1050" s="209"/>
      <c r="AG1050" s="209"/>
      <c r="AH1050" s="209"/>
      <c r="AI1050" s="209"/>
      <c r="AJ1050" s="209"/>
    </row>
    <row r="1051">
      <c r="A1051" s="291"/>
      <c r="B1051" s="303" t="s">
        <v>3770</v>
      </c>
      <c r="C1051" s="304" t="s">
        <v>3712</v>
      </c>
      <c r="D1051" s="304" t="s">
        <v>3771</v>
      </c>
      <c r="E1051" s="375" t="s">
        <v>3772</v>
      </c>
      <c r="F1051" s="209"/>
      <c r="G1051" s="209"/>
      <c r="H1051" s="209"/>
      <c r="I1051" s="209"/>
      <c r="J1051" s="300" t="b">
        <v>1</v>
      </c>
      <c r="K1051" s="301" t="b">
        <v>0</v>
      </c>
      <c r="L1051" s="209"/>
      <c r="M1051" s="209"/>
      <c r="N1051" s="209"/>
      <c r="O1051" s="209"/>
      <c r="P1051" s="209"/>
      <c r="Q1051" s="209"/>
      <c r="R1051" s="209"/>
      <c r="S1051" s="209"/>
      <c r="T1051" s="209"/>
      <c r="U1051" s="209"/>
      <c r="V1051" s="209"/>
      <c r="W1051" s="209"/>
      <c r="X1051" s="209"/>
      <c r="Y1051" s="209"/>
      <c r="Z1051" s="209"/>
      <c r="AA1051" s="209"/>
      <c r="AB1051" s="209"/>
      <c r="AC1051" s="209"/>
      <c r="AD1051" s="209"/>
      <c r="AE1051" s="209"/>
      <c r="AF1051" s="209"/>
      <c r="AG1051" s="209"/>
      <c r="AH1051" s="209"/>
      <c r="AI1051" s="209"/>
      <c r="AJ1051" s="209"/>
    </row>
    <row r="1052">
      <c r="A1052" s="291"/>
      <c r="B1052" s="303" t="s">
        <v>3773</v>
      </c>
      <c r="C1052" s="304" t="s">
        <v>3712</v>
      </c>
      <c r="D1052" s="304" t="s">
        <v>3774</v>
      </c>
      <c r="E1052" s="375" t="s">
        <v>3775</v>
      </c>
      <c r="F1052" s="209"/>
      <c r="G1052" s="209"/>
      <c r="H1052" s="209"/>
      <c r="I1052" s="209"/>
      <c r="J1052" s="300" t="b">
        <v>1</v>
      </c>
      <c r="K1052" s="301" t="b">
        <v>0</v>
      </c>
      <c r="L1052" s="209"/>
      <c r="M1052" s="209"/>
      <c r="N1052" s="209"/>
      <c r="O1052" s="209"/>
      <c r="P1052" s="209"/>
      <c r="Q1052" s="209"/>
      <c r="R1052" s="209"/>
      <c r="S1052" s="209"/>
      <c r="T1052" s="209"/>
      <c r="U1052" s="209"/>
      <c r="V1052" s="209"/>
      <c r="W1052" s="209"/>
      <c r="X1052" s="209"/>
      <c r="Y1052" s="209"/>
      <c r="Z1052" s="209"/>
      <c r="AA1052" s="209"/>
      <c r="AB1052" s="209"/>
      <c r="AC1052" s="209"/>
      <c r="AD1052" s="209"/>
      <c r="AE1052" s="209"/>
      <c r="AF1052" s="209"/>
      <c r="AG1052" s="209"/>
      <c r="AH1052" s="209"/>
      <c r="AI1052" s="209"/>
      <c r="AJ1052" s="209"/>
    </row>
    <row r="1053">
      <c r="A1053" s="291"/>
      <c r="B1053" s="303" t="s">
        <v>3776</v>
      </c>
      <c r="C1053" s="304" t="s">
        <v>3712</v>
      </c>
      <c r="D1053" s="304" t="s">
        <v>3777</v>
      </c>
      <c r="E1053" s="375" t="s">
        <v>3778</v>
      </c>
      <c r="F1053" s="209"/>
      <c r="G1053" s="209"/>
      <c r="H1053" s="209"/>
      <c r="I1053" s="209"/>
      <c r="J1053" s="300" t="b">
        <v>1</v>
      </c>
      <c r="K1053" s="301" t="b">
        <v>0</v>
      </c>
      <c r="L1053" s="209"/>
      <c r="M1053" s="209"/>
      <c r="N1053" s="209"/>
      <c r="O1053" s="209"/>
      <c r="P1053" s="209"/>
      <c r="Q1053" s="209"/>
      <c r="R1053" s="209"/>
      <c r="S1053" s="209"/>
      <c r="T1053" s="209"/>
      <c r="U1053" s="209"/>
      <c r="V1053" s="209"/>
      <c r="W1053" s="209"/>
      <c r="X1053" s="209"/>
      <c r="Y1053" s="209"/>
      <c r="Z1053" s="209"/>
      <c r="AA1053" s="209"/>
      <c r="AB1053" s="209"/>
      <c r="AC1053" s="209"/>
      <c r="AD1053" s="209"/>
      <c r="AE1053" s="209"/>
      <c r="AF1053" s="209"/>
      <c r="AG1053" s="209"/>
      <c r="AH1053" s="209"/>
      <c r="AI1053" s="209"/>
      <c r="AJ1053" s="209"/>
    </row>
    <row r="1054">
      <c r="A1054" s="291"/>
      <c r="B1054" s="303" t="s">
        <v>3779</v>
      </c>
      <c r="C1054" s="304" t="s">
        <v>3712</v>
      </c>
      <c r="D1054" s="304" t="s">
        <v>3780</v>
      </c>
      <c r="E1054" s="375" t="s">
        <v>3780</v>
      </c>
      <c r="F1054" s="209"/>
      <c r="G1054" s="209"/>
      <c r="H1054" s="209"/>
      <c r="I1054" s="209"/>
      <c r="J1054" s="300" t="b">
        <v>1</v>
      </c>
      <c r="K1054" s="301" t="b">
        <v>0</v>
      </c>
      <c r="L1054" s="209"/>
      <c r="M1054" s="209"/>
      <c r="N1054" s="209"/>
      <c r="O1054" s="209"/>
      <c r="P1054" s="209"/>
      <c r="Q1054" s="209"/>
      <c r="R1054" s="209"/>
      <c r="S1054" s="209"/>
      <c r="T1054" s="209"/>
      <c r="U1054" s="209"/>
      <c r="V1054" s="209"/>
      <c r="W1054" s="209"/>
      <c r="X1054" s="209"/>
      <c r="Y1054" s="209"/>
      <c r="Z1054" s="209"/>
      <c r="AA1054" s="209"/>
      <c r="AB1054" s="209"/>
      <c r="AC1054" s="209"/>
      <c r="AD1054" s="209"/>
      <c r="AE1054" s="209"/>
      <c r="AF1054" s="209"/>
      <c r="AG1054" s="209"/>
      <c r="AH1054" s="209"/>
      <c r="AI1054" s="209"/>
      <c r="AJ1054" s="209"/>
    </row>
    <row r="1055">
      <c r="A1055" s="291"/>
      <c r="B1055" s="303" t="s">
        <v>3781</v>
      </c>
      <c r="C1055" s="304" t="s">
        <v>3712</v>
      </c>
      <c r="D1055" s="304" t="s">
        <v>3782</v>
      </c>
      <c r="E1055" s="375" t="s">
        <v>3783</v>
      </c>
      <c r="F1055" s="209"/>
      <c r="G1055" s="209"/>
      <c r="H1055" s="209"/>
      <c r="I1055" s="209"/>
      <c r="J1055" s="300" t="b">
        <v>1</v>
      </c>
      <c r="K1055" s="301" t="b">
        <v>0</v>
      </c>
      <c r="L1055" s="209"/>
      <c r="M1055" s="209"/>
      <c r="N1055" s="209"/>
      <c r="O1055" s="209"/>
      <c r="P1055" s="209"/>
      <c r="Q1055" s="209"/>
      <c r="R1055" s="209"/>
      <c r="S1055" s="209"/>
      <c r="T1055" s="209"/>
      <c r="U1055" s="209"/>
      <c r="V1055" s="209"/>
      <c r="W1055" s="209"/>
      <c r="X1055" s="209"/>
      <c r="Y1055" s="209"/>
      <c r="Z1055" s="209"/>
      <c r="AA1055" s="209"/>
      <c r="AB1055" s="209"/>
      <c r="AC1055" s="209"/>
      <c r="AD1055" s="209"/>
      <c r="AE1055" s="209"/>
      <c r="AF1055" s="209"/>
      <c r="AG1055" s="209"/>
      <c r="AH1055" s="209"/>
      <c r="AI1055" s="209"/>
      <c r="AJ1055" s="209"/>
    </row>
    <row r="1056">
      <c r="A1056" s="291"/>
      <c r="B1056" s="354" t="s">
        <v>3784</v>
      </c>
      <c r="C1056" s="304" t="s">
        <v>3712</v>
      </c>
      <c r="D1056" s="304" t="s">
        <v>3785</v>
      </c>
      <c r="E1056" s="375" t="s">
        <v>3786</v>
      </c>
      <c r="F1056" s="353"/>
      <c r="G1056" s="209"/>
      <c r="H1056" s="209"/>
      <c r="I1056" s="209"/>
      <c r="J1056" s="300" t="b">
        <v>1</v>
      </c>
      <c r="K1056" s="301" t="b">
        <v>0</v>
      </c>
      <c r="L1056" s="209"/>
      <c r="M1056" s="209"/>
      <c r="N1056" s="209"/>
      <c r="O1056" s="209"/>
      <c r="P1056" s="209"/>
      <c r="Q1056" s="209"/>
      <c r="R1056" s="209"/>
      <c r="S1056" s="209"/>
      <c r="T1056" s="209"/>
      <c r="U1056" s="209"/>
      <c r="V1056" s="209"/>
      <c r="W1056" s="209"/>
      <c r="X1056" s="209"/>
      <c r="Y1056" s="209"/>
      <c r="Z1056" s="209"/>
      <c r="AA1056" s="209"/>
      <c r="AB1056" s="209"/>
      <c r="AC1056" s="209"/>
      <c r="AD1056" s="209"/>
      <c r="AE1056" s="209"/>
      <c r="AF1056" s="209"/>
      <c r="AG1056" s="209"/>
      <c r="AH1056" s="209"/>
      <c r="AI1056" s="209"/>
      <c r="AJ1056" s="209"/>
    </row>
    <row r="1057">
      <c r="A1057" s="291"/>
      <c r="B1057" s="303" t="s">
        <v>3787</v>
      </c>
      <c r="C1057" s="304" t="s">
        <v>3712</v>
      </c>
      <c r="D1057" s="304" t="s">
        <v>3788</v>
      </c>
      <c r="E1057" s="375" t="s">
        <v>3789</v>
      </c>
      <c r="F1057" s="209"/>
      <c r="G1057" s="209"/>
      <c r="H1057" s="209"/>
      <c r="I1057" s="209"/>
      <c r="J1057" s="300" t="b">
        <v>1</v>
      </c>
      <c r="K1057" s="301" t="b">
        <v>0</v>
      </c>
      <c r="L1057" s="209"/>
      <c r="M1057" s="209"/>
      <c r="N1057" s="209"/>
      <c r="O1057" s="209"/>
      <c r="P1057" s="209"/>
      <c r="Q1057" s="209"/>
      <c r="R1057" s="209"/>
      <c r="S1057" s="209"/>
      <c r="T1057" s="209"/>
      <c r="U1057" s="209"/>
      <c r="V1057" s="209"/>
      <c r="W1057" s="209"/>
      <c r="X1057" s="209"/>
      <c r="Y1057" s="209"/>
      <c r="Z1057" s="209"/>
      <c r="AA1057" s="209"/>
      <c r="AB1057" s="209"/>
      <c r="AC1057" s="209"/>
      <c r="AD1057" s="209"/>
      <c r="AE1057" s="209"/>
      <c r="AF1057" s="209"/>
      <c r="AG1057" s="209"/>
      <c r="AH1057" s="209"/>
      <c r="AI1057" s="209"/>
      <c r="AJ1057" s="209"/>
    </row>
    <row r="1058">
      <c r="A1058" s="309"/>
      <c r="B1058" s="310" t="s">
        <v>3790</v>
      </c>
      <c r="C1058" s="311" t="s">
        <v>3712</v>
      </c>
      <c r="D1058" s="311" t="s">
        <v>3791</v>
      </c>
      <c r="E1058" s="380" t="s">
        <v>3792</v>
      </c>
      <c r="F1058" s="313"/>
      <c r="G1058" s="313"/>
      <c r="H1058" s="313"/>
      <c r="I1058" s="313"/>
      <c r="J1058" s="300" t="b">
        <v>1</v>
      </c>
      <c r="K1058" s="314" t="b">
        <v>0</v>
      </c>
      <c r="L1058" s="209"/>
      <c r="M1058" s="209"/>
      <c r="N1058" s="209"/>
      <c r="O1058" s="209"/>
      <c r="P1058" s="209"/>
      <c r="Q1058" s="209"/>
      <c r="R1058" s="209"/>
      <c r="S1058" s="209"/>
      <c r="T1058" s="209"/>
      <c r="U1058" s="209"/>
      <c r="V1058" s="209"/>
      <c r="W1058" s="209"/>
      <c r="X1058" s="209"/>
      <c r="Y1058" s="209"/>
      <c r="Z1058" s="209"/>
      <c r="AA1058" s="209"/>
      <c r="AB1058" s="209"/>
      <c r="AC1058" s="209"/>
      <c r="AD1058" s="209"/>
      <c r="AE1058" s="209"/>
      <c r="AF1058" s="209"/>
      <c r="AG1058" s="209"/>
      <c r="AH1058" s="209"/>
      <c r="AI1058" s="209"/>
      <c r="AJ1058" s="209"/>
    </row>
    <row r="1059">
      <c r="A1059" s="209"/>
      <c r="B1059" s="209"/>
      <c r="C1059" s="209"/>
      <c r="D1059" s="209"/>
      <c r="E1059" s="353"/>
      <c r="F1059" s="344"/>
      <c r="G1059" s="344"/>
      <c r="H1059" s="344"/>
      <c r="I1059" s="209"/>
      <c r="J1059" s="209"/>
      <c r="K1059" s="209"/>
      <c r="L1059" s="209"/>
      <c r="M1059" s="209"/>
      <c r="N1059" s="209"/>
      <c r="O1059" s="209"/>
      <c r="P1059" s="209"/>
      <c r="Q1059" s="209"/>
      <c r="R1059" s="209"/>
      <c r="S1059" s="209"/>
      <c r="T1059" s="209"/>
      <c r="U1059" s="209"/>
      <c r="V1059" s="209"/>
      <c r="W1059" s="209"/>
      <c r="X1059" s="209"/>
      <c r="Y1059" s="209"/>
      <c r="Z1059" s="209"/>
      <c r="AA1059" s="209"/>
      <c r="AB1059" s="209"/>
      <c r="AC1059" s="209"/>
      <c r="AD1059" s="209"/>
      <c r="AE1059" s="209"/>
      <c r="AF1059" s="209"/>
      <c r="AG1059" s="209"/>
      <c r="AH1059" s="209"/>
      <c r="AI1059" s="209"/>
      <c r="AJ1059" s="209"/>
    </row>
    <row r="1060">
      <c r="A1060" s="316" t="s">
        <v>3793</v>
      </c>
      <c r="B1060" s="319" t="s">
        <v>3794</v>
      </c>
      <c r="C1060" s="320"/>
      <c r="D1060" s="283" t="s">
        <v>3795</v>
      </c>
      <c r="E1060" s="402" t="s">
        <v>3796</v>
      </c>
      <c r="F1060" s="320"/>
      <c r="G1060" s="320"/>
      <c r="H1060" s="276" t="s">
        <v>370</v>
      </c>
      <c r="I1060" s="285" t="s">
        <v>4197</v>
      </c>
      <c r="J1060" s="278" t="str">
        <f>IF(COUNTIF(J1061:J1080, TRUE) = COUNTA(J1061:J1080), "Complete!", IF(COUNTIF(J1061:J1080, TRUE) &gt; 0, "Partial", "Not Started"))</f>
        <v>Complete!</v>
      </c>
      <c r="K1060" s="279"/>
      <c r="L1060" s="280">
        <v>20.0</v>
      </c>
      <c r="M1060" s="209"/>
      <c r="N1060" s="209"/>
      <c r="O1060" s="209"/>
      <c r="P1060" s="209"/>
      <c r="Q1060" s="209"/>
      <c r="R1060" s="209"/>
      <c r="S1060" s="209"/>
      <c r="T1060" s="209"/>
      <c r="U1060" s="209"/>
      <c r="V1060" s="209"/>
      <c r="W1060" s="209"/>
      <c r="X1060" s="209"/>
      <c r="Y1060" s="209"/>
      <c r="Z1060" s="209"/>
      <c r="AA1060" s="209"/>
      <c r="AB1060" s="209"/>
      <c r="AC1060" s="209"/>
      <c r="AD1060" s="209"/>
      <c r="AE1060" s="209"/>
      <c r="AF1060" s="209"/>
      <c r="AG1060" s="209"/>
      <c r="AH1060" s="209"/>
      <c r="AI1060" s="209"/>
      <c r="AJ1060" s="209"/>
    </row>
    <row r="1061">
      <c r="A1061" s="291"/>
      <c r="B1061" s="292" t="s">
        <v>3798</v>
      </c>
      <c r="C1061" s="293" t="s">
        <v>3799</v>
      </c>
      <c r="D1061" s="304" t="s">
        <v>3800</v>
      </c>
      <c r="E1061" s="374" t="s">
        <v>3801</v>
      </c>
      <c r="F1061" s="209"/>
      <c r="G1061" s="209"/>
      <c r="H1061" s="209"/>
      <c r="I1061" s="209"/>
      <c r="J1061" s="300" t="b">
        <v>1</v>
      </c>
      <c r="K1061" s="301" t="b">
        <v>0</v>
      </c>
      <c r="L1061" s="209"/>
      <c r="M1061" s="209"/>
      <c r="N1061" s="209"/>
      <c r="O1061" s="209"/>
      <c r="P1061" s="209"/>
      <c r="Q1061" s="209"/>
      <c r="R1061" s="209"/>
      <c r="S1061" s="209"/>
      <c r="T1061" s="209"/>
      <c r="U1061" s="209"/>
      <c r="V1061" s="209"/>
      <c r="W1061" s="209"/>
      <c r="X1061" s="209"/>
      <c r="Y1061" s="209"/>
      <c r="Z1061" s="209"/>
      <c r="AA1061" s="209"/>
      <c r="AB1061" s="209"/>
      <c r="AC1061" s="209"/>
      <c r="AD1061" s="209"/>
      <c r="AE1061" s="209"/>
      <c r="AF1061" s="209"/>
      <c r="AG1061" s="209"/>
      <c r="AH1061" s="209"/>
      <c r="AI1061" s="209"/>
      <c r="AJ1061" s="209"/>
    </row>
    <row r="1062">
      <c r="A1062" s="291"/>
      <c r="B1062" s="303" t="s">
        <v>3802</v>
      </c>
      <c r="C1062" s="293" t="s">
        <v>3799</v>
      </c>
      <c r="D1062" s="304" t="s">
        <v>3803</v>
      </c>
      <c r="E1062" s="375" t="s">
        <v>3804</v>
      </c>
      <c r="F1062" s="209"/>
      <c r="G1062" s="209"/>
      <c r="H1062" s="209"/>
      <c r="I1062" s="209"/>
      <c r="J1062" s="300" t="b">
        <v>1</v>
      </c>
      <c r="K1062" s="301" t="b">
        <v>0</v>
      </c>
      <c r="L1062" s="209"/>
      <c r="M1062" s="209"/>
      <c r="N1062" s="209"/>
      <c r="O1062" s="209"/>
      <c r="P1062" s="209"/>
      <c r="Q1062" s="209"/>
      <c r="R1062" s="209"/>
      <c r="S1062" s="209"/>
      <c r="T1062" s="209"/>
      <c r="U1062" s="209"/>
      <c r="V1062" s="209"/>
      <c r="W1062" s="209"/>
      <c r="X1062" s="209"/>
      <c r="Y1062" s="209"/>
      <c r="Z1062" s="209"/>
      <c r="AA1062" s="209"/>
      <c r="AB1062" s="209"/>
      <c r="AC1062" s="209"/>
      <c r="AD1062" s="209"/>
      <c r="AE1062" s="209"/>
      <c r="AF1062" s="209"/>
      <c r="AG1062" s="209"/>
      <c r="AH1062" s="209"/>
      <c r="AI1062" s="209"/>
      <c r="AJ1062" s="209"/>
    </row>
    <row r="1063">
      <c r="A1063" s="291"/>
      <c r="B1063" s="303" t="s">
        <v>3805</v>
      </c>
      <c r="C1063" s="304" t="s">
        <v>400</v>
      </c>
      <c r="D1063" s="304" t="s">
        <v>3806</v>
      </c>
      <c r="E1063" s="375" t="s">
        <v>3807</v>
      </c>
      <c r="F1063" s="209"/>
      <c r="G1063" s="209"/>
      <c r="H1063" s="209"/>
      <c r="I1063" s="209"/>
      <c r="J1063" s="300" t="b">
        <v>1</v>
      </c>
      <c r="K1063" s="301" t="b">
        <v>0</v>
      </c>
      <c r="L1063" s="209"/>
      <c r="M1063" s="209"/>
      <c r="N1063" s="209"/>
      <c r="O1063" s="209"/>
      <c r="P1063" s="209"/>
      <c r="Q1063" s="209"/>
      <c r="R1063" s="209"/>
      <c r="S1063" s="209"/>
      <c r="T1063" s="209"/>
      <c r="U1063" s="209"/>
      <c r="V1063" s="209"/>
      <c r="W1063" s="209"/>
      <c r="X1063" s="209"/>
      <c r="Y1063" s="209"/>
      <c r="Z1063" s="209"/>
      <c r="AA1063" s="209"/>
      <c r="AB1063" s="209"/>
      <c r="AC1063" s="209"/>
      <c r="AD1063" s="209"/>
      <c r="AE1063" s="209"/>
      <c r="AF1063" s="209"/>
      <c r="AG1063" s="209"/>
      <c r="AH1063" s="209"/>
      <c r="AI1063" s="209"/>
      <c r="AJ1063" s="209"/>
    </row>
    <row r="1064">
      <c r="A1064" s="291"/>
      <c r="B1064" s="303" t="s">
        <v>3808</v>
      </c>
      <c r="C1064" s="304" t="s">
        <v>400</v>
      </c>
      <c r="D1064" s="304" t="s">
        <v>3809</v>
      </c>
      <c r="E1064" s="375" t="s">
        <v>3810</v>
      </c>
      <c r="F1064" s="209"/>
      <c r="G1064" s="209"/>
      <c r="H1064" s="209"/>
      <c r="I1064" s="209"/>
      <c r="J1064" s="300" t="b">
        <v>1</v>
      </c>
      <c r="K1064" s="301" t="b">
        <v>0</v>
      </c>
      <c r="L1064" s="209"/>
      <c r="M1064" s="209"/>
      <c r="N1064" s="209"/>
      <c r="O1064" s="209"/>
      <c r="P1064" s="209"/>
      <c r="Q1064" s="209"/>
      <c r="R1064" s="209"/>
      <c r="S1064" s="209"/>
      <c r="T1064" s="209"/>
      <c r="U1064" s="209"/>
      <c r="V1064" s="209"/>
      <c r="W1064" s="209"/>
      <c r="X1064" s="209"/>
      <c r="Y1064" s="209"/>
      <c r="Z1064" s="209"/>
      <c r="AA1064" s="209"/>
      <c r="AB1064" s="209"/>
      <c r="AC1064" s="209"/>
      <c r="AD1064" s="209"/>
      <c r="AE1064" s="209"/>
      <c r="AF1064" s="209"/>
      <c r="AG1064" s="209"/>
      <c r="AH1064" s="209"/>
      <c r="AI1064" s="209"/>
      <c r="AJ1064" s="209"/>
    </row>
    <row r="1065">
      <c r="A1065" s="291"/>
      <c r="B1065" s="303" t="s">
        <v>3811</v>
      </c>
      <c r="C1065" s="304" t="s">
        <v>705</v>
      </c>
      <c r="D1065" s="304" t="s">
        <v>3812</v>
      </c>
      <c r="E1065" s="375" t="s">
        <v>3813</v>
      </c>
      <c r="F1065" s="209"/>
      <c r="G1065" s="209"/>
      <c r="H1065" s="209"/>
      <c r="I1065" s="209"/>
      <c r="J1065" s="300" t="b">
        <v>1</v>
      </c>
      <c r="K1065" s="301" t="b">
        <v>0</v>
      </c>
      <c r="L1065" s="209"/>
      <c r="M1065" s="209"/>
      <c r="N1065" s="209"/>
      <c r="O1065" s="209"/>
      <c r="P1065" s="209"/>
      <c r="Q1065" s="209"/>
      <c r="R1065" s="209"/>
      <c r="S1065" s="209"/>
      <c r="T1065" s="209"/>
      <c r="U1065" s="209"/>
      <c r="V1065" s="209"/>
      <c r="W1065" s="209"/>
      <c r="X1065" s="209"/>
      <c r="Y1065" s="209"/>
      <c r="Z1065" s="209"/>
      <c r="AA1065" s="209"/>
      <c r="AB1065" s="209"/>
      <c r="AC1065" s="209"/>
      <c r="AD1065" s="209"/>
      <c r="AE1065" s="209"/>
      <c r="AF1065" s="209"/>
      <c r="AG1065" s="209"/>
      <c r="AH1065" s="209"/>
      <c r="AI1065" s="209"/>
      <c r="AJ1065" s="209"/>
    </row>
    <row r="1066">
      <c r="A1066" s="291"/>
      <c r="B1066" s="303" t="s">
        <v>3814</v>
      </c>
      <c r="C1066" s="304" t="s">
        <v>705</v>
      </c>
      <c r="D1066" s="304" t="s">
        <v>3815</v>
      </c>
      <c r="E1066" s="375" t="s">
        <v>3816</v>
      </c>
      <c r="F1066" s="209"/>
      <c r="G1066" s="209"/>
      <c r="H1066" s="209"/>
      <c r="I1066" s="209"/>
      <c r="J1066" s="300" t="b">
        <v>1</v>
      </c>
      <c r="K1066" s="301" t="b">
        <v>0</v>
      </c>
      <c r="L1066" s="209"/>
      <c r="M1066" s="209"/>
      <c r="N1066" s="209"/>
      <c r="O1066" s="209"/>
      <c r="P1066" s="209"/>
      <c r="Q1066" s="209"/>
      <c r="R1066" s="209"/>
      <c r="S1066" s="209"/>
      <c r="T1066" s="209"/>
      <c r="U1066" s="209"/>
      <c r="V1066" s="209"/>
      <c r="W1066" s="209"/>
      <c r="X1066" s="209"/>
      <c r="Y1066" s="209"/>
      <c r="Z1066" s="209"/>
      <c r="AA1066" s="209"/>
      <c r="AB1066" s="209"/>
      <c r="AC1066" s="209"/>
      <c r="AD1066" s="209"/>
      <c r="AE1066" s="209"/>
      <c r="AF1066" s="209"/>
      <c r="AG1066" s="209"/>
      <c r="AH1066" s="209"/>
      <c r="AI1066" s="209"/>
      <c r="AJ1066" s="209"/>
    </row>
    <row r="1067">
      <c r="A1067" s="291"/>
      <c r="B1067" s="303" t="s">
        <v>3817</v>
      </c>
      <c r="C1067" s="304" t="s">
        <v>431</v>
      </c>
      <c r="D1067" s="304" t="s">
        <v>3818</v>
      </c>
      <c r="E1067" s="375" t="s">
        <v>3816</v>
      </c>
      <c r="F1067" s="209"/>
      <c r="G1067" s="209"/>
      <c r="H1067" s="209"/>
      <c r="I1067" s="209"/>
      <c r="J1067" s="300" t="b">
        <v>1</v>
      </c>
      <c r="K1067" s="301" t="b">
        <v>0</v>
      </c>
      <c r="L1067" s="209"/>
      <c r="M1067" s="209"/>
      <c r="N1067" s="209"/>
      <c r="O1067" s="209"/>
      <c r="P1067" s="209"/>
      <c r="Q1067" s="209"/>
      <c r="R1067" s="209"/>
      <c r="S1067" s="209"/>
      <c r="T1067" s="209"/>
      <c r="U1067" s="209"/>
      <c r="V1067" s="209"/>
      <c r="W1067" s="209"/>
      <c r="X1067" s="209"/>
      <c r="Y1067" s="209"/>
      <c r="Z1067" s="209"/>
      <c r="AA1067" s="209"/>
      <c r="AB1067" s="209"/>
      <c r="AC1067" s="209"/>
      <c r="AD1067" s="209"/>
      <c r="AE1067" s="209"/>
      <c r="AF1067" s="209"/>
      <c r="AG1067" s="209"/>
      <c r="AH1067" s="209"/>
      <c r="AI1067" s="209"/>
      <c r="AJ1067" s="209"/>
    </row>
    <row r="1068">
      <c r="A1068" s="291"/>
      <c r="B1068" s="303" t="s">
        <v>3819</v>
      </c>
      <c r="C1068" s="304" t="s">
        <v>431</v>
      </c>
      <c r="D1068" s="304" t="s">
        <v>3820</v>
      </c>
      <c r="E1068" s="375" t="s">
        <v>3821</v>
      </c>
      <c r="F1068" s="209"/>
      <c r="G1068" s="209"/>
      <c r="H1068" s="209"/>
      <c r="I1068" s="209"/>
      <c r="J1068" s="300" t="b">
        <v>1</v>
      </c>
      <c r="K1068" s="301" t="b">
        <v>0</v>
      </c>
      <c r="L1068" s="209"/>
      <c r="M1068" s="209"/>
      <c r="N1068" s="209"/>
      <c r="O1068" s="209"/>
      <c r="P1068" s="209"/>
      <c r="Q1068" s="209"/>
      <c r="R1068" s="209"/>
      <c r="S1068" s="209"/>
      <c r="T1068" s="209"/>
      <c r="U1068" s="209"/>
      <c r="V1068" s="209"/>
      <c r="W1068" s="209"/>
      <c r="X1068" s="209"/>
      <c r="Y1068" s="209"/>
      <c r="Z1068" s="209"/>
      <c r="AA1068" s="209"/>
      <c r="AB1068" s="209"/>
      <c r="AC1068" s="209"/>
      <c r="AD1068" s="209"/>
      <c r="AE1068" s="209"/>
      <c r="AF1068" s="209"/>
      <c r="AG1068" s="209"/>
      <c r="AH1068" s="209"/>
      <c r="AI1068" s="209"/>
      <c r="AJ1068" s="209"/>
    </row>
    <row r="1069">
      <c r="A1069" s="291"/>
      <c r="B1069" s="303" t="s">
        <v>3822</v>
      </c>
      <c r="C1069" s="304" t="s">
        <v>1186</v>
      </c>
      <c r="D1069" s="304" t="s">
        <v>3823</v>
      </c>
      <c r="E1069" s="375" t="s">
        <v>3824</v>
      </c>
      <c r="F1069" s="209"/>
      <c r="G1069" s="209"/>
      <c r="H1069" s="209"/>
      <c r="I1069" s="209"/>
      <c r="J1069" s="300" t="b">
        <v>1</v>
      </c>
      <c r="K1069" s="301" t="b">
        <v>0</v>
      </c>
      <c r="L1069" s="209"/>
      <c r="M1069" s="209"/>
      <c r="N1069" s="209"/>
      <c r="O1069" s="209"/>
      <c r="P1069" s="209"/>
      <c r="Q1069" s="209"/>
      <c r="R1069" s="209"/>
      <c r="S1069" s="209"/>
      <c r="T1069" s="209"/>
      <c r="U1069" s="209"/>
      <c r="V1069" s="209"/>
      <c r="W1069" s="209"/>
      <c r="X1069" s="209"/>
      <c r="Y1069" s="209"/>
      <c r="Z1069" s="209"/>
      <c r="AA1069" s="209"/>
      <c r="AB1069" s="209"/>
      <c r="AC1069" s="209"/>
      <c r="AD1069" s="209"/>
      <c r="AE1069" s="209"/>
      <c r="AF1069" s="209"/>
      <c r="AG1069" s="209"/>
      <c r="AH1069" s="209"/>
      <c r="AI1069" s="209"/>
      <c r="AJ1069" s="209"/>
    </row>
    <row r="1070">
      <c r="A1070" s="291"/>
      <c r="B1070" s="303" t="s">
        <v>3825</v>
      </c>
      <c r="C1070" s="304" t="s">
        <v>1186</v>
      </c>
      <c r="D1070" s="304" t="s">
        <v>3826</v>
      </c>
      <c r="E1070" s="375" t="s">
        <v>3827</v>
      </c>
      <c r="F1070" s="209"/>
      <c r="G1070" s="209"/>
      <c r="H1070" s="209"/>
      <c r="I1070" s="209"/>
      <c r="J1070" s="300" t="b">
        <v>1</v>
      </c>
      <c r="K1070" s="301" t="b">
        <v>0</v>
      </c>
      <c r="L1070" s="209"/>
      <c r="M1070" s="209"/>
      <c r="N1070" s="209"/>
      <c r="O1070" s="209"/>
      <c r="P1070" s="209"/>
      <c r="Q1070" s="209"/>
      <c r="R1070" s="209"/>
      <c r="S1070" s="209"/>
      <c r="T1070" s="209"/>
      <c r="U1070" s="209"/>
      <c r="V1070" s="209"/>
      <c r="W1070" s="209"/>
      <c r="X1070" s="209"/>
      <c r="Y1070" s="209"/>
      <c r="Z1070" s="209"/>
      <c r="AA1070" s="209"/>
      <c r="AB1070" s="209"/>
      <c r="AC1070" s="209"/>
      <c r="AD1070" s="209"/>
      <c r="AE1070" s="209"/>
      <c r="AF1070" s="209"/>
      <c r="AG1070" s="209"/>
      <c r="AH1070" s="209"/>
      <c r="AI1070" s="209"/>
      <c r="AJ1070" s="209"/>
    </row>
    <row r="1071">
      <c r="A1071" s="291"/>
      <c r="B1071" s="303" t="s">
        <v>3828</v>
      </c>
      <c r="C1071" s="304" t="s">
        <v>390</v>
      </c>
      <c r="D1071" s="304" t="s">
        <v>3829</v>
      </c>
      <c r="E1071" s="375" t="s">
        <v>3830</v>
      </c>
      <c r="F1071" s="209"/>
      <c r="G1071" s="209"/>
      <c r="H1071" s="209"/>
      <c r="I1071" s="209"/>
      <c r="J1071" s="300" t="b">
        <v>1</v>
      </c>
      <c r="K1071" s="301" t="b">
        <v>0</v>
      </c>
      <c r="L1071" s="209"/>
      <c r="M1071" s="209"/>
      <c r="N1071" s="209"/>
      <c r="O1071" s="209"/>
      <c r="P1071" s="209"/>
      <c r="Q1071" s="209"/>
      <c r="R1071" s="209"/>
      <c r="S1071" s="209"/>
      <c r="T1071" s="209"/>
      <c r="U1071" s="209"/>
      <c r="V1071" s="209"/>
      <c r="W1071" s="209"/>
      <c r="X1071" s="209"/>
      <c r="Y1071" s="209"/>
      <c r="Z1071" s="209"/>
      <c r="AA1071" s="209"/>
      <c r="AB1071" s="209"/>
      <c r="AC1071" s="209"/>
      <c r="AD1071" s="209"/>
      <c r="AE1071" s="209"/>
      <c r="AF1071" s="209"/>
      <c r="AG1071" s="209"/>
      <c r="AH1071" s="209"/>
      <c r="AI1071" s="209"/>
      <c r="AJ1071" s="209"/>
    </row>
    <row r="1072">
      <c r="A1072" s="291"/>
      <c r="B1072" s="303" t="s">
        <v>3831</v>
      </c>
      <c r="C1072" s="304" t="s">
        <v>390</v>
      </c>
      <c r="D1072" s="304" t="s">
        <v>3832</v>
      </c>
      <c r="E1072" s="375" t="s">
        <v>3833</v>
      </c>
      <c r="F1072" s="209"/>
      <c r="G1072" s="209"/>
      <c r="H1072" s="209"/>
      <c r="I1072" s="209"/>
      <c r="J1072" s="300" t="b">
        <v>1</v>
      </c>
      <c r="K1072" s="301" t="b">
        <v>0</v>
      </c>
      <c r="L1072" s="209"/>
      <c r="M1072" s="209"/>
      <c r="N1072" s="209"/>
      <c r="O1072" s="209"/>
      <c r="P1072" s="209"/>
      <c r="Q1072" s="209"/>
      <c r="R1072" s="209"/>
      <c r="S1072" s="209"/>
      <c r="T1072" s="209"/>
      <c r="U1072" s="209"/>
      <c r="V1072" s="209"/>
      <c r="W1072" s="209"/>
      <c r="X1072" s="209"/>
      <c r="Y1072" s="209"/>
      <c r="Z1072" s="209"/>
      <c r="AA1072" s="209"/>
      <c r="AB1072" s="209"/>
      <c r="AC1072" s="209"/>
      <c r="AD1072" s="209"/>
      <c r="AE1072" s="209"/>
      <c r="AF1072" s="209"/>
      <c r="AG1072" s="209"/>
      <c r="AH1072" s="209"/>
      <c r="AI1072" s="209"/>
      <c r="AJ1072" s="209"/>
    </row>
    <row r="1073">
      <c r="A1073" s="291"/>
      <c r="B1073" s="303" t="s">
        <v>3834</v>
      </c>
      <c r="C1073" s="304" t="s">
        <v>400</v>
      </c>
      <c r="D1073" s="304" t="s">
        <v>3835</v>
      </c>
      <c r="E1073" s="375" t="s">
        <v>3836</v>
      </c>
      <c r="F1073" s="209"/>
      <c r="G1073" s="209"/>
      <c r="H1073" s="209"/>
      <c r="I1073" s="209"/>
      <c r="J1073" s="300" t="b">
        <v>1</v>
      </c>
      <c r="K1073" s="301" t="b">
        <v>0</v>
      </c>
      <c r="L1073" s="209"/>
      <c r="M1073" s="209"/>
      <c r="N1073" s="209"/>
      <c r="O1073" s="209"/>
      <c r="P1073" s="209"/>
      <c r="Q1073" s="209"/>
      <c r="R1073" s="209"/>
      <c r="S1073" s="209"/>
      <c r="T1073" s="209"/>
      <c r="U1073" s="209"/>
      <c r="V1073" s="209"/>
      <c r="W1073" s="209"/>
      <c r="X1073" s="209"/>
      <c r="Y1073" s="209"/>
      <c r="Z1073" s="209"/>
      <c r="AA1073" s="209"/>
      <c r="AB1073" s="209"/>
      <c r="AC1073" s="209"/>
      <c r="AD1073" s="209"/>
      <c r="AE1073" s="209"/>
      <c r="AF1073" s="209"/>
      <c r="AG1073" s="209"/>
      <c r="AH1073" s="209"/>
      <c r="AI1073" s="209"/>
      <c r="AJ1073" s="209"/>
    </row>
    <row r="1074">
      <c r="A1074" s="291"/>
      <c r="B1074" s="303" t="s">
        <v>3837</v>
      </c>
      <c r="C1074" s="304" t="s">
        <v>400</v>
      </c>
      <c r="D1074" s="304" t="s">
        <v>3838</v>
      </c>
      <c r="E1074" s="375" t="s">
        <v>3839</v>
      </c>
      <c r="F1074" s="209"/>
      <c r="G1074" s="209"/>
      <c r="H1074" s="209"/>
      <c r="I1074" s="209"/>
      <c r="J1074" s="300" t="b">
        <v>1</v>
      </c>
      <c r="K1074" s="301" t="b">
        <v>0</v>
      </c>
      <c r="L1074" s="209"/>
      <c r="M1074" s="209"/>
      <c r="N1074" s="209"/>
      <c r="O1074" s="209"/>
      <c r="P1074" s="209"/>
      <c r="Q1074" s="209"/>
      <c r="R1074" s="209"/>
      <c r="S1074" s="209"/>
      <c r="T1074" s="209"/>
      <c r="U1074" s="209"/>
      <c r="V1074" s="209"/>
      <c r="W1074" s="209"/>
      <c r="X1074" s="209"/>
      <c r="Y1074" s="209"/>
      <c r="Z1074" s="209"/>
      <c r="AA1074" s="209"/>
      <c r="AB1074" s="209"/>
      <c r="AC1074" s="209"/>
      <c r="AD1074" s="209"/>
      <c r="AE1074" s="209"/>
      <c r="AF1074" s="209"/>
      <c r="AG1074" s="209"/>
      <c r="AH1074" s="209"/>
      <c r="AI1074" s="209"/>
      <c r="AJ1074" s="209"/>
    </row>
    <row r="1075">
      <c r="A1075" s="291"/>
      <c r="B1075" s="303" t="s">
        <v>3840</v>
      </c>
      <c r="C1075" s="304" t="s">
        <v>705</v>
      </c>
      <c r="D1075" s="304" t="s">
        <v>3841</v>
      </c>
      <c r="E1075" s="375" t="s">
        <v>3842</v>
      </c>
      <c r="F1075" s="209"/>
      <c r="G1075" s="209"/>
      <c r="H1075" s="209"/>
      <c r="I1075" s="209"/>
      <c r="J1075" s="300" t="b">
        <v>1</v>
      </c>
      <c r="K1075" s="301" t="b">
        <v>0</v>
      </c>
      <c r="L1075" s="209"/>
      <c r="M1075" s="209"/>
      <c r="N1075" s="209"/>
      <c r="O1075" s="209"/>
      <c r="P1075" s="209"/>
      <c r="Q1075" s="209"/>
      <c r="R1075" s="209"/>
      <c r="S1075" s="209"/>
      <c r="T1075" s="209"/>
      <c r="U1075" s="209"/>
      <c r="V1075" s="209"/>
      <c r="W1075" s="209"/>
      <c r="X1075" s="209"/>
      <c r="Y1075" s="209"/>
      <c r="Z1075" s="209"/>
      <c r="AA1075" s="209"/>
      <c r="AB1075" s="209"/>
      <c r="AC1075" s="209"/>
      <c r="AD1075" s="209"/>
      <c r="AE1075" s="209"/>
      <c r="AF1075" s="209"/>
      <c r="AG1075" s="209"/>
      <c r="AH1075" s="209"/>
      <c r="AI1075" s="209"/>
      <c r="AJ1075" s="209"/>
    </row>
    <row r="1076">
      <c r="A1076" s="291"/>
      <c r="B1076" s="303" t="s">
        <v>3843</v>
      </c>
      <c r="C1076" s="304" t="s">
        <v>705</v>
      </c>
      <c r="D1076" s="304" t="s">
        <v>3844</v>
      </c>
      <c r="E1076" s="375" t="s">
        <v>3845</v>
      </c>
      <c r="F1076" s="304" t="s">
        <v>732</v>
      </c>
      <c r="G1076" s="209"/>
      <c r="H1076" s="209"/>
      <c r="I1076" s="304" t="s">
        <v>733</v>
      </c>
      <c r="J1076" s="300" t="b">
        <v>1</v>
      </c>
      <c r="K1076" s="301" t="b">
        <v>0</v>
      </c>
      <c r="L1076" s="209"/>
      <c r="M1076" s="209"/>
      <c r="N1076" s="209"/>
      <c r="O1076" s="209"/>
      <c r="P1076" s="209"/>
      <c r="Q1076" s="209"/>
      <c r="R1076" s="209"/>
      <c r="S1076" s="209"/>
      <c r="T1076" s="209"/>
      <c r="U1076" s="209"/>
      <c r="V1076" s="209"/>
      <c r="W1076" s="209"/>
      <c r="X1076" s="209"/>
      <c r="Y1076" s="209"/>
      <c r="Z1076" s="209"/>
      <c r="AA1076" s="209"/>
      <c r="AB1076" s="209"/>
      <c r="AC1076" s="209"/>
      <c r="AD1076" s="209"/>
      <c r="AE1076" s="209"/>
      <c r="AF1076" s="209"/>
      <c r="AG1076" s="209"/>
      <c r="AH1076" s="209"/>
      <c r="AI1076" s="209"/>
      <c r="AJ1076" s="209"/>
    </row>
    <row r="1077">
      <c r="A1077" s="291"/>
      <c r="B1077" s="303" t="s">
        <v>3846</v>
      </c>
      <c r="C1077" s="304" t="s">
        <v>431</v>
      </c>
      <c r="D1077" s="304" t="s">
        <v>3847</v>
      </c>
      <c r="E1077" s="375" t="s">
        <v>3848</v>
      </c>
      <c r="F1077" s="209"/>
      <c r="G1077" s="209"/>
      <c r="H1077" s="209"/>
      <c r="I1077" s="209"/>
      <c r="J1077" s="300" t="b">
        <v>1</v>
      </c>
      <c r="K1077" s="301" t="b">
        <v>0</v>
      </c>
      <c r="L1077" s="209"/>
      <c r="M1077" s="209"/>
      <c r="N1077" s="209"/>
      <c r="O1077" s="209"/>
      <c r="P1077" s="209"/>
      <c r="Q1077" s="209"/>
      <c r="R1077" s="209"/>
      <c r="S1077" s="209"/>
      <c r="T1077" s="209"/>
      <c r="U1077" s="209"/>
      <c r="V1077" s="209"/>
      <c r="W1077" s="209"/>
      <c r="X1077" s="209"/>
      <c r="Y1077" s="209"/>
      <c r="Z1077" s="209"/>
      <c r="AA1077" s="209"/>
      <c r="AB1077" s="209"/>
      <c r="AC1077" s="209"/>
      <c r="AD1077" s="209"/>
      <c r="AE1077" s="209"/>
      <c r="AF1077" s="209"/>
      <c r="AG1077" s="209"/>
      <c r="AH1077" s="209"/>
      <c r="AI1077" s="209"/>
      <c r="AJ1077" s="209"/>
    </row>
    <row r="1078">
      <c r="A1078" s="291"/>
      <c r="B1078" s="303" t="s">
        <v>3849</v>
      </c>
      <c r="C1078" s="304" t="s">
        <v>431</v>
      </c>
      <c r="D1078" s="304" t="s">
        <v>3850</v>
      </c>
      <c r="E1078" s="375" t="s">
        <v>3851</v>
      </c>
      <c r="F1078" s="209"/>
      <c r="G1078" s="209"/>
      <c r="H1078" s="209"/>
      <c r="I1078" s="209"/>
      <c r="J1078" s="300" t="b">
        <v>1</v>
      </c>
      <c r="K1078" s="301" t="b">
        <v>0</v>
      </c>
      <c r="L1078" s="209"/>
      <c r="M1078" s="209"/>
      <c r="N1078" s="209"/>
      <c r="O1078" s="209"/>
      <c r="P1078" s="209"/>
      <c r="Q1078" s="209"/>
      <c r="R1078" s="209"/>
      <c r="S1078" s="209"/>
      <c r="T1078" s="209"/>
      <c r="U1078" s="209"/>
      <c r="V1078" s="209"/>
      <c r="W1078" s="209"/>
      <c r="X1078" s="209"/>
      <c r="Y1078" s="209"/>
      <c r="Z1078" s="209"/>
      <c r="AA1078" s="209"/>
      <c r="AB1078" s="209"/>
      <c r="AC1078" s="209"/>
      <c r="AD1078" s="209"/>
      <c r="AE1078" s="209"/>
      <c r="AF1078" s="209"/>
      <c r="AG1078" s="209"/>
      <c r="AH1078" s="209"/>
      <c r="AI1078" s="209"/>
      <c r="AJ1078" s="209"/>
    </row>
    <row r="1079">
      <c r="A1079" s="291"/>
      <c r="B1079" s="303" t="s">
        <v>3852</v>
      </c>
      <c r="C1079" s="304" t="s">
        <v>1186</v>
      </c>
      <c r="D1079" s="304" t="s">
        <v>3853</v>
      </c>
      <c r="E1079" s="375" t="s">
        <v>3854</v>
      </c>
      <c r="F1079" s="209"/>
      <c r="G1079" s="209"/>
      <c r="H1079" s="209"/>
      <c r="I1079" s="209"/>
      <c r="J1079" s="300" t="b">
        <v>1</v>
      </c>
      <c r="K1079" s="301" t="b">
        <v>0</v>
      </c>
      <c r="L1079" s="209"/>
      <c r="M1079" s="209"/>
      <c r="N1079" s="209"/>
      <c r="O1079" s="209"/>
      <c r="P1079" s="209"/>
      <c r="Q1079" s="209"/>
      <c r="R1079" s="209"/>
      <c r="S1079" s="209"/>
      <c r="T1079" s="209"/>
      <c r="U1079" s="209"/>
      <c r="V1079" s="209"/>
      <c r="W1079" s="209"/>
      <c r="X1079" s="209"/>
      <c r="Y1079" s="209"/>
      <c r="Z1079" s="209"/>
      <c r="AA1079" s="209"/>
      <c r="AB1079" s="209"/>
      <c r="AC1079" s="209"/>
      <c r="AD1079" s="209"/>
      <c r="AE1079" s="209"/>
      <c r="AF1079" s="209"/>
      <c r="AG1079" s="209"/>
      <c r="AH1079" s="209"/>
      <c r="AI1079" s="209"/>
      <c r="AJ1079" s="209"/>
    </row>
    <row r="1080">
      <c r="A1080" s="309"/>
      <c r="B1080" s="310" t="s">
        <v>3855</v>
      </c>
      <c r="C1080" s="311" t="s">
        <v>1186</v>
      </c>
      <c r="D1080" s="311" t="s">
        <v>3856</v>
      </c>
      <c r="E1080" s="380" t="s">
        <v>3857</v>
      </c>
      <c r="F1080" s="313"/>
      <c r="G1080" s="313"/>
      <c r="H1080" s="313"/>
      <c r="I1080" s="313"/>
      <c r="J1080" s="300" t="b">
        <v>1</v>
      </c>
      <c r="K1080" s="381" t="b">
        <v>0</v>
      </c>
      <c r="L1080" s="209"/>
      <c r="M1080" s="209"/>
      <c r="N1080" s="209"/>
      <c r="O1080" s="209"/>
      <c r="P1080" s="209"/>
      <c r="Q1080" s="209"/>
      <c r="R1080" s="209"/>
      <c r="S1080" s="209"/>
      <c r="T1080" s="209"/>
      <c r="U1080" s="209"/>
      <c r="V1080" s="209"/>
      <c r="W1080" s="209"/>
      <c r="X1080" s="209"/>
      <c r="Y1080" s="209"/>
      <c r="Z1080" s="209"/>
      <c r="AA1080" s="209"/>
      <c r="AB1080" s="209"/>
      <c r="AC1080" s="209"/>
      <c r="AD1080" s="209"/>
      <c r="AE1080" s="209"/>
      <c r="AF1080" s="209"/>
      <c r="AG1080" s="209"/>
      <c r="AH1080" s="209"/>
      <c r="AI1080" s="209"/>
      <c r="AJ1080" s="209"/>
    </row>
    <row r="1081">
      <c r="A1081" s="209"/>
      <c r="B1081" s="209"/>
      <c r="C1081" s="209"/>
      <c r="D1081" s="209"/>
      <c r="E1081" s="209"/>
      <c r="F1081" s="344"/>
      <c r="G1081" s="344"/>
      <c r="H1081" s="344"/>
      <c r="I1081" s="209"/>
      <c r="J1081" s="313"/>
      <c r="K1081" s="209"/>
      <c r="L1081" s="209"/>
      <c r="M1081" s="209"/>
      <c r="N1081" s="209"/>
      <c r="O1081" s="209"/>
      <c r="P1081" s="209"/>
      <c r="Q1081" s="209"/>
      <c r="R1081" s="209"/>
      <c r="S1081" s="209"/>
      <c r="T1081" s="209"/>
      <c r="U1081" s="209"/>
      <c r="V1081" s="209"/>
      <c r="W1081" s="209"/>
      <c r="X1081" s="209"/>
      <c r="Y1081" s="209"/>
      <c r="Z1081" s="209"/>
      <c r="AA1081" s="209"/>
      <c r="AB1081" s="209"/>
      <c r="AC1081" s="209"/>
      <c r="AD1081" s="209"/>
      <c r="AE1081" s="209"/>
      <c r="AF1081" s="209"/>
      <c r="AG1081" s="209"/>
      <c r="AH1081" s="209"/>
      <c r="AI1081" s="209"/>
      <c r="AJ1081" s="209"/>
    </row>
    <row r="1082">
      <c r="A1082" s="316" t="s">
        <v>3858</v>
      </c>
      <c r="B1082" s="319" t="s">
        <v>3859</v>
      </c>
      <c r="C1082" s="320"/>
      <c r="D1082" s="283" t="s">
        <v>3860</v>
      </c>
      <c r="E1082" s="322" t="s">
        <v>3861</v>
      </c>
      <c r="F1082" s="320"/>
      <c r="G1082" s="320"/>
      <c r="H1082" s="276" t="s">
        <v>4198</v>
      </c>
      <c r="I1082" s="285" t="s">
        <v>832</v>
      </c>
      <c r="J1082" s="278" t="str">
        <f>IF(COUNTIF(J1083:J1102, TRUE) = COUNTA(J1083:J1102), "Complete!", IF(COUNTIF(J1083:J1102, TRUE) &gt; 0, "Partial", "Not Started"))</f>
        <v>Complete!</v>
      </c>
      <c r="K1082" s="279"/>
      <c r="L1082" s="280">
        <v>20.0</v>
      </c>
      <c r="M1082" s="209"/>
      <c r="N1082" s="209"/>
      <c r="O1082" s="209"/>
      <c r="P1082" s="209"/>
      <c r="Q1082" s="353"/>
      <c r="R1082" s="209"/>
      <c r="S1082" s="209"/>
      <c r="T1082" s="209"/>
      <c r="U1082" s="209"/>
      <c r="V1082" s="209"/>
      <c r="W1082" s="209"/>
      <c r="X1082" s="209"/>
      <c r="Y1082" s="209"/>
      <c r="Z1082" s="209"/>
      <c r="AA1082" s="209"/>
      <c r="AB1082" s="209"/>
      <c r="AC1082" s="209"/>
      <c r="AD1082" s="209"/>
      <c r="AE1082" s="209"/>
      <c r="AF1082" s="209"/>
      <c r="AG1082" s="209"/>
      <c r="AH1082" s="209"/>
      <c r="AI1082" s="209"/>
      <c r="AJ1082" s="209"/>
    </row>
    <row r="1083">
      <c r="A1083" s="291"/>
      <c r="B1083" s="303" t="s">
        <v>3863</v>
      </c>
      <c r="C1083" s="304" t="s">
        <v>390</v>
      </c>
      <c r="D1083" s="304" t="s">
        <v>3864</v>
      </c>
      <c r="E1083" s="375" t="s">
        <v>3865</v>
      </c>
      <c r="F1083" s="209"/>
      <c r="G1083" s="209"/>
      <c r="H1083" s="209"/>
      <c r="I1083" s="209"/>
      <c r="J1083" s="300" t="b">
        <v>1</v>
      </c>
      <c r="K1083" s="301" t="b">
        <v>0</v>
      </c>
      <c r="L1083" s="209"/>
      <c r="M1083" s="209"/>
      <c r="N1083" s="209"/>
      <c r="O1083" s="209"/>
      <c r="P1083" s="209"/>
      <c r="Q1083" s="353"/>
      <c r="R1083" s="209"/>
      <c r="S1083" s="209"/>
      <c r="T1083" s="209"/>
      <c r="U1083" s="209"/>
      <c r="V1083" s="209"/>
      <c r="W1083" s="209"/>
      <c r="X1083" s="209"/>
      <c r="Y1083" s="209"/>
      <c r="Z1083" s="209"/>
      <c r="AA1083" s="209"/>
      <c r="AB1083" s="209"/>
      <c r="AC1083" s="209"/>
      <c r="AD1083" s="209"/>
      <c r="AE1083" s="209"/>
      <c r="AF1083" s="209"/>
      <c r="AG1083" s="209"/>
      <c r="AH1083" s="209"/>
      <c r="AI1083" s="209"/>
      <c r="AJ1083" s="209"/>
    </row>
    <row r="1084">
      <c r="A1084" s="291"/>
      <c r="B1084" s="303" t="s">
        <v>3866</v>
      </c>
      <c r="C1084" s="304" t="s">
        <v>390</v>
      </c>
      <c r="D1084" s="304" t="s">
        <v>3867</v>
      </c>
      <c r="E1084" s="375" t="s">
        <v>3868</v>
      </c>
      <c r="F1084" s="209"/>
      <c r="G1084" s="209"/>
      <c r="H1084" s="209"/>
      <c r="I1084" s="209"/>
      <c r="J1084" s="300" t="b">
        <v>1</v>
      </c>
      <c r="K1084" s="301" t="b">
        <v>0</v>
      </c>
      <c r="L1084" s="209"/>
      <c r="M1084" s="209"/>
      <c r="N1084" s="209"/>
      <c r="O1084" s="209"/>
      <c r="P1084" s="209"/>
      <c r="Q1084" s="209"/>
      <c r="R1084" s="209"/>
      <c r="S1084" s="209"/>
      <c r="T1084" s="209"/>
      <c r="U1084" s="209"/>
      <c r="V1084" s="209"/>
      <c r="W1084" s="209"/>
      <c r="X1084" s="209"/>
      <c r="Y1084" s="209"/>
      <c r="Z1084" s="209"/>
      <c r="AA1084" s="209"/>
      <c r="AB1084" s="209"/>
      <c r="AC1084" s="209"/>
      <c r="AD1084" s="209"/>
      <c r="AE1084" s="209"/>
      <c r="AF1084" s="209"/>
      <c r="AG1084" s="209"/>
      <c r="AH1084" s="209"/>
      <c r="AI1084" s="209"/>
      <c r="AJ1084" s="209"/>
    </row>
    <row r="1085">
      <c r="A1085" s="291"/>
      <c r="B1085" s="303" t="s">
        <v>3869</v>
      </c>
      <c r="C1085" s="304" t="s">
        <v>400</v>
      </c>
      <c r="D1085" s="304" t="s">
        <v>3870</v>
      </c>
      <c r="E1085" s="375" t="s">
        <v>3871</v>
      </c>
      <c r="F1085" s="209"/>
      <c r="G1085" s="209"/>
      <c r="H1085" s="209"/>
      <c r="I1085" s="209"/>
      <c r="J1085" s="300" t="b">
        <v>1</v>
      </c>
      <c r="K1085" s="301" t="b">
        <v>0</v>
      </c>
      <c r="L1085" s="209"/>
      <c r="M1085" s="209"/>
      <c r="N1085" s="209"/>
      <c r="O1085" s="209"/>
      <c r="P1085" s="209"/>
      <c r="Q1085" s="209"/>
      <c r="R1085" s="209"/>
      <c r="S1085" s="209"/>
      <c r="T1085" s="209"/>
      <c r="U1085" s="209"/>
      <c r="V1085" s="209"/>
      <c r="W1085" s="209"/>
      <c r="X1085" s="209"/>
      <c r="Y1085" s="209"/>
      <c r="Z1085" s="209"/>
      <c r="AA1085" s="209"/>
      <c r="AB1085" s="209"/>
      <c r="AC1085" s="209"/>
      <c r="AD1085" s="209"/>
      <c r="AE1085" s="209"/>
      <c r="AF1085" s="209"/>
      <c r="AG1085" s="209"/>
      <c r="AH1085" s="209"/>
      <c r="AI1085" s="209"/>
      <c r="AJ1085" s="209"/>
    </row>
    <row r="1086">
      <c r="A1086" s="291"/>
      <c r="B1086" s="303" t="s">
        <v>3872</v>
      </c>
      <c r="C1086" s="304" t="s">
        <v>400</v>
      </c>
      <c r="D1086" s="304" t="s">
        <v>3873</v>
      </c>
      <c r="E1086" s="375" t="s">
        <v>3874</v>
      </c>
      <c r="F1086" s="304" t="s">
        <v>732</v>
      </c>
      <c r="G1086" s="209"/>
      <c r="H1086" s="209"/>
      <c r="I1086" s="304" t="s">
        <v>733</v>
      </c>
      <c r="J1086" s="300" t="b">
        <v>1</v>
      </c>
      <c r="K1086" s="301" t="b">
        <v>0</v>
      </c>
      <c r="L1086" s="209"/>
      <c r="M1086" s="209"/>
      <c r="N1086" s="209"/>
      <c r="O1086" s="209"/>
      <c r="P1086" s="209"/>
      <c r="Q1086" s="353"/>
      <c r="R1086" s="209"/>
      <c r="S1086" s="209"/>
      <c r="T1086" s="209"/>
      <c r="U1086" s="209"/>
      <c r="V1086" s="209"/>
      <c r="W1086" s="209"/>
      <c r="X1086" s="209"/>
      <c r="Y1086" s="209"/>
      <c r="Z1086" s="209"/>
      <c r="AA1086" s="209"/>
      <c r="AB1086" s="209"/>
      <c r="AC1086" s="209"/>
      <c r="AD1086" s="209"/>
      <c r="AE1086" s="209"/>
      <c r="AF1086" s="209"/>
      <c r="AG1086" s="209"/>
      <c r="AH1086" s="209"/>
      <c r="AI1086" s="209"/>
      <c r="AJ1086" s="209"/>
    </row>
    <row r="1087">
      <c r="A1087" s="291"/>
      <c r="B1087" s="303" t="s">
        <v>3875</v>
      </c>
      <c r="C1087" s="304" t="s">
        <v>705</v>
      </c>
      <c r="D1087" s="304" t="s">
        <v>3876</v>
      </c>
      <c r="E1087" s="375" t="s">
        <v>3877</v>
      </c>
      <c r="F1087" s="209"/>
      <c r="G1087" s="209"/>
      <c r="H1087" s="209"/>
      <c r="I1087" s="209"/>
      <c r="J1087" s="300" t="b">
        <v>1</v>
      </c>
      <c r="K1087" s="301" t="b">
        <v>0</v>
      </c>
      <c r="L1087" s="209"/>
      <c r="M1087" s="209"/>
      <c r="N1087" s="209"/>
      <c r="O1087" s="209"/>
      <c r="P1087" s="209"/>
      <c r="Q1087" s="353"/>
      <c r="R1087" s="209"/>
      <c r="S1087" s="209"/>
      <c r="T1087" s="209"/>
      <c r="U1087" s="209"/>
      <c r="V1087" s="209"/>
      <c r="W1087" s="209"/>
      <c r="X1087" s="209"/>
      <c r="Y1087" s="209"/>
      <c r="Z1087" s="209"/>
      <c r="AA1087" s="209"/>
      <c r="AB1087" s="209"/>
      <c r="AC1087" s="209"/>
      <c r="AD1087" s="209"/>
      <c r="AE1087" s="209"/>
      <c r="AF1087" s="209"/>
      <c r="AG1087" s="209"/>
      <c r="AH1087" s="209"/>
      <c r="AI1087" s="209"/>
      <c r="AJ1087" s="209"/>
    </row>
    <row r="1088">
      <c r="A1088" s="291"/>
      <c r="B1088" s="303" t="s">
        <v>3878</v>
      </c>
      <c r="C1088" s="304" t="s">
        <v>705</v>
      </c>
      <c r="D1088" s="304" t="s">
        <v>3879</v>
      </c>
      <c r="E1088" s="375" t="s">
        <v>3880</v>
      </c>
      <c r="F1088" s="209"/>
      <c r="G1088" s="209"/>
      <c r="H1088" s="209"/>
      <c r="I1088" s="209"/>
      <c r="J1088" s="300" t="b">
        <v>1</v>
      </c>
      <c r="K1088" s="301" t="b">
        <v>0</v>
      </c>
      <c r="L1088" s="209"/>
      <c r="M1088" s="209"/>
      <c r="N1088" s="209"/>
      <c r="O1088" s="209"/>
      <c r="P1088" s="209"/>
      <c r="Q1088" s="209"/>
      <c r="R1088" s="209"/>
      <c r="S1088" s="209"/>
      <c r="T1088" s="209"/>
      <c r="U1088" s="209"/>
      <c r="V1088" s="209"/>
      <c r="W1088" s="209"/>
      <c r="X1088" s="209"/>
      <c r="Y1088" s="209"/>
      <c r="Z1088" s="209"/>
      <c r="AA1088" s="209"/>
      <c r="AB1088" s="209"/>
      <c r="AC1088" s="209"/>
      <c r="AD1088" s="209"/>
      <c r="AE1088" s="209"/>
      <c r="AF1088" s="209"/>
      <c r="AG1088" s="209"/>
      <c r="AH1088" s="209"/>
      <c r="AI1088" s="209"/>
      <c r="AJ1088" s="209"/>
    </row>
    <row r="1089">
      <c r="A1089" s="291"/>
      <c r="B1089" s="303" t="s">
        <v>3881</v>
      </c>
      <c r="C1089" s="304" t="s">
        <v>431</v>
      </c>
      <c r="D1089" s="304" t="s">
        <v>3882</v>
      </c>
      <c r="E1089" s="375" t="s">
        <v>3883</v>
      </c>
      <c r="F1089" s="209"/>
      <c r="G1089" s="209"/>
      <c r="H1089" s="209"/>
      <c r="I1089" s="209"/>
      <c r="J1089" s="300" t="b">
        <v>1</v>
      </c>
      <c r="K1089" s="301" t="b">
        <v>0</v>
      </c>
      <c r="L1089" s="209"/>
      <c r="M1089" s="209"/>
      <c r="N1089" s="209"/>
      <c r="O1089" s="209"/>
      <c r="P1089" s="209"/>
      <c r="Q1089" s="209"/>
      <c r="R1089" s="209"/>
      <c r="S1089" s="209"/>
      <c r="T1089" s="209"/>
      <c r="U1089" s="209"/>
      <c r="V1089" s="209"/>
      <c r="W1089" s="209"/>
      <c r="X1089" s="209"/>
      <c r="Y1089" s="209"/>
      <c r="Z1089" s="209"/>
      <c r="AA1089" s="209"/>
      <c r="AB1089" s="209"/>
      <c r="AC1089" s="209"/>
      <c r="AD1089" s="209"/>
      <c r="AE1089" s="209"/>
      <c r="AF1089" s="209"/>
      <c r="AG1089" s="209"/>
      <c r="AH1089" s="209"/>
      <c r="AI1089" s="209"/>
      <c r="AJ1089" s="209"/>
    </row>
    <row r="1090">
      <c r="A1090" s="291"/>
      <c r="B1090" s="303" t="s">
        <v>3884</v>
      </c>
      <c r="C1090" s="304" t="s">
        <v>431</v>
      </c>
      <c r="D1090" s="304" t="s">
        <v>3885</v>
      </c>
      <c r="E1090" s="375" t="s">
        <v>3886</v>
      </c>
      <c r="F1090" s="209"/>
      <c r="G1090" s="209"/>
      <c r="H1090" s="209"/>
      <c r="I1090" s="209"/>
      <c r="J1090" s="300" t="b">
        <v>1</v>
      </c>
      <c r="K1090" s="301" t="b">
        <v>0</v>
      </c>
      <c r="L1090" s="209"/>
      <c r="M1090" s="209"/>
      <c r="N1090" s="209"/>
      <c r="O1090" s="209"/>
      <c r="P1090" s="209"/>
      <c r="Q1090" s="209"/>
      <c r="R1090" s="209"/>
      <c r="S1090" s="209"/>
      <c r="T1090" s="209"/>
      <c r="U1090" s="209"/>
      <c r="V1090" s="209"/>
      <c r="W1090" s="209"/>
      <c r="X1090" s="209"/>
      <c r="Y1090" s="209"/>
      <c r="Z1090" s="209"/>
      <c r="AA1090" s="209"/>
      <c r="AB1090" s="209"/>
      <c r="AC1090" s="209"/>
      <c r="AD1090" s="209"/>
      <c r="AE1090" s="209"/>
      <c r="AF1090" s="209"/>
      <c r="AG1090" s="209"/>
      <c r="AH1090" s="209"/>
      <c r="AI1090" s="209"/>
      <c r="AJ1090" s="209"/>
    </row>
    <row r="1091">
      <c r="A1091" s="291"/>
      <c r="B1091" s="303" t="s">
        <v>3887</v>
      </c>
      <c r="C1091" s="304" t="s">
        <v>1186</v>
      </c>
      <c r="D1091" s="304" t="s">
        <v>3888</v>
      </c>
      <c r="E1091" s="375" t="s">
        <v>3889</v>
      </c>
      <c r="F1091" s="209"/>
      <c r="G1091" s="209"/>
      <c r="H1091" s="209"/>
      <c r="I1091" s="209"/>
      <c r="J1091" s="300" t="b">
        <v>1</v>
      </c>
      <c r="K1091" s="301" t="b">
        <v>0</v>
      </c>
      <c r="L1091" s="209"/>
      <c r="M1091" s="209"/>
      <c r="N1091" s="209"/>
      <c r="O1091" s="209"/>
      <c r="P1091" s="209"/>
      <c r="Q1091" s="209"/>
      <c r="R1091" s="209"/>
      <c r="S1091" s="209"/>
      <c r="T1091" s="209"/>
      <c r="U1091" s="209"/>
      <c r="V1091" s="209"/>
      <c r="W1091" s="209"/>
      <c r="X1091" s="209"/>
      <c r="Y1091" s="209"/>
      <c r="Z1091" s="209"/>
      <c r="AA1091" s="209"/>
      <c r="AB1091" s="209"/>
      <c r="AC1091" s="209"/>
      <c r="AD1091" s="209"/>
      <c r="AE1091" s="209"/>
      <c r="AF1091" s="209"/>
      <c r="AG1091" s="209"/>
      <c r="AH1091" s="209"/>
      <c r="AI1091" s="209"/>
      <c r="AJ1091" s="209"/>
    </row>
    <row r="1092">
      <c r="A1092" s="291"/>
      <c r="B1092" s="303" t="s">
        <v>3890</v>
      </c>
      <c r="C1092" s="304" t="s">
        <v>1186</v>
      </c>
      <c r="D1092" s="304" t="s">
        <v>3891</v>
      </c>
      <c r="E1092" s="375" t="s">
        <v>3892</v>
      </c>
      <c r="F1092" s="209"/>
      <c r="G1092" s="209"/>
      <c r="H1092" s="209"/>
      <c r="I1092" s="209"/>
      <c r="J1092" s="300" t="b">
        <v>1</v>
      </c>
      <c r="K1092" s="301" t="b">
        <v>0</v>
      </c>
      <c r="L1092" s="209"/>
      <c r="M1092" s="209"/>
      <c r="N1092" s="209"/>
      <c r="O1092" s="209"/>
      <c r="P1092" s="209"/>
      <c r="Q1092" s="209"/>
      <c r="R1092" s="209"/>
      <c r="S1092" s="209"/>
      <c r="T1092" s="209"/>
      <c r="U1092" s="209"/>
      <c r="V1092" s="209"/>
      <c r="W1092" s="209"/>
      <c r="X1092" s="209"/>
      <c r="Y1092" s="209"/>
      <c r="Z1092" s="209"/>
      <c r="AA1092" s="209"/>
      <c r="AB1092" s="209"/>
      <c r="AC1092" s="209"/>
      <c r="AD1092" s="209"/>
      <c r="AE1092" s="209"/>
      <c r="AF1092" s="209"/>
      <c r="AG1092" s="209"/>
      <c r="AH1092" s="209"/>
      <c r="AI1092" s="209"/>
      <c r="AJ1092" s="209"/>
    </row>
    <row r="1093">
      <c r="A1093" s="291"/>
      <c r="B1093" s="303" t="s">
        <v>3893</v>
      </c>
      <c r="C1093" s="304" t="s">
        <v>390</v>
      </c>
      <c r="D1093" s="304" t="s">
        <v>3894</v>
      </c>
      <c r="E1093" s="305">
        <v>8.10115972877E11</v>
      </c>
      <c r="F1093" s="209"/>
      <c r="G1093" s="209"/>
      <c r="H1093" s="209"/>
      <c r="I1093" s="209"/>
      <c r="J1093" s="300" t="b">
        <v>1</v>
      </c>
      <c r="K1093" s="301" t="b">
        <v>0</v>
      </c>
      <c r="L1093" s="209"/>
      <c r="M1093" s="209"/>
      <c r="N1093" s="209"/>
      <c r="O1093" s="209"/>
      <c r="P1093" s="209"/>
      <c r="Q1093" s="209"/>
      <c r="R1093" s="209"/>
      <c r="S1093" s="209"/>
      <c r="T1093" s="209"/>
      <c r="U1093" s="209"/>
      <c r="V1093" s="209"/>
      <c r="W1093" s="209"/>
      <c r="X1093" s="209"/>
      <c r="Y1093" s="209"/>
      <c r="Z1093" s="209"/>
      <c r="AA1093" s="209"/>
      <c r="AB1093" s="209"/>
      <c r="AC1093" s="209"/>
      <c r="AD1093" s="209"/>
      <c r="AE1093" s="209"/>
      <c r="AF1093" s="209"/>
      <c r="AG1093" s="209"/>
      <c r="AH1093" s="209"/>
      <c r="AI1093" s="209"/>
      <c r="AJ1093" s="209"/>
    </row>
    <row r="1094">
      <c r="A1094" s="291"/>
      <c r="B1094" s="303" t="s">
        <v>3895</v>
      </c>
      <c r="C1094" s="304" t="s">
        <v>390</v>
      </c>
      <c r="D1094" s="304" t="s">
        <v>3896</v>
      </c>
      <c r="E1094" s="375" t="s">
        <v>3897</v>
      </c>
      <c r="F1094" s="209"/>
      <c r="G1094" s="209"/>
      <c r="H1094" s="209"/>
      <c r="I1094" s="209"/>
      <c r="J1094" s="300" t="b">
        <v>1</v>
      </c>
      <c r="K1094" s="301" t="b">
        <v>0</v>
      </c>
      <c r="L1094" s="209"/>
      <c r="M1094" s="209"/>
      <c r="N1094" s="209"/>
      <c r="O1094" s="209"/>
      <c r="P1094" s="209"/>
      <c r="Q1094" s="209"/>
      <c r="R1094" s="209"/>
      <c r="S1094" s="209"/>
      <c r="T1094" s="209"/>
      <c r="U1094" s="209"/>
      <c r="V1094" s="209"/>
      <c r="W1094" s="209"/>
      <c r="X1094" s="209"/>
      <c r="Y1094" s="209"/>
      <c r="Z1094" s="209"/>
      <c r="AA1094" s="209"/>
      <c r="AB1094" s="209"/>
      <c r="AC1094" s="209"/>
      <c r="AD1094" s="209"/>
      <c r="AE1094" s="209"/>
      <c r="AF1094" s="209"/>
      <c r="AG1094" s="209"/>
      <c r="AH1094" s="209"/>
      <c r="AI1094" s="209"/>
      <c r="AJ1094" s="209"/>
    </row>
    <row r="1095">
      <c r="A1095" s="291"/>
      <c r="B1095" s="303" t="s">
        <v>3898</v>
      </c>
      <c r="C1095" s="304" t="s">
        <v>400</v>
      </c>
      <c r="D1095" s="304" t="s">
        <v>3899</v>
      </c>
      <c r="E1095" s="305">
        <v>8.10115972884E11</v>
      </c>
      <c r="F1095" s="209"/>
      <c r="G1095" s="209"/>
      <c r="H1095" s="209"/>
      <c r="I1095" s="209"/>
      <c r="J1095" s="300" t="b">
        <v>1</v>
      </c>
      <c r="K1095" s="301" t="b">
        <v>0</v>
      </c>
      <c r="L1095" s="209"/>
      <c r="M1095" s="209"/>
      <c r="N1095" s="209"/>
      <c r="O1095" s="209"/>
      <c r="P1095" s="209"/>
      <c r="Q1095" s="209"/>
      <c r="R1095" s="209"/>
      <c r="S1095" s="209"/>
      <c r="T1095" s="209"/>
      <c r="U1095" s="209"/>
      <c r="V1095" s="209"/>
      <c r="W1095" s="209"/>
      <c r="X1095" s="209"/>
      <c r="Y1095" s="209"/>
      <c r="Z1095" s="209"/>
      <c r="AA1095" s="209"/>
      <c r="AB1095" s="209"/>
      <c r="AC1095" s="209"/>
      <c r="AD1095" s="209"/>
      <c r="AE1095" s="209"/>
      <c r="AF1095" s="209"/>
      <c r="AG1095" s="209"/>
      <c r="AH1095" s="209"/>
      <c r="AI1095" s="209"/>
      <c r="AJ1095" s="209"/>
    </row>
    <row r="1096">
      <c r="A1096" s="291"/>
      <c r="B1096" s="303" t="s">
        <v>3900</v>
      </c>
      <c r="C1096" s="304" t="s">
        <v>400</v>
      </c>
      <c r="D1096" s="304" t="s">
        <v>3901</v>
      </c>
      <c r="E1096" s="375" t="s">
        <v>3902</v>
      </c>
      <c r="F1096" s="209"/>
      <c r="G1096" s="209"/>
      <c r="H1096" s="209"/>
      <c r="I1096" s="209"/>
      <c r="J1096" s="300" t="b">
        <v>1</v>
      </c>
      <c r="K1096" s="301" t="b">
        <v>0</v>
      </c>
      <c r="L1096" s="209"/>
      <c r="M1096" s="209"/>
      <c r="N1096" s="209"/>
      <c r="O1096" s="209"/>
      <c r="P1096" s="209"/>
      <c r="Q1096" s="209"/>
      <c r="R1096" s="209"/>
      <c r="S1096" s="209"/>
      <c r="T1096" s="209"/>
      <c r="U1096" s="209"/>
      <c r="V1096" s="209"/>
      <c r="W1096" s="209"/>
      <c r="X1096" s="209"/>
      <c r="Y1096" s="209"/>
      <c r="Z1096" s="209"/>
      <c r="AA1096" s="209"/>
      <c r="AB1096" s="209"/>
      <c r="AC1096" s="209"/>
      <c r="AD1096" s="209"/>
      <c r="AE1096" s="209"/>
      <c r="AF1096" s="209"/>
      <c r="AG1096" s="209"/>
      <c r="AH1096" s="209"/>
      <c r="AI1096" s="209"/>
      <c r="AJ1096" s="209"/>
    </row>
    <row r="1097">
      <c r="A1097" s="291"/>
      <c r="B1097" s="303" t="s">
        <v>3903</v>
      </c>
      <c r="C1097" s="304" t="s">
        <v>705</v>
      </c>
      <c r="D1097" s="304" t="s">
        <v>3904</v>
      </c>
      <c r="E1097" s="305">
        <v>8.10115972891E11</v>
      </c>
      <c r="F1097" s="209"/>
      <c r="G1097" s="209"/>
      <c r="H1097" s="209"/>
      <c r="I1097" s="209"/>
      <c r="J1097" s="300" t="b">
        <v>1</v>
      </c>
      <c r="K1097" s="301" t="b">
        <v>0</v>
      </c>
      <c r="L1097" s="209"/>
      <c r="M1097" s="209"/>
      <c r="N1097" s="209"/>
      <c r="O1097" s="209"/>
      <c r="P1097" s="209"/>
      <c r="Q1097" s="209"/>
      <c r="R1097" s="209"/>
      <c r="S1097" s="209"/>
      <c r="T1097" s="209"/>
      <c r="U1097" s="209"/>
      <c r="V1097" s="209"/>
      <c r="W1097" s="209"/>
      <c r="X1097" s="209"/>
      <c r="Y1097" s="209"/>
      <c r="Z1097" s="209"/>
      <c r="AA1097" s="209"/>
      <c r="AB1097" s="209"/>
      <c r="AC1097" s="209"/>
      <c r="AD1097" s="209"/>
      <c r="AE1097" s="209"/>
      <c r="AF1097" s="209"/>
      <c r="AG1097" s="209"/>
      <c r="AH1097" s="209"/>
      <c r="AI1097" s="209"/>
      <c r="AJ1097" s="209"/>
    </row>
    <row r="1098">
      <c r="A1098" s="291"/>
      <c r="B1098" s="303" t="s">
        <v>3905</v>
      </c>
      <c r="C1098" s="304" t="s">
        <v>705</v>
      </c>
      <c r="D1098" s="304" t="s">
        <v>3906</v>
      </c>
      <c r="E1098" s="375" t="s">
        <v>3907</v>
      </c>
      <c r="F1098" s="209"/>
      <c r="G1098" s="209"/>
      <c r="H1098" s="209"/>
      <c r="I1098" s="209"/>
      <c r="J1098" s="300" t="b">
        <v>1</v>
      </c>
      <c r="K1098" s="301" t="b">
        <v>0</v>
      </c>
      <c r="L1098" s="209"/>
      <c r="M1098" s="209"/>
      <c r="N1098" s="209"/>
      <c r="O1098" s="209"/>
      <c r="P1098" s="209"/>
      <c r="Q1098" s="209"/>
      <c r="R1098" s="209"/>
      <c r="S1098" s="209"/>
      <c r="T1098" s="209"/>
      <c r="U1098" s="209"/>
      <c r="V1098" s="209"/>
      <c r="W1098" s="209"/>
      <c r="X1098" s="209"/>
      <c r="Y1098" s="209"/>
      <c r="Z1098" s="209"/>
      <c r="AA1098" s="209"/>
      <c r="AB1098" s="209"/>
      <c r="AC1098" s="209"/>
      <c r="AD1098" s="209"/>
      <c r="AE1098" s="209"/>
      <c r="AF1098" s="209"/>
      <c r="AG1098" s="209"/>
      <c r="AH1098" s="209"/>
      <c r="AI1098" s="209"/>
      <c r="AJ1098" s="209"/>
    </row>
    <row r="1099">
      <c r="A1099" s="291"/>
      <c r="B1099" s="303" t="s">
        <v>3908</v>
      </c>
      <c r="C1099" s="304" t="s">
        <v>431</v>
      </c>
      <c r="D1099" s="304" t="s">
        <v>3909</v>
      </c>
      <c r="E1099" s="305">
        <v>8.10115972907E11</v>
      </c>
      <c r="F1099" s="209"/>
      <c r="G1099" s="209"/>
      <c r="H1099" s="209"/>
      <c r="I1099" s="209"/>
      <c r="J1099" s="300" t="b">
        <v>1</v>
      </c>
      <c r="K1099" s="301" t="b">
        <v>0</v>
      </c>
      <c r="L1099" s="209"/>
      <c r="M1099" s="209"/>
      <c r="N1099" s="209"/>
      <c r="O1099" s="209"/>
      <c r="P1099" s="209"/>
      <c r="Q1099" s="209"/>
      <c r="R1099" s="209"/>
      <c r="S1099" s="209"/>
      <c r="T1099" s="209"/>
      <c r="U1099" s="209"/>
      <c r="V1099" s="209"/>
      <c r="W1099" s="209"/>
      <c r="X1099" s="209"/>
      <c r="Y1099" s="209"/>
      <c r="Z1099" s="209"/>
      <c r="AA1099" s="209"/>
      <c r="AB1099" s="209"/>
      <c r="AC1099" s="209"/>
      <c r="AD1099" s="209"/>
      <c r="AE1099" s="209"/>
      <c r="AF1099" s="209"/>
      <c r="AG1099" s="209"/>
      <c r="AH1099" s="209"/>
      <c r="AI1099" s="209"/>
      <c r="AJ1099" s="209"/>
    </row>
    <row r="1100">
      <c r="A1100" s="291"/>
      <c r="B1100" s="303" t="s">
        <v>3910</v>
      </c>
      <c r="C1100" s="304" t="s">
        <v>431</v>
      </c>
      <c r="D1100" s="304" t="s">
        <v>3911</v>
      </c>
      <c r="E1100" s="375" t="s">
        <v>3912</v>
      </c>
      <c r="F1100" s="209"/>
      <c r="G1100" s="209"/>
      <c r="H1100" s="209"/>
      <c r="I1100" s="209"/>
      <c r="J1100" s="300" t="b">
        <v>1</v>
      </c>
      <c r="K1100" s="301" t="b">
        <v>0</v>
      </c>
      <c r="L1100" s="209"/>
      <c r="M1100" s="209"/>
      <c r="N1100" s="209"/>
      <c r="O1100" s="209"/>
      <c r="P1100" s="209"/>
      <c r="Q1100" s="209"/>
      <c r="R1100" s="209"/>
      <c r="S1100" s="209"/>
      <c r="T1100" s="209"/>
      <c r="U1100" s="209"/>
      <c r="V1100" s="209"/>
      <c r="W1100" s="209"/>
      <c r="X1100" s="209"/>
      <c r="Y1100" s="209"/>
      <c r="Z1100" s="209"/>
      <c r="AA1100" s="209"/>
      <c r="AB1100" s="209"/>
      <c r="AC1100" s="209"/>
      <c r="AD1100" s="209"/>
      <c r="AE1100" s="209"/>
      <c r="AF1100" s="209"/>
      <c r="AG1100" s="209"/>
      <c r="AH1100" s="209"/>
      <c r="AI1100" s="209"/>
      <c r="AJ1100" s="209"/>
    </row>
    <row r="1101">
      <c r="A1101" s="291"/>
      <c r="B1101" s="303" t="s">
        <v>3913</v>
      </c>
      <c r="C1101" s="304" t="s">
        <v>1186</v>
      </c>
      <c r="D1101" s="304" t="s">
        <v>3914</v>
      </c>
      <c r="E1101" s="305">
        <v>8.10115974116E11</v>
      </c>
      <c r="F1101" s="209"/>
      <c r="G1101" s="209"/>
      <c r="H1101" s="209"/>
      <c r="I1101" s="209"/>
      <c r="J1101" s="300" t="b">
        <v>1</v>
      </c>
      <c r="K1101" s="301" t="b">
        <v>0</v>
      </c>
      <c r="L1101" s="209"/>
      <c r="M1101" s="209"/>
      <c r="N1101" s="209"/>
      <c r="O1101" s="209"/>
      <c r="P1101" s="209"/>
      <c r="Q1101" s="209"/>
      <c r="R1101" s="209"/>
      <c r="S1101" s="209"/>
      <c r="T1101" s="209"/>
      <c r="U1101" s="209"/>
      <c r="V1101" s="209"/>
      <c r="W1101" s="209"/>
      <c r="X1101" s="209"/>
      <c r="Y1101" s="209"/>
      <c r="Z1101" s="209"/>
      <c r="AA1101" s="209"/>
      <c r="AB1101" s="209"/>
      <c r="AC1101" s="209"/>
      <c r="AD1101" s="209"/>
      <c r="AE1101" s="209"/>
      <c r="AF1101" s="209"/>
      <c r="AG1101" s="209"/>
      <c r="AH1101" s="209"/>
      <c r="AI1101" s="209"/>
      <c r="AJ1101" s="209"/>
    </row>
    <row r="1102">
      <c r="A1102" s="309"/>
      <c r="B1102" s="310" t="s">
        <v>3915</v>
      </c>
      <c r="C1102" s="311" t="s">
        <v>1186</v>
      </c>
      <c r="D1102" s="311" t="s">
        <v>3916</v>
      </c>
      <c r="E1102" s="380" t="s">
        <v>3917</v>
      </c>
      <c r="F1102" s="313"/>
      <c r="G1102" s="313"/>
      <c r="H1102" s="313"/>
      <c r="I1102" s="313"/>
      <c r="J1102" s="300" t="b">
        <v>1</v>
      </c>
      <c r="K1102" s="301" t="b">
        <v>0</v>
      </c>
      <c r="L1102" s="209"/>
      <c r="M1102" s="209"/>
      <c r="N1102" s="209"/>
      <c r="O1102" s="209"/>
      <c r="P1102" s="209"/>
      <c r="Q1102" s="209"/>
      <c r="R1102" s="209"/>
      <c r="S1102" s="209"/>
      <c r="T1102" s="209"/>
      <c r="U1102" s="209"/>
      <c r="V1102" s="209"/>
      <c r="W1102" s="209"/>
      <c r="X1102" s="209"/>
      <c r="Y1102" s="209"/>
      <c r="Z1102" s="209"/>
      <c r="AA1102" s="209"/>
      <c r="AB1102" s="209"/>
      <c r="AC1102" s="209"/>
      <c r="AD1102" s="209"/>
      <c r="AE1102" s="209"/>
      <c r="AF1102" s="209"/>
      <c r="AG1102" s="209"/>
      <c r="AH1102" s="209"/>
      <c r="AI1102" s="209"/>
      <c r="AJ1102" s="209"/>
    </row>
    <row r="1103">
      <c r="A1103" s="209"/>
      <c r="B1103" s="209"/>
      <c r="C1103" s="209"/>
      <c r="D1103" s="209"/>
      <c r="E1103" s="209"/>
      <c r="F1103" s="344"/>
      <c r="G1103" s="344"/>
      <c r="H1103" s="344"/>
      <c r="I1103" s="209"/>
      <c r="J1103" s="313"/>
      <c r="K1103" s="209"/>
      <c r="L1103" s="209"/>
      <c r="M1103" s="209"/>
      <c r="N1103" s="209"/>
      <c r="O1103" s="209"/>
      <c r="P1103" s="209"/>
      <c r="Q1103" s="209"/>
      <c r="R1103" s="209"/>
      <c r="S1103" s="209"/>
      <c r="T1103" s="209"/>
      <c r="U1103" s="209"/>
      <c r="V1103" s="209"/>
      <c r="W1103" s="209"/>
      <c r="X1103" s="209"/>
      <c r="Y1103" s="209"/>
      <c r="Z1103" s="209"/>
      <c r="AA1103" s="209"/>
      <c r="AB1103" s="209"/>
      <c r="AC1103" s="209"/>
      <c r="AD1103" s="209"/>
      <c r="AE1103" s="209"/>
      <c r="AF1103" s="209"/>
      <c r="AG1103" s="209"/>
      <c r="AH1103" s="209"/>
      <c r="AI1103" s="209"/>
      <c r="AJ1103" s="209"/>
    </row>
    <row r="1104">
      <c r="A1104" s="316" t="s">
        <v>3918</v>
      </c>
      <c r="B1104" s="319" t="s">
        <v>3919</v>
      </c>
      <c r="C1104" s="320"/>
      <c r="D1104" s="283" t="s">
        <v>3920</v>
      </c>
      <c r="E1104" s="322" t="s">
        <v>3921</v>
      </c>
      <c r="F1104" s="320"/>
      <c r="G1104" s="320"/>
      <c r="H1104" s="276" t="s">
        <v>370</v>
      </c>
      <c r="I1104" s="285" t="s">
        <v>4199</v>
      </c>
      <c r="J1104" s="438" t="str">
        <f>IF(COUNTIF(J1105:J1116, TRUE) = COUNTA(J1105:J1116), "Complete!", IF(COUNTIF(J1105:J1116, TRUE) &gt; 0, "Partial", "Not Started"))</f>
        <v>Complete!</v>
      </c>
      <c r="K1104" s="334"/>
      <c r="L1104" s="280">
        <v>12.0</v>
      </c>
      <c r="M1104" s="209"/>
      <c r="N1104" s="209"/>
      <c r="O1104" s="209"/>
      <c r="P1104" s="209"/>
      <c r="Q1104" s="209"/>
      <c r="R1104" s="209"/>
      <c r="S1104" s="209"/>
      <c r="T1104" s="209"/>
      <c r="U1104" s="209"/>
      <c r="V1104" s="209"/>
      <c r="W1104" s="209"/>
      <c r="X1104" s="209"/>
      <c r="Y1104" s="209"/>
      <c r="Z1104" s="209"/>
      <c r="AA1104" s="209"/>
      <c r="AB1104" s="209"/>
      <c r="AC1104" s="209"/>
      <c r="AD1104" s="209"/>
      <c r="AE1104" s="209"/>
      <c r="AF1104" s="209"/>
      <c r="AG1104" s="209"/>
      <c r="AH1104" s="209"/>
      <c r="AI1104" s="209"/>
      <c r="AJ1104" s="209"/>
    </row>
    <row r="1105">
      <c r="A1105" s="291"/>
      <c r="B1105" s="292" t="s">
        <v>3923</v>
      </c>
      <c r="C1105" s="293" t="s">
        <v>404</v>
      </c>
      <c r="D1105" s="304" t="s">
        <v>3924</v>
      </c>
      <c r="E1105" s="294">
        <v>8.10115973928E11</v>
      </c>
      <c r="F1105" s="293" t="s">
        <v>732</v>
      </c>
      <c r="G1105" s="295"/>
      <c r="H1105" s="295"/>
      <c r="I1105" s="304" t="s">
        <v>733</v>
      </c>
      <c r="J1105" s="296" t="b">
        <v>1</v>
      </c>
      <c r="K1105" s="297" t="b">
        <v>0</v>
      </c>
      <c r="L1105" s="209"/>
      <c r="M1105" s="209"/>
      <c r="N1105" s="209"/>
      <c r="O1105" s="209"/>
      <c r="P1105" s="209"/>
      <c r="Q1105" s="209"/>
      <c r="R1105" s="209"/>
      <c r="S1105" s="209"/>
      <c r="T1105" s="209"/>
      <c r="U1105" s="209"/>
      <c r="V1105" s="209"/>
      <c r="W1105" s="209"/>
      <c r="X1105" s="209"/>
      <c r="Y1105" s="209"/>
      <c r="Z1105" s="209"/>
      <c r="AA1105" s="209"/>
      <c r="AB1105" s="209"/>
      <c r="AC1105" s="209"/>
      <c r="AD1105" s="209"/>
      <c r="AE1105" s="209"/>
      <c r="AF1105" s="209"/>
      <c r="AG1105" s="209"/>
      <c r="AH1105" s="209"/>
      <c r="AI1105" s="209"/>
      <c r="AJ1105" s="209"/>
    </row>
    <row r="1106">
      <c r="A1106" s="291"/>
      <c r="B1106" s="303" t="s">
        <v>3925</v>
      </c>
      <c r="C1106" s="304" t="s">
        <v>404</v>
      </c>
      <c r="D1106" s="304" t="s">
        <v>3926</v>
      </c>
      <c r="E1106" s="375" t="s">
        <v>3927</v>
      </c>
      <c r="F1106" s="304" t="s">
        <v>732</v>
      </c>
      <c r="G1106" s="209"/>
      <c r="H1106" s="209"/>
      <c r="I1106" s="304" t="s">
        <v>733</v>
      </c>
      <c r="J1106" s="296" t="b">
        <v>1</v>
      </c>
      <c r="K1106" s="301" t="b">
        <v>0</v>
      </c>
      <c r="L1106" s="209"/>
      <c r="M1106" s="209"/>
      <c r="N1106" s="209"/>
      <c r="O1106" s="209"/>
      <c r="P1106" s="209"/>
      <c r="Q1106" s="209"/>
      <c r="R1106" s="209"/>
      <c r="S1106" s="209"/>
      <c r="T1106" s="209"/>
      <c r="U1106" s="209"/>
      <c r="V1106" s="209"/>
      <c r="W1106" s="209"/>
      <c r="X1106" s="209"/>
      <c r="Y1106" s="209"/>
      <c r="Z1106" s="209"/>
      <c r="AA1106" s="209"/>
      <c r="AB1106" s="209"/>
      <c r="AC1106" s="209"/>
      <c r="AD1106" s="209"/>
      <c r="AE1106" s="209"/>
      <c r="AF1106" s="209"/>
      <c r="AG1106" s="209"/>
      <c r="AH1106" s="209"/>
      <c r="AI1106" s="209"/>
      <c r="AJ1106" s="209"/>
    </row>
    <row r="1107">
      <c r="A1107" s="291"/>
      <c r="B1107" s="303" t="s">
        <v>3928</v>
      </c>
      <c r="C1107" s="304" t="s">
        <v>390</v>
      </c>
      <c r="D1107" s="304" t="s">
        <v>3929</v>
      </c>
      <c r="E1107" s="305">
        <v>8.10115973942E11</v>
      </c>
      <c r="F1107" s="209"/>
      <c r="G1107" s="209"/>
      <c r="H1107" s="209"/>
      <c r="I1107" s="209"/>
      <c r="J1107" s="296" t="b">
        <v>1</v>
      </c>
      <c r="K1107" s="301" t="b">
        <v>0</v>
      </c>
      <c r="L1107" s="209"/>
      <c r="M1107" s="209"/>
      <c r="N1107" s="209"/>
      <c r="O1107" s="209"/>
      <c r="P1107" s="209"/>
      <c r="Q1107" s="209"/>
      <c r="R1107" s="209"/>
      <c r="S1107" s="209"/>
      <c r="T1107" s="209"/>
      <c r="U1107" s="209"/>
      <c r="V1107" s="209"/>
      <c r="W1107" s="209"/>
      <c r="X1107" s="209"/>
      <c r="Y1107" s="209"/>
      <c r="Z1107" s="209"/>
      <c r="AA1107" s="209"/>
      <c r="AB1107" s="209"/>
      <c r="AC1107" s="209"/>
      <c r="AD1107" s="209"/>
      <c r="AE1107" s="209"/>
      <c r="AF1107" s="209"/>
      <c r="AG1107" s="209"/>
      <c r="AH1107" s="209"/>
      <c r="AI1107" s="209"/>
      <c r="AJ1107" s="209"/>
    </row>
    <row r="1108">
      <c r="A1108" s="291"/>
      <c r="B1108" s="303" t="s">
        <v>3930</v>
      </c>
      <c r="C1108" s="304" t="s">
        <v>390</v>
      </c>
      <c r="D1108" s="304" t="s">
        <v>3931</v>
      </c>
      <c r="E1108" s="375" t="s">
        <v>3932</v>
      </c>
      <c r="F1108" s="209"/>
      <c r="G1108" s="209"/>
      <c r="H1108" s="209"/>
      <c r="I1108" s="209"/>
      <c r="J1108" s="296" t="b">
        <v>1</v>
      </c>
      <c r="K1108" s="301" t="b">
        <v>0</v>
      </c>
      <c r="L1108" s="209"/>
      <c r="M1108" s="209"/>
      <c r="N1108" s="209"/>
      <c r="O1108" s="209"/>
      <c r="P1108" s="209"/>
      <c r="Q1108" s="209"/>
      <c r="R1108" s="209"/>
      <c r="S1108" s="209"/>
      <c r="T1108" s="209"/>
      <c r="U1108" s="209"/>
      <c r="V1108" s="209"/>
      <c r="W1108" s="209"/>
      <c r="X1108" s="209"/>
      <c r="Y1108" s="209"/>
      <c r="Z1108" s="209"/>
      <c r="AA1108" s="209"/>
      <c r="AB1108" s="209"/>
      <c r="AC1108" s="209"/>
      <c r="AD1108" s="209"/>
      <c r="AE1108" s="209"/>
      <c r="AF1108" s="209"/>
      <c r="AG1108" s="209"/>
      <c r="AH1108" s="209"/>
      <c r="AI1108" s="209"/>
      <c r="AJ1108" s="209"/>
    </row>
    <row r="1109">
      <c r="A1109" s="291"/>
      <c r="B1109" s="303" t="s">
        <v>3933</v>
      </c>
      <c r="C1109" s="304" t="s">
        <v>400</v>
      </c>
      <c r="D1109" s="304" t="s">
        <v>3934</v>
      </c>
      <c r="E1109" s="305">
        <v>8.10115973966E11</v>
      </c>
      <c r="F1109" s="209"/>
      <c r="G1109" s="209"/>
      <c r="H1109" s="209"/>
      <c r="I1109" s="209"/>
      <c r="J1109" s="296" t="b">
        <v>1</v>
      </c>
      <c r="K1109" s="301" t="b">
        <v>0</v>
      </c>
      <c r="L1109" s="209"/>
      <c r="M1109" s="209"/>
      <c r="N1109" s="209"/>
      <c r="O1109" s="209"/>
      <c r="P1109" s="209"/>
      <c r="Q1109" s="209"/>
      <c r="R1109" s="209"/>
      <c r="S1109" s="209"/>
      <c r="T1109" s="209"/>
      <c r="U1109" s="209"/>
      <c r="V1109" s="209"/>
      <c r="W1109" s="209"/>
      <c r="X1109" s="209"/>
      <c r="Y1109" s="209"/>
      <c r="Z1109" s="209"/>
      <c r="AA1109" s="209"/>
      <c r="AB1109" s="209"/>
      <c r="AC1109" s="209"/>
      <c r="AD1109" s="209"/>
      <c r="AE1109" s="209"/>
      <c r="AF1109" s="209"/>
      <c r="AG1109" s="209"/>
      <c r="AH1109" s="209"/>
      <c r="AI1109" s="209"/>
      <c r="AJ1109" s="209"/>
    </row>
    <row r="1110">
      <c r="A1110" s="291"/>
      <c r="B1110" s="303" t="s">
        <v>3935</v>
      </c>
      <c r="C1110" s="304" t="s">
        <v>400</v>
      </c>
      <c r="D1110" s="304" t="s">
        <v>3936</v>
      </c>
      <c r="E1110" s="375" t="s">
        <v>3937</v>
      </c>
      <c r="F1110" s="209"/>
      <c r="G1110" s="209"/>
      <c r="H1110" s="209"/>
      <c r="I1110" s="209"/>
      <c r="J1110" s="296" t="b">
        <v>1</v>
      </c>
      <c r="K1110" s="301" t="b">
        <v>0</v>
      </c>
      <c r="L1110" s="209"/>
      <c r="M1110" s="209"/>
      <c r="N1110" s="209"/>
      <c r="O1110" s="209"/>
      <c r="P1110" s="209"/>
      <c r="Q1110" s="209"/>
      <c r="R1110" s="209"/>
      <c r="S1110" s="209"/>
      <c r="T1110" s="209"/>
      <c r="U1110" s="209"/>
      <c r="V1110" s="209"/>
      <c r="W1110" s="209"/>
      <c r="X1110" s="209"/>
      <c r="Y1110" s="209"/>
      <c r="Z1110" s="209"/>
      <c r="AA1110" s="209"/>
      <c r="AB1110" s="209"/>
      <c r="AC1110" s="209"/>
      <c r="AD1110" s="209"/>
      <c r="AE1110" s="209"/>
      <c r="AF1110" s="209"/>
      <c r="AG1110" s="209"/>
      <c r="AH1110" s="209"/>
      <c r="AI1110" s="209"/>
      <c r="AJ1110" s="209"/>
    </row>
    <row r="1111">
      <c r="A1111" s="291"/>
      <c r="B1111" s="303" t="s">
        <v>3938</v>
      </c>
      <c r="C1111" s="304" t="s">
        <v>412</v>
      </c>
      <c r="D1111" s="304" t="s">
        <v>3939</v>
      </c>
      <c r="E1111" s="305">
        <v>8.1011597398E11</v>
      </c>
      <c r="F1111" s="209"/>
      <c r="G1111" s="209"/>
      <c r="H1111" s="209"/>
      <c r="I1111" s="209"/>
      <c r="J1111" s="296" t="b">
        <v>1</v>
      </c>
      <c r="K1111" s="301" t="b">
        <v>0</v>
      </c>
      <c r="L1111" s="209"/>
      <c r="M1111" s="209"/>
      <c r="N1111" s="209"/>
      <c r="O1111" s="209"/>
      <c r="P1111" s="209"/>
      <c r="Q1111" s="209"/>
      <c r="R1111" s="209"/>
      <c r="S1111" s="209"/>
      <c r="T1111" s="209"/>
      <c r="U1111" s="209"/>
      <c r="V1111" s="209"/>
      <c r="W1111" s="209"/>
      <c r="X1111" s="209"/>
      <c r="Y1111" s="209"/>
      <c r="Z1111" s="209"/>
      <c r="AA1111" s="209"/>
      <c r="AB1111" s="209"/>
      <c r="AC1111" s="209"/>
      <c r="AD1111" s="209"/>
      <c r="AE1111" s="209"/>
      <c r="AF1111" s="209"/>
      <c r="AG1111" s="209"/>
      <c r="AH1111" s="209"/>
      <c r="AI1111" s="209"/>
      <c r="AJ1111" s="209"/>
    </row>
    <row r="1112">
      <c r="A1112" s="291"/>
      <c r="B1112" s="303" t="s">
        <v>3940</v>
      </c>
      <c r="C1112" s="304" t="s">
        <v>412</v>
      </c>
      <c r="D1112" s="304" t="s">
        <v>3941</v>
      </c>
      <c r="E1112" s="375" t="s">
        <v>3942</v>
      </c>
      <c r="F1112" s="209"/>
      <c r="G1112" s="209"/>
      <c r="H1112" s="209"/>
      <c r="I1112" s="209"/>
      <c r="J1112" s="296" t="b">
        <v>1</v>
      </c>
      <c r="K1112" s="301" t="b">
        <v>0</v>
      </c>
      <c r="L1112" s="209"/>
      <c r="M1112" s="209"/>
      <c r="N1112" s="209"/>
      <c r="O1112" s="209"/>
      <c r="P1112" s="209"/>
      <c r="Q1112" s="209"/>
      <c r="R1112" s="209"/>
      <c r="S1112" s="209"/>
      <c r="T1112" s="209"/>
      <c r="U1112" s="209"/>
      <c r="V1112" s="209"/>
      <c r="W1112" s="209"/>
      <c r="X1112" s="209"/>
      <c r="Y1112" s="209"/>
      <c r="Z1112" s="209"/>
      <c r="AA1112" s="209"/>
      <c r="AB1112" s="209"/>
      <c r="AC1112" s="209"/>
      <c r="AD1112" s="209"/>
      <c r="AE1112" s="209"/>
      <c r="AF1112" s="209"/>
      <c r="AG1112" s="209"/>
      <c r="AH1112" s="209"/>
      <c r="AI1112" s="209"/>
      <c r="AJ1112" s="209"/>
    </row>
    <row r="1113">
      <c r="A1113" s="291"/>
      <c r="B1113" s="303" t="s">
        <v>3943</v>
      </c>
      <c r="C1113" s="304" t="s">
        <v>431</v>
      </c>
      <c r="D1113" s="304" t="s">
        <v>3944</v>
      </c>
      <c r="E1113" s="375" t="s">
        <v>3945</v>
      </c>
      <c r="F1113" s="209"/>
      <c r="G1113" s="209"/>
      <c r="H1113" s="209"/>
      <c r="I1113" s="209"/>
      <c r="J1113" s="296" t="b">
        <v>1</v>
      </c>
      <c r="K1113" s="301" t="b">
        <v>0</v>
      </c>
      <c r="L1113" s="209"/>
      <c r="M1113" s="209"/>
      <c r="N1113" s="209"/>
      <c r="O1113" s="209"/>
      <c r="P1113" s="209"/>
      <c r="Q1113" s="209"/>
      <c r="R1113" s="209"/>
      <c r="S1113" s="209"/>
      <c r="T1113" s="209"/>
      <c r="U1113" s="209"/>
      <c r="V1113" s="209"/>
      <c r="W1113" s="209"/>
      <c r="X1113" s="209"/>
      <c r="Y1113" s="209"/>
      <c r="Z1113" s="209"/>
      <c r="AA1113" s="209"/>
      <c r="AB1113" s="209"/>
      <c r="AC1113" s="209"/>
      <c r="AD1113" s="209"/>
      <c r="AE1113" s="209"/>
      <c r="AF1113" s="209"/>
      <c r="AG1113" s="209"/>
      <c r="AH1113" s="209"/>
      <c r="AI1113" s="209"/>
      <c r="AJ1113" s="209"/>
    </row>
    <row r="1114">
      <c r="A1114" s="291"/>
      <c r="B1114" s="303" t="s">
        <v>3946</v>
      </c>
      <c r="C1114" s="304" t="s">
        <v>431</v>
      </c>
      <c r="D1114" s="304" t="s">
        <v>3947</v>
      </c>
      <c r="E1114" s="305">
        <v>8.10115974E11</v>
      </c>
      <c r="F1114" s="209"/>
      <c r="G1114" s="209"/>
      <c r="H1114" s="209"/>
      <c r="I1114" s="209"/>
      <c r="J1114" s="296" t="b">
        <v>1</v>
      </c>
      <c r="K1114" s="301" t="b">
        <v>0</v>
      </c>
      <c r="L1114" s="209"/>
      <c r="M1114" s="209"/>
      <c r="N1114" s="209"/>
      <c r="O1114" s="209"/>
      <c r="P1114" s="209"/>
      <c r="Q1114" s="209"/>
      <c r="R1114" s="209"/>
      <c r="S1114" s="209"/>
      <c r="T1114" s="209"/>
      <c r="U1114" s="209"/>
      <c r="V1114" s="209"/>
      <c r="W1114" s="209"/>
      <c r="X1114" s="209"/>
      <c r="Y1114" s="209"/>
      <c r="Z1114" s="209"/>
      <c r="AA1114" s="209"/>
      <c r="AB1114" s="209"/>
      <c r="AC1114" s="209"/>
      <c r="AD1114" s="209"/>
      <c r="AE1114" s="209"/>
      <c r="AF1114" s="209"/>
      <c r="AG1114" s="209"/>
      <c r="AH1114" s="209"/>
      <c r="AI1114" s="209"/>
      <c r="AJ1114" s="209"/>
    </row>
    <row r="1115">
      <c r="A1115" s="291"/>
      <c r="B1115" s="303" t="s">
        <v>3948</v>
      </c>
      <c r="C1115" s="304" t="s">
        <v>3949</v>
      </c>
      <c r="D1115" s="304" t="s">
        <v>3950</v>
      </c>
      <c r="E1115" s="375" t="s">
        <v>3951</v>
      </c>
      <c r="F1115" s="209"/>
      <c r="G1115" s="209"/>
      <c r="H1115" s="209"/>
      <c r="I1115" s="209"/>
      <c r="J1115" s="296" t="b">
        <v>1</v>
      </c>
      <c r="K1115" s="301" t="b">
        <v>0</v>
      </c>
      <c r="L1115" s="209"/>
      <c r="M1115" s="209"/>
      <c r="N1115" s="209"/>
      <c r="O1115" s="209"/>
      <c r="P1115" s="209"/>
      <c r="Q1115" s="209"/>
      <c r="R1115" s="209"/>
      <c r="S1115" s="209"/>
      <c r="T1115" s="209"/>
      <c r="U1115" s="209"/>
      <c r="V1115" s="209"/>
      <c r="W1115" s="209"/>
      <c r="X1115" s="209"/>
      <c r="Y1115" s="209"/>
      <c r="Z1115" s="209"/>
      <c r="AA1115" s="209"/>
      <c r="AB1115" s="209"/>
      <c r="AC1115" s="209"/>
      <c r="AD1115" s="209"/>
      <c r="AE1115" s="209"/>
      <c r="AF1115" s="209"/>
      <c r="AG1115" s="209"/>
      <c r="AH1115" s="209"/>
      <c r="AI1115" s="209"/>
      <c r="AJ1115" s="209"/>
    </row>
    <row r="1116">
      <c r="A1116" s="309"/>
      <c r="B1116" s="310" t="s">
        <v>3952</v>
      </c>
      <c r="C1116" s="311" t="s">
        <v>1186</v>
      </c>
      <c r="D1116" s="311" t="s">
        <v>3953</v>
      </c>
      <c r="E1116" s="312">
        <v>8.10115974024E11</v>
      </c>
      <c r="F1116" s="313"/>
      <c r="G1116" s="313"/>
      <c r="H1116" s="313"/>
      <c r="I1116" s="313"/>
      <c r="J1116" s="296" t="b">
        <v>1</v>
      </c>
      <c r="K1116" s="381" t="b">
        <v>0</v>
      </c>
      <c r="L1116" s="209"/>
      <c r="M1116" s="209"/>
      <c r="N1116" s="209"/>
      <c r="O1116" s="209"/>
      <c r="P1116" s="209"/>
      <c r="Q1116" s="209"/>
      <c r="R1116" s="209"/>
      <c r="S1116" s="209"/>
      <c r="T1116" s="209"/>
      <c r="U1116" s="209"/>
      <c r="V1116" s="209"/>
      <c r="W1116" s="209"/>
      <c r="X1116" s="209"/>
      <c r="Y1116" s="209"/>
      <c r="Z1116" s="209"/>
      <c r="AA1116" s="209"/>
      <c r="AB1116" s="209"/>
      <c r="AC1116" s="209"/>
      <c r="AD1116" s="209"/>
      <c r="AE1116" s="209"/>
      <c r="AF1116" s="209"/>
      <c r="AG1116" s="209"/>
      <c r="AH1116" s="209"/>
      <c r="AI1116" s="209"/>
      <c r="AJ1116" s="209"/>
    </row>
    <row r="1117">
      <c r="A1117" s="209"/>
      <c r="B1117" s="209"/>
      <c r="C1117" s="209"/>
      <c r="D1117" s="209"/>
      <c r="E1117" s="209"/>
      <c r="F1117" s="209"/>
      <c r="G1117" s="209"/>
      <c r="H1117" s="209"/>
      <c r="I1117" s="209"/>
      <c r="J1117" s="313"/>
      <c r="K1117" s="209"/>
      <c r="L1117" s="209"/>
      <c r="M1117" s="209"/>
      <c r="N1117" s="209"/>
      <c r="O1117" s="209"/>
      <c r="P1117" s="209"/>
      <c r="Q1117" s="209"/>
      <c r="R1117" s="209"/>
      <c r="S1117" s="209"/>
      <c r="T1117" s="209"/>
      <c r="U1117" s="209"/>
      <c r="V1117" s="209"/>
      <c r="W1117" s="209"/>
      <c r="X1117" s="209"/>
      <c r="Y1117" s="209"/>
      <c r="Z1117" s="209"/>
      <c r="AA1117" s="209"/>
      <c r="AB1117" s="209"/>
      <c r="AC1117" s="209"/>
      <c r="AD1117" s="209"/>
      <c r="AE1117" s="209"/>
      <c r="AF1117" s="209"/>
      <c r="AG1117" s="209"/>
      <c r="AH1117" s="209"/>
      <c r="AI1117" s="209"/>
      <c r="AJ1117" s="209"/>
    </row>
    <row r="1118">
      <c r="A1118" s="316" t="s">
        <v>3954</v>
      </c>
      <c r="B1118" s="319" t="s">
        <v>3955</v>
      </c>
      <c r="C1118" s="320"/>
      <c r="D1118" s="283" t="s">
        <v>3956</v>
      </c>
      <c r="E1118" s="322" t="s">
        <v>3957</v>
      </c>
      <c r="F1118" s="320"/>
      <c r="G1118" s="320"/>
      <c r="H1118" s="285" t="s">
        <v>370</v>
      </c>
      <c r="I1118" s="285" t="s">
        <v>4200</v>
      </c>
      <c r="J1118" s="333" t="str">
        <f>IF(COUNTIF(J1119:J1124, TRUE) = COUNTA(J1119:J1124), "Complete!", IF(COUNTIF(J1119:J1124, TRUE) &gt; 0, "Partial", "Not Started"))</f>
        <v>Complete!</v>
      </c>
      <c r="K1118" s="334"/>
      <c r="L1118" s="280">
        <v>6.0</v>
      </c>
      <c r="M1118" s="209"/>
      <c r="N1118" s="209"/>
      <c r="O1118" s="209"/>
      <c r="P1118" s="209"/>
      <c r="Q1118" s="209"/>
      <c r="R1118" s="209"/>
      <c r="S1118" s="209"/>
      <c r="T1118" s="209"/>
      <c r="U1118" s="209"/>
      <c r="V1118" s="209"/>
      <c r="W1118" s="209"/>
      <c r="X1118" s="209"/>
      <c r="Y1118" s="209"/>
      <c r="Z1118" s="209"/>
      <c r="AA1118" s="209"/>
      <c r="AB1118" s="209"/>
      <c r="AC1118" s="209"/>
      <c r="AD1118" s="209"/>
      <c r="AE1118" s="209"/>
      <c r="AF1118" s="209"/>
      <c r="AG1118" s="209"/>
      <c r="AH1118" s="209"/>
      <c r="AI1118" s="209"/>
      <c r="AJ1118" s="209"/>
    </row>
    <row r="1119">
      <c r="A1119" s="291"/>
      <c r="B1119" s="303" t="s">
        <v>3959</v>
      </c>
      <c r="C1119" s="304" t="s">
        <v>1419</v>
      </c>
      <c r="D1119" s="304" t="s">
        <v>3960</v>
      </c>
      <c r="E1119" s="305">
        <v>8.10115979876E11</v>
      </c>
      <c r="F1119" s="209"/>
      <c r="G1119" s="209"/>
      <c r="H1119" s="209"/>
      <c r="I1119" s="209"/>
      <c r="J1119" s="300" t="b">
        <v>1</v>
      </c>
      <c r="K1119" s="301" t="b">
        <v>0</v>
      </c>
      <c r="L1119" s="209"/>
      <c r="M1119" s="209"/>
      <c r="N1119" s="209"/>
      <c r="O1119" s="209"/>
      <c r="P1119" s="209"/>
      <c r="Q1119" s="209"/>
      <c r="R1119" s="209"/>
      <c r="S1119" s="209"/>
      <c r="T1119" s="209"/>
      <c r="U1119" s="209"/>
      <c r="V1119" s="209"/>
      <c r="W1119" s="209"/>
      <c r="X1119" s="209"/>
      <c r="Y1119" s="209"/>
      <c r="Z1119" s="209"/>
      <c r="AA1119" s="209"/>
      <c r="AB1119" s="209"/>
      <c r="AC1119" s="209"/>
      <c r="AD1119" s="209"/>
      <c r="AE1119" s="209"/>
      <c r="AF1119" s="209"/>
      <c r="AG1119" s="209"/>
      <c r="AH1119" s="209"/>
      <c r="AI1119" s="209"/>
      <c r="AJ1119" s="209"/>
    </row>
    <row r="1120">
      <c r="A1120" s="291"/>
      <c r="B1120" s="303" t="s">
        <v>3961</v>
      </c>
      <c r="C1120" s="304" t="s">
        <v>3962</v>
      </c>
      <c r="D1120" s="304" t="s">
        <v>3963</v>
      </c>
      <c r="E1120" s="375" t="s">
        <v>3964</v>
      </c>
      <c r="F1120" s="209"/>
      <c r="G1120" s="209"/>
      <c r="H1120" s="209"/>
      <c r="I1120" s="209"/>
      <c r="J1120" s="300" t="b">
        <v>1</v>
      </c>
      <c r="K1120" s="301" t="b">
        <v>0</v>
      </c>
      <c r="L1120" s="209"/>
      <c r="M1120" s="209"/>
      <c r="N1120" s="209"/>
      <c r="O1120" s="209"/>
      <c r="P1120" s="209"/>
      <c r="Q1120" s="209"/>
      <c r="R1120" s="209"/>
      <c r="S1120" s="209"/>
      <c r="T1120" s="209"/>
      <c r="U1120" s="209"/>
      <c r="V1120" s="209"/>
      <c r="W1120" s="209"/>
      <c r="X1120" s="209"/>
      <c r="Y1120" s="209"/>
      <c r="Z1120" s="209"/>
      <c r="AA1120" s="209"/>
      <c r="AB1120" s="209"/>
      <c r="AC1120" s="209"/>
      <c r="AD1120" s="209"/>
      <c r="AE1120" s="209"/>
      <c r="AF1120" s="209"/>
      <c r="AG1120" s="209"/>
      <c r="AH1120" s="209"/>
      <c r="AI1120" s="209"/>
      <c r="AJ1120" s="209"/>
    </row>
    <row r="1121">
      <c r="A1121" s="291"/>
      <c r="B1121" s="303" t="s">
        <v>3965</v>
      </c>
      <c r="C1121" s="304" t="s">
        <v>1419</v>
      </c>
      <c r="D1121" s="304" t="s">
        <v>3966</v>
      </c>
      <c r="E1121" s="305">
        <v>8.1011597989E11</v>
      </c>
      <c r="F1121" s="209"/>
      <c r="G1121" s="209"/>
      <c r="H1121" s="209"/>
      <c r="I1121" s="209"/>
      <c r="J1121" s="300" t="b">
        <v>1</v>
      </c>
      <c r="K1121" s="301" t="b">
        <v>0</v>
      </c>
      <c r="L1121" s="209"/>
      <c r="M1121" s="209"/>
      <c r="N1121" s="209"/>
      <c r="O1121" s="209"/>
      <c r="P1121" s="209"/>
      <c r="Q1121" s="209"/>
      <c r="R1121" s="209"/>
      <c r="S1121" s="209"/>
      <c r="T1121" s="209"/>
      <c r="U1121" s="209"/>
      <c r="V1121" s="209"/>
      <c r="W1121" s="209"/>
      <c r="X1121" s="209"/>
      <c r="Y1121" s="209"/>
      <c r="Z1121" s="209"/>
      <c r="AA1121" s="209"/>
      <c r="AB1121" s="209"/>
      <c r="AC1121" s="209"/>
      <c r="AD1121" s="209"/>
      <c r="AE1121" s="209"/>
      <c r="AF1121" s="209"/>
      <c r="AG1121" s="209"/>
      <c r="AH1121" s="209"/>
      <c r="AI1121" s="209"/>
      <c r="AJ1121" s="209"/>
    </row>
    <row r="1122">
      <c r="A1122" s="291"/>
      <c r="B1122" s="303" t="s">
        <v>3967</v>
      </c>
      <c r="C1122" s="304" t="s">
        <v>952</v>
      </c>
      <c r="D1122" s="304" t="s">
        <v>3968</v>
      </c>
      <c r="E1122" s="375" t="s">
        <v>3969</v>
      </c>
      <c r="F1122" s="209"/>
      <c r="G1122" s="209"/>
      <c r="H1122" s="209"/>
      <c r="I1122" s="209"/>
      <c r="J1122" s="300" t="b">
        <v>1</v>
      </c>
      <c r="K1122" s="301" t="b">
        <v>0</v>
      </c>
      <c r="L1122" s="209"/>
      <c r="M1122" s="209"/>
      <c r="N1122" s="209"/>
      <c r="O1122" s="209"/>
      <c r="P1122" s="209"/>
      <c r="Q1122" s="209"/>
      <c r="R1122" s="209"/>
      <c r="S1122" s="209"/>
      <c r="T1122" s="209"/>
      <c r="U1122" s="209"/>
      <c r="V1122" s="209"/>
      <c r="W1122" s="209"/>
      <c r="X1122" s="209"/>
      <c r="Y1122" s="209"/>
      <c r="Z1122" s="209"/>
      <c r="AA1122" s="209"/>
      <c r="AB1122" s="209"/>
      <c r="AC1122" s="209"/>
      <c r="AD1122" s="209"/>
      <c r="AE1122" s="209"/>
      <c r="AF1122" s="209"/>
      <c r="AG1122" s="209"/>
      <c r="AH1122" s="209"/>
      <c r="AI1122" s="209"/>
      <c r="AJ1122" s="209"/>
    </row>
    <row r="1123">
      <c r="A1123" s="291"/>
      <c r="B1123" s="303" t="s">
        <v>3970</v>
      </c>
      <c r="C1123" s="304" t="s">
        <v>952</v>
      </c>
      <c r="D1123" s="304" t="s">
        <v>3971</v>
      </c>
      <c r="E1123" s="305">
        <v>8.10115979913E11</v>
      </c>
      <c r="F1123" s="209"/>
      <c r="G1123" s="209"/>
      <c r="H1123" s="209"/>
      <c r="I1123" s="209"/>
      <c r="J1123" s="300" t="b">
        <v>1</v>
      </c>
      <c r="K1123" s="301" t="b">
        <v>0</v>
      </c>
      <c r="L1123" s="209"/>
      <c r="M1123" s="209"/>
      <c r="N1123" s="209"/>
      <c r="O1123" s="209"/>
      <c r="P1123" s="209"/>
      <c r="Q1123" s="209"/>
      <c r="R1123" s="209"/>
      <c r="S1123" s="209"/>
      <c r="T1123" s="209"/>
      <c r="U1123" s="209"/>
      <c r="V1123" s="209"/>
      <c r="W1123" s="209"/>
      <c r="X1123" s="209"/>
      <c r="Y1123" s="209"/>
      <c r="Z1123" s="209"/>
      <c r="AA1123" s="209"/>
      <c r="AB1123" s="209"/>
      <c r="AC1123" s="209"/>
      <c r="AD1123" s="209"/>
      <c r="AE1123" s="209"/>
      <c r="AF1123" s="209"/>
      <c r="AG1123" s="209"/>
      <c r="AH1123" s="209"/>
      <c r="AI1123" s="209"/>
      <c r="AJ1123" s="209"/>
    </row>
    <row r="1124">
      <c r="A1124" s="309"/>
      <c r="B1124" s="310" t="s">
        <v>3972</v>
      </c>
      <c r="C1124" s="311" t="s">
        <v>952</v>
      </c>
      <c r="D1124" s="311" t="s">
        <v>3973</v>
      </c>
      <c r="E1124" s="380" t="s">
        <v>3974</v>
      </c>
      <c r="F1124" s="313"/>
      <c r="G1124" s="313"/>
      <c r="H1124" s="313"/>
      <c r="I1124" s="313"/>
      <c r="J1124" s="300" t="b">
        <v>1</v>
      </c>
      <c r="K1124" s="381" t="b">
        <v>0</v>
      </c>
      <c r="L1124" s="209"/>
      <c r="M1124" s="209"/>
      <c r="N1124" s="209"/>
      <c r="O1124" s="209"/>
      <c r="P1124" s="209"/>
      <c r="Q1124" s="209"/>
      <c r="R1124" s="209"/>
      <c r="S1124" s="209"/>
      <c r="T1124" s="209"/>
      <c r="U1124" s="209"/>
      <c r="V1124" s="209"/>
      <c r="W1124" s="209"/>
      <c r="X1124" s="209"/>
      <c r="Y1124" s="209"/>
      <c r="Z1124" s="209"/>
      <c r="AA1124" s="209"/>
      <c r="AB1124" s="209"/>
      <c r="AC1124" s="209"/>
      <c r="AD1124" s="209"/>
      <c r="AE1124" s="209"/>
      <c r="AF1124" s="209"/>
      <c r="AG1124" s="209"/>
      <c r="AH1124" s="209"/>
      <c r="AI1124" s="209"/>
      <c r="AJ1124" s="209"/>
    </row>
    <row r="1125">
      <c r="A1125" s="209"/>
      <c r="B1125" s="209"/>
      <c r="C1125" s="209"/>
      <c r="D1125" s="209"/>
      <c r="E1125" s="209"/>
      <c r="F1125" s="344"/>
      <c r="G1125" s="344"/>
      <c r="H1125" s="344"/>
      <c r="I1125" s="209"/>
      <c r="J1125" s="209"/>
      <c r="K1125" s="209"/>
      <c r="L1125" s="209"/>
      <c r="M1125" s="209"/>
      <c r="N1125" s="209"/>
      <c r="O1125" s="209"/>
      <c r="P1125" s="209"/>
      <c r="Q1125" s="209"/>
      <c r="R1125" s="209"/>
      <c r="S1125" s="209"/>
      <c r="T1125" s="209"/>
      <c r="U1125" s="209"/>
      <c r="V1125" s="209"/>
      <c r="W1125" s="209"/>
      <c r="X1125" s="209"/>
      <c r="Y1125" s="209"/>
      <c r="Z1125" s="209"/>
      <c r="AA1125" s="209"/>
      <c r="AB1125" s="209"/>
      <c r="AC1125" s="209"/>
      <c r="AD1125" s="209"/>
      <c r="AE1125" s="209"/>
      <c r="AF1125" s="209"/>
      <c r="AG1125" s="209"/>
      <c r="AH1125" s="209"/>
      <c r="AI1125" s="209"/>
      <c r="AJ1125" s="209"/>
    </row>
    <row r="1126">
      <c r="A1126" s="316" t="s">
        <v>3975</v>
      </c>
      <c r="B1126" s="282" t="s">
        <v>3976</v>
      </c>
      <c r="C1126" s="273"/>
      <c r="D1126" s="283" t="s">
        <v>3977</v>
      </c>
      <c r="E1126" s="275" t="s">
        <v>3978</v>
      </c>
      <c r="F1126" s="320"/>
      <c r="G1126" s="320"/>
      <c r="H1126" s="276" t="s">
        <v>468</v>
      </c>
      <c r="I1126" s="285" t="s">
        <v>4201</v>
      </c>
      <c r="J1126" s="278" t="str">
        <f>IF(COUNTIF(J1127:J1137, TRUE) = COUNTA(J1127:J1137), "Complete!", IF(COUNTIF(J1127:J1137, TRUE) &gt; 0, "Partial", "Not Started"))</f>
        <v>Complete!</v>
      </c>
      <c r="K1126" s="279"/>
      <c r="L1126" s="280">
        <v>11.0</v>
      </c>
      <c r="M1126" s="209"/>
      <c r="N1126" s="209"/>
      <c r="O1126" s="209"/>
      <c r="P1126" s="209"/>
      <c r="Q1126" s="209"/>
      <c r="R1126" s="209"/>
      <c r="S1126" s="209"/>
      <c r="T1126" s="209"/>
      <c r="U1126" s="209"/>
      <c r="V1126" s="209"/>
      <c r="W1126" s="209"/>
      <c r="X1126" s="209"/>
      <c r="Y1126" s="209"/>
      <c r="Z1126" s="209"/>
      <c r="AA1126" s="209"/>
      <c r="AB1126" s="209"/>
      <c r="AC1126" s="209"/>
      <c r="AD1126" s="209"/>
      <c r="AE1126" s="209"/>
      <c r="AF1126" s="209"/>
      <c r="AG1126" s="209"/>
      <c r="AH1126" s="209"/>
      <c r="AI1126" s="209"/>
      <c r="AJ1126" s="209"/>
    </row>
    <row r="1127">
      <c r="A1127" s="291"/>
      <c r="B1127" s="292" t="s">
        <v>3980</v>
      </c>
      <c r="C1127" s="293" t="s">
        <v>705</v>
      </c>
      <c r="D1127" s="304" t="s">
        <v>3981</v>
      </c>
      <c r="E1127" s="374" t="s">
        <v>3982</v>
      </c>
      <c r="F1127" s="295"/>
      <c r="G1127" s="295"/>
      <c r="H1127" s="295"/>
      <c r="I1127" s="295"/>
      <c r="J1127" s="296" t="b">
        <v>1</v>
      </c>
      <c r="K1127" s="297" t="b">
        <v>0</v>
      </c>
      <c r="L1127" s="209"/>
      <c r="M1127" s="209"/>
      <c r="N1127" s="209"/>
      <c r="O1127" s="209"/>
      <c r="P1127" s="209"/>
      <c r="Q1127" s="209"/>
      <c r="R1127" s="209"/>
      <c r="S1127" s="209"/>
      <c r="T1127" s="209"/>
      <c r="U1127" s="209"/>
      <c r="V1127" s="209"/>
      <c r="W1127" s="209"/>
      <c r="X1127" s="209"/>
      <c r="Y1127" s="209"/>
      <c r="Z1127" s="209"/>
      <c r="AA1127" s="209"/>
      <c r="AB1127" s="209"/>
      <c r="AC1127" s="209"/>
      <c r="AD1127" s="209"/>
      <c r="AE1127" s="209"/>
      <c r="AF1127" s="209"/>
      <c r="AG1127" s="209"/>
      <c r="AH1127" s="209"/>
      <c r="AI1127" s="209"/>
      <c r="AJ1127" s="209"/>
    </row>
    <row r="1128">
      <c r="A1128" s="291"/>
      <c r="B1128" s="303" t="s">
        <v>3983</v>
      </c>
      <c r="C1128" s="304" t="s">
        <v>679</v>
      </c>
      <c r="D1128" s="304" t="s">
        <v>3984</v>
      </c>
      <c r="E1128" s="375" t="s">
        <v>3985</v>
      </c>
      <c r="F1128" s="209"/>
      <c r="G1128" s="209"/>
      <c r="H1128" s="209"/>
      <c r="I1128" s="209"/>
      <c r="J1128" s="296" t="b">
        <v>1</v>
      </c>
      <c r="K1128" s="301" t="b">
        <v>0</v>
      </c>
      <c r="L1128" s="209"/>
      <c r="M1128" s="209"/>
      <c r="N1128" s="209"/>
      <c r="O1128" s="209"/>
      <c r="P1128" s="209"/>
      <c r="Q1128" s="209"/>
      <c r="R1128" s="209"/>
      <c r="S1128" s="209"/>
      <c r="T1128" s="209"/>
      <c r="U1128" s="209"/>
      <c r="V1128" s="209"/>
      <c r="W1128" s="209"/>
      <c r="X1128" s="209"/>
      <c r="Y1128" s="209"/>
      <c r="Z1128" s="209"/>
      <c r="AA1128" s="209"/>
      <c r="AB1128" s="209"/>
      <c r="AC1128" s="209"/>
      <c r="AD1128" s="209"/>
      <c r="AE1128" s="209"/>
      <c r="AF1128" s="209"/>
      <c r="AG1128" s="209"/>
      <c r="AH1128" s="209"/>
      <c r="AI1128" s="209"/>
      <c r="AJ1128" s="209"/>
    </row>
    <row r="1129">
      <c r="A1129" s="291"/>
      <c r="B1129" s="303" t="s">
        <v>3986</v>
      </c>
      <c r="C1129" s="304" t="s">
        <v>1186</v>
      </c>
      <c r="D1129" s="304" t="s">
        <v>3987</v>
      </c>
      <c r="E1129" s="375" t="s">
        <v>3988</v>
      </c>
      <c r="F1129" s="209"/>
      <c r="G1129" s="209"/>
      <c r="H1129" s="209"/>
      <c r="I1129" s="209"/>
      <c r="J1129" s="296" t="b">
        <v>1</v>
      </c>
      <c r="K1129" s="301" t="b">
        <v>0</v>
      </c>
      <c r="L1129" s="209"/>
      <c r="M1129" s="209"/>
      <c r="N1129" s="209"/>
      <c r="O1129" s="209"/>
      <c r="P1129" s="209"/>
      <c r="Q1129" s="209"/>
      <c r="R1129" s="209"/>
      <c r="S1129" s="209"/>
      <c r="T1129" s="209"/>
      <c r="U1129" s="209"/>
      <c r="V1129" s="209"/>
      <c r="W1129" s="209"/>
      <c r="X1129" s="209"/>
      <c r="Y1129" s="209"/>
      <c r="Z1129" s="209"/>
      <c r="AA1129" s="209"/>
      <c r="AB1129" s="209"/>
      <c r="AC1129" s="209"/>
      <c r="AD1129" s="209"/>
      <c r="AE1129" s="209"/>
      <c r="AF1129" s="209"/>
      <c r="AG1129" s="209"/>
      <c r="AH1129" s="209"/>
      <c r="AI1129" s="209"/>
      <c r="AJ1129" s="209"/>
    </row>
    <row r="1130">
      <c r="A1130" s="291"/>
      <c r="B1130" s="303" t="s">
        <v>3989</v>
      </c>
      <c r="C1130" s="304" t="s">
        <v>952</v>
      </c>
      <c r="D1130" s="304" t="s">
        <v>3990</v>
      </c>
      <c r="E1130" s="375" t="s">
        <v>3991</v>
      </c>
      <c r="F1130" s="209"/>
      <c r="G1130" s="209"/>
      <c r="H1130" s="209"/>
      <c r="I1130" s="209"/>
      <c r="J1130" s="296" t="b">
        <v>1</v>
      </c>
      <c r="K1130" s="301" t="b">
        <v>0</v>
      </c>
      <c r="L1130" s="209"/>
      <c r="M1130" s="209"/>
      <c r="N1130" s="209"/>
      <c r="O1130" s="209"/>
      <c r="P1130" s="209"/>
      <c r="Q1130" s="209"/>
      <c r="R1130" s="209"/>
      <c r="S1130" s="209"/>
      <c r="T1130" s="209"/>
      <c r="U1130" s="209"/>
      <c r="V1130" s="209"/>
      <c r="W1130" s="209"/>
      <c r="X1130" s="209"/>
      <c r="Y1130" s="209"/>
      <c r="Z1130" s="209"/>
      <c r="AA1130" s="209"/>
      <c r="AB1130" s="209"/>
      <c r="AC1130" s="209"/>
      <c r="AD1130" s="209"/>
      <c r="AE1130" s="209"/>
      <c r="AF1130" s="209"/>
      <c r="AG1130" s="209"/>
      <c r="AH1130" s="209"/>
      <c r="AI1130" s="209"/>
      <c r="AJ1130" s="209"/>
    </row>
    <row r="1131">
      <c r="A1131" s="291"/>
      <c r="B1131" s="303" t="s">
        <v>3993</v>
      </c>
      <c r="C1131" s="304" t="s">
        <v>952</v>
      </c>
      <c r="D1131" s="304" t="s">
        <v>3994</v>
      </c>
      <c r="E1131" s="375" t="s">
        <v>3995</v>
      </c>
      <c r="F1131" s="209"/>
      <c r="G1131" s="209"/>
      <c r="H1131" s="209"/>
      <c r="I1131" s="209"/>
      <c r="J1131" s="296" t="b">
        <v>1</v>
      </c>
      <c r="K1131" s="301" t="b">
        <v>0</v>
      </c>
      <c r="L1131" s="209"/>
      <c r="M1131" s="209"/>
      <c r="N1131" s="209"/>
      <c r="O1131" s="209"/>
      <c r="P1131" s="209"/>
      <c r="Q1131" s="209"/>
      <c r="R1131" s="209"/>
      <c r="S1131" s="209"/>
      <c r="T1131" s="209"/>
      <c r="U1131" s="209"/>
      <c r="V1131" s="209"/>
      <c r="W1131" s="209"/>
      <c r="X1131" s="209"/>
      <c r="Y1131" s="209"/>
      <c r="Z1131" s="209"/>
      <c r="AA1131" s="209"/>
      <c r="AB1131" s="209"/>
      <c r="AC1131" s="209"/>
      <c r="AD1131" s="209"/>
      <c r="AE1131" s="209"/>
      <c r="AF1131" s="209"/>
      <c r="AG1131" s="209"/>
      <c r="AH1131" s="209"/>
      <c r="AI1131" s="209"/>
      <c r="AJ1131" s="209"/>
    </row>
    <row r="1132">
      <c r="A1132" s="291"/>
      <c r="B1132" s="303" t="s">
        <v>3996</v>
      </c>
      <c r="C1132" s="304" t="s">
        <v>3997</v>
      </c>
      <c r="D1132" s="304" t="s">
        <v>3998</v>
      </c>
      <c r="E1132" s="375" t="s">
        <v>3999</v>
      </c>
      <c r="F1132" s="209"/>
      <c r="G1132" s="209"/>
      <c r="H1132" s="209"/>
      <c r="I1132" s="209"/>
      <c r="J1132" s="296" t="b">
        <v>1</v>
      </c>
      <c r="K1132" s="301" t="b">
        <v>0</v>
      </c>
      <c r="L1132" s="209"/>
      <c r="M1132" s="209"/>
      <c r="N1132" s="209"/>
      <c r="O1132" s="209"/>
      <c r="P1132" s="209"/>
      <c r="Q1132" s="209"/>
      <c r="R1132" s="209"/>
      <c r="S1132" s="209"/>
      <c r="T1132" s="209"/>
      <c r="U1132" s="209"/>
      <c r="V1132" s="209"/>
      <c r="W1132" s="209"/>
      <c r="X1132" s="209"/>
      <c r="Y1132" s="209"/>
      <c r="Z1132" s="209"/>
      <c r="AA1132" s="209"/>
      <c r="AB1132" s="209"/>
      <c r="AC1132" s="209"/>
      <c r="AD1132" s="209"/>
      <c r="AE1132" s="209"/>
      <c r="AF1132" s="209"/>
      <c r="AG1132" s="209"/>
      <c r="AH1132" s="209"/>
      <c r="AI1132" s="209"/>
      <c r="AJ1132" s="209"/>
    </row>
    <row r="1133">
      <c r="A1133" s="291"/>
      <c r="B1133" s="303" t="s">
        <v>4000</v>
      </c>
      <c r="C1133" s="304" t="s">
        <v>3997</v>
      </c>
      <c r="D1133" s="304" t="s">
        <v>4001</v>
      </c>
      <c r="E1133" s="375" t="s">
        <v>4002</v>
      </c>
      <c r="F1133" s="209"/>
      <c r="G1133" s="209"/>
      <c r="H1133" s="209"/>
      <c r="I1133" s="209"/>
      <c r="J1133" s="296" t="b">
        <v>1</v>
      </c>
      <c r="K1133" s="301" t="b">
        <v>0</v>
      </c>
      <c r="L1133" s="209"/>
      <c r="M1133" s="209"/>
      <c r="N1133" s="209"/>
      <c r="O1133" s="209"/>
      <c r="P1133" s="209"/>
      <c r="Q1133" s="209"/>
      <c r="R1133" s="209"/>
      <c r="S1133" s="209"/>
      <c r="T1133" s="209"/>
      <c r="U1133" s="209"/>
      <c r="V1133" s="209"/>
      <c r="W1133" s="209"/>
      <c r="X1133" s="209"/>
      <c r="Y1133" s="209"/>
      <c r="Z1133" s="209"/>
      <c r="AA1133" s="209"/>
      <c r="AB1133" s="209"/>
      <c r="AC1133" s="209"/>
      <c r="AD1133" s="209"/>
      <c r="AE1133" s="209"/>
      <c r="AF1133" s="209"/>
      <c r="AG1133" s="209"/>
      <c r="AH1133" s="209"/>
      <c r="AI1133" s="209"/>
      <c r="AJ1133" s="209"/>
    </row>
    <row r="1134">
      <c r="A1134" s="291"/>
      <c r="B1134" s="303" t="s">
        <v>4003</v>
      </c>
      <c r="C1134" s="304" t="s">
        <v>522</v>
      </c>
      <c r="D1134" s="304" t="s">
        <v>4004</v>
      </c>
      <c r="E1134" s="375" t="s">
        <v>4005</v>
      </c>
      <c r="F1134" s="209"/>
      <c r="G1134" s="209"/>
      <c r="H1134" s="209"/>
      <c r="I1134" s="209"/>
      <c r="J1134" s="296" t="b">
        <v>1</v>
      </c>
      <c r="K1134" s="301" t="b">
        <v>0</v>
      </c>
      <c r="L1134" s="209"/>
      <c r="M1134" s="209"/>
      <c r="N1134" s="209"/>
      <c r="O1134" s="209"/>
      <c r="P1134" s="209"/>
      <c r="Q1134" s="209"/>
      <c r="R1134" s="209"/>
      <c r="S1134" s="209"/>
      <c r="T1134" s="209"/>
      <c r="U1134" s="209"/>
      <c r="V1134" s="209"/>
      <c r="W1134" s="209"/>
      <c r="X1134" s="209"/>
      <c r="Y1134" s="209"/>
      <c r="Z1134" s="209"/>
      <c r="AA1134" s="209"/>
      <c r="AB1134" s="209"/>
      <c r="AC1134" s="209"/>
      <c r="AD1134" s="209"/>
      <c r="AE1134" s="209"/>
      <c r="AF1134" s="209"/>
      <c r="AG1134" s="209"/>
      <c r="AH1134" s="209"/>
      <c r="AI1134" s="209"/>
      <c r="AJ1134" s="209"/>
    </row>
    <row r="1135">
      <c r="A1135" s="291"/>
      <c r="B1135" s="303" t="s">
        <v>4006</v>
      </c>
      <c r="C1135" s="304" t="s">
        <v>522</v>
      </c>
      <c r="D1135" s="304" t="s">
        <v>4007</v>
      </c>
      <c r="E1135" s="375" t="s">
        <v>4008</v>
      </c>
      <c r="F1135" s="209"/>
      <c r="G1135" s="209"/>
      <c r="H1135" s="209"/>
      <c r="I1135" s="209"/>
      <c r="J1135" s="296" t="b">
        <v>1</v>
      </c>
      <c r="K1135" s="301" t="b">
        <v>0</v>
      </c>
      <c r="L1135" s="209"/>
      <c r="M1135" s="209"/>
      <c r="N1135" s="209"/>
      <c r="O1135" s="209"/>
      <c r="P1135" s="209"/>
      <c r="Q1135" s="209"/>
      <c r="R1135" s="209"/>
      <c r="S1135" s="209"/>
      <c r="T1135" s="209"/>
      <c r="U1135" s="209"/>
      <c r="V1135" s="209"/>
      <c r="W1135" s="209"/>
      <c r="X1135" s="209"/>
      <c r="Y1135" s="209"/>
      <c r="Z1135" s="209"/>
      <c r="AA1135" s="209"/>
      <c r="AB1135" s="209"/>
      <c r="AC1135" s="209"/>
      <c r="AD1135" s="209"/>
      <c r="AE1135" s="209"/>
      <c r="AF1135" s="209"/>
      <c r="AG1135" s="209"/>
      <c r="AH1135" s="209"/>
      <c r="AI1135" s="209"/>
      <c r="AJ1135" s="209"/>
    </row>
    <row r="1136">
      <c r="A1136" s="291"/>
      <c r="B1136" s="303" t="s">
        <v>4009</v>
      </c>
      <c r="C1136" s="304" t="s">
        <v>547</v>
      </c>
      <c r="D1136" s="304" t="s">
        <v>4010</v>
      </c>
      <c r="E1136" s="375" t="s">
        <v>4011</v>
      </c>
      <c r="F1136" s="209"/>
      <c r="G1136" s="209"/>
      <c r="H1136" s="209"/>
      <c r="I1136" s="209"/>
      <c r="J1136" s="296" t="b">
        <v>1</v>
      </c>
      <c r="K1136" s="301" t="b">
        <v>0</v>
      </c>
      <c r="L1136" s="209"/>
      <c r="M1136" s="209"/>
      <c r="N1136" s="209"/>
      <c r="O1136" s="209"/>
      <c r="P1136" s="209"/>
      <c r="Q1136" s="209"/>
      <c r="R1136" s="209"/>
      <c r="S1136" s="209"/>
      <c r="T1136" s="209"/>
      <c r="U1136" s="209"/>
      <c r="V1136" s="209"/>
      <c r="W1136" s="209"/>
      <c r="X1136" s="209"/>
      <c r="Y1136" s="209"/>
      <c r="Z1136" s="209"/>
      <c r="AA1136" s="209"/>
      <c r="AB1136" s="209"/>
      <c r="AC1136" s="209"/>
      <c r="AD1136" s="209"/>
      <c r="AE1136" s="209"/>
      <c r="AF1136" s="209"/>
      <c r="AG1136" s="209"/>
      <c r="AH1136" s="209"/>
      <c r="AI1136" s="209"/>
      <c r="AJ1136" s="209"/>
    </row>
    <row r="1137">
      <c r="A1137" s="309"/>
      <c r="B1137" s="310" t="s">
        <v>4012</v>
      </c>
      <c r="C1137" s="311" t="s">
        <v>547</v>
      </c>
      <c r="D1137" s="311" t="s">
        <v>4013</v>
      </c>
      <c r="E1137" s="380" t="s">
        <v>4014</v>
      </c>
      <c r="F1137" s="313"/>
      <c r="G1137" s="313"/>
      <c r="H1137" s="313"/>
      <c r="I1137" s="313"/>
      <c r="J1137" s="296" t="b">
        <v>1</v>
      </c>
      <c r="K1137" s="381" t="b">
        <v>0</v>
      </c>
      <c r="L1137" s="209"/>
      <c r="M1137" s="209"/>
      <c r="N1137" s="209"/>
      <c r="O1137" s="209"/>
      <c r="P1137" s="209"/>
      <c r="Q1137" s="209"/>
      <c r="R1137" s="209"/>
      <c r="S1137" s="209"/>
      <c r="T1137" s="209"/>
      <c r="U1137" s="209"/>
      <c r="V1137" s="209"/>
      <c r="W1137" s="209"/>
      <c r="X1137" s="209"/>
      <c r="Y1137" s="209"/>
      <c r="Z1137" s="209"/>
      <c r="AA1137" s="209"/>
      <c r="AB1137" s="209"/>
      <c r="AC1137" s="209"/>
      <c r="AD1137" s="209"/>
      <c r="AE1137" s="209"/>
      <c r="AF1137" s="209"/>
      <c r="AG1137" s="209"/>
      <c r="AH1137" s="209"/>
      <c r="AI1137" s="209"/>
      <c r="AJ1137" s="209"/>
    </row>
    <row r="1138">
      <c r="A1138" s="209"/>
      <c r="B1138" s="209"/>
      <c r="C1138" s="209"/>
      <c r="D1138" s="209"/>
      <c r="E1138" s="209"/>
      <c r="F1138" s="344"/>
      <c r="G1138" s="344"/>
      <c r="H1138" s="344"/>
      <c r="I1138" s="209"/>
      <c r="J1138" s="313"/>
      <c r="K1138" s="209"/>
      <c r="L1138" s="209"/>
      <c r="M1138" s="209"/>
      <c r="N1138" s="209"/>
      <c r="O1138" s="209"/>
      <c r="P1138" s="209"/>
      <c r="Q1138" s="209"/>
      <c r="R1138" s="209"/>
      <c r="S1138" s="209"/>
      <c r="T1138" s="209"/>
      <c r="U1138" s="209"/>
      <c r="V1138" s="209"/>
      <c r="W1138" s="209"/>
      <c r="X1138" s="209"/>
      <c r="Y1138" s="209"/>
      <c r="Z1138" s="209"/>
      <c r="AA1138" s="209"/>
      <c r="AB1138" s="209"/>
      <c r="AC1138" s="209"/>
      <c r="AD1138" s="209"/>
      <c r="AE1138" s="209"/>
      <c r="AF1138" s="209"/>
      <c r="AG1138" s="209"/>
      <c r="AH1138" s="209"/>
      <c r="AI1138" s="209"/>
      <c r="AJ1138" s="209"/>
    </row>
    <row r="1139">
      <c r="A1139" s="316" t="s">
        <v>4015</v>
      </c>
      <c r="B1139" s="319" t="s">
        <v>4016</v>
      </c>
      <c r="C1139" s="320"/>
      <c r="D1139" s="283" t="s">
        <v>4017</v>
      </c>
      <c r="E1139" s="322" t="s">
        <v>4018</v>
      </c>
      <c r="F1139" s="320"/>
      <c r="G1139" s="320"/>
      <c r="H1139" s="276" t="s">
        <v>1796</v>
      </c>
      <c r="I1139" s="285" t="s">
        <v>4202</v>
      </c>
      <c r="J1139" s="438" t="str">
        <f>IF(COUNTIF(J1140:J1144, TRUE) = COUNTA(J1140:J1144), "Complete!", IF(COUNTIF(J1140:J1144, TRUE) &gt; 0, "Partial", "Not Started"))</f>
        <v>Complete!</v>
      </c>
      <c r="K1139" s="334"/>
      <c r="L1139" s="280">
        <v>5.0</v>
      </c>
      <c r="M1139" s="209"/>
      <c r="N1139" s="209"/>
      <c r="O1139" s="209"/>
      <c r="P1139" s="209"/>
      <c r="Q1139" s="209"/>
      <c r="R1139" s="209"/>
      <c r="S1139" s="209"/>
      <c r="T1139" s="209"/>
      <c r="U1139" s="209"/>
      <c r="V1139" s="209"/>
      <c r="W1139" s="209"/>
      <c r="X1139" s="209"/>
      <c r="Y1139" s="209"/>
      <c r="Z1139" s="209"/>
      <c r="AA1139" s="209"/>
      <c r="AB1139" s="209"/>
      <c r="AC1139" s="209"/>
      <c r="AD1139" s="209"/>
      <c r="AE1139" s="209"/>
      <c r="AF1139" s="209"/>
      <c r="AG1139" s="209"/>
      <c r="AH1139" s="209"/>
      <c r="AI1139" s="209"/>
      <c r="AJ1139" s="209"/>
    </row>
    <row r="1140">
      <c r="A1140" s="291"/>
      <c r="B1140" s="292" t="s">
        <v>4019</v>
      </c>
      <c r="C1140" s="293" t="s">
        <v>4020</v>
      </c>
      <c r="D1140" s="304" t="s">
        <v>4021</v>
      </c>
      <c r="E1140" s="374" t="s">
        <v>4022</v>
      </c>
      <c r="F1140" s="209"/>
      <c r="G1140" s="209"/>
      <c r="H1140" s="209"/>
      <c r="I1140" s="209"/>
      <c r="J1140" s="300" t="b">
        <v>1</v>
      </c>
      <c r="K1140" s="301" t="b">
        <v>0</v>
      </c>
      <c r="L1140" s="209"/>
      <c r="M1140" s="209"/>
      <c r="N1140" s="209"/>
      <c r="O1140" s="209"/>
      <c r="P1140" s="209"/>
      <c r="Q1140" s="209"/>
      <c r="R1140" s="209"/>
      <c r="S1140" s="209"/>
      <c r="T1140" s="209"/>
      <c r="U1140" s="209"/>
      <c r="V1140" s="209"/>
      <c r="W1140" s="209"/>
      <c r="X1140" s="209"/>
      <c r="Y1140" s="209"/>
      <c r="Z1140" s="209"/>
      <c r="AA1140" s="209"/>
      <c r="AB1140" s="209"/>
      <c r="AC1140" s="209"/>
      <c r="AD1140" s="209"/>
      <c r="AE1140" s="209"/>
      <c r="AF1140" s="209"/>
      <c r="AG1140" s="209"/>
      <c r="AH1140" s="209"/>
      <c r="AI1140" s="209"/>
      <c r="AJ1140" s="209"/>
    </row>
    <row r="1141">
      <c r="A1141" s="291"/>
      <c r="B1141" s="303" t="s">
        <v>4023</v>
      </c>
      <c r="C1141" s="304" t="s">
        <v>4024</v>
      </c>
      <c r="D1141" s="304" t="s">
        <v>4025</v>
      </c>
      <c r="E1141" s="375" t="s">
        <v>4026</v>
      </c>
      <c r="F1141" s="209"/>
      <c r="G1141" s="209"/>
      <c r="H1141" s="209"/>
      <c r="I1141" s="209"/>
      <c r="J1141" s="300" t="b">
        <v>1</v>
      </c>
      <c r="K1141" s="301" t="b">
        <v>0</v>
      </c>
      <c r="L1141" s="209"/>
      <c r="M1141" s="209"/>
      <c r="N1141" s="209"/>
      <c r="O1141" s="209"/>
      <c r="P1141" s="209"/>
      <c r="Q1141" s="209"/>
      <c r="R1141" s="209"/>
      <c r="S1141" s="209"/>
      <c r="T1141" s="209"/>
      <c r="U1141" s="209"/>
      <c r="V1141" s="209"/>
      <c r="W1141" s="209"/>
      <c r="X1141" s="209"/>
      <c r="Y1141" s="209"/>
      <c r="Z1141" s="209"/>
      <c r="AA1141" s="209"/>
      <c r="AB1141" s="209"/>
      <c r="AC1141" s="209"/>
      <c r="AD1141" s="209"/>
      <c r="AE1141" s="209"/>
      <c r="AF1141" s="209"/>
      <c r="AG1141" s="209"/>
      <c r="AH1141" s="209"/>
      <c r="AI1141" s="209"/>
      <c r="AJ1141" s="209"/>
    </row>
    <row r="1142">
      <c r="A1142" s="291"/>
      <c r="B1142" s="303" t="s">
        <v>4027</v>
      </c>
      <c r="C1142" s="304" t="s">
        <v>4028</v>
      </c>
      <c r="D1142" s="304" t="s">
        <v>4029</v>
      </c>
      <c r="E1142" s="375" t="s">
        <v>4030</v>
      </c>
      <c r="F1142" s="304" t="s">
        <v>732</v>
      </c>
      <c r="G1142" s="209"/>
      <c r="H1142" s="209"/>
      <c r="I1142" s="304" t="s">
        <v>733</v>
      </c>
      <c r="J1142" s="300" t="b">
        <v>1</v>
      </c>
      <c r="K1142" s="301" t="b">
        <v>0</v>
      </c>
      <c r="L1142" s="209"/>
      <c r="M1142" s="209"/>
      <c r="N1142" s="209"/>
      <c r="O1142" s="209"/>
      <c r="P1142" s="209"/>
      <c r="Q1142" s="209"/>
      <c r="R1142" s="209"/>
      <c r="S1142" s="209"/>
      <c r="T1142" s="209"/>
      <c r="U1142" s="209"/>
      <c r="V1142" s="209"/>
      <c r="W1142" s="209"/>
      <c r="X1142" s="209"/>
      <c r="Y1142" s="209"/>
      <c r="Z1142" s="209"/>
      <c r="AA1142" s="209"/>
      <c r="AB1142" s="209"/>
      <c r="AC1142" s="209"/>
      <c r="AD1142" s="209"/>
      <c r="AE1142" s="209"/>
      <c r="AF1142" s="209"/>
      <c r="AG1142" s="209"/>
      <c r="AH1142" s="209"/>
      <c r="AI1142" s="209"/>
      <c r="AJ1142" s="209"/>
    </row>
    <row r="1143">
      <c r="A1143" s="291"/>
      <c r="B1143" s="303" t="s">
        <v>4031</v>
      </c>
      <c r="C1143" s="304" t="s">
        <v>4032</v>
      </c>
      <c r="D1143" s="304" t="s">
        <v>4033</v>
      </c>
      <c r="E1143" s="375" t="s">
        <v>4034</v>
      </c>
      <c r="F1143" s="209"/>
      <c r="G1143" s="209"/>
      <c r="H1143" s="209"/>
      <c r="I1143" s="209"/>
      <c r="J1143" s="300" t="b">
        <v>1</v>
      </c>
      <c r="K1143" s="301" t="b">
        <v>0</v>
      </c>
      <c r="L1143" s="209"/>
      <c r="M1143" s="209"/>
      <c r="N1143" s="209"/>
      <c r="O1143" s="209"/>
      <c r="P1143" s="209"/>
      <c r="Q1143" s="209"/>
      <c r="R1143" s="209"/>
      <c r="S1143" s="209"/>
      <c r="T1143" s="209"/>
      <c r="U1143" s="209"/>
      <c r="V1143" s="209"/>
      <c r="W1143" s="209"/>
      <c r="X1143" s="209"/>
      <c r="Y1143" s="209"/>
      <c r="Z1143" s="209"/>
      <c r="AA1143" s="209"/>
      <c r="AB1143" s="209"/>
      <c r="AC1143" s="209"/>
      <c r="AD1143" s="209"/>
      <c r="AE1143" s="209"/>
      <c r="AF1143" s="209"/>
      <c r="AG1143" s="209"/>
      <c r="AH1143" s="209"/>
      <c r="AI1143" s="209"/>
      <c r="AJ1143" s="209"/>
    </row>
    <row r="1144">
      <c r="A1144" s="309"/>
      <c r="B1144" s="310" t="s">
        <v>4035</v>
      </c>
      <c r="C1144" s="311" t="s">
        <v>4036</v>
      </c>
      <c r="D1144" s="311" t="s">
        <v>4037</v>
      </c>
      <c r="E1144" s="380" t="s">
        <v>4038</v>
      </c>
      <c r="F1144" s="313"/>
      <c r="G1144" s="313"/>
      <c r="H1144" s="313"/>
      <c r="I1144" s="313"/>
      <c r="J1144" s="300" t="b">
        <v>1</v>
      </c>
      <c r="K1144" s="381" t="b">
        <v>0</v>
      </c>
      <c r="L1144" s="209"/>
      <c r="M1144" s="209"/>
      <c r="N1144" s="209"/>
      <c r="O1144" s="209"/>
      <c r="P1144" s="209"/>
      <c r="Q1144" s="209"/>
      <c r="R1144" s="209"/>
      <c r="S1144" s="209"/>
      <c r="T1144" s="209"/>
      <c r="U1144" s="209"/>
      <c r="V1144" s="209"/>
      <c r="W1144" s="209"/>
      <c r="X1144" s="209"/>
      <c r="Y1144" s="209"/>
      <c r="Z1144" s="209"/>
      <c r="AA1144" s="209"/>
      <c r="AB1144" s="209"/>
      <c r="AC1144" s="209"/>
      <c r="AD1144" s="209"/>
      <c r="AE1144" s="209"/>
      <c r="AF1144" s="209"/>
      <c r="AG1144" s="209"/>
      <c r="AH1144" s="209"/>
      <c r="AI1144" s="209"/>
      <c r="AJ1144" s="209"/>
    </row>
    <row r="1145">
      <c r="A1145" s="209"/>
      <c r="B1145" s="209"/>
      <c r="C1145" s="209"/>
      <c r="D1145" s="209"/>
      <c r="E1145" s="209"/>
      <c r="F1145" s="344"/>
      <c r="G1145" s="344"/>
      <c r="H1145" s="344"/>
      <c r="I1145" s="209"/>
      <c r="J1145" s="209"/>
      <c r="K1145" s="209"/>
      <c r="L1145" s="209"/>
      <c r="M1145" s="209"/>
      <c r="N1145" s="209"/>
      <c r="O1145" s="209"/>
      <c r="P1145" s="209"/>
      <c r="Q1145" s="209"/>
      <c r="R1145" s="209"/>
      <c r="S1145" s="209"/>
      <c r="T1145" s="209"/>
      <c r="U1145" s="209"/>
      <c r="V1145" s="209"/>
      <c r="W1145" s="209"/>
      <c r="X1145" s="209"/>
      <c r="Y1145" s="209"/>
      <c r="Z1145" s="209"/>
      <c r="AA1145" s="209"/>
      <c r="AB1145" s="209"/>
      <c r="AC1145" s="209"/>
      <c r="AD1145" s="209"/>
      <c r="AE1145" s="209"/>
      <c r="AF1145" s="209"/>
      <c r="AG1145" s="209"/>
      <c r="AH1145" s="209"/>
      <c r="AI1145" s="209"/>
      <c r="AJ1145" s="209"/>
    </row>
    <row r="1146">
      <c r="A1146" s="316">
        <v>111.0</v>
      </c>
      <c r="B1146" s="388" t="s">
        <v>3683</v>
      </c>
      <c r="C1146" s="320"/>
      <c r="D1146" s="320"/>
      <c r="E1146" s="320"/>
      <c r="F1146" s="320"/>
      <c r="G1146" s="320"/>
      <c r="H1146" s="276" t="s">
        <v>2803</v>
      </c>
      <c r="I1146" s="285" t="s">
        <v>4203</v>
      </c>
      <c r="J1146" s="278" t="str">
        <f>IF(COUNTIF(J1147, TRUE) = COUNTA(J1147), "Complete!", IF(COUNTIF(J1147, TRUE) &gt; 0, "Partial", "Not Started"))</f>
        <v>Complete!</v>
      </c>
      <c r="K1146" s="279"/>
      <c r="L1146" s="209"/>
      <c r="M1146" s="209"/>
      <c r="N1146" s="209"/>
      <c r="O1146" s="209"/>
      <c r="P1146" s="209"/>
      <c r="Q1146" s="209"/>
      <c r="R1146" s="209"/>
      <c r="S1146" s="209"/>
      <c r="T1146" s="209"/>
      <c r="U1146" s="209"/>
      <c r="V1146" s="209"/>
      <c r="W1146" s="209"/>
      <c r="X1146" s="209"/>
      <c r="Y1146" s="209"/>
      <c r="Z1146" s="209"/>
      <c r="AA1146" s="209"/>
      <c r="AB1146" s="209"/>
      <c r="AC1146" s="209"/>
      <c r="AD1146" s="209"/>
      <c r="AE1146" s="209"/>
      <c r="AF1146" s="209"/>
      <c r="AG1146" s="209"/>
      <c r="AH1146" s="209"/>
      <c r="AI1146" s="209"/>
      <c r="AJ1146" s="209"/>
    </row>
    <row r="1147">
      <c r="A1147" s="309"/>
      <c r="B1147" s="439" t="s">
        <v>4040</v>
      </c>
      <c r="C1147" s="348" t="s">
        <v>4041</v>
      </c>
      <c r="D1147" s="348" t="s">
        <v>4042</v>
      </c>
      <c r="E1147" s="440" t="s">
        <v>4043</v>
      </c>
      <c r="F1147" s="348" t="s">
        <v>732</v>
      </c>
      <c r="G1147" s="399"/>
      <c r="H1147" s="399"/>
      <c r="I1147" s="399"/>
      <c r="J1147" s="350" t="b">
        <v>1</v>
      </c>
      <c r="K1147" s="314" t="b">
        <v>0</v>
      </c>
      <c r="L1147" s="209"/>
      <c r="M1147" s="209"/>
      <c r="N1147" s="209"/>
      <c r="O1147" s="209"/>
      <c r="P1147" s="209"/>
      <c r="Q1147" s="209"/>
      <c r="R1147" s="209"/>
      <c r="S1147" s="209"/>
      <c r="T1147" s="209"/>
      <c r="U1147" s="209"/>
      <c r="V1147" s="209"/>
      <c r="W1147" s="209"/>
      <c r="X1147" s="209"/>
      <c r="Y1147" s="209"/>
      <c r="Z1147" s="209"/>
      <c r="AA1147" s="209"/>
      <c r="AB1147" s="209"/>
      <c r="AC1147" s="209"/>
      <c r="AD1147" s="209"/>
      <c r="AE1147" s="209"/>
      <c r="AF1147" s="209"/>
      <c r="AG1147" s="209"/>
      <c r="AH1147" s="209"/>
      <c r="AI1147" s="209"/>
      <c r="AJ1147" s="209"/>
    </row>
    <row r="1148">
      <c r="A1148" s="209"/>
      <c r="B1148" s="209"/>
      <c r="C1148" s="209"/>
      <c r="D1148" s="209"/>
      <c r="E1148" s="209"/>
      <c r="F1148" s="209"/>
      <c r="G1148" s="209"/>
      <c r="H1148" s="209"/>
      <c r="I1148" s="209"/>
      <c r="J1148" s="209"/>
      <c r="K1148" s="209"/>
      <c r="L1148" s="209"/>
      <c r="M1148" s="209"/>
      <c r="N1148" s="209"/>
      <c r="O1148" s="209"/>
      <c r="P1148" s="209"/>
      <c r="Q1148" s="209"/>
      <c r="R1148" s="209"/>
      <c r="S1148" s="209"/>
      <c r="T1148" s="209"/>
      <c r="U1148" s="209"/>
      <c r="V1148" s="209"/>
      <c r="W1148" s="209"/>
      <c r="X1148" s="209"/>
      <c r="Y1148" s="209"/>
      <c r="Z1148" s="209"/>
      <c r="AA1148" s="209"/>
      <c r="AB1148" s="209"/>
      <c r="AC1148" s="209"/>
      <c r="AD1148" s="209"/>
      <c r="AE1148" s="209"/>
      <c r="AF1148" s="209"/>
      <c r="AG1148" s="209"/>
      <c r="AH1148" s="209"/>
      <c r="AI1148" s="209"/>
      <c r="AJ1148" s="209"/>
    </row>
    <row r="1149">
      <c r="A1149" s="209"/>
      <c r="B1149" s="209"/>
      <c r="C1149" s="209"/>
      <c r="D1149" s="209"/>
      <c r="E1149" s="209"/>
      <c r="F1149" s="209"/>
      <c r="G1149" s="209"/>
      <c r="H1149" s="209"/>
      <c r="I1149" s="209"/>
      <c r="J1149" s="209"/>
      <c r="K1149" s="209"/>
      <c r="L1149" s="209"/>
      <c r="M1149" s="209"/>
      <c r="N1149" s="209"/>
      <c r="O1149" s="209"/>
      <c r="P1149" s="209"/>
      <c r="Q1149" s="209"/>
      <c r="R1149" s="209"/>
      <c r="S1149" s="209"/>
      <c r="T1149" s="209"/>
      <c r="U1149" s="209"/>
      <c r="V1149" s="209"/>
      <c r="W1149" s="209"/>
      <c r="X1149" s="209"/>
      <c r="Y1149" s="209"/>
      <c r="Z1149" s="209"/>
      <c r="AA1149" s="209"/>
      <c r="AB1149" s="209"/>
      <c r="AC1149" s="209"/>
      <c r="AD1149" s="209"/>
      <c r="AE1149" s="209"/>
      <c r="AF1149" s="209"/>
      <c r="AG1149" s="209"/>
      <c r="AH1149" s="209"/>
      <c r="AI1149" s="209"/>
      <c r="AJ1149" s="209"/>
    </row>
    <row r="1150">
      <c r="A1150" s="209"/>
      <c r="B1150" s="209"/>
      <c r="C1150" s="209"/>
      <c r="D1150" s="209"/>
      <c r="E1150" s="209"/>
      <c r="F1150" s="209"/>
      <c r="G1150" s="209"/>
      <c r="H1150" s="209"/>
      <c r="I1150" s="209"/>
      <c r="J1150" s="209"/>
      <c r="K1150" s="209"/>
      <c r="L1150" s="209"/>
      <c r="M1150" s="209"/>
      <c r="N1150" s="209"/>
      <c r="O1150" s="209"/>
      <c r="P1150" s="209"/>
      <c r="Q1150" s="209"/>
      <c r="R1150" s="209"/>
      <c r="S1150" s="209"/>
      <c r="T1150" s="209"/>
      <c r="U1150" s="209"/>
      <c r="V1150" s="209"/>
      <c r="W1150" s="209"/>
      <c r="X1150" s="209"/>
      <c r="Y1150" s="209"/>
      <c r="Z1150" s="209"/>
      <c r="AA1150" s="209"/>
      <c r="AB1150" s="209"/>
      <c r="AC1150" s="209"/>
      <c r="AD1150" s="209"/>
      <c r="AE1150" s="209"/>
      <c r="AF1150" s="209"/>
      <c r="AG1150" s="209"/>
      <c r="AH1150" s="209"/>
      <c r="AI1150" s="209"/>
      <c r="AJ1150" s="209"/>
    </row>
    <row r="1151">
      <c r="A1151" s="209"/>
      <c r="B1151" s="209"/>
      <c r="C1151" s="209"/>
      <c r="D1151" s="209"/>
      <c r="E1151" s="209"/>
      <c r="F1151" s="209"/>
      <c r="G1151" s="209"/>
      <c r="H1151" s="209"/>
      <c r="I1151" s="209"/>
      <c r="J1151" s="209"/>
      <c r="K1151" s="209"/>
      <c r="L1151" s="209"/>
      <c r="M1151" s="209"/>
      <c r="N1151" s="209"/>
      <c r="O1151" s="209"/>
      <c r="P1151" s="209"/>
      <c r="Q1151" s="209"/>
      <c r="R1151" s="209"/>
      <c r="S1151" s="209"/>
      <c r="T1151" s="209"/>
      <c r="U1151" s="209"/>
      <c r="V1151" s="209"/>
      <c r="W1151" s="209"/>
      <c r="X1151" s="209"/>
      <c r="Y1151" s="209"/>
      <c r="Z1151" s="209"/>
      <c r="AA1151" s="209"/>
      <c r="AB1151" s="209"/>
      <c r="AC1151" s="209"/>
      <c r="AD1151" s="209"/>
      <c r="AE1151" s="209"/>
      <c r="AF1151" s="209"/>
      <c r="AG1151" s="209"/>
      <c r="AH1151" s="209"/>
      <c r="AI1151" s="209"/>
      <c r="AJ1151" s="209"/>
    </row>
    <row r="1152">
      <c r="A1152" s="209"/>
      <c r="B1152" s="209"/>
      <c r="C1152" s="209"/>
      <c r="D1152" s="209"/>
      <c r="E1152" s="209"/>
      <c r="F1152" s="209"/>
      <c r="G1152" s="209"/>
      <c r="H1152" s="209"/>
      <c r="I1152" s="209"/>
      <c r="J1152" s="209"/>
      <c r="K1152" s="209"/>
      <c r="L1152" s="209"/>
      <c r="M1152" s="209"/>
      <c r="N1152" s="209"/>
      <c r="O1152" s="209"/>
      <c r="P1152" s="209"/>
      <c r="Q1152" s="209"/>
      <c r="R1152" s="209"/>
      <c r="S1152" s="209"/>
      <c r="T1152" s="209"/>
      <c r="U1152" s="209"/>
      <c r="V1152" s="209"/>
      <c r="W1152" s="209"/>
      <c r="X1152" s="209"/>
      <c r="Y1152" s="209"/>
      <c r="Z1152" s="209"/>
      <c r="AA1152" s="209"/>
      <c r="AB1152" s="209"/>
      <c r="AC1152" s="209"/>
      <c r="AD1152" s="209"/>
      <c r="AE1152" s="209"/>
      <c r="AF1152" s="209"/>
      <c r="AG1152" s="209"/>
      <c r="AH1152" s="209"/>
      <c r="AI1152" s="209"/>
      <c r="AJ1152" s="209"/>
    </row>
    <row r="1153">
      <c r="A1153" s="209"/>
      <c r="B1153" s="209"/>
      <c r="C1153" s="209"/>
      <c r="D1153" s="209"/>
      <c r="E1153" s="209"/>
      <c r="F1153" s="209"/>
      <c r="G1153" s="209"/>
      <c r="H1153" s="209"/>
      <c r="I1153" s="209"/>
      <c r="J1153" s="209"/>
      <c r="K1153" s="209"/>
      <c r="L1153" s="209"/>
      <c r="M1153" s="209"/>
      <c r="N1153" s="209"/>
      <c r="O1153" s="209"/>
      <c r="P1153" s="209"/>
      <c r="Q1153" s="209"/>
      <c r="R1153" s="209"/>
      <c r="S1153" s="209"/>
      <c r="T1153" s="209"/>
      <c r="U1153" s="209"/>
      <c r="V1153" s="209"/>
      <c r="W1153" s="209"/>
      <c r="X1153" s="209"/>
      <c r="Y1153" s="209"/>
      <c r="Z1153" s="209"/>
      <c r="AA1153" s="209"/>
      <c r="AB1153" s="209"/>
      <c r="AC1153" s="209"/>
      <c r="AD1153" s="209"/>
      <c r="AE1153" s="209"/>
      <c r="AF1153" s="209"/>
      <c r="AG1153" s="209"/>
      <c r="AH1153" s="209"/>
      <c r="AI1153" s="209"/>
      <c r="AJ1153" s="209"/>
    </row>
    <row r="1154">
      <c r="A1154" s="209"/>
      <c r="B1154" s="209"/>
      <c r="C1154" s="209"/>
      <c r="D1154" s="209"/>
      <c r="E1154" s="209"/>
      <c r="F1154" s="209"/>
      <c r="G1154" s="209"/>
      <c r="H1154" s="209"/>
      <c r="I1154" s="209"/>
      <c r="J1154" s="209"/>
      <c r="K1154" s="209"/>
      <c r="L1154" s="209"/>
      <c r="M1154" s="209"/>
      <c r="N1154" s="209"/>
      <c r="O1154" s="209"/>
      <c r="P1154" s="209"/>
      <c r="Q1154" s="209"/>
      <c r="R1154" s="209"/>
      <c r="S1154" s="209"/>
      <c r="T1154" s="209"/>
      <c r="U1154" s="209"/>
      <c r="V1154" s="209"/>
      <c r="W1154" s="209"/>
      <c r="X1154" s="209"/>
      <c r="Y1154" s="209"/>
      <c r="Z1154" s="209"/>
      <c r="AA1154" s="209"/>
      <c r="AB1154" s="209"/>
      <c r="AC1154" s="209"/>
      <c r="AD1154" s="209"/>
      <c r="AE1154" s="209"/>
      <c r="AF1154" s="209"/>
      <c r="AG1154" s="209"/>
      <c r="AH1154" s="209"/>
      <c r="AI1154" s="209"/>
      <c r="AJ1154" s="209"/>
    </row>
    <row r="1155">
      <c r="A1155" s="209"/>
      <c r="B1155" s="209"/>
      <c r="C1155" s="209"/>
      <c r="D1155" s="209"/>
      <c r="E1155" s="209"/>
      <c r="F1155" s="209"/>
      <c r="G1155" s="209"/>
      <c r="H1155" s="209"/>
      <c r="I1155" s="209"/>
      <c r="J1155" s="209"/>
      <c r="K1155" s="209"/>
      <c r="L1155" s="209"/>
      <c r="M1155" s="209"/>
      <c r="N1155" s="209"/>
      <c r="O1155" s="209"/>
      <c r="P1155" s="209"/>
      <c r="Q1155" s="209"/>
      <c r="R1155" s="209"/>
      <c r="S1155" s="209"/>
      <c r="T1155" s="209"/>
      <c r="U1155" s="209"/>
      <c r="V1155" s="209"/>
      <c r="W1155" s="209"/>
      <c r="X1155" s="209"/>
      <c r="Y1155" s="209"/>
      <c r="Z1155" s="209"/>
      <c r="AA1155" s="209"/>
      <c r="AB1155" s="209"/>
      <c r="AC1155" s="209"/>
      <c r="AD1155" s="209"/>
      <c r="AE1155" s="209"/>
      <c r="AF1155" s="209"/>
      <c r="AG1155" s="209"/>
      <c r="AH1155" s="209"/>
      <c r="AI1155" s="209"/>
      <c r="AJ1155" s="209"/>
    </row>
    <row r="1156">
      <c r="A1156" s="209"/>
      <c r="B1156" s="209"/>
      <c r="C1156" s="209"/>
      <c r="D1156" s="209"/>
      <c r="E1156" s="209"/>
      <c r="F1156" s="209"/>
      <c r="G1156" s="209"/>
      <c r="H1156" s="209"/>
      <c r="I1156" s="209"/>
      <c r="J1156" s="209"/>
      <c r="K1156" s="209"/>
      <c r="L1156" s="209"/>
      <c r="M1156" s="209"/>
      <c r="N1156" s="209"/>
      <c r="O1156" s="209"/>
      <c r="P1156" s="209"/>
      <c r="Q1156" s="209"/>
      <c r="R1156" s="209"/>
      <c r="S1156" s="209"/>
      <c r="T1156" s="209"/>
      <c r="U1156" s="209"/>
      <c r="V1156" s="209"/>
      <c r="W1156" s="209"/>
      <c r="X1156" s="209"/>
      <c r="Y1156" s="209"/>
      <c r="Z1156" s="209"/>
      <c r="AA1156" s="209"/>
      <c r="AB1156" s="209"/>
      <c r="AC1156" s="209"/>
      <c r="AD1156" s="209"/>
      <c r="AE1156" s="209"/>
      <c r="AF1156" s="209"/>
      <c r="AG1156" s="209"/>
      <c r="AH1156" s="209"/>
      <c r="AI1156" s="209"/>
      <c r="AJ1156" s="209"/>
    </row>
    <row r="1157">
      <c r="A1157" s="209"/>
      <c r="B1157" s="209"/>
      <c r="C1157" s="209"/>
      <c r="D1157" s="209"/>
      <c r="E1157" s="209"/>
      <c r="F1157" s="209"/>
      <c r="G1157" s="209"/>
      <c r="H1157" s="209"/>
      <c r="I1157" s="209"/>
      <c r="J1157" s="209"/>
      <c r="K1157" s="209"/>
      <c r="L1157" s="209"/>
      <c r="M1157" s="209"/>
      <c r="N1157" s="209"/>
      <c r="O1157" s="209"/>
      <c r="P1157" s="209"/>
      <c r="Q1157" s="209"/>
      <c r="R1157" s="209"/>
      <c r="S1157" s="209"/>
      <c r="T1157" s="209"/>
      <c r="U1157" s="209"/>
      <c r="V1157" s="209"/>
      <c r="W1157" s="209"/>
      <c r="X1157" s="209"/>
      <c r="Y1157" s="209"/>
      <c r="Z1157" s="209"/>
      <c r="AA1157" s="209"/>
      <c r="AB1157" s="209"/>
      <c r="AC1157" s="209"/>
      <c r="AD1157" s="209"/>
      <c r="AE1157" s="209"/>
      <c r="AF1157" s="209"/>
      <c r="AG1157" s="209"/>
      <c r="AH1157" s="209"/>
      <c r="AI1157" s="209"/>
      <c r="AJ1157" s="209"/>
    </row>
    <row r="1158">
      <c r="A1158" s="209"/>
      <c r="B1158" s="209"/>
      <c r="C1158" s="209"/>
      <c r="D1158" s="209"/>
      <c r="E1158" s="209"/>
      <c r="F1158" s="209"/>
      <c r="G1158" s="209"/>
      <c r="H1158" s="209"/>
      <c r="I1158" s="209"/>
      <c r="J1158" s="209"/>
      <c r="K1158" s="209"/>
      <c r="L1158" s="209"/>
      <c r="M1158" s="209"/>
      <c r="N1158" s="209"/>
      <c r="O1158" s="209"/>
      <c r="P1158" s="209"/>
      <c r="Q1158" s="209"/>
      <c r="R1158" s="209"/>
      <c r="S1158" s="209"/>
      <c r="T1158" s="209"/>
      <c r="U1158" s="209"/>
      <c r="V1158" s="209"/>
      <c r="W1158" s="209"/>
      <c r="X1158" s="209"/>
      <c r="Y1158" s="209"/>
      <c r="Z1158" s="209"/>
      <c r="AA1158" s="209"/>
      <c r="AB1158" s="209"/>
      <c r="AC1158" s="209"/>
      <c r="AD1158" s="209"/>
      <c r="AE1158" s="209"/>
      <c r="AF1158" s="209"/>
      <c r="AG1158" s="209"/>
      <c r="AH1158" s="209"/>
      <c r="AI1158" s="209"/>
      <c r="AJ1158" s="209"/>
    </row>
    <row r="1159">
      <c r="A1159" s="209"/>
      <c r="B1159" s="209"/>
      <c r="C1159" s="209"/>
      <c r="D1159" s="209"/>
      <c r="E1159" s="209"/>
      <c r="F1159" s="209"/>
      <c r="G1159" s="209"/>
      <c r="H1159" s="209"/>
      <c r="I1159" s="209"/>
      <c r="J1159" s="209"/>
      <c r="K1159" s="209"/>
      <c r="L1159" s="209"/>
      <c r="M1159" s="209"/>
      <c r="N1159" s="209"/>
      <c r="O1159" s="209"/>
      <c r="P1159" s="209"/>
      <c r="Q1159" s="209"/>
      <c r="R1159" s="209"/>
      <c r="S1159" s="209"/>
      <c r="T1159" s="209"/>
      <c r="U1159" s="209"/>
      <c r="V1159" s="209"/>
      <c r="W1159" s="209"/>
      <c r="X1159" s="209"/>
      <c r="Y1159" s="209"/>
      <c r="Z1159" s="209"/>
      <c r="AA1159" s="209"/>
      <c r="AB1159" s="209"/>
      <c r="AC1159" s="209"/>
      <c r="AD1159" s="209"/>
      <c r="AE1159" s="209"/>
      <c r="AF1159" s="209"/>
      <c r="AG1159" s="209"/>
      <c r="AH1159" s="209"/>
      <c r="AI1159" s="209"/>
      <c r="AJ1159" s="209"/>
    </row>
    <row r="1160">
      <c r="A1160" s="209"/>
      <c r="B1160" s="209"/>
      <c r="C1160" s="209"/>
      <c r="D1160" s="209"/>
      <c r="E1160" s="209"/>
      <c r="F1160" s="209"/>
      <c r="G1160" s="209"/>
      <c r="H1160" s="209"/>
      <c r="I1160" s="209"/>
      <c r="J1160" s="209"/>
      <c r="K1160" s="209"/>
      <c r="L1160" s="209"/>
      <c r="M1160" s="209"/>
      <c r="N1160" s="209"/>
      <c r="O1160" s="209"/>
      <c r="P1160" s="209"/>
      <c r="Q1160" s="209"/>
      <c r="R1160" s="209"/>
      <c r="S1160" s="209"/>
      <c r="T1160" s="209"/>
      <c r="U1160" s="209"/>
      <c r="V1160" s="209"/>
      <c r="W1160" s="209"/>
      <c r="X1160" s="209"/>
      <c r="Y1160" s="209"/>
      <c r="Z1160" s="209"/>
      <c r="AA1160" s="209"/>
      <c r="AB1160" s="209"/>
      <c r="AC1160" s="209"/>
      <c r="AD1160" s="209"/>
      <c r="AE1160" s="209"/>
      <c r="AF1160" s="209"/>
      <c r="AG1160" s="209"/>
      <c r="AH1160" s="209"/>
      <c r="AI1160" s="209"/>
      <c r="AJ1160" s="209"/>
    </row>
    <row r="1161">
      <c r="A1161" s="209"/>
      <c r="B1161" s="209"/>
      <c r="C1161" s="209"/>
      <c r="D1161" s="209"/>
      <c r="E1161" s="209"/>
      <c r="F1161" s="209"/>
      <c r="G1161" s="209"/>
      <c r="H1161" s="209"/>
      <c r="I1161" s="209"/>
      <c r="J1161" s="209"/>
      <c r="K1161" s="209"/>
      <c r="L1161" s="209"/>
      <c r="M1161" s="209"/>
      <c r="N1161" s="209"/>
      <c r="O1161" s="209"/>
      <c r="P1161" s="209"/>
      <c r="Q1161" s="209"/>
      <c r="R1161" s="209"/>
      <c r="S1161" s="209"/>
      <c r="T1161" s="209"/>
      <c r="U1161" s="209"/>
      <c r="V1161" s="209"/>
      <c r="W1161" s="209"/>
      <c r="X1161" s="209"/>
      <c r="Y1161" s="209"/>
      <c r="Z1161" s="209"/>
      <c r="AA1161" s="209"/>
      <c r="AB1161" s="209"/>
      <c r="AC1161" s="209"/>
      <c r="AD1161" s="209"/>
      <c r="AE1161" s="209"/>
      <c r="AF1161" s="209"/>
      <c r="AG1161" s="209"/>
      <c r="AH1161" s="209"/>
      <c r="AI1161" s="209"/>
      <c r="AJ1161" s="209"/>
    </row>
    <row r="1162">
      <c r="A1162" s="209"/>
      <c r="B1162" s="209"/>
      <c r="C1162" s="209"/>
      <c r="D1162" s="209"/>
      <c r="E1162" s="209"/>
      <c r="F1162" s="209"/>
      <c r="G1162" s="209"/>
      <c r="H1162" s="209"/>
      <c r="I1162" s="209"/>
      <c r="J1162" s="209"/>
      <c r="K1162" s="209"/>
      <c r="L1162" s="209"/>
      <c r="M1162" s="209"/>
      <c r="N1162" s="209"/>
      <c r="O1162" s="209"/>
      <c r="P1162" s="209"/>
      <c r="Q1162" s="209"/>
      <c r="R1162" s="209"/>
      <c r="S1162" s="209"/>
      <c r="T1162" s="209"/>
      <c r="U1162" s="209"/>
      <c r="V1162" s="209"/>
      <c r="W1162" s="209"/>
      <c r="X1162" s="209"/>
      <c r="Y1162" s="209"/>
      <c r="Z1162" s="209"/>
      <c r="AA1162" s="209"/>
      <c r="AB1162" s="209"/>
      <c r="AC1162" s="209"/>
      <c r="AD1162" s="209"/>
      <c r="AE1162" s="209"/>
      <c r="AF1162" s="209"/>
      <c r="AG1162" s="209"/>
      <c r="AH1162" s="209"/>
      <c r="AI1162" s="209"/>
      <c r="AJ1162" s="209"/>
    </row>
    <row r="1163">
      <c r="A1163" s="209"/>
      <c r="B1163" s="209"/>
      <c r="C1163" s="209"/>
      <c r="D1163" s="209"/>
      <c r="E1163" s="209"/>
      <c r="F1163" s="209"/>
      <c r="G1163" s="209"/>
      <c r="H1163" s="209"/>
      <c r="I1163" s="209"/>
      <c r="J1163" s="209"/>
      <c r="K1163" s="209"/>
      <c r="L1163" s="209"/>
      <c r="M1163" s="209"/>
      <c r="N1163" s="209"/>
      <c r="O1163" s="209"/>
      <c r="P1163" s="209"/>
      <c r="Q1163" s="209"/>
      <c r="R1163" s="209"/>
      <c r="S1163" s="209"/>
      <c r="T1163" s="209"/>
      <c r="U1163" s="209"/>
      <c r="V1163" s="209"/>
      <c r="W1163" s="209"/>
      <c r="X1163" s="209"/>
      <c r="Y1163" s="209"/>
      <c r="Z1163" s="209"/>
      <c r="AA1163" s="209"/>
      <c r="AB1163" s="209"/>
      <c r="AC1163" s="209"/>
      <c r="AD1163" s="209"/>
      <c r="AE1163" s="209"/>
      <c r="AF1163" s="209"/>
      <c r="AG1163" s="209"/>
      <c r="AH1163" s="209"/>
      <c r="AI1163" s="209"/>
      <c r="AJ1163" s="209"/>
    </row>
    <row r="1164">
      <c r="A1164" s="209"/>
      <c r="B1164" s="209"/>
      <c r="C1164" s="209"/>
      <c r="D1164" s="209"/>
      <c r="E1164" s="209"/>
      <c r="F1164" s="209"/>
      <c r="G1164" s="209"/>
      <c r="H1164" s="209"/>
      <c r="I1164" s="209"/>
      <c r="J1164" s="209"/>
      <c r="K1164" s="209"/>
      <c r="L1164" s="209"/>
      <c r="M1164" s="209"/>
      <c r="N1164" s="209"/>
      <c r="O1164" s="209"/>
      <c r="P1164" s="209"/>
      <c r="Q1164" s="209"/>
      <c r="R1164" s="209"/>
      <c r="S1164" s="209"/>
      <c r="T1164" s="209"/>
      <c r="U1164" s="209"/>
      <c r="V1164" s="209"/>
      <c r="W1164" s="209"/>
      <c r="X1164" s="209"/>
      <c r="Y1164" s="209"/>
      <c r="Z1164" s="209"/>
      <c r="AA1164" s="209"/>
      <c r="AB1164" s="209"/>
      <c r="AC1164" s="209"/>
      <c r="AD1164" s="209"/>
      <c r="AE1164" s="209"/>
      <c r="AF1164" s="209"/>
      <c r="AG1164" s="209"/>
      <c r="AH1164" s="209"/>
      <c r="AI1164" s="209"/>
      <c r="AJ1164" s="209"/>
    </row>
    <row r="1165">
      <c r="A1165" s="209"/>
      <c r="B1165" s="209"/>
      <c r="C1165" s="209"/>
      <c r="D1165" s="209"/>
      <c r="E1165" s="209"/>
      <c r="F1165" s="209"/>
      <c r="G1165" s="209"/>
      <c r="H1165" s="209"/>
      <c r="I1165" s="209"/>
      <c r="J1165" s="209"/>
      <c r="K1165" s="209"/>
      <c r="L1165" s="209"/>
      <c r="M1165" s="209"/>
      <c r="N1165" s="209"/>
      <c r="O1165" s="209"/>
      <c r="P1165" s="209"/>
      <c r="Q1165" s="209"/>
      <c r="R1165" s="209"/>
      <c r="S1165" s="209"/>
      <c r="T1165" s="209"/>
      <c r="U1165" s="209"/>
      <c r="V1165" s="209"/>
      <c r="W1165" s="209"/>
      <c r="X1165" s="209"/>
      <c r="Y1165" s="209"/>
      <c r="Z1165" s="209"/>
      <c r="AA1165" s="209"/>
      <c r="AB1165" s="209"/>
      <c r="AC1165" s="209"/>
      <c r="AD1165" s="209"/>
      <c r="AE1165" s="209"/>
      <c r="AF1165" s="209"/>
      <c r="AG1165" s="209"/>
      <c r="AH1165" s="209"/>
      <c r="AI1165" s="209"/>
      <c r="AJ1165" s="209"/>
    </row>
    <row r="1166">
      <c r="A1166" s="209"/>
      <c r="B1166" s="209"/>
      <c r="C1166" s="209"/>
      <c r="D1166" s="209"/>
      <c r="E1166" s="209"/>
      <c r="F1166" s="209"/>
      <c r="G1166" s="209"/>
      <c r="H1166" s="209"/>
      <c r="I1166" s="209"/>
      <c r="J1166" s="209"/>
      <c r="K1166" s="209"/>
      <c r="L1166" s="209"/>
      <c r="M1166" s="209"/>
      <c r="N1166" s="209"/>
      <c r="O1166" s="209"/>
      <c r="P1166" s="209"/>
      <c r="Q1166" s="209"/>
      <c r="R1166" s="209"/>
      <c r="S1166" s="209"/>
      <c r="T1166" s="209"/>
      <c r="U1166" s="209"/>
      <c r="V1166" s="209"/>
      <c r="W1166" s="209"/>
      <c r="X1166" s="209"/>
      <c r="Y1166" s="209"/>
      <c r="Z1166" s="209"/>
      <c r="AA1166" s="209"/>
      <c r="AB1166" s="209"/>
      <c r="AC1166" s="209"/>
      <c r="AD1166" s="209"/>
      <c r="AE1166" s="209"/>
      <c r="AF1166" s="209"/>
      <c r="AG1166" s="209"/>
      <c r="AH1166" s="209"/>
      <c r="AI1166" s="209"/>
      <c r="AJ1166" s="209"/>
    </row>
    <row r="1167">
      <c r="A1167" s="209"/>
      <c r="B1167" s="209"/>
      <c r="C1167" s="209"/>
      <c r="D1167" s="209"/>
      <c r="E1167" s="209"/>
      <c r="F1167" s="209"/>
      <c r="G1167" s="209"/>
      <c r="H1167" s="209"/>
      <c r="I1167" s="209"/>
      <c r="J1167" s="209"/>
      <c r="K1167" s="209"/>
      <c r="L1167" s="209"/>
      <c r="M1167" s="209"/>
      <c r="N1167" s="209"/>
      <c r="O1167" s="209"/>
      <c r="P1167" s="209"/>
      <c r="Q1167" s="209"/>
      <c r="R1167" s="209"/>
      <c r="S1167" s="209"/>
      <c r="T1167" s="209"/>
      <c r="U1167" s="209"/>
      <c r="V1167" s="209"/>
      <c r="W1167" s="209"/>
      <c r="X1167" s="209"/>
      <c r="Y1167" s="209"/>
      <c r="Z1167" s="209"/>
      <c r="AA1167" s="209"/>
      <c r="AB1167" s="209"/>
      <c r="AC1167" s="209"/>
      <c r="AD1167" s="209"/>
      <c r="AE1167" s="209"/>
      <c r="AF1167" s="209"/>
      <c r="AG1167" s="209"/>
      <c r="AH1167" s="209"/>
      <c r="AI1167" s="209"/>
      <c r="AJ1167" s="209"/>
    </row>
    <row r="1168">
      <c r="A1168" s="209"/>
      <c r="B1168" s="209"/>
      <c r="C1168" s="209"/>
      <c r="D1168" s="209"/>
      <c r="E1168" s="209"/>
      <c r="F1168" s="209"/>
      <c r="G1168" s="209"/>
      <c r="H1168" s="209"/>
      <c r="I1168" s="209"/>
      <c r="J1168" s="209"/>
      <c r="K1168" s="209"/>
      <c r="L1168" s="209"/>
      <c r="M1168" s="209"/>
      <c r="N1168" s="209"/>
      <c r="O1168" s="209"/>
      <c r="P1168" s="209"/>
      <c r="Q1168" s="209"/>
      <c r="R1168" s="209"/>
      <c r="S1168" s="209"/>
      <c r="T1168" s="209"/>
      <c r="U1168" s="209"/>
      <c r="V1168" s="209"/>
      <c r="W1168" s="209"/>
      <c r="X1168" s="209"/>
      <c r="Y1168" s="209"/>
      <c r="Z1168" s="209"/>
      <c r="AA1168" s="209"/>
      <c r="AB1168" s="209"/>
      <c r="AC1168" s="209"/>
      <c r="AD1168" s="209"/>
      <c r="AE1168" s="209"/>
      <c r="AF1168" s="209"/>
      <c r="AG1168" s="209"/>
      <c r="AH1168" s="209"/>
      <c r="AI1168" s="209"/>
      <c r="AJ1168" s="209"/>
    </row>
    <row r="1169">
      <c r="A1169" s="209"/>
      <c r="B1169" s="209"/>
      <c r="C1169" s="209"/>
      <c r="D1169" s="209"/>
      <c r="E1169" s="209"/>
      <c r="F1169" s="209"/>
      <c r="G1169" s="209"/>
      <c r="H1169" s="209"/>
      <c r="I1169" s="209"/>
      <c r="J1169" s="209"/>
      <c r="K1169" s="209"/>
      <c r="L1169" s="209"/>
      <c r="M1169" s="209"/>
      <c r="N1169" s="209"/>
      <c r="O1169" s="209"/>
      <c r="P1169" s="209"/>
      <c r="Q1169" s="209"/>
      <c r="R1169" s="209"/>
      <c r="S1169" s="209"/>
      <c r="T1169" s="209"/>
      <c r="U1169" s="209"/>
      <c r="V1169" s="209"/>
      <c r="W1169" s="209"/>
      <c r="X1169" s="209"/>
      <c r="Y1169" s="209"/>
      <c r="Z1169" s="209"/>
      <c r="AA1169" s="209"/>
      <c r="AB1169" s="209"/>
      <c r="AC1169" s="209"/>
      <c r="AD1169" s="209"/>
      <c r="AE1169" s="209"/>
      <c r="AF1169" s="209"/>
      <c r="AG1169" s="209"/>
      <c r="AH1169" s="209"/>
      <c r="AI1169" s="209"/>
      <c r="AJ1169" s="209"/>
    </row>
    <row r="1170">
      <c r="A1170" s="209"/>
      <c r="B1170" s="209"/>
      <c r="C1170" s="209"/>
      <c r="D1170" s="209"/>
      <c r="E1170" s="209"/>
      <c r="F1170" s="209"/>
      <c r="G1170" s="209"/>
      <c r="H1170" s="209"/>
      <c r="I1170" s="209"/>
      <c r="J1170" s="209"/>
      <c r="K1170" s="209"/>
      <c r="L1170" s="209"/>
      <c r="M1170" s="209"/>
      <c r="N1170" s="209"/>
      <c r="O1170" s="209"/>
      <c r="P1170" s="209"/>
      <c r="Q1170" s="209"/>
      <c r="R1170" s="209"/>
      <c r="S1170" s="209"/>
      <c r="T1170" s="209"/>
      <c r="U1170" s="209"/>
      <c r="V1170" s="209"/>
      <c r="W1170" s="209"/>
      <c r="X1170" s="209"/>
      <c r="Y1170" s="209"/>
      <c r="Z1170" s="209"/>
      <c r="AA1170" s="209"/>
      <c r="AB1170" s="209"/>
      <c r="AC1170" s="209"/>
      <c r="AD1170" s="209"/>
      <c r="AE1170" s="209"/>
      <c r="AF1170" s="209"/>
      <c r="AG1170" s="209"/>
      <c r="AH1170" s="209"/>
      <c r="AI1170" s="209"/>
      <c r="AJ1170" s="209"/>
    </row>
    <row r="1171">
      <c r="A1171" s="209"/>
      <c r="B1171" s="209"/>
      <c r="C1171" s="209"/>
      <c r="D1171" s="209"/>
      <c r="E1171" s="209"/>
      <c r="F1171" s="209"/>
      <c r="G1171" s="209"/>
      <c r="H1171" s="209"/>
      <c r="I1171" s="209"/>
      <c r="J1171" s="209"/>
      <c r="K1171" s="209"/>
      <c r="L1171" s="209"/>
      <c r="M1171" s="209"/>
      <c r="N1171" s="209"/>
      <c r="O1171" s="209"/>
      <c r="P1171" s="209"/>
      <c r="Q1171" s="209"/>
      <c r="R1171" s="209"/>
      <c r="S1171" s="209"/>
      <c r="T1171" s="209"/>
      <c r="U1171" s="209"/>
      <c r="V1171" s="209"/>
      <c r="W1171" s="209"/>
      <c r="X1171" s="209"/>
      <c r="Y1171" s="209"/>
      <c r="Z1171" s="209"/>
      <c r="AA1171" s="209"/>
      <c r="AB1171" s="209"/>
      <c r="AC1171" s="209"/>
      <c r="AD1171" s="209"/>
      <c r="AE1171" s="209"/>
      <c r="AF1171" s="209"/>
      <c r="AG1171" s="209"/>
      <c r="AH1171" s="209"/>
      <c r="AI1171" s="209"/>
      <c r="AJ1171" s="209"/>
    </row>
    <row r="1172">
      <c r="A1172" s="209"/>
      <c r="B1172" s="209"/>
      <c r="C1172" s="209"/>
      <c r="D1172" s="209"/>
      <c r="E1172" s="209"/>
      <c r="F1172" s="209"/>
      <c r="G1172" s="209"/>
      <c r="H1172" s="209"/>
      <c r="I1172" s="209"/>
      <c r="J1172" s="209"/>
      <c r="K1172" s="209"/>
      <c r="L1172" s="209"/>
      <c r="M1172" s="209"/>
      <c r="N1172" s="209"/>
      <c r="O1172" s="209"/>
      <c r="P1172" s="209"/>
      <c r="Q1172" s="209"/>
      <c r="R1172" s="209"/>
      <c r="S1172" s="209"/>
      <c r="T1172" s="209"/>
      <c r="U1172" s="209"/>
      <c r="V1172" s="209"/>
      <c r="W1172" s="209"/>
      <c r="X1172" s="209"/>
      <c r="Y1172" s="209"/>
      <c r="Z1172" s="209"/>
      <c r="AA1172" s="209"/>
      <c r="AB1172" s="209"/>
      <c r="AC1172" s="209"/>
      <c r="AD1172" s="209"/>
      <c r="AE1172" s="209"/>
      <c r="AF1172" s="209"/>
      <c r="AG1172" s="209"/>
      <c r="AH1172" s="209"/>
      <c r="AI1172" s="209"/>
      <c r="AJ1172" s="209"/>
    </row>
    <row r="1173">
      <c r="A1173" s="209"/>
      <c r="B1173" s="209"/>
      <c r="C1173" s="209"/>
      <c r="D1173" s="209"/>
      <c r="E1173" s="209"/>
      <c r="F1173" s="209"/>
      <c r="G1173" s="209"/>
      <c r="H1173" s="209"/>
      <c r="I1173" s="209"/>
      <c r="J1173" s="209"/>
      <c r="K1173" s="209"/>
      <c r="L1173" s="209"/>
      <c r="M1173" s="209"/>
      <c r="N1173" s="209"/>
      <c r="O1173" s="209"/>
      <c r="P1173" s="209"/>
      <c r="Q1173" s="209"/>
      <c r="R1173" s="209"/>
      <c r="S1173" s="209"/>
      <c r="T1173" s="209"/>
      <c r="U1173" s="209"/>
      <c r="V1173" s="209"/>
      <c r="W1173" s="209"/>
      <c r="X1173" s="209"/>
      <c r="Y1173" s="209"/>
      <c r="Z1173" s="209"/>
      <c r="AA1173" s="209"/>
      <c r="AB1173" s="209"/>
      <c r="AC1173" s="209"/>
      <c r="AD1173" s="209"/>
      <c r="AE1173" s="209"/>
      <c r="AF1173" s="209"/>
      <c r="AG1173" s="209"/>
      <c r="AH1173" s="209"/>
      <c r="AI1173" s="209"/>
      <c r="AJ1173" s="209"/>
    </row>
    <row r="1174">
      <c r="A1174" s="209"/>
      <c r="B1174" s="209"/>
      <c r="C1174" s="209"/>
      <c r="D1174" s="209"/>
      <c r="E1174" s="209"/>
      <c r="F1174" s="209"/>
      <c r="G1174" s="209"/>
      <c r="H1174" s="209"/>
      <c r="I1174" s="209"/>
      <c r="J1174" s="209"/>
      <c r="K1174" s="209"/>
      <c r="L1174" s="209"/>
      <c r="M1174" s="209"/>
      <c r="N1174" s="209"/>
      <c r="O1174" s="209"/>
      <c r="P1174" s="209"/>
      <c r="Q1174" s="209"/>
      <c r="R1174" s="209"/>
      <c r="S1174" s="209"/>
      <c r="T1174" s="209"/>
      <c r="U1174" s="209"/>
      <c r="V1174" s="209"/>
      <c r="W1174" s="209"/>
      <c r="X1174" s="209"/>
      <c r="Y1174" s="209"/>
      <c r="Z1174" s="209"/>
      <c r="AA1174" s="209"/>
      <c r="AB1174" s="209"/>
      <c r="AC1174" s="209"/>
      <c r="AD1174" s="209"/>
      <c r="AE1174" s="209"/>
      <c r="AF1174" s="209"/>
      <c r="AG1174" s="209"/>
      <c r="AH1174" s="209"/>
      <c r="AI1174" s="209"/>
      <c r="AJ1174" s="209"/>
    </row>
    <row r="1175">
      <c r="A1175" s="209"/>
      <c r="B1175" s="209"/>
      <c r="C1175" s="209"/>
      <c r="D1175" s="209"/>
      <c r="E1175" s="209"/>
      <c r="F1175" s="209"/>
      <c r="G1175" s="209"/>
      <c r="H1175" s="209"/>
      <c r="I1175" s="209"/>
      <c r="J1175" s="209"/>
      <c r="K1175" s="209"/>
      <c r="L1175" s="209"/>
      <c r="M1175" s="209"/>
      <c r="N1175" s="209"/>
      <c r="O1175" s="209"/>
      <c r="P1175" s="209"/>
      <c r="Q1175" s="209"/>
      <c r="R1175" s="209"/>
      <c r="S1175" s="209"/>
      <c r="T1175" s="209"/>
      <c r="U1175" s="209"/>
      <c r="V1175" s="209"/>
      <c r="W1175" s="209"/>
      <c r="X1175" s="209"/>
      <c r="Y1175" s="209"/>
      <c r="Z1175" s="209"/>
      <c r="AA1175" s="209"/>
      <c r="AB1175" s="209"/>
      <c r="AC1175" s="209"/>
      <c r="AD1175" s="209"/>
      <c r="AE1175" s="209"/>
      <c r="AF1175" s="209"/>
      <c r="AG1175" s="209"/>
      <c r="AH1175" s="209"/>
      <c r="AI1175" s="209"/>
      <c r="AJ1175" s="209"/>
    </row>
    <row r="1176">
      <c r="A1176" s="209"/>
      <c r="B1176" s="209"/>
      <c r="C1176" s="209"/>
      <c r="D1176" s="209"/>
      <c r="E1176" s="209"/>
      <c r="F1176" s="209"/>
      <c r="G1176" s="209"/>
      <c r="H1176" s="209"/>
      <c r="I1176" s="209"/>
      <c r="J1176" s="209"/>
      <c r="K1176" s="209"/>
      <c r="L1176" s="209"/>
      <c r="M1176" s="209"/>
      <c r="N1176" s="209"/>
      <c r="O1176" s="209"/>
      <c r="P1176" s="209"/>
      <c r="Q1176" s="209"/>
      <c r="R1176" s="209"/>
      <c r="S1176" s="209"/>
      <c r="T1176" s="209"/>
      <c r="U1176" s="209"/>
      <c r="V1176" s="209"/>
      <c r="W1176" s="209"/>
      <c r="X1176" s="209"/>
      <c r="Y1176" s="209"/>
      <c r="Z1176" s="209"/>
      <c r="AA1176" s="209"/>
      <c r="AB1176" s="209"/>
      <c r="AC1176" s="209"/>
      <c r="AD1176" s="209"/>
      <c r="AE1176" s="209"/>
      <c r="AF1176" s="209"/>
      <c r="AG1176" s="209"/>
      <c r="AH1176" s="209"/>
      <c r="AI1176" s="209"/>
      <c r="AJ1176" s="209"/>
    </row>
    <row r="1177">
      <c r="A1177" s="209"/>
      <c r="B1177" s="209"/>
      <c r="C1177" s="209"/>
      <c r="D1177" s="209"/>
      <c r="E1177" s="209"/>
      <c r="F1177" s="209"/>
      <c r="G1177" s="209"/>
      <c r="H1177" s="209"/>
      <c r="I1177" s="209"/>
      <c r="J1177" s="209"/>
      <c r="K1177" s="209"/>
      <c r="L1177" s="209"/>
      <c r="M1177" s="209"/>
      <c r="N1177" s="209"/>
      <c r="O1177" s="209"/>
      <c r="P1177" s="209"/>
      <c r="Q1177" s="209"/>
      <c r="R1177" s="209"/>
      <c r="S1177" s="209"/>
      <c r="T1177" s="209"/>
      <c r="U1177" s="209"/>
      <c r="V1177" s="209"/>
      <c r="W1177" s="209"/>
      <c r="X1177" s="209"/>
      <c r="Y1177" s="209"/>
      <c r="Z1177" s="209"/>
      <c r="AA1177" s="209"/>
      <c r="AB1177" s="209"/>
      <c r="AC1177" s="209"/>
      <c r="AD1177" s="209"/>
      <c r="AE1177" s="209"/>
      <c r="AF1177" s="209"/>
      <c r="AG1177" s="209"/>
      <c r="AH1177" s="209"/>
      <c r="AI1177" s="209"/>
      <c r="AJ1177" s="209"/>
    </row>
    <row r="1178">
      <c r="A1178" s="209"/>
      <c r="B1178" s="209"/>
      <c r="C1178" s="209"/>
      <c r="D1178" s="209"/>
      <c r="E1178" s="209"/>
      <c r="F1178" s="209"/>
      <c r="G1178" s="209"/>
      <c r="H1178" s="209"/>
      <c r="I1178" s="209"/>
      <c r="J1178" s="209"/>
      <c r="K1178" s="209"/>
      <c r="L1178" s="209"/>
      <c r="M1178" s="209"/>
      <c r="N1178" s="209"/>
      <c r="O1178" s="209"/>
      <c r="P1178" s="209"/>
      <c r="Q1178" s="209"/>
      <c r="R1178" s="209"/>
      <c r="S1178" s="209"/>
      <c r="T1178" s="209"/>
      <c r="U1178" s="209"/>
      <c r="V1178" s="209"/>
      <c r="W1178" s="209"/>
      <c r="X1178" s="209"/>
      <c r="Y1178" s="209"/>
      <c r="Z1178" s="209"/>
      <c r="AA1178" s="209"/>
      <c r="AB1178" s="209"/>
      <c r="AC1178" s="209"/>
      <c r="AD1178" s="209"/>
      <c r="AE1178" s="209"/>
      <c r="AF1178" s="209"/>
      <c r="AG1178" s="209"/>
      <c r="AH1178" s="209"/>
      <c r="AI1178" s="209"/>
      <c r="AJ1178" s="209"/>
    </row>
    <row r="1179">
      <c r="A1179" s="209"/>
      <c r="B1179" s="209"/>
      <c r="C1179" s="209"/>
      <c r="D1179" s="209"/>
      <c r="E1179" s="209"/>
      <c r="F1179" s="209"/>
      <c r="G1179" s="209"/>
      <c r="H1179" s="209"/>
      <c r="I1179" s="209"/>
      <c r="J1179" s="209"/>
      <c r="K1179" s="209"/>
      <c r="L1179" s="209"/>
      <c r="M1179" s="209"/>
      <c r="N1179" s="209"/>
      <c r="O1179" s="209"/>
      <c r="P1179" s="209"/>
      <c r="Q1179" s="209"/>
      <c r="R1179" s="209"/>
      <c r="S1179" s="209"/>
      <c r="T1179" s="209"/>
      <c r="U1179" s="209"/>
      <c r="V1179" s="209"/>
      <c r="W1179" s="209"/>
      <c r="X1179" s="209"/>
      <c r="Y1179" s="209"/>
      <c r="Z1179" s="209"/>
      <c r="AA1179" s="209"/>
      <c r="AB1179" s="209"/>
      <c r="AC1179" s="209"/>
      <c r="AD1179" s="209"/>
      <c r="AE1179" s="209"/>
      <c r="AF1179" s="209"/>
      <c r="AG1179" s="209"/>
      <c r="AH1179" s="209"/>
      <c r="AI1179" s="209"/>
      <c r="AJ1179" s="209"/>
    </row>
    <row r="1180">
      <c r="A1180" s="209"/>
      <c r="B1180" s="209"/>
      <c r="C1180" s="209"/>
      <c r="D1180" s="209"/>
      <c r="E1180" s="209"/>
      <c r="F1180" s="209"/>
      <c r="G1180" s="209"/>
      <c r="H1180" s="209"/>
      <c r="I1180" s="209"/>
      <c r="J1180" s="209"/>
      <c r="K1180" s="209"/>
      <c r="L1180" s="209"/>
      <c r="M1180" s="209"/>
      <c r="N1180" s="209"/>
      <c r="O1180" s="209"/>
      <c r="P1180" s="209"/>
      <c r="Q1180" s="209"/>
      <c r="R1180" s="209"/>
      <c r="S1180" s="209"/>
      <c r="T1180" s="209"/>
      <c r="U1180" s="209"/>
      <c r="V1180" s="209"/>
      <c r="W1180" s="209"/>
      <c r="X1180" s="209"/>
      <c r="Y1180" s="209"/>
      <c r="Z1180" s="209"/>
      <c r="AA1180" s="209"/>
      <c r="AB1180" s="209"/>
      <c r="AC1180" s="209"/>
      <c r="AD1180" s="209"/>
      <c r="AE1180" s="209"/>
      <c r="AF1180" s="209"/>
      <c r="AG1180" s="209"/>
      <c r="AH1180" s="209"/>
      <c r="AI1180" s="209"/>
      <c r="AJ1180" s="209"/>
    </row>
    <row r="1181">
      <c r="A1181" s="209"/>
      <c r="B1181" s="209"/>
      <c r="C1181" s="209"/>
      <c r="D1181" s="209"/>
      <c r="E1181" s="209"/>
      <c r="F1181" s="209"/>
      <c r="G1181" s="209"/>
      <c r="H1181" s="209"/>
      <c r="I1181" s="209"/>
      <c r="J1181" s="209"/>
      <c r="K1181" s="209"/>
      <c r="L1181" s="209"/>
      <c r="M1181" s="209"/>
      <c r="N1181" s="209"/>
      <c r="O1181" s="209"/>
      <c r="P1181" s="209"/>
      <c r="Q1181" s="209"/>
      <c r="R1181" s="209"/>
      <c r="S1181" s="209"/>
      <c r="T1181" s="209"/>
      <c r="U1181" s="209"/>
      <c r="V1181" s="209"/>
      <c r="W1181" s="209"/>
      <c r="X1181" s="209"/>
      <c r="Y1181" s="209"/>
      <c r="Z1181" s="209"/>
      <c r="AA1181" s="209"/>
      <c r="AB1181" s="209"/>
      <c r="AC1181" s="209"/>
      <c r="AD1181" s="209"/>
      <c r="AE1181" s="209"/>
      <c r="AF1181" s="209"/>
      <c r="AG1181" s="209"/>
      <c r="AH1181" s="209"/>
      <c r="AI1181" s="209"/>
      <c r="AJ1181" s="209"/>
    </row>
    <row r="1182">
      <c r="A1182" s="209"/>
      <c r="B1182" s="209"/>
      <c r="C1182" s="209"/>
      <c r="D1182" s="209"/>
      <c r="E1182" s="209"/>
      <c r="F1182" s="209"/>
      <c r="G1182" s="209"/>
      <c r="H1182" s="209"/>
      <c r="I1182" s="209"/>
      <c r="J1182" s="209"/>
      <c r="K1182" s="209"/>
      <c r="L1182" s="209"/>
      <c r="M1182" s="209"/>
      <c r="N1182" s="209"/>
      <c r="O1182" s="209"/>
      <c r="P1182" s="209"/>
      <c r="Q1182" s="209"/>
      <c r="R1182" s="209"/>
      <c r="S1182" s="209"/>
      <c r="T1182" s="209"/>
      <c r="U1182" s="209"/>
      <c r="V1182" s="209"/>
      <c r="W1182" s="209"/>
      <c r="X1182" s="209"/>
      <c r="Y1182" s="209"/>
      <c r="Z1182" s="209"/>
      <c r="AA1182" s="209"/>
      <c r="AB1182" s="209"/>
      <c r="AC1182" s="209"/>
      <c r="AD1182" s="209"/>
      <c r="AE1182" s="209"/>
      <c r="AF1182" s="209"/>
      <c r="AG1182" s="209"/>
      <c r="AH1182" s="209"/>
      <c r="AI1182" s="209"/>
      <c r="AJ1182" s="209"/>
    </row>
    <row r="1183">
      <c r="A1183" s="209"/>
      <c r="B1183" s="209"/>
      <c r="C1183" s="209"/>
      <c r="D1183" s="209"/>
      <c r="E1183" s="209"/>
      <c r="F1183" s="209"/>
      <c r="G1183" s="209"/>
      <c r="H1183" s="209"/>
      <c r="I1183" s="209"/>
      <c r="J1183" s="209"/>
      <c r="K1183" s="209"/>
      <c r="L1183" s="209"/>
      <c r="M1183" s="209"/>
      <c r="N1183" s="209"/>
      <c r="O1183" s="209"/>
      <c r="P1183" s="209"/>
      <c r="Q1183" s="209"/>
      <c r="R1183" s="209"/>
      <c r="S1183" s="209"/>
      <c r="T1183" s="209"/>
      <c r="U1183" s="209"/>
      <c r="V1183" s="209"/>
      <c r="W1183" s="209"/>
      <c r="X1183" s="209"/>
      <c r="Y1183" s="209"/>
      <c r="Z1183" s="209"/>
      <c r="AA1183" s="209"/>
      <c r="AB1183" s="209"/>
      <c r="AC1183" s="209"/>
      <c r="AD1183" s="209"/>
      <c r="AE1183" s="209"/>
      <c r="AF1183" s="209"/>
      <c r="AG1183" s="209"/>
      <c r="AH1183" s="209"/>
      <c r="AI1183" s="209"/>
      <c r="AJ1183" s="209"/>
    </row>
    <row r="1184">
      <c r="A1184" s="209"/>
      <c r="B1184" s="209"/>
      <c r="C1184" s="209"/>
      <c r="D1184" s="209"/>
      <c r="E1184" s="209"/>
      <c r="F1184" s="209"/>
      <c r="G1184" s="209"/>
      <c r="H1184" s="209"/>
      <c r="I1184" s="209"/>
      <c r="J1184" s="209"/>
      <c r="K1184" s="209"/>
      <c r="L1184" s="209"/>
      <c r="M1184" s="209"/>
      <c r="N1184" s="209"/>
      <c r="O1184" s="209"/>
      <c r="P1184" s="209"/>
      <c r="Q1184" s="209"/>
      <c r="R1184" s="209"/>
      <c r="S1184" s="209"/>
      <c r="T1184" s="209"/>
      <c r="U1184" s="209"/>
      <c r="V1184" s="209"/>
      <c r="W1184" s="209"/>
      <c r="X1184" s="209"/>
      <c r="Y1184" s="209"/>
      <c r="Z1184" s="209"/>
      <c r="AA1184" s="209"/>
      <c r="AB1184" s="209"/>
      <c r="AC1184" s="209"/>
      <c r="AD1184" s="209"/>
      <c r="AE1184" s="209"/>
      <c r="AF1184" s="209"/>
      <c r="AG1184" s="209"/>
      <c r="AH1184" s="209"/>
      <c r="AI1184" s="209"/>
      <c r="AJ1184" s="209"/>
    </row>
    <row r="1185">
      <c r="A1185" s="209"/>
      <c r="B1185" s="209"/>
      <c r="C1185" s="209"/>
      <c r="D1185" s="209"/>
      <c r="E1185" s="209"/>
      <c r="F1185" s="209"/>
      <c r="G1185" s="209"/>
      <c r="H1185" s="209"/>
      <c r="I1185" s="209"/>
      <c r="J1185" s="209"/>
      <c r="K1185" s="209"/>
      <c r="L1185" s="209"/>
      <c r="M1185" s="209"/>
      <c r="N1185" s="209"/>
      <c r="O1185" s="209"/>
      <c r="P1185" s="209"/>
      <c r="Q1185" s="209"/>
      <c r="R1185" s="209"/>
      <c r="S1185" s="209"/>
      <c r="T1185" s="209"/>
      <c r="U1185" s="209"/>
      <c r="V1185" s="209"/>
      <c r="W1185" s="209"/>
      <c r="X1185" s="209"/>
      <c r="Y1185" s="209"/>
      <c r="Z1185" s="209"/>
      <c r="AA1185" s="209"/>
      <c r="AB1185" s="209"/>
      <c r="AC1185" s="209"/>
      <c r="AD1185" s="209"/>
      <c r="AE1185" s="209"/>
      <c r="AF1185" s="209"/>
      <c r="AG1185" s="209"/>
      <c r="AH1185" s="209"/>
      <c r="AI1185" s="209"/>
      <c r="AJ1185" s="209"/>
    </row>
    <row r="1186">
      <c r="A1186" s="209"/>
      <c r="B1186" s="209"/>
      <c r="C1186" s="209"/>
      <c r="D1186" s="209"/>
      <c r="E1186" s="209"/>
      <c r="F1186" s="209"/>
      <c r="G1186" s="209"/>
      <c r="H1186" s="209"/>
      <c r="I1186" s="209"/>
      <c r="J1186" s="209"/>
      <c r="K1186" s="209"/>
      <c r="L1186" s="209"/>
      <c r="M1186" s="209"/>
      <c r="N1186" s="209"/>
      <c r="O1186" s="209"/>
      <c r="P1186" s="209"/>
      <c r="Q1186" s="209"/>
      <c r="R1186" s="209"/>
      <c r="S1186" s="209"/>
      <c r="T1186" s="209"/>
      <c r="U1186" s="209"/>
      <c r="V1186" s="209"/>
      <c r="W1186" s="209"/>
      <c r="X1186" s="209"/>
      <c r="Y1186" s="209"/>
      <c r="Z1186" s="209"/>
      <c r="AA1186" s="209"/>
      <c r="AB1186" s="209"/>
      <c r="AC1186" s="209"/>
      <c r="AD1186" s="209"/>
      <c r="AE1186" s="209"/>
      <c r="AF1186" s="209"/>
      <c r="AG1186" s="209"/>
      <c r="AH1186" s="209"/>
      <c r="AI1186" s="209"/>
      <c r="AJ1186" s="209"/>
    </row>
    <row r="1187">
      <c r="A1187" s="209"/>
      <c r="B1187" s="209"/>
      <c r="C1187" s="209"/>
      <c r="D1187" s="209"/>
      <c r="E1187" s="209"/>
      <c r="F1187" s="209"/>
      <c r="G1187" s="209"/>
      <c r="H1187" s="209"/>
      <c r="I1187" s="209"/>
      <c r="J1187" s="209"/>
      <c r="K1187" s="209"/>
      <c r="L1187" s="209"/>
      <c r="M1187" s="209"/>
      <c r="N1187" s="209"/>
      <c r="O1187" s="209"/>
      <c r="P1187" s="209"/>
      <c r="Q1187" s="209"/>
      <c r="R1187" s="209"/>
      <c r="S1187" s="209"/>
      <c r="T1187" s="209"/>
      <c r="U1187" s="209"/>
      <c r="V1187" s="209"/>
      <c r="W1187" s="209"/>
      <c r="X1187" s="209"/>
      <c r="Y1187" s="209"/>
      <c r="Z1187" s="209"/>
      <c r="AA1187" s="209"/>
      <c r="AB1187" s="209"/>
      <c r="AC1187" s="209"/>
      <c r="AD1187" s="209"/>
      <c r="AE1187" s="209"/>
      <c r="AF1187" s="209"/>
      <c r="AG1187" s="209"/>
      <c r="AH1187" s="209"/>
      <c r="AI1187" s="209"/>
      <c r="AJ1187" s="209"/>
    </row>
    <row r="1188">
      <c r="A1188" s="209"/>
      <c r="B1188" s="209"/>
      <c r="C1188" s="209"/>
      <c r="D1188" s="209"/>
      <c r="E1188" s="209"/>
      <c r="F1188" s="209"/>
      <c r="G1188" s="209"/>
      <c r="H1188" s="209"/>
      <c r="I1188" s="209"/>
      <c r="J1188" s="209"/>
      <c r="K1188" s="209"/>
      <c r="L1188" s="209"/>
      <c r="M1188" s="209"/>
      <c r="N1188" s="209"/>
      <c r="O1188" s="209"/>
      <c r="P1188" s="209"/>
      <c r="Q1188" s="209"/>
      <c r="R1188" s="209"/>
      <c r="S1188" s="209"/>
      <c r="T1188" s="209"/>
      <c r="U1188" s="209"/>
      <c r="V1188" s="209"/>
      <c r="W1188" s="209"/>
      <c r="X1188" s="209"/>
      <c r="Y1188" s="209"/>
      <c r="Z1188" s="209"/>
      <c r="AA1188" s="209"/>
      <c r="AB1188" s="209"/>
      <c r="AC1188" s="209"/>
      <c r="AD1188" s="209"/>
      <c r="AE1188" s="209"/>
      <c r="AF1188" s="209"/>
      <c r="AG1188" s="209"/>
      <c r="AH1188" s="209"/>
      <c r="AI1188" s="209"/>
      <c r="AJ1188" s="209"/>
    </row>
    <row r="1189">
      <c r="A1189" s="209"/>
      <c r="B1189" s="209"/>
      <c r="C1189" s="209"/>
      <c r="D1189" s="209"/>
      <c r="E1189" s="209"/>
      <c r="F1189" s="209"/>
      <c r="G1189" s="209"/>
      <c r="H1189" s="209"/>
      <c r="I1189" s="209"/>
      <c r="J1189" s="209"/>
      <c r="K1189" s="209"/>
      <c r="L1189" s="209"/>
      <c r="M1189" s="209"/>
      <c r="N1189" s="209"/>
      <c r="O1189" s="209"/>
      <c r="P1189" s="209"/>
      <c r="Q1189" s="209"/>
      <c r="R1189" s="209"/>
      <c r="S1189" s="209"/>
      <c r="T1189" s="209"/>
      <c r="U1189" s="209"/>
      <c r="V1189" s="209"/>
      <c r="W1189" s="209"/>
      <c r="X1189" s="209"/>
      <c r="Y1189" s="209"/>
      <c r="Z1189" s="209"/>
      <c r="AA1189" s="209"/>
      <c r="AB1189" s="209"/>
      <c r="AC1189" s="209"/>
      <c r="AD1189" s="209"/>
      <c r="AE1189" s="209"/>
      <c r="AF1189" s="209"/>
      <c r="AG1189" s="209"/>
      <c r="AH1189" s="209"/>
      <c r="AI1189" s="209"/>
      <c r="AJ1189" s="209"/>
    </row>
    <row r="1190">
      <c r="A1190" s="209"/>
      <c r="B1190" s="209"/>
      <c r="C1190" s="209"/>
      <c r="D1190" s="209"/>
      <c r="E1190" s="209"/>
      <c r="F1190" s="209"/>
      <c r="G1190" s="209"/>
      <c r="H1190" s="209"/>
      <c r="I1190" s="209"/>
      <c r="J1190" s="209"/>
      <c r="K1190" s="209"/>
      <c r="L1190" s="209"/>
      <c r="M1190" s="209"/>
      <c r="N1190" s="209"/>
      <c r="O1190" s="209"/>
      <c r="P1190" s="209"/>
      <c r="Q1190" s="209"/>
      <c r="R1190" s="209"/>
      <c r="S1190" s="209"/>
      <c r="T1190" s="209"/>
      <c r="U1190" s="209"/>
      <c r="V1190" s="209"/>
      <c r="W1190" s="209"/>
      <c r="X1190" s="209"/>
      <c r="Y1190" s="209"/>
      <c r="Z1190" s="209"/>
      <c r="AA1190" s="209"/>
      <c r="AB1190" s="209"/>
      <c r="AC1190" s="209"/>
      <c r="AD1190" s="209"/>
      <c r="AE1190" s="209"/>
      <c r="AF1190" s="209"/>
      <c r="AG1190" s="209"/>
      <c r="AH1190" s="209"/>
      <c r="AI1190" s="209"/>
      <c r="AJ1190" s="209"/>
    </row>
    <row r="1191">
      <c r="A1191" s="209"/>
      <c r="B1191" s="209"/>
      <c r="C1191" s="209"/>
      <c r="D1191" s="209"/>
      <c r="E1191" s="209"/>
      <c r="F1191" s="209"/>
      <c r="G1191" s="209"/>
      <c r="H1191" s="209"/>
      <c r="I1191" s="209"/>
      <c r="J1191" s="209"/>
      <c r="K1191" s="209"/>
      <c r="L1191" s="209"/>
      <c r="M1191" s="209"/>
      <c r="N1191" s="209"/>
      <c r="O1191" s="209"/>
      <c r="P1191" s="209"/>
      <c r="Q1191" s="209"/>
      <c r="R1191" s="209"/>
      <c r="S1191" s="209"/>
      <c r="T1191" s="209"/>
      <c r="U1191" s="209"/>
      <c r="V1191" s="209"/>
      <c r="W1191" s="209"/>
      <c r="X1191" s="209"/>
      <c r="Y1191" s="209"/>
      <c r="Z1191" s="209"/>
      <c r="AA1191" s="209"/>
      <c r="AB1191" s="209"/>
      <c r="AC1191" s="209"/>
      <c r="AD1191" s="209"/>
      <c r="AE1191" s="209"/>
      <c r="AF1191" s="209"/>
      <c r="AG1191" s="209"/>
      <c r="AH1191" s="209"/>
      <c r="AI1191" s="209"/>
      <c r="AJ1191" s="209"/>
    </row>
    <row r="1192">
      <c r="A1192" s="209"/>
      <c r="B1192" s="209"/>
      <c r="C1192" s="209"/>
      <c r="D1192" s="209"/>
      <c r="E1192" s="209"/>
      <c r="F1192" s="209"/>
      <c r="G1192" s="209"/>
      <c r="H1192" s="209"/>
      <c r="I1192" s="209"/>
      <c r="J1192" s="209"/>
      <c r="K1192" s="209"/>
      <c r="L1192" s="209"/>
      <c r="M1192" s="209"/>
      <c r="N1192" s="209"/>
      <c r="O1192" s="209"/>
      <c r="P1192" s="209"/>
      <c r="Q1192" s="209"/>
      <c r="R1192" s="209"/>
      <c r="S1192" s="209"/>
      <c r="T1192" s="209"/>
      <c r="U1192" s="209"/>
      <c r="V1192" s="209"/>
      <c r="W1192" s="209"/>
      <c r="X1192" s="209"/>
      <c r="Y1192" s="209"/>
      <c r="Z1192" s="209"/>
      <c r="AA1192" s="209"/>
      <c r="AB1192" s="209"/>
      <c r="AC1192" s="209"/>
      <c r="AD1192" s="209"/>
      <c r="AE1192" s="209"/>
      <c r="AF1192" s="209"/>
      <c r="AG1192" s="209"/>
      <c r="AH1192" s="209"/>
      <c r="AI1192" s="209"/>
      <c r="AJ1192" s="209"/>
    </row>
    <row r="1193">
      <c r="A1193" s="209"/>
      <c r="B1193" s="209"/>
      <c r="C1193" s="209"/>
      <c r="D1193" s="209"/>
      <c r="E1193" s="209"/>
      <c r="F1193" s="209"/>
      <c r="G1193" s="209"/>
      <c r="H1193" s="209"/>
      <c r="I1193" s="209"/>
      <c r="J1193" s="209"/>
      <c r="K1193" s="209"/>
      <c r="L1193" s="209"/>
      <c r="M1193" s="209"/>
      <c r="N1193" s="209"/>
      <c r="O1193" s="209"/>
      <c r="P1193" s="209"/>
      <c r="Q1193" s="209"/>
      <c r="R1193" s="209"/>
      <c r="S1193" s="209"/>
      <c r="T1193" s="209"/>
      <c r="U1193" s="209"/>
      <c r="V1193" s="209"/>
      <c r="W1193" s="209"/>
      <c r="X1193" s="209"/>
      <c r="Y1193" s="209"/>
      <c r="Z1193" s="209"/>
      <c r="AA1193" s="209"/>
      <c r="AB1193" s="209"/>
      <c r="AC1193" s="209"/>
      <c r="AD1193" s="209"/>
      <c r="AE1193" s="209"/>
      <c r="AF1193" s="209"/>
      <c r="AG1193" s="209"/>
      <c r="AH1193" s="209"/>
      <c r="AI1193" s="209"/>
      <c r="AJ1193" s="209"/>
    </row>
    <row r="1194">
      <c r="A1194" s="209"/>
      <c r="B1194" s="209"/>
      <c r="C1194" s="209"/>
      <c r="D1194" s="209"/>
      <c r="E1194" s="209"/>
      <c r="F1194" s="209"/>
      <c r="G1194" s="209"/>
      <c r="H1194" s="209"/>
      <c r="I1194" s="209"/>
      <c r="J1194" s="209"/>
      <c r="K1194" s="209"/>
      <c r="L1194" s="209"/>
      <c r="M1194" s="209"/>
      <c r="N1194" s="209"/>
      <c r="O1194" s="209"/>
      <c r="P1194" s="209"/>
      <c r="Q1194" s="209"/>
      <c r="R1194" s="209"/>
      <c r="S1194" s="209"/>
      <c r="T1194" s="209"/>
      <c r="U1194" s="209"/>
      <c r="V1194" s="209"/>
      <c r="W1194" s="209"/>
      <c r="X1194" s="209"/>
      <c r="Y1194" s="209"/>
      <c r="Z1194" s="209"/>
      <c r="AA1194" s="209"/>
      <c r="AB1194" s="209"/>
      <c r="AC1194" s="209"/>
      <c r="AD1194" s="209"/>
      <c r="AE1194" s="209"/>
      <c r="AF1194" s="209"/>
      <c r="AG1194" s="209"/>
      <c r="AH1194" s="209"/>
      <c r="AI1194" s="209"/>
      <c r="AJ1194" s="209"/>
    </row>
    <row r="1195">
      <c r="A1195" s="209"/>
      <c r="B1195" s="209"/>
      <c r="C1195" s="209"/>
      <c r="D1195" s="209"/>
      <c r="E1195" s="209"/>
      <c r="F1195" s="209"/>
      <c r="G1195" s="209"/>
      <c r="H1195" s="209"/>
      <c r="I1195" s="209"/>
      <c r="J1195" s="209"/>
      <c r="K1195" s="209"/>
      <c r="L1195" s="209"/>
      <c r="M1195" s="209"/>
      <c r="N1195" s="209"/>
      <c r="O1195" s="209"/>
      <c r="P1195" s="209"/>
      <c r="Q1195" s="209"/>
      <c r="R1195" s="209"/>
      <c r="S1195" s="209"/>
      <c r="T1195" s="209"/>
      <c r="U1195" s="209"/>
      <c r="V1195" s="209"/>
      <c r="W1195" s="209"/>
      <c r="X1195" s="209"/>
      <c r="Y1195" s="209"/>
      <c r="Z1195" s="209"/>
      <c r="AA1195" s="209"/>
      <c r="AB1195" s="209"/>
      <c r="AC1195" s="209"/>
      <c r="AD1195" s="209"/>
      <c r="AE1195" s="209"/>
      <c r="AF1195" s="209"/>
      <c r="AG1195" s="209"/>
      <c r="AH1195" s="209"/>
      <c r="AI1195" s="209"/>
      <c r="AJ1195" s="209"/>
    </row>
    <row r="1196">
      <c r="A1196" s="209"/>
      <c r="B1196" s="209"/>
      <c r="C1196" s="209"/>
      <c r="D1196" s="209"/>
      <c r="E1196" s="209"/>
      <c r="F1196" s="209"/>
      <c r="G1196" s="209"/>
      <c r="H1196" s="209"/>
      <c r="I1196" s="209"/>
      <c r="J1196" s="209"/>
      <c r="K1196" s="209"/>
      <c r="L1196" s="209"/>
      <c r="M1196" s="209"/>
      <c r="N1196" s="209"/>
      <c r="O1196" s="209"/>
      <c r="P1196" s="209"/>
      <c r="Q1196" s="209"/>
      <c r="R1196" s="209"/>
      <c r="S1196" s="209"/>
      <c r="T1196" s="209"/>
      <c r="U1196" s="209"/>
      <c r="V1196" s="209"/>
      <c r="W1196" s="209"/>
      <c r="X1196" s="209"/>
      <c r="Y1196" s="209"/>
      <c r="Z1196" s="209"/>
      <c r="AA1196" s="209"/>
      <c r="AB1196" s="209"/>
      <c r="AC1196" s="209"/>
      <c r="AD1196" s="209"/>
      <c r="AE1196" s="209"/>
      <c r="AF1196" s="209"/>
      <c r="AG1196" s="209"/>
      <c r="AH1196" s="209"/>
      <c r="AI1196" s="209"/>
      <c r="AJ1196" s="209"/>
    </row>
    <row r="1197">
      <c r="A1197" s="209"/>
      <c r="B1197" s="209"/>
      <c r="C1197" s="209"/>
      <c r="D1197" s="209"/>
      <c r="E1197" s="209"/>
      <c r="F1197" s="209"/>
      <c r="G1197" s="209"/>
      <c r="H1197" s="209"/>
      <c r="I1197" s="209"/>
      <c r="J1197" s="209"/>
      <c r="K1197" s="209"/>
      <c r="L1197" s="209"/>
      <c r="M1197" s="209"/>
      <c r="N1197" s="209"/>
      <c r="O1197" s="209"/>
      <c r="P1197" s="209"/>
      <c r="Q1197" s="209"/>
      <c r="R1197" s="209"/>
      <c r="S1197" s="209"/>
      <c r="T1197" s="209"/>
      <c r="U1197" s="209"/>
      <c r="V1197" s="209"/>
      <c r="W1197" s="209"/>
      <c r="X1197" s="209"/>
      <c r="Y1197" s="209"/>
      <c r="Z1197" s="209"/>
      <c r="AA1197" s="209"/>
      <c r="AB1197" s="209"/>
      <c r="AC1197" s="209"/>
      <c r="AD1197" s="209"/>
      <c r="AE1197" s="209"/>
      <c r="AF1197" s="209"/>
      <c r="AG1197" s="209"/>
      <c r="AH1197" s="209"/>
      <c r="AI1197" s="209"/>
      <c r="AJ1197" s="209"/>
    </row>
    <row r="1198">
      <c r="A1198" s="209"/>
      <c r="B1198" s="209"/>
      <c r="C1198" s="209"/>
      <c r="D1198" s="209"/>
      <c r="E1198" s="209"/>
      <c r="F1198" s="209"/>
      <c r="G1198" s="209"/>
      <c r="H1198" s="209"/>
      <c r="I1198" s="209"/>
      <c r="J1198" s="209"/>
      <c r="K1198" s="209"/>
      <c r="L1198" s="209"/>
      <c r="M1198" s="209"/>
      <c r="N1198" s="209"/>
      <c r="O1198" s="209"/>
      <c r="P1198" s="209"/>
      <c r="Q1198" s="209"/>
      <c r="R1198" s="209"/>
      <c r="S1198" s="209"/>
      <c r="T1198" s="209"/>
      <c r="U1198" s="209"/>
      <c r="V1198" s="209"/>
      <c r="W1198" s="209"/>
      <c r="X1198" s="209"/>
      <c r="Y1198" s="209"/>
      <c r="Z1198" s="209"/>
      <c r="AA1198" s="209"/>
      <c r="AB1198" s="209"/>
      <c r="AC1198" s="209"/>
      <c r="AD1198" s="209"/>
      <c r="AE1198" s="209"/>
      <c r="AF1198" s="209"/>
      <c r="AG1198" s="209"/>
      <c r="AH1198" s="209"/>
      <c r="AI1198" s="209"/>
      <c r="AJ1198" s="209"/>
    </row>
    <row r="1199">
      <c r="A1199" s="209"/>
      <c r="B1199" s="209"/>
      <c r="C1199" s="209"/>
      <c r="D1199" s="209"/>
      <c r="E1199" s="209"/>
      <c r="F1199" s="209"/>
      <c r="G1199" s="209"/>
      <c r="H1199" s="209"/>
      <c r="I1199" s="209"/>
      <c r="J1199" s="209"/>
      <c r="K1199" s="209"/>
      <c r="L1199" s="209"/>
      <c r="M1199" s="209"/>
      <c r="N1199" s="209"/>
      <c r="O1199" s="209"/>
      <c r="P1199" s="209"/>
      <c r="Q1199" s="209"/>
      <c r="R1199" s="209"/>
      <c r="S1199" s="209"/>
      <c r="T1199" s="209"/>
      <c r="U1199" s="209"/>
      <c r="V1199" s="209"/>
      <c r="W1199" s="209"/>
      <c r="X1199" s="209"/>
      <c r="Y1199" s="209"/>
      <c r="Z1199" s="209"/>
      <c r="AA1199" s="209"/>
      <c r="AB1199" s="209"/>
      <c r="AC1199" s="209"/>
      <c r="AD1199" s="209"/>
      <c r="AE1199" s="209"/>
      <c r="AF1199" s="209"/>
      <c r="AG1199" s="209"/>
      <c r="AH1199" s="209"/>
      <c r="AI1199" s="209"/>
      <c r="AJ1199" s="209"/>
    </row>
    <row r="1200">
      <c r="A1200" s="209"/>
      <c r="B1200" s="209"/>
      <c r="C1200" s="209"/>
      <c r="D1200" s="209"/>
      <c r="E1200" s="209"/>
      <c r="F1200" s="209"/>
      <c r="G1200" s="209"/>
      <c r="H1200" s="209"/>
      <c r="I1200" s="209"/>
      <c r="J1200" s="209"/>
      <c r="K1200" s="209"/>
      <c r="L1200" s="209"/>
      <c r="M1200" s="209"/>
      <c r="N1200" s="209"/>
      <c r="O1200" s="209"/>
      <c r="P1200" s="209"/>
      <c r="Q1200" s="209"/>
      <c r="R1200" s="209"/>
      <c r="S1200" s="209"/>
      <c r="T1200" s="209"/>
      <c r="U1200" s="209"/>
      <c r="V1200" s="209"/>
      <c r="W1200" s="209"/>
      <c r="X1200" s="209"/>
      <c r="Y1200" s="209"/>
      <c r="Z1200" s="209"/>
      <c r="AA1200" s="209"/>
      <c r="AB1200" s="209"/>
      <c r="AC1200" s="209"/>
      <c r="AD1200" s="209"/>
      <c r="AE1200" s="209"/>
      <c r="AF1200" s="209"/>
      <c r="AG1200" s="209"/>
      <c r="AH1200" s="209"/>
      <c r="AI1200" s="209"/>
      <c r="AJ1200" s="209"/>
    </row>
    <row r="1201">
      <c r="A1201" s="209"/>
      <c r="B1201" s="209"/>
      <c r="C1201" s="209"/>
      <c r="D1201" s="209"/>
      <c r="E1201" s="209"/>
      <c r="F1201" s="209"/>
      <c r="G1201" s="209"/>
      <c r="H1201" s="209"/>
      <c r="I1201" s="209"/>
      <c r="J1201" s="209"/>
      <c r="K1201" s="209"/>
      <c r="L1201" s="209"/>
      <c r="M1201" s="209"/>
      <c r="N1201" s="209"/>
      <c r="O1201" s="209"/>
      <c r="P1201" s="209"/>
      <c r="Q1201" s="209"/>
      <c r="R1201" s="209"/>
      <c r="S1201" s="209"/>
      <c r="T1201" s="209"/>
      <c r="U1201" s="209"/>
      <c r="V1201" s="209"/>
      <c r="W1201" s="209"/>
      <c r="X1201" s="209"/>
      <c r="Y1201" s="209"/>
      <c r="Z1201" s="209"/>
      <c r="AA1201" s="209"/>
      <c r="AB1201" s="209"/>
      <c r="AC1201" s="209"/>
      <c r="AD1201" s="209"/>
      <c r="AE1201" s="209"/>
      <c r="AF1201" s="209"/>
      <c r="AG1201" s="209"/>
      <c r="AH1201" s="209"/>
      <c r="AI1201" s="209"/>
      <c r="AJ1201" s="209"/>
    </row>
    <row r="1202">
      <c r="A1202" s="209"/>
      <c r="B1202" s="209"/>
      <c r="C1202" s="209"/>
      <c r="D1202" s="209"/>
      <c r="E1202" s="209"/>
      <c r="F1202" s="209"/>
      <c r="G1202" s="209"/>
      <c r="H1202" s="209"/>
      <c r="I1202" s="209"/>
      <c r="J1202" s="209"/>
      <c r="K1202" s="209"/>
      <c r="L1202" s="209"/>
      <c r="M1202" s="209"/>
      <c r="N1202" s="209"/>
      <c r="O1202" s="209"/>
      <c r="P1202" s="209"/>
      <c r="Q1202" s="209"/>
      <c r="R1202" s="209"/>
      <c r="S1202" s="209"/>
      <c r="T1202" s="209"/>
      <c r="U1202" s="209"/>
      <c r="V1202" s="209"/>
      <c r="W1202" s="209"/>
      <c r="X1202" s="209"/>
      <c r="Y1202" s="209"/>
      <c r="Z1202" s="209"/>
      <c r="AA1202" s="209"/>
      <c r="AB1202" s="209"/>
      <c r="AC1202" s="209"/>
      <c r="AD1202" s="209"/>
      <c r="AE1202" s="209"/>
      <c r="AF1202" s="209"/>
      <c r="AG1202" s="209"/>
      <c r="AH1202" s="209"/>
      <c r="AI1202" s="209"/>
      <c r="AJ1202" s="209"/>
    </row>
    <row r="1203">
      <c r="A1203" s="209"/>
      <c r="B1203" s="209"/>
      <c r="C1203" s="209"/>
      <c r="D1203" s="209"/>
      <c r="E1203" s="209"/>
      <c r="F1203" s="209"/>
      <c r="G1203" s="209"/>
      <c r="H1203" s="209"/>
      <c r="I1203" s="209"/>
      <c r="J1203" s="209"/>
      <c r="K1203" s="209"/>
      <c r="L1203" s="209"/>
      <c r="M1203" s="209"/>
      <c r="N1203" s="209"/>
      <c r="O1203" s="209"/>
      <c r="P1203" s="209"/>
      <c r="Q1203" s="209"/>
      <c r="R1203" s="209"/>
      <c r="S1203" s="209"/>
      <c r="T1203" s="209"/>
      <c r="U1203" s="209"/>
      <c r="V1203" s="209"/>
      <c r="W1203" s="209"/>
      <c r="X1203" s="209"/>
      <c r="Y1203" s="209"/>
      <c r="Z1203" s="209"/>
      <c r="AA1203" s="209"/>
      <c r="AB1203" s="209"/>
      <c r="AC1203" s="209"/>
      <c r="AD1203" s="209"/>
      <c r="AE1203" s="209"/>
      <c r="AF1203" s="209"/>
      <c r="AG1203" s="209"/>
      <c r="AH1203" s="209"/>
      <c r="AI1203" s="209"/>
      <c r="AJ1203" s="209"/>
    </row>
    <row r="1204">
      <c r="A1204" s="209"/>
      <c r="B1204" s="209"/>
      <c r="C1204" s="209"/>
      <c r="D1204" s="209"/>
      <c r="E1204" s="209"/>
      <c r="F1204" s="209"/>
      <c r="G1204" s="209"/>
      <c r="H1204" s="209"/>
      <c r="I1204" s="209"/>
      <c r="J1204" s="209"/>
      <c r="K1204" s="209"/>
      <c r="L1204" s="209"/>
      <c r="M1204" s="209"/>
      <c r="N1204" s="209"/>
      <c r="O1204" s="209"/>
      <c r="P1204" s="209"/>
      <c r="Q1204" s="209"/>
      <c r="R1204" s="209"/>
      <c r="S1204" s="209"/>
      <c r="T1204" s="209"/>
      <c r="U1204" s="209"/>
      <c r="V1204" s="209"/>
      <c r="W1204" s="209"/>
      <c r="X1204" s="209"/>
      <c r="Y1204" s="209"/>
      <c r="Z1204" s="209"/>
      <c r="AA1204" s="209"/>
      <c r="AB1204" s="209"/>
      <c r="AC1204" s="209"/>
      <c r="AD1204" s="209"/>
      <c r="AE1204" s="209"/>
      <c r="AF1204" s="209"/>
      <c r="AG1204" s="209"/>
      <c r="AH1204" s="209"/>
      <c r="AI1204" s="209"/>
      <c r="AJ1204" s="209"/>
    </row>
    <row r="1205">
      <c r="A1205" s="209"/>
      <c r="B1205" s="209"/>
      <c r="C1205" s="209"/>
      <c r="D1205" s="209"/>
      <c r="E1205" s="209"/>
      <c r="F1205" s="209"/>
      <c r="G1205" s="209"/>
      <c r="H1205" s="209"/>
      <c r="I1205" s="209"/>
      <c r="J1205" s="209"/>
      <c r="K1205" s="209"/>
      <c r="L1205" s="209"/>
      <c r="M1205" s="209"/>
      <c r="N1205" s="209"/>
      <c r="O1205" s="209"/>
      <c r="P1205" s="209"/>
      <c r="Q1205" s="209"/>
      <c r="R1205" s="209"/>
      <c r="S1205" s="209"/>
      <c r="T1205" s="209"/>
      <c r="U1205" s="209"/>
      <c r="V1205" s="209"/>
      <c r="W1205" s="209"/>
      <c r="X1205" s="209"/>
      <c r="Y1205" s="209"/>
      <c r="Z1205" s="209"/>
      <c r="AA1205" s="209"/>
      <c r="AB1205" s="209"/>
      <c r="AC1205" s="209"/>
      <c r="AD1205" s="209"/>
      <c r="AE1205" s="209"/>
      <c r="AF1205" s="209"/>
      <c r="AG1205" s="209"/>
      <c r="AH1205" s="209"/>
      <c r="AI1205" s="209"/>
      <c r="AJ1205" s="209"/>
    </row>
    <row r="1206">
      <c r="A1206" s="209"/>
      <c r="B1206" s="209"/>
      <c r="C1206" s="209"/>
      <c r="D1206" s="209"/>
      <c r="E1206" s="209"/>
      <c r="F1206" s="209"/>
      <c r="G1206" s="209"/>
      <c r="H1206" s="209"/>
      <c r="I1206" s="209"/>
      <c r="J1206" s="209"/>
      <c r="K1206" s="209"/>
      <c r="L1206" s="209"/>
      <c r="M1206" s="209"/>
      <c r="N1206" s="209"/>
      <c r="O1206" s="209"/>
      <c r="P1206" s="209"/>
      <c r="Q1206" s="209"/>
      <c r="R1206" s="209"/>
      <c r="S1206" s="209"/>
      <c r="T1206" s="209"/>
      <c r="U1206" s="209"/>
      <c r="V1206" s="209"/>
      <c r="W1206" s="209"/>
      <c r="X1206" s="209"/>
      <c r="Y1206" s="209"/>
      <c r="Z1206" s="209"/>
      <c r="AA1206" s="209"/>
      <c r="AB1206" s="209"/>
      <c r="AC1206" s="209"/>
      <c r="AD1206" s="209"/>
      <c r="AE1206" s="209"/>
      <c r="AF1206" s="209"/>
      <c r="AG1206" s="209"/>
      <c r="AH1206" s="209"/>
      <c r="AI1206" s="209"/>
      <c r="AJ1206" s="209"/>
    </row>
    <row r="1207">
      <c r="A1207" s="209"/>
      <c r="B1207" s="209"/>
      <c r="C1207" s="209"/>
      <c r="D1207" s="209"/>
      <c r="E1207" s="209"/>
      <c r="F1207" s="209"/>
      <c r="G1207" s="209"/>
      <c r="H1207" s="209"/>
      <c r="I1207" s="209"/>
      <c r="J1207" s="209"/>
      <c r="K1207" s="209"/>
      <c r="L1207" s="209"/>
      <c r="M1207" s="209"/>
      <c r="N1207" s="209"/>
      <c r="O1207" s="209"/>
      <c r="P1207" s="209"/>
      <c r="Q1207" s="209"/>
      <c r="R1207" s="209"/>
      <c r="S1207" s="209"/>
      <c r="T1207" s="209"/>
      <c r="U1207" s="209"/>
      <c r="V1207" s="209"/>
      <c r="W1207" s="209"/>
      <c r="X1207" s="209"/>
      <c r="Y1207" s="209"/>
      <c r="Z1207" s="209"/>
      <c r="AA1207" s="209"/>
      <c r="AB1207" s="209"/>
      <c r="AC1207" s="209"/>
      <c r="AD1207" s="209"/>
      <c r="AE1207" s="209"/>
      <c r="AF1207" s="209"/>
      <c r="AG1207" s="209"/>
      <c r="AH1207" s="209"/>
      <c r="AI1207" s="209"/>
      <c r="AJ1207" s="209"/>
    </row>
    <row r="1208">
      <c r="A1208" s="209"/>
      <c r="B1208" s="209"/>
      <c r="C1208" s="209"/>
      <c r="D1208" s="209"/>
      <c r="E1208" s="209"/>
      <c r="F1208" s="209"/>
      <c r="G1208" s="209"/>
      <c r="H1208" s="209"/>
      <c r="I1208" s="209"/>
      <c r="J1208" s="209"/>
      <c r="K1208" s="209"/>
      <c r="L1208" s="209"/>
      <c r="M1208" s="209"/>
      <c r="N1208" s="209"/>
      <c r="O1208" s="209"/>
      <c r="P1208" s="209"/>
      <c r="Q1208" s="209"/>
      <c r="R1208" s="209"/>
      <c r="S1208" s="209"/>
      <c r="T1208" s="209"/>
      <c r="U1208" s="209"/>
      <c r="V1208" s="209"/>
      <c r="W1208" s="209"/>
      <c r="X1208" s="209"/>
      <c r="Y1208" s="209"/>
      <c r="Z1208" s="209"/>
      <c r="AA1208" s="209"/>
      <c r="AB1208" s="209"/>
      <c r="AC1208" s="209"/>
      <c r="AD1208" s="209"/>
      <c r="AE1208" s="209"/>
      <c r="AF1208" s="209"/>
      <c r="AG1208" s="209"/>
      <c r="AH1208" s="209"/>
      <c r="AI1208" s="209"/>
      <c r="AJ1208" s="209"/>
    </row>
    <row r="1209">
      <c r="A1209" s="209"/>
      <c r="B1209" s="209"/>
      <c r="C1209" s="209"/>
      <c r="D1209" s="209"/>
      <c r="E1209" s="209"/>
      <c r="F1209" s="209"/>
      <c r="G1209" s="209"/>
      <c r="H1209" s="209"/>
      <c r="I1209" s="209"/>
      <c r="J1209" s="209"/>
      <c r="K1209" s="209"/>
      <c r="L1209" s="209"/>
      <c r="M1209" s="209"/>
      <c r="N1209" s="209"/>
      <c r="O1209" s="209"/>
      <c r="P1209" s="209"/>
      <c r="Q1209" s="209"/>
      <c r="R1209" s="209"/>
      <c r="S1209" s="209"/>
      <c r="T1209" s="209"/>
      <c r="U1209" s="209"/>
      <c r="V1209" s="209"/>
      <c r="W1209" s="209"/>
      <c r="X1209" s="209"/>
      <c r="Y1209" s="209"/>
      <c r="Z1209" s="209"/>
      <c r="AA1209" s="209"/>
      <c r="AB1209" s="209"/>
      <c r="AC1209" s="209"/>
      <c r="AD1209" s="209"/>
      <c r="AE1209" s="209"/>
      <c r="AF1209" s="209"/>
      <c r="AG1209" s="209"/>
      <c r="AH1209" s="209"/>
      <c r="AI1209" s="209"/>
      <c r="AJ1209" s="209"/>
    </row>
    <row r="1210">
      <c r="A1210" s="209"/>
      <c r="B1210" s="209"/>
      <c r="C1210" s="209"/>
      <c r="D1210" s="209"/>
      <c r="E1210" s="209"/>
      <c r="F1210" s="209"/>
      <c r="G1210" s="209"/>
      <c r="H1210" s="209"/>
      <c r="I1210" s="209"/>
      <c r="J1210" s="209"/>
      <c r="K1210" s="209"/>
      <c r="L1210" s="209"/>
      <c r="M1210" s="209"/>
      <c r="N1210" s="209"/>
      <c r="O1210" s="209"/>
      <c r="P1210" s="209"/>
      <c r="Q1210" s="209"/>
      <c r="R1210" s="209"/>
      <c r="S1210" s="209"/>
      <c r="T1210" s="209"/>
      <c r="U1210" s="209"/>
      <c r="V1210" s="209"/>
      <c r="W1210" s="209"/>
      <c r="X1210" s="209"/>
      <c r="Y1210" s="209"/>
      <c r="Z1210" s="209"/>
      <c r="AA1210" s="209"/>
      <c r="AB1210" s="209"/>
      <c r="AC1210" s="209"/>
      <c r="AD1210" s="209"/>
      <c r="AE1210" s="209"/>
      <c r="AF1210" s="209"/>
      <c r="AG1210" s="209"/>
      <c r="AH1210" s="209"/>
      <c r="AI1210" s="209"/>
      <c r="AJ1210" s="209"/>
    </row>
    <row r="1211">
      <c r="A1211" s="209"/>
      <c r="B1211" s="209"/>
      <c r="C1211" s="209"/>
      <c r="D1211" s="209"/>
      <c r="E1211" s="209"/>
      <c r="F1211" s="209"/>
      <c r="G1211" s="209"/>
      <c r="H1211" s="209"/>
      <c r="I1211" s="209"/>
      <c r="J1211" s="209"/>
      <c r="K1211" s="209"/>
      <c r="L1211" s="209"/>
      <c r="M1211" s="209"/>
      <c r="N1211" s="209"/>
      <c r="O1211" s="209"/>
      <c r="P1211" s="209"/>
      <c r="Q1211" s="209"/>
      <c r="R1211" s="209"/>
      <c r="S1211" s="209"/>
      <c r="T1211" s="209"/>
      <c r="U1211" s="209"/>
      <c r="V1211" s="209"/>
      <c r="W1211" s="209"/>
      <c r="X1211" s="209"/>
      <c r="Y1211" s="209"/>
      <c r="Z1211" s="209"/>
      <c r="AA1211" s="209"/>
      <c r="AB1211" s="209"/>
      <c r="AC1211" s="209"/>
      <c r="AD1211" s="209"/>
      <c r="AE1211" s="209"/>
      <c r="AF1211" s="209"/>
      <c r="AG1211" s="209"/>
      <c r="AH1211" s="209"/>
      <c r="AI1211" s="209"/>
      <c r="AJ1211" s="209"/>
    </row>
    <row r="1212">
      <c r="A1212" s="209"/>
      <c r="B1212" s="209"/>
      <c r="C1212" s="209"/>
      <c r="D1212" s="209"/>
      <c r="E1212" s="209"/>
      <c r="F1212" s="209"/>
      <c r="G1212" s="209"/>
      <c r="H1212" s="209"/>
      <c r="I1212" s="209"/>
      <c r="J1212" s="209"/>
      <c r="K1212" s="209"/>
      <c r="L1212" s="209"/>
      <c r="M1212" s="209"/>
      <c r="N1212" s="209"/>
      <c r="O1212" s="209"/>
      <c r="P1212" s="209"/>
      <c r="Q1212" s="209"/>
      <c r="R1212" s="209"/>
      <c r="S1212" s="209"/>
      <c r="T1212" s="209"/>
      <c r="U1212" s="209"/>
      <c r="V1212" s="209"/>
      <c r="W1212" s="209"/>
      <c r="X1212" s="209"/>
      <c r="Y1212" s="209"/>
      <c r="Z1212" s="209"/>
      <c r="AA1212" s="209"/>
      <c r="AB1212" s="209"/>
      <c r="AC1212" s="209"/>
      <c r="AD1212" s="209"/>
      <c r="AE1212" s="209"/>
      <c r="AF1212" s="209"/>
      <c r="AG1212" s="209"/>
      <c r="AH1212" s="209"/>
      <c r="AI1212" s="209"/>
      <c r="AJ1212" s="209"/>
    </row>
    <row r="1213">
      <c r="A1213" s="209"/>
      <c r="B1213" s="209"/>
      <c r="C1213" s="209"/>
      <c r="D1213" s="209"/>
      <c r="E1213" s="209"/>
      <c r="F1213" s="209"/>
      <c r="G1213" s="209"/>
      <c r="H1213" s="209"/>
      <c r="I1213" s="209"/>
      <c r="J1213" s="209"/>
      <c r="K1213" s="209"/>
      <c r="L1213" s="209"/>
      <c r="M1213" s="209"/>
      <c r="N1213" s="209"/>
      <c r="O1213" s="209"/>
      <c r="P1213" s="209"/>
      <c r="Q1213" s="209"/>
      <c r="R1213" s="209"/>
      <c r="S1213" s="209"/>
      <c r="T1213" s="209"/>
      <c r="U1213" s="209"/>
      <c r="V1213" s="209"/>
      <c r="W1213" s="209"/>
      <c r="X1213" s="209"/>
      <c r="Y1213" s="209"/>
      <c r="Z1213" s="209"/>
      <c r="AA1213" s="209"/>
      <c r="AB1213" s="209"/>
      <c r="AC1213" s="209"/>
      <c r="AD1213" s="209"/>
      <c r="AE1213" s="209"/>
      <c r="AF1213" s="209"/>
      <c r="AG1213" s="209"/>
      <c r="AH1213" s="209"/>
      <c r="AI1213" s="209"/>
      <c r="AJ1213" s="209"/>
    </row>
    <row r="1214">
      <c r="A1214" s="209"/>
      <c r="B1214" s="209"/>
      <c r="C1214" s="209"/>
      <c r="D1214" s="209"/>
      <c r="E1214" s="209"/>
      <c r="F1214" s="209"/>
      <c r="G1214" s="209"/>
      <c r="H1214" s="209"/>
      <c r="I1214" s="209"/>
      <c r="J1214" s="209"/>
      <c r="K1214" s="209"/>
      <c r="L1214" s="209"/>
      <c r="M1214" s="209"/>
      <c r="N1214" s="209"/>
      <c r="O1214" s="209"/>
      <c r="P1214" s="209"/>
      <c r="Q1214" s="209"/>
      <c r="R1214" s="209"/>
      <c r="S1214" s="209"/>
      <c r="T1214" s="209"/>
      <c r="U1214" s="209"/>
      <c r="V1214" s="209"/>
      <c r="W1214" s="209"/>
      <c r="X1214" s="209"/>
      <c r="Y1214" s="209"/>
      <c r="Z1214" s="209"/>
      <c r="AA1214" s="209"/>
      <c r="AB1214" s="209"/>
      <c r="AC1214" s="209"/>
      <c r="AD1214" s="209"/>
      <c r="AE1214" s="209"/>
      <c r="AF1214" s="209"/>
      <c r="AG1214" s="209"/>
      <c r="AH1214" s="209"/>
      <c r="AI1214" s="209"/>
      <c r="AJ1214" s="209"/>
    </row>
    <row r="1215">
      <c r="A1215" s="209"/>
      <c r="B1215" s="209"/>
      <c r="C1215" s="209"/>
      <c r="D1215" s="209"/>
      <c r="E1215" s="209"/>
      <c r="F1215" s="209"/>
      <c r="G1215" s="209"/>
      <c r="H1215" s="209"/>
      <c r="I1215" s="209"/>
      <c r="J1215" s="209"/>
      <c r="K1215" s="209"/>
      <c r="L1215" s="209"/>
      <c r="M1215" s="209"/>
      <c r="N1215" s="209"/>
      <c r="O1215" s="209"/>
      <c r="P1215" s="209"/>
      <c r="Q1215" s="209"/>
      <c r="R1215" s="209"/>
      <c r="S1215" s="209"/>
      <c r="T1215" s="209"/>
      <c r="U1215" s="209"/>
      <c r="V1215" s="209"/>
      <c r="W1215" s="209"/>
      <c r="X1215" s="209"/>
      <c r="Y1215" s="209"/>
      <c r="Z1215" s="209"/>
      <c r="AA1215" s="209"/>
      <c r="AB1215" s="209"/>
      <c r="AC1215" s="209"/>
      <c r="AD1215" s="209"/>
      <c r="AE1215" s="209"/>
      <c r="AF1215" s="209"/>
      <c r="AG1215" s="209"/>
      <c r="AH1215" s="209"/>
      <c r="AI1215" s="209"/>
      <c r="AJ1215" s="209"/>
    </row>
    <row r="1216">
      <c r="A1216" s="209"/>
      <c r="B1216" s="209"/>
      <c r="C1216" s="209"/>
      <c r="D1216" s="209"/>
      <c r="E1216" s="209"/>
      <c r="F1216" s="209"/>
      <c r="G1216" s="209"/>
      <c r="H1216" s="209"/>
      <c r="I1216" s="209"/>
      <c r="J1216" s="209"/>
      <c r="K1216" s="209"/>
      <c r="L1216" s="209"/>
      <c r="M1216" s="209"/>
      <c r="N1216" s="209"/>
      <c r="O1216" s="209"/>
      <c r="P1216" s="209"/>
      <c r="Q1216" s="209"/>
      <c r="R1216" s="209"/>
      <c r="S1216" s="209"/>
      <c r="T1216" s="209"/>
      <c r="U1216" s="209"/>
      <c r="V1216" s="209"/>
      <c r="W1216" s="209"/>
      <c r="X1216" s="209"/>
      <c r="Y1216" s="209"/>
      <c r="Z1216" s="209"/>
      <c r="AA1216" s="209"/>
      <c r="AB1216" s="209"/>
      <c r="AC1216" s="209"/>
      <c r="AD1216" s="209"/>
      <c r="AE1216" s="209"/>
      <c r="AF1216" s="209"/>
      <c r="AG1216" s="209"/>
      <c r="AH1216" s="209"/>
      <c r="AI1216" s="209"/>
      <c r="AJ1216" s="209"/>
    </row>
    <row r="1217">
      <c r="A1217" s="209"/>
      <c r="B1217" s="209"/>
      <c r="C1217" s="209"/>
      <c r="D1217" s="209"/>
      <c r="E1217" s="209"/>
      <c r="F1217" s="209"/>
      <c r="G1217" s="209"/>
      <c r="H1217" s="209"/>
      <c r="I1217" s="209"/>
      <c r="J1217" s="209"/>
      <c r="K1217" s="209"/>
      <c r="L1217" s="209"/>
      <c r="M1217" s="209"/>
      <c r="N1217" s="209"/>
      <c r="O1217" s="209"/>
      <c r="P1217" s="209"/>
      <c r="Q1217" s="209"/>
      <c r="R1217" s="209"/>
      <c r="S1217" s="209"/>
      <c r="T1217" s="209"/>
      <c r="U1217" s="209"/>
      <c r="V1217" s="209"/>
      <c r="W1217" s="209"/>
      <c r="X1217" s="209"/>
      <c r="Y1217" s="209"/>
      <c r="Z1217" s="209"/>
      <c r="AA1217" s="209"/>
      <c r="AB1217" s="209"/>
      <c r="AC1217" s="209"/>
      <c r="AD1217" s="209"/>
      <c r="AE1217" s="209"/>
      <c r="AF1217" s="209"/>
      <c r="AG1217" s="209"/>
      <c r="AH1217" s="209"/>
      <c r="AI1217" s="209"/>
      <c r="AJ1217" s="209"/>
    </row>
    <row r="1218">
      <c r="A1218" s="209"/>
      <c r="B1218" s="209"/>
      <c r="C1218" s="209"/>
      <c r="D1218" s="209"/>
      <c r="E1218" s="209"/>
      <c r="F1218" s="209"/>
      <c r="G1218" s="209"/>
      <c r="H1218" s="209"/>
      <c r="I1218" s="209"/>
      <c r="J1218" s="209"/>
      <c r="K1218" s="209"/>
      <c r="L1218" s="209"/>
      <c r="M1218" s="209"/>
      <c r="N1218" s="209"/>
      <c r="O1218" s="209"/>
      <c r="P1218" s="209"/>
      <c r="Q1218" s="209"/>
      <c r="R1218" s="209"/>
      <c r="S1218" s="209"/>
      <c r="T1218" s="209"/>
      <c r="U1218" s="209"/>
      <c r="V1218" s="209"/>
      <c r="W1218" s="209"/>
      <c r="X1218" s="209"/>
      <c r="Y1218" s="209"/>
      <c r="Z1218" s="209"/>
      <c r="AA1218" s="209"/>
      <c r="AB1218" s="209"/>
      <c r="AC1218" s="209"/>
      <c r="AD1218" s="209"/>
      <c r="AE1218" s="209"/>
      <c r="AF1218" s="209"/>
      <c r="AG1218" s="209"/>
      <c r="AH1218" s="209"/>
      <c r="AI1218" s="209"/>
      <c r="AJ1218" s="209"/>
    </row>
    <row r="1219">
      <c r="A1219" s="209"/>
      <c r="B1219" s="209"/>
      <c r="C1219" s="209"/>
      <c r="D1219" s="209"/>
      <c r="E1219" s="209"/>
      <c r="F1219" s="209"/>
      <c r="G1219" s="209"/>
      <c r="H1219" s="209"/>
      <c r="I1219" s="209"/>
      <c r="J1219" s="209"/>
      <c r="K1219" s="209"/>
      <c r="L1219" s="209"/>
      <c r="M1219" s="209"/>
      <c r="N1219" s="209"/>
      <c r="O1219" s="209"/>
      <c r="P1219" s="209"/>
      <c r="Q1219" s="209"/>
      <c r="R1219" s="209"/>
      <c r="S1219" s="209"/>
      <c r="T1219" s="209"/>
      <c r="U1219" s="209"/>
      <c r="V1219" s="209"/>
      <c r="W1219" s="209"/>
      <c r="X1219" s="209"/>
      <c r="Y1219" s="209"/>
      <c r="Z1219" s="209"/>
      <c r="AA1219" s="209"/>
      <c r="AB1219" s="209"/>
      <c r="AC1219" s="209"/>
      <c r="AD1219" s="209"/>
      <c r="AE1219" s="209"/>
      <c r="AF1219" s="209"/>
      <c r="AG1219" s="209"/>
      <c r="AH1219" s="209"/>
      <c r="AI1219" s="209"/>
      <c r="AJ1219" s="209"/>
    </row>
    <row r="1220">
      <c r="A1220" s="209"/>
      <c r="B1220" s="209"/>
      <c r="C1220" s="209"/>
      <c r="D1220" s="209"/>
      <c r="E1220" s="209"/>
      <c r="F1220" s="209"/>
      <c r="G1220" s="209"/>
      <c r="H1220" s="209"/>
      <c r="I1220" s="209"/>
      <c r="J1220" s="209"/>
      <c r="K1220" s="209"/>
      <c r="L1220" s="209"/>
      <c r="M1220" s="209"/>
      <c r="N1220" s="209"/>
      <c r="O1220" s="209"/>
      <c r="P1220" s="209"/>
      <c r="Q1220" s="209"/>
      <c r="R1220" s="209"/>
      <c r="S1220" s="209"/>
      <c r="T1220" s="209"/>
      <c r="U1220" s="209"/>
      <c r="V1220" s="209"/>
      <c r="W1220" s="209"/>
      <c r="X1220" s="209"/>
      <c r="Y1220" s="209"/>
      <c r="Z1220" s="209"/>
      <c r="AA1220" s="209"/>
      <c r="AB1220" s="209"/>
      <c r="AC1220" s="209"/>
      <c r="AD1220" s="209"/>
      <c r="AE1220" s="209"/>
      <c r="AF1220" s="209"/>
      <c r="AG1220" s="209"/>
      <c r="AH1220" s="209"/>
      <c r="AI1220" s="209"/>
      <c r="AJ1220" s="209"/>
    </row>
    <row r="1221">
      <c r="A1221" s="209"/>
      <c r="B1221" s="209"/>
      <c r="C1221" s="209"/>
      <c r="D1221" s="209"/>
      <c r="E1221" s="209"/>
      <c r="F1221" s="209"/>
      <c r="G1221" s="209"/>
      <c r="H1221" s="209"/>
      <c r="I1221" s="209"/>
      <c r="J1221" s="209"/>
      <c r="K1221" s="209"/>
      <c r="L1221" s="209"/>
      <c r="M1221" s="209"/>
      <c r="N1221" s="209"/>
      <c r="O1221" s="209"/>
      <c r="P1221" s="209"/>
      <c r="Q1221" s="209"/>
      <c r="R1221" s="209"/>
      <c r="S1221" s="209"/>
      <c r="T1221" s="209"/>
      <c r="U1221" s="209"/>
      <c r="V1221" s="209"/>
      <c r="W1221" s="209"/>
      <c r="X1221" s="209"/>
      <c r="Y1221" s="209"/>
      <c r="Z1221" s="209"/>
      <c r="AA1221" s="209"/>
      <c r="AB1221" s="209"/>
      <c r="AC1221" s="209"/>
      <c r="AD1221" s="209"/>
      <c r="AE1221" s="209"/>
      <c r="AF1221" s="209"/>
      <c r="AG1221" s="209"/>
      <c r="AH1221" s="209"/>
      <c r="AI1221" s="209"/>
      <c r="AJ1221" s="209"/>
    </row>
    <row r="1222">
      <c r="A1222" s="209"/>
      <c r="B1222" s="209"/>
      <c r="C1222" s="209"/>
      <c r="D1222" s="209"/>
      <c r="E1222" s="209"/>
      <c r="F1222" s="209"/>
      <c r="G1222" s="209"/>
      <c r="H1222" s="209"/>
      <c r="I1222" s="209"/>
      <c r="J1222" s="209"/>
      <c r="K1222" s="209"/>
      <c r="L1222" s="209"/>
      <c r="M1222" s="209"/>
      <c r="N1222" s="209"/>
      <c r="O1222" s="209"/>
      <c r="P1222" s="209"/>
      <c r="Q1222" s="209"/>
      <c r="R1222" s="209"/>
      <c r="S1222" s="209"/>
      <c r="T1222" s="209"/>
      <c r="U1222" s="209"/>
      <c r="V1222" s="209"/>
      <c r="W1222" s="209"/>
      <c r="X1222" s="209"/>
      <c r="Y1222" s="209"/>
      <c r="Z1222" s="209"/>
      <c r="AA1222" s="209"/>
      <c r="AB1222" s="209"/>
      <c r="AC1222" s="209"/>
      <c r="AD1222" s="209"/>
      <c r="AE1222" s="209"/>
      <c r="AF1222" s="209"/>
      <c r="AG1222" s="209"/>
      <c r="AH1222" s="209"/>
      <c r="AI1222" s="209"/>
      <c r="AJ1222" s="209"/>
    </row>
    <row r="1223">
      <c r="A1223" s="209"/>
      <c r="B1223" s="209"/>
      <c r="C1223" s="209"/>
      <c r="D1223" s="209"/>
      <c r="E1223" s="209"/>
      <c r="F1223" s="209"/>
      <c r="G1223" s="209"/>
      <c r="H1223" s="209"/>
      <c r="I1223" s="209"/>
      <c r="J1223" s="209"/>
      <c r="K1223" s="209"/>
      <c r="L1223" s="209"/>
      <c r="M1223" s="209"/>
      <c r="N1223" s="209"/>
      <c r="O1223" s="209"/>
      <c r="P1223" s="209"/>
      <c r="Q1223" s="209"/>
      <c r="R1223" s="209"/>
      <c r="S1223" s="209"/>
      <c r="T1223" s="209"/>
      <c r="U1223" s="209"/>
      <c r="V1223" s="209"/>
      <c r="W1223" s="209"/>
      <c r="X1223" s="209"/>
      <c r="Y1223" s="209"/>
      <c r="Z1223" s="209"/>
      <c r="AA1223" s="209"/>
      <c r="AB1223" s="209"/>
      <c r="AC1223" s="209"/>
      <c r="AD1223" s="209"/>
      <c r="AE1223" s="209"/>
      <c r="AF1223" s="209"/>
      <c r="AG1223" s="209"/>
      <c r="AH1223" s="209"/>
      <c r="AI1223" s="209"/>
      <c r="AJ1223" s="209"/>
    </row>
    <row r="1224">
      <c r="A1224" s="209"/>
      <c r="B1224" s="209"/>
      <c r="C1224" s="209"/>
      <c r="D1224" s="209"/>
      <c r="E1224" s="209"/>
      <c r="F1224" s="209"/>
      <c r="G1224" s="209"/>
      <c r="H1224" s="209"/>
      <c r="I1224" s="209"/>
      <c r="J1224" s="209"/>
      <c r="K1224" s="209"/>
      <c r="L1224" s="209"/>
      <c r="M1224" s="209"/>
      <c r="N1224" s="209"/>
      <c r="O1224" s="209"/>
      <c r="P1224" s="209"/>
      <c r="Q1224" s="209"/>
      <c r="R1224" s="209"/>
      <c r="S1224" s="209"/>
      <c r="T1224" s="209"/>
      <c r="U1224" s="209"/>
      <c r="V1224" s="209"/>
      <c r="W1224" s="209"/>
      <c r="X1224" s="209"/>
      <c r="Y1224" s="209"/>
      <c r="Z1224" s="209"/>
      <c r="AA1224" s="209"/>
      <c r="AB1224" s="209"/>
      <c r="AC1224" s="209"/>
      <c r="AD1224" s="209"/>
      <c r="AE1224" s="209"/>
      <c r="AF1224" s="209"/>
      <c r="AG1224" s="209"/>
      <c r="AH1224" s="209"/>
      <c r="AI1224" s="209"/>
      <c r="AJ1224" s="209"/>
    </row>
    <row r="1225">
      <c r="A1225" s="209"/>
      <c r="B1225" s="209"/>
      <c r="C1225" s="209"/>
      <c r="D1225" s="209"/>
      <c r="E1225" s="209"/>
      <c r="F1225" s="209"/>
      <c r="G1225" s="209"/>
      <c r="H1225" s="209"/>
      <c r="I1225" s="209"/>
      <c r="J1225" s="209"/>
      <c r="K1225" s="209"/>
      <c r="L1225" s="209"/>
      <c r="M1225" s="209"/>
      <c r="N1225" s="209"/>
      <c r="O1225" s="209"/>
      <c r="P1225" s="209"/>
      <c r="Q1225" s="209"/>
      <c r="R1225" s="209"/>
      <c r="S1225" s="209"/>
      <c r="T1225" s="209"/>
      <c r="U1225" s="209"/>
      <c r="V1225" s="209"/>
      <c r="W1225" s="209"/>
      <c r="X1225" s="209"/>
      <c r="Y1225" s="209"/>
      <c r="Z1225" s="209"/>
      <c r="AA1225" s="209"/>
      <c r="AB1225" s="209"/>
      <c r="AC1225" s="209"/>
      <c r="AD1225" s="209"/>
      <c r="AE1225" s="209"/>
      <c r="AF1225" s="209"/>
      <c r="AG1225" s="209"/>
      <c r="AH1225" s="209"/>
      <c r="AI1225" s="209"/>
      <c r="AJ1225" s="209"/>
    </row>
    <row r="1226">
      <c r="A1226" s="209"/>
      <c r="B1226" s="209"/>
      <c r="C1226" s="209"/>
      <c r="D1226" s="209"/>
      <c r="E1226" s="209"/>
      <c r="F1226" s="209"/>
      <c r="G1226" s="209"/>
      <c r="H1226" s="209"/>
      <c r="I1226" s="209"/>
      <c r="J1226" s="209"/>
      <c r="K1226" s="209"/>
      <c r="L1226" s="209"/>
      <c r="M1226" s="209"/>
      <c r="N1226" s="209"/>
      <c r="O1226" s="209"/>
      <c r="P1226" s="209"/>
      <c r="Q1226" s="209"/>
      <c r="R1226" s="209"/>
      <c r="S1226" s="209"/>
      <c r="T1226" s="209"/>
      <c r="U1226" s="209"/>
      <c r="V1226" s="209"/>
      <c r="W1226" s="209"/>
      <c r="X1226" s="209"/>
      <c r="Y1226" s="209"/>
      <c r="Z1226" s="209"/>
      <c r="AA1226" s="209"/>
      <c r="AB1226" s="209"/>
      <c r="AC1226" s="209"/>
      <c r="AD1226" s="209"/>
      <c r="AE1226" s="209"/>
      <c r="AF1226" s="209"/>
      <c r="AG1226" s="209"/>
      <c r="AH1226" s="209"/>
      <c r="AI1226" s="209"/>
      <c r="AJ1226" s="209"/>
    </row>
    <row r="1227">
      <c r="A1227" s="209"/>
      <c r="B1227" s="209"/>
      <c r="C1227" s="209"/>
      <c r="D1227" s="209"/>
      <c r="E1227" s="209"/>
      <c r="F1227" s="209"/>
      <c r="G1227" s="209"/>
      <c r="H1227" s="209"/>
      <c r="I1227" s="209"/>
      <c r="J1227" s="209"/>
      <c r="K1227" s="209"/>
      <c r="L1227" s="209"/>
      <c r="M1227" s="209"/>
      <c r="N1227" s="209"/>
      <c r="O1227" s="209"/>
      <c r="P1227" s="209"/>
      <c r="Q1227" s="209"/>
      <c r="R1227" s="209"/>
      <c r="S1227" s="209"/>
      <c r="T1227" s="209"/>
      <c r="U1227" s="209"/>
      <c r="V1227" s="209"/>
      <c r="W1227" s="209"/>
      <c r="X1227" s="209"/>
      <c r="Y1227" s="209"/>
      <c r="Z1227" s="209"/>
      <c r="AA1227" s="209"/>
      <c r="AB1227" s="209"/>
      <c r="AC1227" s="209"/>
      <c r="AD1227" s="209"/>
      <c r="AE1227" s="209"/>
      <c r="AF1227" s="209"/>
      <c r="AG1227" s="209"/>
      <c r="AH1227" s="209"/>
      <c r="AI1227" s="209"/>
      <c r="AJ1227" s="209"/>
    </row>
    <row r="1228">
      <c r="A1228" s="209"/>
      <c r="B1228" s="209"/>
      <c r="C1228" s="209"/>
      <c r="D1228" s="209"/>
      <c r="E1228" s="209"/>
      <c r="F1228" s="209"/>
      <c r="G1228" s="209"/>
      <c r="H1228" s="209"/>
      <c r="I1228" s="209"/>
      <c r="J1228" s="209"/>
      <c r="K1228" s="209"/>
      <c r="L1228" s="209"/>
      <c r="M1228" s="209"/>
      <c r="N1228" s="209"/>
      <c r="O1228" s="209"/>
      <c r="P1228" s="209"/>
      <c r="Q1228" s="209"/>
      <c r="R1228" s="209"/>
      <c r="S1228" s="209"/>
      <c r="T1228" s="209"/>
      <c r="U1228" s="209"/>
      <c r="V1228" s="209"/>
      <c r="W1228" s="209"/>
      <c r="X1228" s="209"/>
      <c r="Y1228" s="209"/>
      <c r="Z1228" s="209"/>
      <c r="AA1228" s="209"/>
      <c r="AB1228" s="209"/>
      <c r="AC1228" s="209"/>
      <c r="AD1228" s="209"/>
      <c r="AE1228" s="209"/>
      <c r="AF1228" s="209"/>
      <c r="AG1228" s="209"/>
      <c r="AH1228" s="209"/>
      <c r="AI1228" s="209"/>
      <c r="AJ1228" s="209"/>
    </row>
    <row r="1229">
      <c r="A1229" s="209"/>
      <c r="B1229" s="209"/>
      <c r="C1229" s="209"/>
      <c r="D1229" s="209"/>
      <c r="E1229" s="209"/>
      <c r="F1229" s="209"/>
      <c r="G1229" s="209"/>
      <c r="H1229" s="209"/>
      <c r="I1229" s="209"/>
      <c r="J1229" s="209"/>
      <c r="K1229" s="209"/>
      <c r="L1229" s="209"/>
      <c r="M1229" s="209"/>
      <c r="N1229" s="209"/>
      <c r="O1229" s="209"/>
      <c r="P1229" s="209"/>
      <c r="Q1229" s="209"/>
      <c r="R1229" s="209"/>
      <c r="S1229" s="209"/>
      <c r="T1229" s="209"/>
      <c r="U1229" s="209"/>
      <c r="V1229" s="209"/>
      <c r="W1229" s="209"/>
      <c r="X1229" s="209"/>
      <c r="Y1229" s="209"/>
      <c r="Z1229" s="209"/>
      <c r="AA1229" s="209"/>
      <c r="AB1229" s="209"/>
      <c r="AC1229" s="209"/>
      <c r="AD1229" s="209"/>
      <c r="AE1229" s="209"/>
      <c r="AF1229" s="209"/>
      <c r="AG1229" s="209"/>
      <c r="AH1229" s="209"/>
      <c r="AI1229" s="209"/>
      <c r="AJ1229" s="209"/>
    </row>
    <row r="1230">
      <c r="A1230" s="209"/>
      <c r="B1230" s="209"/>
      <c r="C1230" s="209"/>
      <c r="D1230" s="209"/>
      <c r="E1230" s="209"/>
      <c r="F1230" s="209"/>
      <c r="G1230" s="209"/>
      <c r="H1230" s="209"/>
      <c r="I1230" s="209"/>
      <c r="J1230" s="209"/>
      <c r="K1230" s="209"/>
      <c r="L1230" s="209"/>
      <c r="M1230" s="209"/>
      <c r="N1230" s="209"/>
      <c r="O1230" s="209"/>
      <c r="P1230" s="209"/>
      <c r="Q1230" s="209"/>
      <c r="R1230" s="209"/>
      <c r="S1230" s="209"/>
      <c r="T1230" s="209"/>
      <c r="U1230" s="209"/>
      <c r="V1230" s="209"/>
      <c r="W1230" s="209"/>
      <c r="X1230" s="209"/>
      <c r="Y1230" s="209"/>
      <c r="Z1230" s="209"/>
      <c r="AA1230" s="209"/>
      <c r="AB1230" s="209"/>
      <c r="AC1230" s="209"/>
      <c r="AD1230" s="209"/>
      <c r="AE1230" s="209"/>
      <c r="AF1230" s="209"/>
      <c r="AG1230" s="209"/>
      <c r="AH1230" s="209"/>
      <c r="AI1230" s="209"/>
      <c r="AJ1230" s="209"/>
    </row>
    <row r="1231">
      <c r="A1231" s="209"/>
      <c r="B1231" s="209"/>
      <c r="C1231" s="209"/>
      <c r="D1231" s="209"/>
      <c r="E1231" s="209"/>
      <c r="F1231" s="209"/>
      <c r="G1231" s="209"/>
      <c r="H1231" s="209"/>
      <c r="I1231" s="209"/>
      <c r="J1231" s="209"/>
      <c r="K1231" s="209"/>
      <c r="L1231" s="209"/>
      <c r="M1231" s="209"/>
      <c r="N1231" s="209"/>
      <c r="O1231" s="209"/>
      <c r="P1231" s="209"/>
      <c r="Q1231" s="209"/>
      <c r="R1231" s="209"/>
      <c r="S1231" s="209"/>
      <c r="T1231" s="209"/>
      <c r="U1231" s="209"/>
      <c r="V1231" s="209"/>
      <c r="W1231" s="209"/>
      <c r="X1231" s="209"/>
      <c r="Y1231" s="209"/>
      <c r="Z1231" s="209"/>
      <c r="AA1231" s="209"/>
      <c r="AB1231" s="209"/>
      <c r="AC1231" s="209"/>
      <c r="AD1231" s="209"/>
      <c r="AE1231" s="209"/>
      <c r="AF1231" s="209"/>
      <c r="AG1231" s="209"/>
      <c r="AH1231" s="209"/>
      <c r="AI1231" s="209"/>
      <c r="AJ1231" s="209"/>
    </row>
    <row r="1232">
      <c r="A1232" s="209"/>
      <c r="B1232" s="209"/>
      <c r="C1232" s="209"/>
      <c r="D1232" s="209"/>
      <c r="E1232" s="209"/>
      <c r="F1232" s="209"/>
      <c r="G1232" s="209"/>
      <c r="H1232" s="209"/>
      <c r="I1232" s="209"/>
      <c r="J1232" s="209"/>
      <c r="K1232" s="209"/>
      <c r="L1232" s="209"/>
      <c r="M1232" s="209"/>
      <c r="N1232" s="209"/>
      <c r="O1232" s="209"/>
      <c r="P1232" s="209"/>
      <c r="Q1232" s="209"/>
      <c r="R1232" s="209"/>
      <c r="S1232" s="209"/>
      <c r="T1232" s="209"/>
      <c r="U1232" s="209"/>
      <c r="V1232" s="209"/>
      <c r="W1232" s="209"/>
      <c r="X1232" s="209"/>
      <c r="Y1232" s="209"/>
      <c r="Z1232" s="209"/>
      <c r="AA1232" s="209"/>
      <c r="AB1232" s="209"/>
      <c r="AC1232" s="209"/>
      <c r="AD1232" s="209"/>
      <c r="AE1232" s="209"/>
      <c r="AF1232" s="209"/>
      <c r="AG1232" s="209"/>
      <c r="AH1232" s="209"/>
      <c r="AI1232" s="209"/>
      <c r="AJ1232" s="209"/>
    </row>
    <row r="1233">
      <c r="A1233" s="209"/>
      <c r="B1233" s="209"/>
      <c r="C1233" s="209"/>
      <c r="D1233" s="209"/>
      <c r="E1233" s="209"/>
      <c r="F1233" s="209"/>
      <c r="G1233" s="209"/>
      <c r="H1233" s="209"/>
      <c r="I1233" s="209"/>
      <c r="J1233" s="209"/>
      <c r="K1233" s="209"/>
      <c r="L1233" s="209"/>
      <c r="M1233" s="209"/>
      <c r="N1233" s="209"/>
      <c r="O1233" s="209"/>
      <c r="P1233" s="209"/>
      <c r="Q1233" s="209"/>
      <c r="R1233" s="209"/>
      <c r="S1233" s="209"/>
      <c r="T1233" s="209"/>
      <c r="U1233" s="209"/>
      <c r="V1233" s="209"/>
      <c r="W1233" s="209"/>
      <c r="X1233" s="209"/>
      <c r="Y1233" s="209"/>
      <c r="Z1233" s="209"/>
      <c r="AA1233" s="209"/>
      <c r="AB1233" s="209"/>
      <c r="AC1233" s="209"/>
      <c r="AD1233" s="209"/>
      <c r="AE1233" s="209"/>
      <c r="AF1233" s="209"/>
      <c r="AG1233" s="209"/>
      <c r="AH1233" s="209"/>
      <c r="AI1233" s="209"/>
      <c r="AJ1233" s="209"/>
    </row>
    <row r="1234">
      <c r="A1234" s="209"/>
      <c r="B1234" s="209"/>
      <c r="C1234" s="209"/>
      <c r="D1234" s="209"/>
      <c r="E1234" s="209"/>
      <c r="F1234" s="209"/>
      <c r="G1234" s="209"/>
      <c r="H1234" s="209"/>
      <c r="I1234" s="209"/>
      <c r="J1234" s="209"/>
      <c r="K1234" s="209"/>
      <c r="L1234" s="209"/>
      <c r="M1234" s="209"/>
      <c r="N1234" s="209"/>
      <c r="O1234" s="209"/>
      <c r="P1234" s="209"/>
      <c r="Q1234" s="209"/>
      <c r="R1234" s="209"/>
      <c r="S1234" s="209"/>
      <c r="T1234" s="209"/>
      <c r="U1234" s="209"/>
      <c r="V1234" s="209"/>
      <c r="W1234" s="209"/>
      <c r="X1234" s="209"/>
      <c r="Y1234" s="209"/>
      <c r="Z1234" s="209"/>
      <c r="AA1234" s="209"/>
      <c r="AB1234" s="209"/>
      <c r="AC1234" s="209"/>
      <c r="AD1234" s="209"/>
      <c r="AE1234" s="209"/>
      <c r="AF1234" s="209"/>
      <c r="AG1234" s="209"/>
      <c r="AH1234" s="209"/>
      <c r="AI1234" s="209"/>
      <c r="AJ1234" s="209"/>
    </row>
    <row r="1235">
      <c r="A1235" s="209"/>
      <c r="B1235" s="209"/>
      <c r="C1235" s="209"/>
      <c r="D1235" s="209"/>
      <c r="E1235" s="209"/>
      <c r="F1235" s="209"/>
      <c r="G1235" s="209"/>
      <c r="H1235" s="209"/>
      <c r="I1235" s="209"/>
      <c r="J1235" s="209"/>
      <c r="K1235" s="209"/>
      <c r="L1235" s="209"/>
      <c r="M1235" s="209"/>
      <c r="N1235" s="209"/>
      <c r="O1235" s="209"/>
      <c r="P1235" s="209"/>
      <c r="Q1235" s="209"/>
      <c r="R1235" s="209"/>
      <c r="S1235" s="209"/>
      <c r="T1235" s="209"/>
      <c r="U1235" s="209"/>
      <c r="V1235" s="209"/>
      <c r="W1235" s="209"/>
      <c r="X1235" s="209"/>
      <c r="Y1235" s="209"/>
      <c r="Z1235" s="209"/>
      <c r="AA1235" s="209"/>
      <c r="AB1235" s="209"/>
      <c r="AC1235" s="209"/>
      <c r="AD1235" s="209"/>
      <c r="AE1235" s="209"/>
      <c r="AF1235" s="209"/>
      <c r="AG1235" s="209"/>
      <c r="AH1235" s="209"/>
      <c r="AI1235" s="209"/>
      <c r="AJ1235" s="209"/>
    </row>
    <row r="1236">
      <c r="A1236" s="209"/>
      <c r="B1236" s="209"/>
      <c r="C1236" s="209"/>
      <c r="D1236" s="209"/>
      <c r="E1236" s="209"/>
      <c r="F1236" s="209"/>
      <c r="G1236" s="209"/>
      <c r="H1236" s="209"/>
      <c r="I1236" s="209"/>
      <c r="J1236" s="209"/>
      <c r="K1236" s="209"/>
      <c r="L1236" s="209"/>
      <c r="M1236" s="209"/>
      <c r="N1236" s="209"/>
      <c r="O1236" s="209"/>
      <c r="P1236" s="209"/>
      <c r="Q1236" s="209"/>
      <c r="R1236" s="209"/>
      <c r="S1236" s="209"/>
      <c r="T1236" s="209"/>
      <c r="U1236" s="209"/>
      <c r="V1236" s="209"/>
      <c r="W1236" s="209"/>
      <c r="X1236" s="209"/>
      <c r="Y1236" s="209"/>
      <c r="Z1236" s="209"/>
      <c r="AA1236" s="209"/>
      <c r="AB1236" s="209"/>
      <c r="AC1236" s="209"/>
      <c r="AD1236" s="209"/>
      <c r="AE1236" s="209"/>
      <c r="AF1236" s="209"/>
      <c r="AG1236" s="209"/>
      <c r="AH1236" s="209"/>
      <c r="AI1236" s="209"/>
      <c r="AJ1236" s="209"/>
    </row>
    <row r="1237">
      <c r="A1237" s="209"/>
      <c r="B1237" s="209"/>
      <c r="C1237" s="209"/>
      <c r="D1237" s="209"/>
      <c r="E1237" s="209"/>
      <c r="F1237" s="209"/>
      <c r="G1237" s="209"/>
      <c r="H1237" s="209"/>
      <c r="I1237" s="209"/>
      <c r="J1237" s="209"/>
      <c r="K1237" s="209"/>
      <c r="L1237" s="209"/>
      <c r="M1237" s="209"/>
      <c r="N1237" s="209"/>
      <c r="O1237" s="209"/>
      <c r="P1237" s="209"/>
      <c r="Q1237" s="209"/>
      <c r="R1237" s="209"/>
      <c r="S1237" s="209"/>
      <c r="T1237" s="209"/>
      <c r="U1237" s="209"/>
      <c r="V1237" s="209"/>
      <c r="W1237" s="209"/>
      <c r="X1237" s="209"/>
      <c r="Y1237" s="209"/>
      <c r="Z1237" s="209"/>
      <c r="AA1237" s="209"/>
      <c r="AB1237" s="209"/>
      <c r="AC1237" s="209"/>
      <c r="AD1237" s="209"/>
      <c r="AE1237" s="209"/>
      <c r="AF1237" s="209"/>
      <c r="AG1237" s="209"/>
      <c r="AH1237" s="209"/>
      <c r="AI1237" s="209"/>
      <c r="AJ1237" s="209"/>
    </row>
    <row r="1238">
      <c r="A1238" s="209"/>
      <c r="B1238" s="209"/>
      <c r="C1238" s="209"/>
      <c r="D1238" s="209"/>
      <c r="E1238" s="209"/>
      <c r="F1238" s="209"/>
      <c r="G1238" s="209"/>
      <c r="H1238" s="209"/>
      <c r="I1238" s="209"/>
      <c r="J1238" s="209"/>
      <c r="K1238" s="209"/>
      <c r="L1238" s="209"/>
      <c r="M1238" s="209"/>
      <c r="N1238" s="209"/>
      <c r="O1238" s="209"/>
      <c r="P1238" s="209"/>
      <c r="Q1238" s="209"/>
      <c r="R1238" s="209"/>
      <c r="S1238" s="209"/>
      <c r="T1238" s="209"/>
      <c r="U1238" s="209"/>
      <c r="V1238" s="209"/>
      <c r="W1238" s="209"/>
      <c r="X1238" s="209"/>
      <c r="Y1238" s="209"/>
      <c r="Z1238" s="209"/>
      <c r="AA1238" s="209"/>
      <c r="AB1238" s="209"/>
      <c r="AC1238" s="209"/>
      <c r="AD1238" s="209"/>
      <c r="AE1238" s="209"/>
      <c r="AF1238" s="209"/>
      <c r="AG1238" s="209"/>
      <c r="AH1238" s="209"/>
      <c r="AI1238" s="209"/>
      <c r="AJ1238" s="209"/>
    </row>
    <row r="1239">
      <c r="A1239" s="209"/>
      <c r="B1239" s="209"/>
      <c r="C1239" s="209"/>
      <c r="D1239" s="209"/>
      <c r="E1239" s="209"/>
      <c r="F1239" s="209"/>
      <c r="G1239" s="209"/>
      <c r="H1239" s="209"/>
      <c r="I1239" s="209"/>
      <c r="J1239" s="209"/>
      <c r="K1239" s="209"/>
      <c r="L1239" s="209"/>
      <c r="M1239" s="209"/>
      <c r="N1239" s="209"/>
      <c r="O1239" s="209"/>
      <c r="P1239" s="209"/>
      <c r="Q1239" s="209"/>
      <c r="R1239" s="209"/>
      <c r="S1239" s="209"/>
      <c r="T1239" s="209"/>
      <c r="U1239" s="209"/>
      <c r="V1239" s="209"/>
      <c r="W1239" s="209"/>
      <c r="X1239" s="209"/>
      <c r="Y1239" s="209"/>
      <c r="Z1239" s="209"/>
      <c r="AA1239" s="209"/>
      <c r="AB1239" s="209"/>
      <c r="AC1239" s="209"/>
      <c r="AD1239" s="209"/>
      <c r="AE1239" s="209"/>
      <c r="AF1239" s="209"/>
      <c r="AG1239" s="209"/>
      <c r="AH1239" s="209"/>
      <c r="AI1239" s="209"/>
      <c r="AJ1239" s="209"/>
    </row>
    <row r="1240">
      <c r="A1240" s="209"/>
      <c r="B1240" s="209"/>
      <c r="C1240" s="209"/>
      <c r="D1240" s="209"/>
      <c r="E1240" s="209"/>
      <c r="F1240" s="209"/>
      <c r="G1240" s="209"/>
      <c r="H1240" s="209"/>
      <c r="I1240" s="209"/>
      <c r="J1240" s="209"/>
      <c r="K1240" s="209"/>
      <c r="L1240" s="209"/>
      <c r="M1240" s="209"/>
      <c r="N1240" s="209"/>
      <c r="O1240" s="209"/>
      <c r="P1240" s="209"/>
      <c r="Q1240" s="209"/>
      <c r="R1240" s="209"/>
      <c r="S1240" s="209"/>
      <c r="T1240" s="209"/>
      <c r="U1240" s="209"/>
      <c r="V1240" s="209"/>
      <c r="W1240" s="209"/>
      <c r="X1240" s="209"/>
      <c r="Y1240" s="209"/>
      <c r="Z1240" s="209"/>
      <c r="AA1240" s="209"/>
      <c r="AB1240" s="209"/>
      <c r="AC1240" s="209"/>
      <c r="AD1240" s="209"/>
      <c r="AE1240" s="209"/>
      <c r="AF1240" s="209"/>
      <c r="AG1240" s="209"/>
      <c r="AH1240" s="209"/>
      <c r="AI1240" s="209"/>
      <c r="AJ1240" s="209"/>
    </row>
    <row r="1241">
      <c r="A1241" s="209"/>
      <c r="B1241" s="209"/>
      <c r="C1241" s="209"/>
      <c r="D1241" s="209"/>
      <c r="E1241" s="209"/>
      <c r="F1241" s="209"/>
      <c r="G1241" s="209"/>
      <c r="H1241" s="209"/>
      <c r="I1241" s="209"/>
      <c r="J1241" s="209"/>
      <c r="K1241" s="209"/>
      <c r="L1241" s="209"/>
      <c r="M1241" s="209"/>
      <c r="N1241" s="209"/>
      <c r="O1241" s="209"/>
      <c r="P1241" s="209"/>
      <c r="Q1241" s="209"/>
      <c r="R1241" s="209"/>
      <c r="S1241" s="209"/>
      <c r="T1241" s="209"/>
      <c r="U1241" s="209"/>
      <c r="V1241" s="209"/>
      <c r="W1241" s="209"/>
      <c r="X1241" s="209"/>
      <c r="Y1241" s="209"/>
      <c r="Z1241" s="209"/>
      <c r="AA1241" s="209"/>
      <c r="AB1241" s="209"/>
      <c r="AC1241" s="209"/>
      <c r="AD1241" s="209"/>
      <c r="AE1241" s="209"/>
      <c r="AF1241" s="209"/>
      <c r="AG1241" s="209"/>
      <c r="AH1241" s="209"/>
      <c r="AI1241" s="209"/>
      <c r="AJ1241" s="209"/>
    </row>
    <row r="1242">
      <c r="A1242" s="209"/>
      <c r="B1242" s="209"/>
      <c r="C1242" s="209"/>
      <c r="D1242" s="209"/>
      <c r="E1242" s="209"/>
      <c r="F1242" s="209"/>
      <c r="G1242" s="209"/>
      <c r="H1242" s="209"/>
      <c r="I1242" s="209"/>
      <c r="J1242" s="209"/>
      <c r="K1242" s="209"/>
      <c r="L1242" s="209"/>
      <c r="M1242" s="209"/>
      <c r="N1242" s="209"/>
      <c r="O1242" s="209"/>
      <c r="P1242" s="209"/>
      <c r="Q1242" s="209"/>
      <c r="R1242" s="209"/>
      <c r="S1242" s="209"/>
      <c r="T1242" s="209"/>
      <c r="U1242" s="209"/>
      <c r="V1242" s="209"/>
      <c r="W1242" s="209"/>
      <c r="X1242" s="209"/>
      <c r="Y1242" s="209"/>
      <c r="Z1242" s="209"/>
      <c r="AA1242" s="209"/>
      <c r="AB1242" s="209"/>
      <c r="AC1242" s="209"/>
      <c r="AD1242" s="209"/>
      <c r="AE1242" s="209"/>
      <c r="AF1242" s="209"/>
      <c r="AG1242" s="209"/>
      <c r="AH1242" s="209"/>
      <c r="AI1242" s="209"/>
      <c r="AJ1242" s="209"/>
    </row>
    <row r="1243">
      <c r="A1243" s="209"/>
      <c r="B1243" s="209"/>
      <c r="C1243" s="209"/>
      <c r="D1243" s="209"/>
      <c r="E1243" s="209"/>
      <c r="F1243" s="209"/>
      <c r="G1243" s="209"/>
      <c r="H1243" s="209"/>
      <c r="I1243" s="209"/>
      <c r="J1243" s="209"/>
      <c r="K1243" s="209"/>
      <c r="L1243" s="209"/>
      <c r="M1243" s="209"/>
      <c r="N1243" s="209"/>
      <c r="O1243" s="209"/>
      <c r="P1243" s="209"/>
      <c r="Q1243" s="209"/>
      <c r="R1243" s="209"/>
      <c r="S1243" s="209"/>
      <c r="T1243" s="209"/>
      <c r="U1243" s="209"/>
      <c r="V1243" s="209"/>
      <c r="W1243" s="209"/>
      <c r="X1243" s="209"/>
      <c r="Y1243" s="209"/>
      <c r="Z1243" s="209"/>
      <c r="AA1243" s="209"/>
      <c r="AB1243" s="209"/>
      <c r="AC1243" s="209"/>
      <c r="AD1243" s="209"/>
      <c r="AE1243" s="209"/>
      <c r="AF1243" s="209"/>
      <c r="AG1243" s="209"/>
      <c r="AH1243" s="209"/>
      <c r="AI1243" s="209"/>
      <c r="AJ1243" s="209"/>
    </row>
    <row r="1244">
      <c r="A1244" s="209"/>
      <c r="B1244" s="209"/>
      <c r="C1244" s="209"/>
      <c r="D1244" s="209"/>
      <c r="E1244" s="209"/>
      <c r="F1244" s="209"/>
      <c r="G1244" s="209"/>
      <c r="H1244" s="209"/>
      <c r="I1244" s="209"/>
      <c r="J1244" s="209"/>
      <c r="K1244" s="209"/>
      <c r="L1244" s="209"/>
      <c r="M1244" s="209"/>
      <c r="N1244" s="209"/>
      <c r="O1244" s="209"/>
      <c r="P1244" s="209"/>
      <c r="Q1244" s="209"/>
      <c r="R1244" s="209"/>
      <c r="S1244" s="209"/>
      <c r="T1244" s="209"/>
      <c r="U1244" s="209"/>
      <c r="V1244" s="209"/>
      <c r="W1244" s="209"/>
      <c r="X1244" s="209"/>
      <c r="Y1244" s="209"/>
      <c r="Z1244" s="209"/>
      <c r="AA1244" s="209"/>
      <c r="AB1244" s="209"/>
      <c r="AC1244" s="209"/>
      <c r="AD1244" s="209"/>
      <c r="AE1244" s="209"/>
      <c r="AF1244" s="209"/>
      <c r="AG1244" s="209"/>
      <c r="AH1244" s="209"/>
      <c r="AI1244" s="209"/>
      <c r="AJ1244" s="209"/>
    </row>
    <row r="1245">
      <c r="A1245" s="209"/>
      <c r="B1245" s="209"/>
      <c r="C1245" s="209"/>
      <c r="D1245" s="209"/>
      <c r="E1245" s="209"/>
      <c r="F1245" s="209"/>
      <c r="G1245" s="209"/>
      <c r="H1245" s="209"/>
      <c r="I1245" s="209"/>
      <c r="J1245" s="209"/>
      <c r="K1245" s="209"/>
      <c r="L1245" s="209"/>
      <c r="M1245" s="209"/>
      <c r="N1245" s="209"/>
      <c r="O1245" s="209"/>
      <c r="P1245" s="209"/>
      <c r="Q1245" s="209"/>
      <c r="R1245" s="209"/>
      <c r="S1245" s="209"/>
      <c r="T1245" s="209"/>
      <c r="U1245" s="209"/>
      <c r="V1245" s="209"/>
      <c r="W1245" s="209"/>
      <c r="X1245" s="209"/>
      <c r="Y1245" s="209"/>
      <c r="Z1245" s="209"/>
      <c r="AA1245" s="209"/>
      <c r="AB1245" s="209"/>
      <c r="AC1245" s="209"/>
      <c r="AD1245" s="209"/>
      <c r="AE1245" s="209"/>
      <c r="AF1245" s="209"/>
      <c r="AG1245" s="209"/>
      <c r="AH1245" s="209"/>
      <c r="AI1245" s="209"/>
      <c r="AJ1245" s="209"/>
    </row>
    <row r="1246">
      <c r="A1246" s="209"/>
      <c r="B1246" s="209"/>
      <c r="C1246" s="209"/>
      <c r="D1246" s="209"/>
      <c r="E1246" s="209"/>
      <c r="F1246" s="209"/>
      <c r="G1246" s="209"/>
      <c r="H1246" s="209"/>
      <c r="I1246" s="209"/>
      <c r="J1246" s="209"/>
      <c r="K1246" s="209"/>
      <c r="L1246" s="209"/>
      <c r="M1246" s="209"/>
      <c r="N1246" s="209"/>
      <c r="O1246" s="209"/>
      <c r="P1246" s="209"/>
      <c r="Q1246" s="209"/>
      <c r="R1246" s="209"/>
      <c r="S1246" s="209"/>
      <c r="T1246" s="209"/>
      <c r="U1246" s="209"/>
      <c r="V1246" s="209"/>
      <c r="W1246" s="209"/>
      <c r="X1246" s="209"/>
      <c r="Y1246" s="209"/>
      <c r="Z1246" s="209"/>
      <c r="AA1246" s="209"/>
      <c r="AB1246" s="209"/>
      <c r="AC1246" s="209"/>
      <c r="AD1246" s="209"/>
      <c r="AE1246" s="209"/>
      <c r="AF1246" s="209"/>
      <c r="AG1246" s="209"/>
      <c r="AH1246" s="209"/>
      <c r="AI1246" s="209"/>
      <c r="AJ1246" s="209"/>
    </row>
    <row r="1247">
      <c r="A1247" s="209"/>
      <c r="B1247" s="209"/>
      <c r="C1247" s="209"/>
      <c r="D1247" s="209"/>
      <c r="E1247" s="209"/>
      <c r="F1247" s="209"/>
      <c r="G1247" s="209"/>
      <c r="H1247" s="209"/>
      <c r="I1247" s="209"/>
      <c r="J1247" s="209"/>
      <c r="K1247" s="209"/>
      <c r="L1247" s="209"/>
      <c r="M1247" s="209"/>
      <c r="N1247" s="209"/>
      <c r="O1247" s="209"/>
      <c r="P1247" s="209"/>
      <c r="Q1247" s="209"/>
      <c r="R1247" s="209"/>
      <c r="S1247" s="209"/>
      <c r="T1247" s="209"/>
      <c r="U1247" s="209"/>
      <c r="V1247" s="209"/>
      <c r="W1247" s="209"/>
      <c r="X1247" s="209"/>
      <c r="Y1247" s="209"/>
      <c r="Z1247" s="209"/>
      <c r="AA1247" s="209"/>
      <c r="AB1247" s="209"/>
      <c r="AC1247" s="209"/>
      <c r="AD1247" s="209"/>
      <c r="AE1247" s="209"/>
      <c r="AF1247" s="209"/>
      <c r="AG1247" s="209"/>
      <c r="AH1247" s="209"/>
      <c r="AI1247" s="209"/>
      <c r="AJ1247" s="209"/>
    </row>
    <row r="1248">
      <c r="A1248" s="209"/>
      <c r="B1248" s="209"/>
      <c r="C1248" s="209"/>
      <c r="D1248" s="209"/>
      <c r="E1248" s="209"/>
      <c r="F1248" s="209"/>
      <c r="G1248" s="209"/>
      <c r="H1248" s="209"/>
      <c r="I1248" s="209"/>
      <c r="J1248" s="209"/>
      <c r="K1248" s="209"/>
      <c r="L1248" s="209"/>
      <c r="M1248" s="209"/>
      <c r="N1248" s="209"/>
      <c r="O1248" s="209"/>
      <c r="P1248" s="209"/>
      <c r="Q1248" s="209"/>
      <c r="R1248" s="209"/>
      <c r="S1248" s="209"/>
      <c r="T1248" s="209"/>
      <c r="U1248" s="209"/>
      <c r="V1248" s="209"/>
      <c r="W1248" s="209"/>
      <c r="X1248" s="209"/>
      <c r="Y1248" s="209"/>
      <c r="Z1248" s="209"/>
      <c r="AA1248" s="209"/>
      <c r="AB1248" s="209"/>
      <c r="AC1248" s="209"/>
      <c r="AD1248" s="209"/>
      <c r="AE1248" s="209"/>
      <c r="AF1248" s="209"/>
      <c r="AG1248" s="209"/>
      <c r="AH1248" s="209"/>
      <c r="AI1248" s="209"/>
      <c r="AJ1248" s="209"/>
    </row>
    <row r="1249">
      <c r="A1249" s="209"/>
      <c r="B1249" s="209"/>
      <c r="C1249" s="209"/>
      <c r="D1249" s="209"/>
      <c r="E1249" s="209"/>
      <c r="F1249" s="209"/>
      <c r="G1249" s="209"/>
      <c r="H1249" s="209"/>
      <c r="I1249" s="209"/>
      <c r="J1249" s="209"/>
      <c r="K1249" s="209"/>
      <c r="L1249" s="209"/>
      <c r="M1249" s="209"/>
      <c r="N1249" s="209"/>
      <c r="O1249" s="209"/>
      <c r="P1249" s="209"/>
      <c r="Q1249" s="209"/>
      <c r="R1249" s="209"/>
      <c r="S1249" s="209"/>
      <c r="T1249" s="209"/>
      <c r="U1249" s="209"/>
      <c r="V1249" s="209"/>
      <c r="W1249" s="209"/>
      <c r="X1249" s="209"/>
      <c r="Y1249" s="209"/>
      <c r="Z1249" s="209"/>
      <c r="AA1249" s="209"/>
      <c r="AB1249" s="209"/>
      <c r="AC1249" s="209"/>
      <c r="AD1249" s="209"/>
      <c r="AE1249" s="209"/>
      <c r="AF1249" s="209"/>
      <c r="AG1249" s="209"/>
      <c r="AH1249" s="209"/>
      <c r="AI1249" s="209"/>
      <c r="AJ1249" s="209"/>
    </row>
    <row r="1250">
      <c r="A1250" s="209"/>
      <c r="B1250" s="209"/>
      <c r="C1250" s="209"/>
      <c r="D1250" s="209"/>
      <c r="E1250" s="209"/>
      <c r="F1250" s="209"/>
      <c r="G1250" s="209"/>
      <c r="H1250" s="209"/>
      <c r="I1250" s="209"/>
      <c r="J1250" s="209"/>
      <c r="K1250" s="209"/>
      <c r="L1250" s="209"/>
      <c r="M1250" s="209"/>
      <c r="N1250" s="209"/>
      <c r="O1250" s="209"/>
      <c r="P1250" s="209"/>
      <c r="Q1250" s="209"/>
      <c r="R1250" s="209"/>
      <c r="S1250" s="209"/>
      <c r="T1250" s="209"/>
      <c r="U1250" s="209"/>
      <c r="V1250" s="209"/>
      <c r="W1250" s="209"/>
      <c r="X1250" s="209"/>
      <c r="Y1250" s="209"/>
      <c r="Z1250" s="209"/>
      <c r="AA1250" s="209"/>
      <c r="AB1250" s="209"/>
      <c r="AC1250" s="209"/>
      <c r="AD1250" s="209"/>
      <c r="AE1250" s="209"/>
      <c r="AF1250" s="209"/>
      <c r="AG1250" s="209"/>
      <c r="AH1250" s="209"/>
      <c r="AI1250" s="209"/>
      <c r="AJ1250" s="209"/>
    </row>
    <row r="1251">
      <c r="A1251" s="209"/>
      <c r="B1251" s="209"/>
      <c r="C1251" s="209"/>
      <c r="D1251" s="209"/>
      <c r="E1251" s="209"/>
      <c r="F1251" s="209"/>
      <c r="G1251" s="209"/>
      <c r="H1251" s="209"/>
      <c r="I1251" s="209"/>
      <c r="J1251" s="209"/>
      <c r="K1251" s="209"/>
      <c r="L1251" s="209"/>
      <c r="M1251" s="209"/>
      <c r="N1251" s="209"/>
      <c r="O1251" s="209"/>
      <c r="P1251" s="209"/>
      <c r="Q1251" s="209"/>
      <c r="R1251" s="209"/>
      <c r="S1251" s="209"/>
      <c r="T1251" s="209"/>
      <c r="U1251" s="209"/>
      <c r="V1251" s="209"/>
      <c r="W1251" s="209"/>
      <c r="X1251" s="209"/>
      <c r="Y1251" s="209"/>
      <c r="Z1251" s="209"/>
      <c r="AA1251" s="209"/>
      <c r="AB1251" s="209"/>
      <c r="AC1251" s="209"/>
      <c r="AD1251" s="209"/>
      <c r="AE1251" s="209"/>
      <c r="AF1251" s="209"/>
      <c r="AG1251" s="209"/>
      <c r="AH1251" s="209"/>
      <c r="AI1251" s="209"/>
      <c r="AJ1251" s="209"/>
    </row>
    <row r="1252">
      <c r="A1252" s="209"/>
      <c r="B1252" s="209"/>
      <c r="C1252" s="209"/>
      <c r="D1252" s="209"/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209"/>
      <c r="P1252" s="209"/>
      <c r="Q1252" s="209"/>
      <c r="R1252" s="209"/>
      <c r="S1252" s="209"/>
      <c r="T1252" s="209"/>
      <c r="U1252" s="209"/>
      <c r="V1252" s="209"/>
      <c r="W1252" s="209"/>
      <c r="X1252" s="209"/>
      <c r="Y1252" s="209"/>
      <c r="Z1252" s="209"/>
      <c r="AA1252" s="209"/>
      <c r="AB1252" s="209"/>
      <c r="AC1252" s="209"/>
      <c r="AD1252" s="209"/>
      <c r="AE1252" s="209"/>
      <c r="AF1252" s="209"/>
      <c r="AG1252" s="209"/>
      <c r="AH1252" s="209"/>
      <c r="AI1252" s="209"/>
      <c r="AJ1252" s="209"/>
    </row>
    <row r="1253">
      <c r="A1253" s="209"/>
      <c r="B1253" s="209"/>
      <c r="C1253" s="209"/>
      <c r="D1253" s="209"/>
      <c r="E1253" s="209"/>
      <c r="F1253" s="209"/>
      <c r="G1253" s="209"/>
      <c r="H1253" s="209"/>
      <c r="I1253" s="209"/>
      <c r="J1253" s="209"/>
      <c r="K1253" s="209"/>
      <c r="L1253" s="209"/>
      <c r="M1253" s="209"/>
      <c r="N1253" s="209"/>
      <c r="O1253" s="209"/>
      <c r="P1253" s="209"/>
      <c r="Q1253" s="209"/>
      <c r="R1253" s="209"/>
      <c r="S1253" s="209"/>
      <c r="T1253" s="209"/>
      <c r="U1253" s="209"/>
      <c r="V1253" s="209"/>
      <c r="W1253" s="209"/>
      <c r="X1253" s="209"/>
      <c r="Y1253" s="209"/>
      <c r="Z1253" s="209"/>
      <c r="AA1253" s="209"/>
      <c r="AB1253" s="209"/>
      <c r="AC1253" s="209"/>
      <c r="AD1253" s="209"/>
      <c r="AE1253" s="209"/>
      <c r="AF1253" s="209"/>
      <c r="AG1253" s="209"/>
      <c r="AH1253" s="209"/>
      <c r="AI1253" s="209"/>
      <c r="AJ1253" s="209"/>
    </row>
    <row r="1254">
      <c r="A1254" s="209"/>
      <c r="B1254" s="209"/>
      <c r="C1254" s="209"/>
      <c r="D1254" s="209"/>
      <c r="E1254" s="209"/>
      <c r="F1254" s="209"/>
      <c r="G1254" s="209"/>
      <c r="H1254" s="209"/>
      <c r="I1254" s="209"/>
      <c r="J1254" s="209"/>
      <c r="K1254" s="209"/>
      <c r="L1254" s="209"/>
      <c r="M1254" s="209"/>
      <c r="N1254" s="209"/>
      <c r="O1254" s="209"/>
      <c r="P1254" s="209"/>
      <c r="Q1254" s="209"/>
      <c r="R1254" s="209"/>
      <c r="S1254" s="209"/>
      <c r="T1254" s="209"/>
      <c r="U1254" s="209"/>
      <c r="V1254" s="209"/>
      <c r="W1254" s="209"/>
      <c r="X1254" s="209"/>
      <c r="Y1254" s="209"/>
      <c r="Z1254" s="209"/>
      <c r="AA1254" s="209"/>
      <c r="AB1254" s="209"/>
      <c r="AC1254" s="209"/>
      <c r="AD1254" s="209"/>
      <c r="AE1254" s="209"/>
      <c r="AF1254" s="209"/>
      <c r="AG1254" s="209"/>
      <c r="AH1254" s="209"/>
      <c r="AI1254" s="209"/>
      <c r="AJ1254" s="209"/>
    </row>
    <row r="1255">
      <c r="A1255" s="209"/>
      <c r="B1255" s="209"/>
      <c r="C1255" s="209"/>
      <c r="D1255" s="209"/>
      <c r="E1255" s="209"/>
      <c r="F1255" s="209"/>
      <c r="G1255" s="209"/>
      <c r="H1255" s="209"/>
      <c r="I1255" s="209"/>
      <c r="J1255" s="209"/>
      <c r="K1255" s="209"/>
      <c r="L1255" s="209"/>
      <c r="M1255" s="209"/>
      <c r="N1255" s="209"/>
      <c r="O1255" s="209"/>
      <c r="P1255" s="209"/>
      <c r="Q1255" s="209"/>
      <c r="R1255" s="209"/>
      <c r="S1255" s="209"/>
      <c r="T1255" s="209"/>
      <c r="U1255" s="209"/>
      <c r="V1255" s="209"/>
      <c r="W1255" s="209"/>
      <c r="X1255" s="209"/>
      <c r="Y1255" s="209"/>
      <c r="Z1255" s="209"/>
      <c r="AA1255" s="209"/>
      <c r="AB1255" s="209"/>
      <c r="AC1255" s="209"/>
      <c r="AD1255" s="209"/>
      <c r="AE1255" s="209"/>
      <c r="AF1255" s="209"/>
      <c r="AG1255" s="209"/>
      <c r="AH1255" s="209"/>
      <c r="AI1255" s="209"/>
      <c r="AJ1255" s="209"/>
    </row>
    <row r="1256">
      <c r="A1256" s="209"/>
      <c r="B1256" s="209"/>
      <c r="C1256" s="209"/>
      <c r="D1256" s="209"/>
      <c r="E1256" s="209"/>
      <c r="F1256" s="209"/>
      <c r="G1256" s="209"/>
      <c r="H1256" s="209"/>
      <c r="I1256" s="209"/>
      <c r="J1256" s="209"/>
      <c r="K1256" s="209"/>
      <c r="L1256" s="209"/>
      <c r="M1256" s="209"/>
      <c r="N1256" s="209"/>
      <c r="O1256" s="209"/>
      <c r="P1256" s="209"/>
      <c r="Q1256" s="209"/>
      <c r="R1256" s="209"/>
      <c r="S1256" s="209"/>
      <c r="T1256" s="209"/>
      <c r="U1256" s="209"/>
      <c r="V1256" s="209"/>
      <c r="W1256" s="209"/>
      <c r="X1256" s="209"/>
      <c r="Y1256" s="209"/>
      <c r="Z1256" s="209"/>
      <c r="AA1256" s="209"/>
      <c r="AB1256" s="209"/>
      <c r="AC1256" s="209"/>
      <c r="AD1256" s="209"/>
      <c r="AE1256" s="209"/>
      <c r="AF1256" s="209"/>
      <c r="AG1256" s="209"/>
      <c r="AH1256" s="209"/>
      <c r="AI1256" s="209"/>
      <c r="AJ1256" s="209"/>
    </row>
    <row r="1257">
      <c r="A1257" s="209"/>
      <c r="B1257" s="209"/>
      <c r="C1257" s="209"/>
      <c r="D1257" s="209"/>
      <c r="E1257" s="209"/>
      <c r="F1257" s="209"/>
      <c r="G1257" s="209"/>
      <c r="H1257" s="209"/>
      <c r="I1257" s="209"/>
      <c r="J1257" s="209"/>
      <c r="K1257" s="209"/>
      <c r="L1257" s="209"/>
      <c r="M1257" s="209"/>
      <c r="N1257" s="209"/>
      <c r="O1257" s="209"/>
      <c r="P1257" s="209"/>
      <c r="Q1257" s="209"/>
      <c r="R1257" s="209"/>
      <c r="S1257" s="209"/>
      <c r="T1257" s="209"/>
      <c r="U1257" s="209"/>
      <c r="V1257" s="209"/>
      <c r="W1257" s="209"/>
      <c r="X1257" s="209"/>
      <c r="Y1257" s="209"/>
      <c r="Z1257" s="209"/>
      <c r="AA1257" s="209"/>
      <c r="AB1257" s="209"/>
      <c r="AC1257" s="209"/>
      <c r="AD1257" s="209"/>
      <c r="AE1257" s="209"/>
      <c r="AF1257" s="209"/>
      <c r="AG1257" s="209"/>
      <c r="AH1257" s="209"/>
      <c r="AI1257" s="209"/>
      <c r="AJ1257" s="209"/>
    </row>
    <row r="1258">
      <c r="A1258" s="209"/>
      <c r="B1258" s="209"/>
      <c r="C1258" s="209"/>
      <c r="D1258" s="209"/>
      <c r="E1258" s="209"/>
      <c r="F1258" s="209"/>
      <c r="G1258" s="209"/>
      <c r="H1258" s="209"/>
      <c r="I1258" s="209"/>
      <c r="J1258" s="209"/>
      <c r="K1258" s="209"/>
      <c r="L1258" s="209"/>
      <c r="M1258" s="209"/>
      <c r="N1258" s="209"/>
      <c r="O1258" s="209"/>
      <c r="P1258" s="209"/>
      <c r="Q1258" s="209"/>
      <c r="R1258" s="209"/>
      <c r="S1258" s="209"/>
      <c r="T1258" s="209"/>
      <c r="U1258" s="209"/>
      <c r="V1258" s="209"/>
      <c r="W1258" s="209"/>
      <c r="X1258" s="209"/>
      <c r="Y1258" s="209"/>
      <c r="Z1258" s="209"/>
      <c r="AA1258" s="209"/>
      <c r="AB1258" s="209"/>
      <c r="AC1258" s="209"/>
      <c r="AD1258" s="209"/>
      <c r="AE1258" s="209"/>
      <c r="AF1258" s="209"/>
      <c r="AG1258" s="209"/>
      <c r="AH1258" s="209"/>
      <c r="AI1258" s="209"/>
      <c r="AJ1258" s="209"/>
    </row>
    <row r="1259">
      <c r="A1259" s="209"/>
      <c r="B1259" s="209"/>
      <c r="C1259" s="209"/>
      <c r="D1259" s="209"/>
      <c r="E1259" s="209"/>
      <c r="F1259" s="209"/>
      <c r="G1259" s="209"/>
      <c r="H1259" s="209"/>
      <c r="I1259" s="209"/>
      <c r="J1259" s="209"/>
      <c r="K1259" s="209"/>
      <c r="L1259" s="209"/>
      <c r="M1259" s="209"/>
      <c r="N1259" s="209"/>
      <c r="O1259" s="209"/>
      <c r="P1259" s="209"/>
      <c r="Q1259" s="209"/>
      <c r="R1259" s="209"/>
      <c r="S1259" s="209"/>
      <c r="T1259" s="209"/>
      <c r="U1259" s="209"/>
      <c r="V1259" s="209"/>
      <c r="W1259" s="209"/>
      <c r="X1259" s="209"/>
      <c r="Y1259" s="209"/>
      <c r="Z1259" s="209"/>
      <c r="AA1259" s="209"/>
      <c r="AB1259" s="209"/>
      <c r="AC1259" s="209"/>
      <c r="AD1259" s="209"/>
      <c r="AE1259" s="209"/>
      <c r="AF1259" s="209"/>
      <c r="AG1259" s="209"/>
      <c r="AH1259" s="209"/>
      <c r="AI1259" s="209"/>
      <c r="AJ1259" s="209"/>
    </row>
    <row r="1260">
      <c r="A1260" s="209"/>
      <c r="B1260" s="209"/>
      <c r="C1260" s="209"/>
      <c r="D1260" s="209"/>
      <c r="E1260" s="209"/>
      <c r="F1260" s="209"/>
      <c r="G1260" s="209"/>
      <c r="H1260" s="209"/>
      <c r="I1260" s="209"/>
      <c r="J1260" s="209"/>
      <c r="K1260" s="209"/>
      <c r="L1260" s="209"/>
      <c r="M1260" s="209"/>
      <c r="N1260" s="209"/>
      <c r="O1260" s="209"/>
      <c r="P1260" s="209"/>
      <c r="Q1260" s="209"/>
      <c r="R1260" s="209"/>
      <c r="S1260" s="209"/>
      <c r="T1260" s="209"/>
      <c r="U1260" s="209"/>
      <c r="V1260" s="209"/>
      <c r="W1260" s="209"/>
      <c r="X1260" s="209"/>
      <c r="Y1260" s="209"/>
      <c r="Z1260" s="209"/>
      <c r="AA1260" s="209"/>
      <c r="AB1260" s="209"/>
      <c r="AC1260" s="209"/>
      <c r="AD1260" s="209"/>
      <c r="AE1260" s="209"/>
      <c r="AF1260" s="209"/>
      <c r="AG1260" s="209"/>
      <c r="AH1260" s="209"/>
      <c r="AI1260" s="209"/>
      <c r="AJ1260" s="209"/>
    </row>
    <row r="1261">
      <c r="A1261" s="209"/>
      <c r="B1261" s="209"/>
      <c r="C1261" s="209"/>
      <c r="D1261" s="209"/>
      <c r="E1261" s="209"/>
      <c r="F1261" s="209"/>
      <c r="G1261" s="209"/>
      <c r="H1261" s="209"/>
      <c r="I1261" s="209"/>
      <c r="J1261" s="209"/>
      <c r="K1261" s="209"/>
      <c r="L1261" s="209"/>
      <c r="M1261" s="209"/>
      <c r="N1261" s="209"/>
      <c r="O1261" s="209"/>
      <c r="P1261" s="209"/>
      <c r="Q1261" s="209"/>
      <c r="R1261" s="209"/>
      <c r="S1261" s="209"/>
      <c r="T1261" s="209"/>
      <c r="U1261" s="209"/>
      <c r="V1261" s="209"/>
      <c r="W1261" s="209"/>
      <c r="X1261" s="209"/>
      <c r="Y1261" s="209"/>
      <c r="Z1261" s="209"/>
      <c r="AA1261" s="209"/>
      <c r="AB1261" s="209"/>
      <c r="AC1261" s="209"/>
      <c r="AD1261" s="209"/>
      <c r="AE1261" s="209"/>
      <c r="AF1261" s="209"/>
      <c r="AG1261" s="209"/>
      <c r="AH1261" s="209"/>
      <c r="AI1261" s="209"/>
      <c r="AJ1261" s="209"/>
    </row>
    <row r="1262">
      <c r="A1262" s="209"/>
      <c r="B1262" s="209"/>
      <c r="C1262" s="209"/>
      <c r="D1262" s="209"/>
      <c r="E1262" s="209"/>
      <c r="F1262" s="209"/>
      <c r="G1262" s="209"/>
      <c r="H1262" s="209"/>
      <c r="I1262" s="209"/>
      <c r="J1262" s="209"/>
      <c r="K1262" s="209"/>
      <c r="L1262" s="209"/>
      <c r="M1262" s="209"/>
      <c r="N1262" s="209"/>
      <c r="O1262" s="209"/>
      <c r="P1262" s="209"/>
      <c r="Q1262" s="209"/>
      <c r="R1262" s="209"/>
      <c r="S1262" s="209"/>
      <c r="T1262" s="209"/>
      <c r="U1262" s="209"/>
      <c r="V1262" s="209"/>
      <c r="W1262" s="209"/>
      <c r="X1262" s="209"/>
      <c r="Y1262" s="209"/>
      <c r="Z1262" s="209"/>
      <c r="AA1262" s="209"/>
      <c r="AB1262" s="209"/>
      <c r="AC1262" s="209"/>
      <c r="AD1262" s="209"/>
      <c r="AE1262" s="209"/>
      <c r="AF1262" s="209"/>
      <c r="AG1262" s="209"/>
      <c r="AH1262" s="209"/>
      <c r="AI1262" s="209"/>
      <c r="AJ1262" s="209"/>
    </row>
    <row r="1263">
      <c r="A1263" s="209"/>
      <c r="B1263" s="209"/>
      <c r="C1263" s="209"/>
      <c r="D1263" s="209"/>
      <c r="E1263" s="209"/>
      <c r="F1263" s="209"/>
      <c r="G1263" s="209"/>
      <c r="H1263" s="209"/>
      <c r="I1263" s="209"/>
      <c r="J1263" s="209"/>
      <c r="K1263" s="209"/>
      <c r="L1263" s="209"/>
      <c r="M1263" s="209"/>
      <c r="N1263" s="209"/>
      <c r="O1263" s="209"/>
      <c r="P1263" s="209"/>
      <c r="Q1263" s="209"/>
      <c r="R1263" s="209"/>
      <c r="S1263" s="209"/>
      <c r="T1263" s="209"/>
      <c r="U1263" s="209"/>
      <c r="V1263" s="209"/>
      <c r="W1263" s="209"/>
      <c r="X1263" s="209"/>
      <c r="Y1263" s="209"/>
      <c r="Z1263" s="209"/>
      <c r="AA1263" s="209"/>
      <c r="AB1263" s="209"/>
      <c r="AC1263" s="209"/>
      <c r="AD1263" s="209"/>
      <c r="AE1263" s="209"/>
      <c r="AF1263" s="209"/>
      <c r="AG1263" s="209"/>
      <c r="AH1263" s="209"/>
      <c r="AI1263" s="209"/>
      <c r="AJ1263" s="209"/>
    </row>
    <row r="1264">
      <c r="A1264" s="209"/>
      <c r="B1264" s="209"/>
      <c r="C1264" s="209"/>
      <c r="D1264" s="209"/>
      <c r="E1264" s="209"/>
      <c r="F1264" s="209"/>
      <c r="G1264" s="209"/>
      <c r="H1264" s="209"/>
      <c r="I1264" s="209"/>
      <c r="J1264" s="209"/>
      <c r="K1264" s="209"/>
      <c r="L1264" s="209"/>
      <c r="M1264" s="209"/>
      <c r="N1264" s="209"/>
      <c r="O1264" s="209"/>
      <c r="P1264" s="209"/>
      <c r="Q1264" s="209"/>
      <c r="R1264" s="209"/>
      <c r="S1264" s="209"/>
      <c r="T1264" s="209"/>
      <c r="U1264" s="209"/>
      <c r="V1264" s="209"/>
      <c r="W1264" s="209"/>
      <c r="X1264" s="209"/>
      <c r="Y1264" s="209"/>
      <c r="Z1264" s="209"/>
      <c r="AA1264" s="209"/>
      <c r="AB1264" s="209"/>
      <c r="AC1264" s="209"/>
      <c r="AD1264" s="209"/>
      <c r="AE1264" s="209"/>
      <c r="AF1264" s="209"/>
      <c r="AG1264" s="209"/>
      <c r="AH1264" s="209"/>
      <c r="AI1264" s="209"/>
      <c r="AJ1264" s="209"/>
    </row>
    <row r="1265">
      <c r="A1265" s="209"/>
      <c r="B1265" s="209"/>
      <c r="C1265" s="209"/>
      <c r="D1265" s="209"/>
      <c r="E1265" s="209"/>
      <c r="F1265" s="209"/>
      <c r="G1265" s="209"/>
      <c r="H1265" s="209"/>
      <c r="I1265" s="209"/>
      <c r="J1265" s="209"/>
      <c r="K1265" s="209"/>
      <c r="L1265" s="209"/>
      <c r="M1265" s="209"/>
      <c r="N1265" s="209"/>
      <c r="O1265" s="209"/>
      <c r="P1265" s="209"/>
      <c r="Q1265" s="209"/>
      <c r="R1265" s="209"/>
      <c r="S1265" s="209"/>
      <c r="T1265" s="209"/>
      <c r="U1265" s="209"/>
      <c r="V1265" s="209"/>
      <c r="W1265" s="209"/>
      <c r="X1265" s="209"/>
      <c r="Y1265" s="209"/>
      <c r="Z1265" s="209"/>
      <c r="AA1265" s="209"/>
      <c r="AB1265" s="209"/>
      <c r="AC1265" s="209"/>
      <c r="AD1265" s="209"/>
      <c r="AE1265" s="209"/>
      <c r="AF1265" s="209"/>
      <c r="AG1265" s="209"/>
      <c r="AH1265" s="209"/>
      <c r="AI1265" s="209"/>
      <c r="AJ1265" s="209"/>
    </row>
    <row r="1266">
      <c r="A1266" s="209"/>
      <c r="B1266" s="209"/>
      <c r="C1266" s="209"/>
      <c r="D1266" s="209"/>
      <c r="E1266" s="209"/>
      <c r="F1266" s="209"/>
      <c r="G1266" s="209"/>
      <c r="H1266" s="209"/>
      <c r="I1266" s="209"/>
      <c r="J1266" s="209"/>
      <c r="K1266" s="209"/>
      <c r="L1266" s="209"/>
      <c r="M1266" s="209"/>
      <c r="N1266" s="209"/>
      <c r="O1266" s="209"/>
      <c r="P1266" s="209"/>
      <c r="Q1266" s="209"/>
      <c r="R1266" s="209"/>
      <c r="S1266" s="209"/>
      <c r="T1266" s="209"/>
      <c r="U1266" s="209"/>
      <c r="V1266" s="209"/>
      <c r="W1266" s="209"/>
      <c r="X1266" s="209"/>
      <c r="Y1266" s="209"/>
      <c r="Z1266" s="209"/>
      <c r="AA1266" s="209"/>
      <c r="AB1266" s="209"/>
      <c r="AC1266" s="209"/>
      <c r="AD1266" s="209"/>
      <c r="AE1266" s="209"/>
      <c r="AF1266" s="209"/>
      <c r="AG1266" s="209"/>
      <c r="AH1266" s="209"/>
      <c r="AI1266" s="209"/>
      <c r="AJ1266" s="209"/>
    </row>
    <row r="1267">
      <c r="A1267" s="209"/>
      <c r="B1267" s="209"/>
      <c r="C1267" s="209"/>
      <c r="D1267" s="209"/>
      <c r="E1267" s="209"/>
      <c r="F1267" s="209"/>
      <c r="G1267" s="209"/>
      <c r="H1267" s="209"/>
      <c r="I1267" s="209"/>
      <c r="J1267" s="209"/>
      <c r="K1267" s="209"/>
      <c r="L1267" s="209"/>
      <c r="M1267" s="209"/>
      <c r="N1267" s="209"/>
      <c r="O1267" s="209"/>
      <c r="P1267" s="209"/>
      <c r="Q1267" s="209"/>
      <c r="R1267" s="209"/>
      <c r="S1267" s="209"/>
      <c r="T1267" s="209"/>
      <c r="U1267" s="209"/>
      <c r="V1267" s="209"/>
      <c r="W1267" s="209"/>
      <c r="X1267" s="209"/>
      <c r="Y1267" s="209"/>
      <c r="Z1267" s="209"/>
      <c r="AA1267" s="209"/>
      <c r="AB1267" s="209"/>
      <c r="AC1267" s="209"/>
      <c r="AD1267" s="209"/>
      <c r="AE1267" s="209"/>
      <c r="AF1267" s="209"/>
      <c r="AG1267" s="209"/>
      <c r="AH1267" s="209"/>
      <c r="AI1267" s="209"/>
      <c r="AJ1267" s="209"/>
    </row>
    <row r="1268">
      <c r="A1268" s="209"/>
      <c r="B1268" s="209"/>
      <c r="C1268" s="209"/>
      <c r="D1268" s="209"/>
      <c r="E1268" s="209"/>
      <c r="F1268" s="209"/>
      <c r="G1268" s="209"/>
      <c r="H1268" s="209"/>
      <c r="I1268" s="209"/>
      <c r="J1268" s="209"/>
      <c r="K1268" s="209"/>
      <c r="L1268" s="209"/>
      <c r="M1268" s="209"/>
      <c r="N1268" s="209"/>
      <c r="O1268" s="209"/>
      <c r="P1268" s="209"/>
      <c r="Q1268" s="209"/>
      <c r="R1268" s="209"/>
      <c r="S1268" s="209"/>
      <c r="T1268" s="209"/>
      <c r="U1268" s="209"/>
      <c r="V1268" s="209"/>
      <c r="W1268" s="209"/>
      <c r="X1268" s="209"/>
      <c r="Y1268" s="209"/>
      <c r="Z1268" s="209"/>
      <c r="AA1268" s="209"/>
      <c r="AB1268" s="209"/>
      <c r="AC1268" s="209"/>
      <c r="AD1268" s="209"/>
      <c r="AE1268" s="209"/>
      <c r="AF1268" s="209"/>
      <c r="AG1268" s="209"/>
      <c r="AH1268" s="209"/>
      <c r="AI1268" s="209"/>
      <c r="AJ1268" s="209"/>
    </row>
    <row r="1269">
      <c r="A1269" s="209"/>
      <c r="B1269" s="209"/>
      <c r="C1269" s="209"/>
      <c r="D1269" s="209"/>
      <c r="E1269" s="209"/>
      <c r="F1269" s="209"/>
      <c r="G1269" s="209"/>
      <c r="H1269" s="209"/>
      <c r="I1269" s="209"/>
      <c r="J1269" s="209"/>
      <c r="K1269" s="209"/>
      <c r="L1269" s="209"/>
      <c r="M1269" s="209"/>
      <c r="N1269" s="209"/>
      <c r="O1269" s="209"/>
      <c r="P1269" s="209"/>
      <c r="Q1269" s="209"/>
      <c r="R1269" s="209"/>
      <c r="S1269" s="209"/>
      <c r="T1269" s="209"/>
      <c r="U1269" s="209"/>
      <c r="V1269" s="209"/>
      <c r="W1269" s="209"/>
      <c r="X1269" s="209"/>
      <c r="Y1269" s="209"/>
      <c r="Z1269" s="209"/>
      <c r="AA1269" s="209"/>
      <c r="AB1269" s="209"/>
      <c r="AC1269" s="209"/>
      <c r="AD1269" s="209"/>
      <c r="AE1269" s="209"/>
      <c r="AF1269" s="209"/>
      <c r="AG1269" s="209"/>
      <c r="AH1269" s="209"/>
      <c r="AI1269" s="209"/>
      <c r="AJ1269" s="209"/>
    </row>
    <row r="1270">
      <c r="A1270" s="209"/>
      <c r="B1270" s="209"/>
      <c r="C1270" s="209"/>
      <c r="D1270" s="209"/>
      <c r="E1270" s="209"/>
      <c r="F1270" s="209"/>
      <c r="G1270" s="209"/>
      <c r="H1270" s="209"/>
      <c r="I1270" s="209"/>
      <c r="J1270" s="209"/>
      <c r="K1270" s="209"/>
      <c r="L1270" s="209"/>
      <c r="M1270" s="209"/>
      <c r="N1270" s="209"/>
      <c r="O1270" s="209"/>
      <c r="P1270" s="209"/>
      <c r="Q1270" s="209"/>
      <c r="R1270" s="209"/>
      <c r="S1270" s="209"/>
      <c r="T1270" s="209"/>
      <c r="U1270" s="209"/>
      <c r="V1270" s="209"/>
      <c r="W1270" s="209"/>
      <c r="X1270" s="209"/>
      <c r="Y1270" s="209"/>
      <c r="Z1270" s="209"/>
      <c r="AA1270" s="209"/>
      <c r="AB1270" s="209"/>
      <c r="AC1270" s="209"/>
      <c r="AD1270" s="209"/>
      <c r="AE1270" s="209"/>
      <c r="AF1270" s="209"/>
      <c r="AG1270" s="209"/>
      <c r="AH1270" s="209"/>
      <c r="AI1270" s="209"/>
      <c r="AJ1270" s="209"/>
    </row>
    <row r="1271">
      <c r="A1271" s="209"/>
      <c r="B1271" s="209"/>
      <c r="C1271" s="209"/>
      <c r="D1271" s="209"/>
      <c r="E1271" s="209"/>
      <c r="F1271" s="209"/>
      <c r="G1271" s="209"/>
      <c r="H1271" s="209"/>
      <c r="I1271" s="209"/>
      <c r="J1271" s="209"/>
      <c r="K1271" s="209"/>
      <c r="L1271" s="209"/>
      <c r="M1271" s="209"/>
      <c r="N1271" s="209"/>
      <c r="O1271" s="209"/>
      <c r="P1271" s="209"/>
      <c r="Q1271" s="209"/>
      <c r="R1271" s="209"/>
      <c r="S1271" s="209"/>
      <c r="T1271" s="209"/>
      <c r="U1271" s="209"/>
      <c r="V1271" s="209"/>
      <c r="W1271" s="209"/>
      <c r="X1271" s="209"/>
      <c r="Y1271" s="209"/>
      <c r="Z1271" s="209"/>
      <c r="AA1271" s="209"/>
      <c r="AB1271" s="209"/>
      <c r="AC1271" s="209"/>
      <c r="AD1271" s="209"/>
      <c r="AE1271" s="209"/>
      <c r="AF1271" s="209"/>
      <c r="AG1271" s="209"/>
      <c r="AH1271" s="209"/>
      <c r="AI1271" s="209"/>
      <c r="AJ1271" s="209"/>
    </row>
    <row r="1272">
      <c r="A1272" s="209"/>
      <c r="B1272" s="209"/>
      <c r="C1272" s="209"/>
      <c r="D1272" s="209"/>
      <c r="E1272" s="209"/>
      <c r="F1272" s="209"/>
      <c r="G1272" s="209"/>
      <c r="H1272" s="209"/>
      <c r="I1272" s="209"/>
      <c r="J1272" s="209"/>
      <c r="K1272" s="209"/>
      <c r="L1272" s="209"/>
      <c r="M1272" s="209"/>
      <c r="N1272" s="209"/>
      <c r="O1272" s="209"/>
      <c r="P1272" s="209"/>
      <c r="Q1272" s="209"/>
      <c r="R1272" s="209"/>
      <c r="S1272" s="209"/>
      <c r="T1272" s="209"/>
      <c r="U1272" s="209"/>
      <c r="V1272" s="209"/>
      <c r="W1272" s="209"/>
      <c r="X1272" s="209"/>
      <c r="Y1272" s="209"/>
      <c r="Z1272" s="209"/>
      <c r="AA1272" s="209"/>
      <c r="AB1272" s="209"/>
      <c r="AC1272" s="209"/>
      <c r="AD1272" s="209"/>
      <c r="AE1272" s="209"/>
      <c r="AF1272" s="209"/>
      <c r="AG1272" s="209"/>
      <c r="AH1272" s="209"/>
      <c r="AI1272" s="209"/>
      <c r="AJ1272" s="209"/>
    </row>
    <row r="1273">
      <c r="A1273" s="209"/>
      <c r="B1273" s="209"/>
      <c r="C1273" s="209"/>
      <c r="D1273" s="209"/>
      <c r="E1273" s="209"/>
      <c r="F1273" s="209"/>
      <c r="G1273" s="209"/>
      <c r="H1273" s="209"/>
      <c r="I1273" s="209"/>
      <c r="J1273" s="209"/>
      <c r="K1273" s="209"/>
      <c r="L1273" s="209"/>
      <c r="M1273" s="209"/>
      <c r="N1273" s="209"/>
      <c r="O1273" s="209"/>
      <c r="P1273" s="209"/>
      <c r="Q1273" s="209"/>
      <c r="R1273" s="209"/>
      <c r="S1273" s="209"/>
      <c r="T1273" s="209"/>
      <c r="U1273" s="209"/>
      <c r="V1273" s="209"/>
      <c r="W1273" s="209"/>
      <c r="X1273" s="209"/>
      <c r="Y1273" s="209"/>
      <c r="Z1273" s="209"/>
      <c r="AA1273" s="209"/>
      <c r="AB1273" s="209"/>
      <c r="AC1273" s="209"/>
      <c r="AD1273" s="209"/>
      <c r="AE1273" s="209"/>
      <c r="AF1273" s="209"/>
      <c r="AG1273" s="209"/>
      <c r="AH1273" s="209"/>
      <c r="AI1273" s="209"/>
      <c r="AJ1273" s="209"/>
    </row>
    <row r="1274">
      <c r="A1274" s="209"/>
      <c r="B1274" s="209"/>
      <c r="C1274" s="209"/>
      <c r="D1274" s="209"/>
      <c r="E1274" s="209"/>
      <c r="F1274" s="209"/>
      <c r="G1274" s="209"/>
      <c r="H1274" s="209"/>
      <c r="I1274" s="209"/>
      <c r="J1274" s="209"/>
      <c r="K1274" s="209"/>
      <c r="L1274" s="209"/>
      <c r="M1274" s="209"/>
      <c r="N1274" s="209"/>
      <c r="O1274" s="209"/>
      <c r="P1274" s="209"/>
      <c r="Q1274" s="209"/>
      <c r="R1274" s="209"/>
      <c r="S1274" s="209"/>
      <c r="T1274" s="209"/>
      <c r="U1274" s="209"/>
      <c r="V1274" s="209"/>
      <c r="W1274" s="209"/>
      <c r="X1274" s="209"/>
      <c r="Y1274" s="209"/>
      <c r="Z1274" s="209"/>
      <c r="AA1274" s="209"/>
      <c r="AB1274" s="209"/>
      <c r="AC1274" s="209"/>
      <c r="AD1274" s="209"/>
      <c r="AE1274" s="209"/>
      <c r="AF1274" s="209"/>
      <c r="AG1274" s="209"/>
      <c r="AH1274" s="209"/>
      <c r="AI1274" s="209"/>
      <c r="AJ1274" s="209"/>
    </row>
    <row r="1275">
      <c r="A1275" s="209"/>
      <c r="B1275" s="209"/>
      <c r="C1275" s="209"/>
      <c r="D1275" s="209"/>
      <c r="E1275" s="209"/>
      <c r="F1275" s="209"/>
      <c r="G1275" s="209"/>
      <c r="H1275" s="209"/>
      <c r="I1275" s="209"/>
      <c r="J1275" s="209"/>
      <c r="K1275" s="209"/>
      <c r="L1275" s="209"/>
      <c r="M1275" s="209"/>
      <c r="N1275" s="209"/>
      <c r="O1275" s="209"/>
      <c r="P1275" s="209"/>
      <c r="Q1275" s="209"/>
      <c r="R1275" s="209"/>
      <c r="S1275" s="209"/>
      <c r="T1275" s="209"/>
      <c r="U1275" s="209"/>
      <c r="V1275" s="209"/>
      <c r="W1275" s="209"/>
      <c r="X1275" s="209"/>
      <c r="Y1275" s="209"/>
      <c r="Z1275" s="209"/>
      <c r="AA1275" s="209"/>
      <c r="AB1275" s="209"/>
      <c r="AC1275" s="209"/>
      <c r="AD1275" s="209"/>
      <c r="AE1275" s="209"/>
      <c r="AF1275" s="209"/>
      <c r="AG1275" s="209"/>
      <c r="AH1275" s="209"/>
      <c r="AI1275" s="209"/>
      <c r="AJ1275" s="209"/>
    </row>
    <row r="1276">
      <c r="A1276" s="209"/>
      <c r="B1276" s="209"/>
      <c r="C1276" s="209"/>
      <c r="D1276" s="209"/>
      <c r="E1276" s="209"/>
      <c r="F1276" s="209"/>
      <c r="G1276" s="209"/>
      <c r="H1276" s="209"/>
      <c r="I1276" s="209"/>
      <c r="J1276" s="209"/>
      <c r="K1276" s="209"/>
      <c r="L1276" s="209"/>
      <c r="M1276" s="209"/>
      <c r="N1276" s="209"/>
      <c r="O1276" s="209"/>
      <c r="P1276" s="209"/>
      <c r="Q1276" s="209"/>
      <c r="R1276" s="209"/>
      <c r="S1276" s="209"/>
      <c r="T1276" s="209"/>
      <c r="U1276" s="209"/>
      <c r="V1276" s="209"/>
      <c r="W1276" s="209"/>
      <c r="X1276" s="209"/>
      <c r="Y1276" s="209"/>
      <c r="Z1276" s="209"/>
      <c r="AA1276" s="209"/>
      <c r="AB1276" s="209"/>
      <c r="AC1276" s="209"/>
      <c r="AD1276" s="209"/>
      <c r="AE1276" s="209"/>
      <c r="AF1276" s="209"/>
      <c r="AG1276" s="209"/>
      <c r="AH1276" s="209"/>
      <c r="AI1276" s="209"/>
      <c r="AJ1276" s="209"/>
    </row>
    <row r="1277">
      <c r="A1277" s="209"/>
      <c r="B1277" s="209"/>
      <c r="C1277" s="209"/>
      <c r="D1277" s="209"/>
      <c r="E1277" s="209"/>
      <c r="F1277" s="209"/>
      <c r="G1277" s="209"/>
      <c r="H1277" s="209"/>
      <c r="I1277" s="209"/>
      <c r="J1277" s="209"/>
      <c r="K1277" s="209"/>
      <c r="L1277" s="209"/>
      <c r="M1277" s="209"/>
      <c r="N1277" s="209"/>
      <c r="O1277" s="209"/>
      <c r="P1277" s="209"/>
      <c r="Q1277" s="209"/>
      <c r="R1277" s="209"/>
      <c r="S1277" s="209"/>
      <c r="T1277" s="209"/>
      <c r="U1277" s="209"/>
      <c r="V1277" s="209"/>
      <c r="W1277" s="209"/>
      <c r="X1277" s="209"/>
      <c r="Y1277" s="209"/>
      <c r="Z1277" s="209"/>
      <c r="AA1277" s="209"/>
      <c r="AB1277" s="209"/>
      <c r="AC1277" s="209"/>
      <c r="AD1277" s="209"/>
      <c r="AE1277" s="209"/>
      <c r="AF1277" s="209"/>
      <c r="AG1277" s="209"/>
      <c r="AH1277" s="209"/>
      <c r="AI1277" s="209"/>
      <c r="AJ1277" s="209"/>
    </row>
    <row r="1278">
      <c r="A1278" s="209"/>
      <c r="B1278" s="209"/>
      <c r="C1278" s="209"/>
      <c r="D1278" s="209"/>
      <c r="E1278" s="209"/>
      <c r="F1278" s="209"/>
      <c r="G1278" s="209"/>
      <c r="H1278" s="209"/>
      <c r="I1278" s="209"/>
      <c r="J1278" s="209"/>
      <c r="K1278" s="209"/>
      <c r="L1278" s="209"/>
      <c r="M1278" s="209"/>
      <c r="N1278" s="209"/>
      <c r="O1278" s="209"/>
      <c r="P1278" s="209"/>
      <c r="Q1278" s="209"/>
      <c r="R1278" s="209"/>
      <c r="S1278" s="209"/>
      <c r="T1278" s="209"/>
      <c r="U1278" s="209"/>
      <c r="V1278" s="209"/>
      <c r="W1278" s="209"/>
      <c r="X1278" s="209"/>
      <c r="Y1278" s="209"/>
      <c r="Z1278" s="209"/>
      <c r="AA1278" s="209"/>
      <c r="AB1278" s="209"/>
      <c r="AC1278" s="209"/>
      <c r="AD1278" s="209"/>
      <c r="AE1278" s="209"/>
      <c r="AF1278" s="209"/>
      <c r="AG1278" s="209"/>
      <c r="AH1278" s="209"/>
      <c r="AI1278" s="209"/>
      <c r="AJ1278" s="209"/>
    </row>
    <row r="1279">
      <c r="A1279" s="209"/>
      <c r="B1279" s="209"/>
      <c r="C1279" s="209"/>
      <c r="D1279" s="209"/>
      <c r="E1279" s="209"/>
      <c r="F1279" s="209"/>
      <c r="G1279" s="209"/>
      <c r="H1279" s="209"/>
      <c r="I1279" s="209"/>
      <c r="J1279" s="209"/>
      <c r="K1279" s="209"/>
      <c r="L1279" s="209"/>
      <c r="M1279" s="209"/>
      <c r="N1279" s="209"/>
      <c r="O1279" s="209"/>
      <c r="P1279" s="209"/>
      <c r="Q1279" s="209"/>
      <c r="R1279" s="209"/>
      <c r="S1279" s="209"/>
      <c r="T1279" s="209"/>
      <c r="U1279" s="209"/>
      <c r="V1279" s="209"/>
      <c r="W1279" s="209"/>
      <c r="X1279" s="209"/>
      <c r="Y1279" s="209"/>
      <c r="Z1279" s="209"/>
      <c r="AA1279" s="209"/>
      <c r="AB1279" s="209"/>
      <c r="AC1279" s="209"/>
      <c r="AD1279" s="209"/>
      <c r="AE1279" s="209"/>
      <c r="AF1279" s="209"/>
      <c r="AG1279" s="209"/>
      <c r="AH1279" s="209"/>
      <c r="AI1279" s="209"/>
      <c r="AJ1279" s="209"/>
    </row>
    <row r="1280">
      <c r="A1280" s="209"/>
      <c r="B1280" s="209"/>
      <c r="C1280" s="209"/>
      <c r="D1280" s="209"/>
      <c r="E1280" s="209"/>
      <c r="F1280" s="209"/>
      <c r="G1280" s="209"/>
      <c r="H1280" s="209"/>
      <c r="I1280" s="209"/>
      <c r="J1280" s="209"/>
      <c r="K1280" s="209"/>
      <c r="L1280" s="209"/>
      <c r="M1280" s="209"/>
      <c r="N1280" s="209"/>
      <c r="O1280" s="209"/>
      <c r="P1280" s="209"/>
      <c r="Q1280" s="209"/>
      <c r="R1280" s="209"/>
      <c r="S1280" s="209"/>
      <c r="T1280" s="209"/>
      <c r="U1280" s="209"/>
      <c r="V1280" s="209"/>
      <c r="W1280" s="209"/>
      <c r="X1280" s="209"/>
      <c r="Y1280" s="209"/>
      <c r="Z1280" s="209"/>
      <c r="AA1280" s="209"/>
      <c r="AB1280" s="209"/>
      <c r="AC1280" s="209"/>
      <c r="AD1280" s="209"/>
      <c r="AE1280" s="209"/>
      <c r="AF1280" s="209"/>
      <c r="AG1280" s="209"/>
      <c r="AH1280" s="209"/>
      <c r="AI1280" s="209"/>
      <c r="AJ1280" s="209"/>
    </row>
    <row r="1281">
      <c r="A1281" s="209"/>
      <c r="B1281" s="209"/>
      <c r="C1281" s="209"/>
      <c r="D1281" s="209"/>
      <c r="E1281" s="209"/>
      <c r="F1281" s="209"/>
      <c r="G1281" s="209"/>
      <c r="H1281" s="209"/>
      <c r="I1281" s="209"/>
      <c r="J1281" s="209"/>
      <c r="K1281" s="209"/>
      <c r="L1281" s="209"/>
      <c r="M1281" s="209"/>
      <c r="N1281" s="209"/>
      <c r="O1281" s="209"/>
      <c r="P1281" s="209"/>
      <c r="Q1281" s="209"/>
      <c r="R1281" s="209"/>
      <c r="S1281" s="209"/>
      <c r="T1281" s="209"/>
      <c r="U1281" s="209"/>
      <c r="V1281" s="209"/>
      <c r="W1281" s="209"/>
      <c r="X1281" s="209"/>
      <c r="Y1281" s="209"/>
      <c r="Z1281" s="209"/>
      <c r="AA1281" s="209"/>
      <c r="AB1281" s="209"/>
      <c r="AC1281" s="209"/>
      <c r="AD1281" s="209"/>
      <c r="AE1281" s="209"/>
      <c r="AF1281" s="209"/>
      <c r="AG1281" s="209"/>
      <c r="AH1281" s="209"/>
      <c r="AI1281" s="209"/>
      <c r="AJ1281" s="209"/>
    </row>
    <row r="1282">
      <c r="A1282" s="209"/>
      <c r="B1282" s="209"/>
      <c r="C1282" s="209"/>
      <c r="D1282" s="209"/>
      <c r="E1282" s="209"/>
      <c r="F1282" s="209"/>
      <c r="G1282" s="209"/>
      <c r="H1282" s="209"/>
      <c r="I1282" s="209"/>
      <c r="J1282" s="209"/>
      <c r="K1282" s="209"/>
      <c r="L1282" s="209"/>
      <c r="M1282" s="209"/>
      <c r="N1282" s="209"/>
      <c r="O1282" s="209"/>
      <c r="P1282" s="209"/>
      <c r="Q1282" s="209"/>
      <c r="R1282" s="209"/>
      <c r="S1282" s="209"/>
      <c r="T1282" s="209"/>
      <c r="U1282" s="209"/>
      <c r="V1282" s="209"/>
      <c r="W1282" s="209"/>
      <c r="X1282" s="209"/>
      <c r="Y1282" s="209"/>
      <c r="Z1282" s="209"/>
      <c r="AA1282" s="209"/>
      <c r="AB1282" s="209"/>
      <c r="AC1282" s="209"/>
      <c r="AD1282" s="209"/>
      <c r="AE1282" s="209"/>
      <c r="AF1282" s="209"/>
      <c r="AG1282" s="209"/>
      <c r="AH1282" s="209"/>
      <c r="AI1282" s="209"/>
      <c r="AJ1282" s="209"/>
    </row>
    <row r="1283">
      <c r="A1283" s="209"/>
      <c r="B1283" s="209"/>
      <c r="C1283" s="209"/>
      <c r="D1283" s="209"/>
      <c r="E1283" s="209"/>
      <c r="F1283" s="209"/>
      <c r="G1283" s="209"/>
      <c r="H1283" s="209"/>
      <c r="I1283" s="209"/>
      <c r="J1283" s="209"/>
      <c r="K1283" s="209"/>
      <c r="L1283" s="209"/>
      <c r="M1283" s="209"/>
      <c r="N1283" s="209"/>
      <c r="O1283" s="209"/>
      <c r="P1283" s="209"/>
      <c r="Q1283" s="209"/>
      <c r="R1283" s="209"/>
      <c r="S1283" s="209"/>
      <c r="T1283" s="209"/>
      <c r="U1283" s="209"/>
      <c r="V1283" s="209"/>
      <c r="W1283" s="209"/>
      <c r="X1283" s="209"/>
      <c r="Y1283" s="209"/>
      <c r="Z1283" s="209"/>
      <c r="AA1283" s="209"/>
      <c r="AB1283" s="209"/>
      <c r="AC1283" s="209"/>
      <c r="AD1283" s="209"/>
      <c r="AE1283" s="209"/>
      <c r="AF1283" s="209"/>
      <c r="AG1283" s="209"/>
      <c r="AH1283" s="209"/>
      <c r="AI1283" s="209"/>
      <c r="AJ1283" s="209"/>
    </row>
    <row r="1284">
      <c r="A1284" s="209"/>
      <c r="B1284" s="209"/>
      <c r="C1284" s="209"/>
      <c r="D1284" s="209"/>
      <c r="E1284" s="209"/>
      <c r="F1284" s="209"/>
      <c r="G1284" s="209"/>
      <c r="H1284" s="209"/>
      <c r="I1284" s="209"/>
      <c r="J1284" s="209"/>
      <c r="K1284" s="209"/>
      <c r="L1284" s="209"/>
      <c r="M1284" s="209"/>
      <c r="N1284" s="209"/>
      <c r="O1284" s="209"/>
      <c r="P1284" s="209"/>
      <c r="Q1284" s="209"/>
      <c r="R1284" s="209"/>
      <c r="S1284" s="209"/>
      <c r="T1284" s="209"/>
      <c r="U1284" s="209"/>
      <c r="V1284" s="209"/>
      <c r="W1284" s="209"/>
      <c r="X1284" s="209"/>
      <c r="Y1284" s="209"/>
      <c r="Z1284" s="209"/>
      <c r="AA1284" s="209"/>
      <c r="AB1284" s="209"/>
      <c r="AC1284" s="209"/>
      <c r="AD1284" s="209"/>
      <c r="AE1284" s="209"/>
      <c r="AF1284" s="209"/>
      <c r="AG1284" s="209"/>
      <c r="AH1284" s="209"/>
      <c r="AI1284" s="209"/>
      <c r="AJ1284" s="209"/>
    </row>
    <row r="1285">
      <c r="A1285" s="209"/>
      <c r="B1285" s="209"/>
      <c r="C1285" s="209"/>
      <c r="D1285" s="209"/>
      <c r="E1285" s="209"/>
      <c r="F1285" s="209"/>
      <c r="G1285" s="209"/>
      <c r="H1285" s="209"/>
      <c r="I1285" s="209"/>
      <c r="J1285" s="209"/>
      <c r="K1285" s="209"/>
      <c r="L1285" s="209"/>
      <c r="M1285" s="209"/>
      <c r="N1285" s="209"/>
      <c r="O1285" s="209"/>
      <c r="P1285" s="209"/>
      <c r="Q1285" s="209"/>
      <c r="R1285" s="209"/>
      <c r="S1285" s="209"/>
      <c r="T1285" s="209"/>
      <c r="U1285" s="209"/>
      <c r="V1285" s="209"/>
      <c r="W1285" s="209"/>
      <c r="X1285" s="209"/>
      <c r="Y1285" s="209"/>
      <c r="Z1285" s="209"/>
      <c r="AA1285" s="209"/>
      <c r="AB1285" s="209"/>
      <c r="AC1285" s="209"/>
      <c r="AD1285" s="209"/>
      <c r="AE1285" s="209"/>
      <c r="AF1285" s="209"/>
      <c r="AG1285" s="209"/>
      <c r="AH1285" s="209"/>
      <c r="AI1285" s="209"/>
      <c r="AJ1285" s="209"/>
    </row>
    <row r="1286">
      <c r="A1286" s="209"/>
      <c r="B1286" s="209"/>
      <c r="C1286" s="209"/>
      <c r="D1286" s="209"/>
      <c r="E1286" s="209"/>
      <c r="F1286" s="209"/>
      <c r="G1286" s="209"/>
      <c r="H1286" s="209"/>
      <c r="I1286" s="209"/>
      <c r="J1286" s="209"/>
      <c r="K1286" s="209"/>
      <c r="L1286" s="209"/>
      <c r="M1286" s="209"/>
      <c r="N1286" s="209"/>
      <c r="O1286" s="209"/>
      <c r="P1286" s="209"/>
      <c r="Q1286" s="209"/>
      <c r="R1286" s="209"/>
      <c r="S1286" s="209"/>
      <c r="T1286" s="209"/>
      <c r="U1286" s="209"/>
      <c r="V1286" s="209"/>
      <c r="W1286" s="209"/>
      <c r="X1286" s="209"/>
      <c r="Y1286" s="209"/>
      <c r="Z1286" s="209"/>
      <c r="AA1286" s="209"/>
      <c r="AB1286" s="209"/>
      <c r="AC1286" s="209"/>
      <c r="AD1286" s="209"/>
      <c r="AE1286" s="209"/>
      <c r="AF1286" s="209"/>
      <c r="AG1286" s="209"/>
      <c r="AH1286" s="209"/>
      <c r="AI1286" s="209"/>
      <c r="AJ1286" s="209"/>
    </row>
    <row r="1287">
      <c r="A1287" s="209"/>
      <c r="B1287" s="209"/>
      <c r="C1287" s="209"/>
      <c r="D1287" s="209"/>
      <c r="E1287" s="209"/>
      <c r="F1287" s="209"/>
      <c r="G1287" s="209"/>
      <c r="H1287" s="209"/>
      <c r="I1287" s="209"/>
      <c r="J1287" s="209"/>
      <c r="K1287" s="209"/>
      <c r="L1287" s="209"/>
      <c r="M1287" s="209"/>
      <c r="N1287" s="209"/>
      <c r="O1287" s="209"/>
      <c r="P1287" s="209"/>
      <c r="Q1287" s="209"/>
      <c r="R1287" s="209"/>
      <c r="S1287" s="209"/>
      <c r="T1287" s="209"/>
      <c r="U1287" s="209"/>
      <c r="V1287" s="209"/>
      <c r="W1287" s="209"/>
      <c r="X1287" s="209"/>
      <c r="Y1287" s="209"/>
      <c r="Z1287" s="209"/>
      <c r="AA1287" s="209"/>
      <c r="AB1287" s="209"/>
      <c r="AC1287" s="209"/>
      <c r="AD1287" s="209"/>
      <c r="AE1287" s="209"/>
      <c r="AF1287" s="209"/>
      <c r="AG1287" s="209"/>
      <c r="AH1287" s="209"/>
      <c r="AI1287" s="209"/>
      <c r="AJ1287" s="209"/>
    </row>
    <row r="1288">
      <c r="A1288" s="209"/>
      <c r="B1288" s="209"/>
      <c r="C1288" s="209"/>
      <c r="D1288" s="209"/>
      <c r="E1288" s="209"/>
      <c r="F1288" s="209"/>
      <c r="G1288" s="209"/>
      <c r="H1288" s="209"/>
      <c r="I1288" s="209"/>
      <c r="J1288" s="209"/>
      <c r="K1288" s="209"/>
      <c r="L1288" s="209"/>
      <c r="M1288" s="209"/>
      <c r="N1288" s="209"/>
      <c r="O1288" s="209"/>
      <c r="P1288" s="209"/>
      <c r="Q1288" s="209"/>
      <c r="R1288" s="209"/>
      <c r="S1288" s="209"/>
      <c r="T1288" s="209"/>
      <c r="U1288" s="209"/>
      <c r="V1288" s="209"/>
      <c r="W1288" s="209"/>
      <c r="X1288" s="209"/>
      <c r="Y1288" s="209"/>
      <c r="Z1288" s="209"/>
      <c r="AA1288" s="209"/>
      <c r="AB1288" s="209"/>
      <c r="AC1288" s="209"/>
      <c r="AD1288" s="209"/>
      <c r="AE1288" s="209"/>
      <c r="AF1288" s="209"/>
      <c r="AG1288" s="209"/>
      <c r="AH1288" s="209"/>
      <c r="AI1288" s="209"/>
      <c r="AJ1288" s="209"/>
    </row>
    <row r="1289">
      <c r="A1289" s="209"/>
      <c r="B1289" s="209"/>
      <c r="C1289" s="209"/>
      <c r="D1289" s="209"/>
      <c r="E1289" s="209"/>
      <c r="F1289" s="209"/>
      <c r="G1289" s="209"/>
      <c r="H1289" s="209"/>
      <c r="I1289" s="209"/>
      <c r="J1289" s="209"/>
      <c r="K1289" s="209"/>
      <c r="L1289" s="209"/>
      <c r="M1289" s="209"/>
      <c r="N1289" s="209"/>
      <c r="O1289" s="209"/>
      <c r="P1289" s="209"/>
      <c r="Q1289" s="209"/>
      <c r="R1289" s="209"/>
      <c r="S1289" s="209"/>
      <c r="T1289" s="209"/>
      <c r="U1289" s="209"/>
      <c r="V1289" s="209"/>
      <c r="W1289" s="209"/>
      <c r="X1289" s="209"/>
      <c r="Y1289" s="209"/>
      <c r="Z1289" s="209"/>
      <c r="AA1289" s="209"/>
      <c r="AB1289" s="209"/>
      <c r="AC1289" s="209"/>
      <c r="AD1289" s="209"/>
      <c r="AE1289" s="209"/>
      <c r="AF1289" s="209"/>
      <c r="AG1289" s="209"/>
      <c r="AH1289" s="209"/>
      <c r="AI1289" s="209"/>
      <c r="AJ1289" s="209"/>
    </row>
    <row r="1290">
      <c r="A1290" s="209"/>
      <c r="B1290" s="209"/>
      <c r="C1290" s="209"/>
      <c r="D1290" s="209"/>
      <c r="E1290" s="209"/>
      <c r="F1290" s="209"/>
      <c r="G1290" s="209"/>
      <c r="H1290" s="209"/>
      <c r="I1290" s="209"/>
      <c r="J1290" s="209"/>
      <c r="K1290" s="209"/>
      <c r="L1290" s="209"/>
      <c r="M1290" s="209"/>
      <c r="N1290" s="209"/>
      <c r="O1290" s="209"/>
      <c r="P1290" s="209"/>
      <c r="Q1290" s="209"/>
      <c r="R1290" s="209"/>
      <c r="S1290" s="209"/>
      <c r="T1290" s="209"/>
      <c r="U1290" s="209"/>
      <c r="V1290" s="209"/>
      <c r="W1290" s="209"/>
      <c r="X1290" s="209"/>
      <c r="Y1290" s="209"/>
      <c r="Z1290" s="209"/>
      <c r="AA1290" s="209"/>
      <c r="AB1290" s="209"/>
      <c r="AC1290" s="209"/>
      <c r="AD1290" s="209"/>
      <c r="AE1290" s="209"/>
      <c r="AF1290" s="209"/>
      <c r="AG1290" s="209"/>
      <c r="AH1290" s="209"/>
      <c r="AI1290" s="209"/>
      <c r="AJ1290" s="209"/>
    </row>
    <row r="1291">
      <c r="A1291" s="209"/>
      <c r="B1291" s="209"/>
      <c r="C1291" s="209"/>
      <c r="D1291" s="209"/>
      <c r="E1291" s="209"/>
      <c r="F1291" s="209"/>
      <c r="G1291" s="209"/>
      <c r="H1291" s="209"/>
      <c r="I1291" s="209"/>
      <c r="J1291" s="209"/>
      <c r="K1291" s="209"/>
      <c r="L1291" s="209"/>
      <c r="M1291" s="209"/>
      <c r="N1291" s="209"/>
      <c r="O1291" s="209"/>
      <c r="P1291" s="209"/>
      <c r="Q1291" s="209"/>
      <c r="R1291" s="209"/>
      <c r="S1291" s="209"/>
      <c r="T1291" s="209"/>
      <c r="U1291" s="209"/>
      <c r="V1291" s="209"/>
      <c r="W1291" s="209"/>
      <c r="X1291" s="209"/>
      <c r="Y1291" s="209"/>
      <c r="Z1291" s="209"/>
      <c r="AA1291" s="209"/>
      <c r="AB1291" s="209"/>
      <c r="AC1291" s="209"/>
      <c r="AD1291" s="209"/>
      <c r="AE1291" s="209"/>
      <c r="AF1291" s="209"/>
      <c r="AG1291" s="209"/>
      <c r="AH1291" s="209"/>
      <c r="AI1291" s="209"/>
      <c r="AJ1291" s="209"/>
    </row>
    <row r="1292">
      <c r="A1292" s="209"/>
      <c r="B1292" s="209"/>
      <c r="C1292" s="209"/>
      <c r="D1292" s="209"/>
      <c r="E1292" s="209"/>
      <c r="F1292" s="209"/>
      <c r="G1292" s="209"/>
      <c r="H1292" s="209"/>
      <c r="I1292" s="209"/>
      <c r="J1292" s="209"/>
      <c r="K1292" s="209"/>
      <c r="L1292" s="209"/>
      <c r="M1292" s="209"/>
      <c r="N1292" s="209"/>
      <c r="O1292" s="209"/>
      <c r="P1292" s="209"/>
      <c r="Q1292" s="209"/>
      <c r="R1292" s="209"/>
      <c r="S1292" s="209"/>
      <c r="T1292" s="209"/>
      <c r="U1292" s="209"/>
      <c r="V1292" s="209"/>
      <c r="W1292" s="209"/>
      <c r="X1292" s="209"/>
      <c r="Y1292" s="209"/>
      <c r="Z1292" s="209"/>
      <c r="AA1292" s="209"/>
      <c r="AB1292" s="209"/>
      <c r="AC1292" s="209"/>
      <c r="AD1292" s="209"/>
      <c r="AE1292" s="209"/>
      <c r="AF1292" s="209"/>
      <c r="AG1292" s="209"/>
      <c r="AH1292" s="209"/>
      <c r="AI1292" s="209"/>
      <c r="AJ1292" s="209"/>
    </row>
    <row r="1293">
      <c r="A1293" s="209"/>
      <c r="B1293" s="209"/>
      <c r="C1293" s="209"/>
      <c r="D1293" s="209"/>
      <c r="E1293" s="209"/>
      <c r="F1293" s="209"/>
      <c r="G1293" s="209"/>
      <c r="H1293" s="209"/>
      <c r="I1293" s="209"/>
      <c r="J1293" s="209"/>
      <c r="K1293" s="209"/>
      <c r="L1293" s="209"/>
      <c r="M1293" s="209"/>
      <c r="N1293" s="209"/>
      <c r="O1293" s="209"/>
      <c r="P1293" s="209"/>
      <c r="Q1293" s="209"/>
      <c r="R1293" s="209"/>
      <c r="S1293" s="209"/>
      <c r="T1293" s="209"/>
      <c r="U1293" s="209"/>
      <c r="V1293" s="209"/>
      <c r="W1293" s="209"/>
      <c r="X1293" s="209"/>
      <c r="Y1293" s="209"/>
      <c r="Z1293" s="209"/>
      <c r="AA1293" s="209"/>
      <c r="AB1293" s="209"/>
      <c r="AC1293" s="209"/>
      <c r="AD1293" s="209"/>
      <c r="AE1293" s="209"/>
      <c r="AF1293" s="209"/>
      <c r="AG1293" s="209"/>
      <c r="AH1293" s="209"/>
      <c r="AI1293" s="209"/>
      <c r="AJ1293" s="209"/>
    </row>
    <row r="1294">
      <c r="A1294" s="209"/>
      <c r="B1294" s="209"/>
      <c r="C1294" s="209"/>
      <c r="D1294" s="209"/>
      <c r="E1294" s="209"/>
      <c r="F1294" s="209"/>
      <c r="G1294" s="209"/>
      <c r="H1294" s="209"/>
      <c r="I1294" s="209"/>
      <c r="J1294" s="209"/>
      <c r="K1294" s="209"/>
      <c r="L1294" s="209"/>
      <c r="M1294" s="209"/>
      <c r="N1294" s="209"/>
      <c r="O1294" s="209"/>
      <c r="P1294" s="209"/>
      <c r="Q1294" s="209"/>
      <c r="R1294" s="209"/>
      <c r="S1294" s="209"/>
      <c r="T1294" s="209"/>
      <c r="U1294" s="209"/>
      <c r="V1294" s="209"/>
      <c r="W1294" s="209"/>
      <c r="X1294" s="209"/>
      <c r="Y1294" s="209"/>
      <c r="Z1294" s="209"/>
      <c r="AA1294" s="209"/>
      <c r="AB1294" s="209"/>
      <c r="AC1294" s="209"/>
      <c r="AD1294" s="209"/>
      <c r="AE1294" s="209"/>
      <c r="AF1294" s="209"/>
      <c r="AG1294" s="209"/>
      <c r="AH1294" s="209"/>
      <c r="AI1294" s="209"/>
      <c r="AJ1294" s="209"/>
    </row>
    <row r="1295">
      <c r="A1295" s="209"/>
      <c r="B1295" s="209"/>
      <c r="C1295" s="209"/>
      <c r="D1295" s="209"/>
      <c r="E1295" s="209"/>
      <c r="F1295" s="209"/>
      <c r="G1295" s="209"/>
      <c r="H1295" s="209"/>
      <c r="I1295" s="209"/>
      <c r="J1295" s="209"/>
      <c r="K1295" s="209"/>
      <c r="L1295" s="209"/>
      <c r="M1295" s="209"/>
      <c r="N1295" s="209"/>
      <c r="O1295" s="209"/>
      <c r="P1295" s="209"/>
      <c r="Q1295" s="209"/>
      <c r="R1295" s="209"/>
      <c r="S1295" s="209"/>
      <c r="T1295" s="209"/>
      <c r="U1295" s="209"/>
      <c r="V1295" s="209"/>
      <c r="W1295" s="209"/>
      <c r="X1295" s="209"/>
      <c r="Y1295" s="209"/>
      <c r="Z1295" s="209"/>
      <c r="AA1295" s="209"/>
      <c r="AB1295" s="209"/>
      <c r="AC1295" s="209"/>
      <c r="AD1295" s="209"/>
      <c r="AE1295" s="209"/>
      <c r="AF1295" s="209"/>
      <c r="AG1295" s="209"/>
      <c r="AH1295" s="209"/>
      <c r="AI1295" s="209"/>
      <c r="AJ1295" s="209"/>
    </row>
    <row r="1296">
      <c r="A1296" s="209"/>
      <c r="B1296" s="209"/>
      <c r="C1296" s="209"/>
      <c r="D1296" s="209"/>
      <c r="E1296" s="209"/>
      <c r="F1296" s="209"/>
      <c r="G1296" s="209"/>
      <c r="H1296" s="209"/>
      <c r="I1296" s="209"/>
      <c r="J1296" s="209"/>
      <c r="K1296" s="209"/>
      <c r="L1296" s="209"/>
      <c r="M1296" s="209"/>
      <c r="N1296" s="209"/>
      <c r="O1296" s="209"/>
      <c r="P1296" s="209"/>
      <c r="Q1296" s="209"/>
      <c r="R1296" s="209"/>
      <c r="S1296" s="209"/>
      <c r="T1296" s="209"/>
      <c r="U1296" s="209"/>
      <c r="V1296" s="209"/>
      <c r="W1296" s="209"/>
      <c r="X1296" s="209"/>
      <c r="Y1296" s="209"/>
      <c r="Z1296" s="209"/>
      <c r="AA1296" s="209"/>
      <c r="AB1296" s="209"/>
      <c r="AC1296" s="209"/>
      <c r="AD1296" s="209"/>
      <c r="AE1296" s="209"/>
      <c r="AF1296" s="209"/>
      <c r="AG1296" s="209"/>
      <c r="AH1296" s="209"/>
      <c r="AI1296" s="209"/>
      <c r="AJ1296" s="209"/>
    </row>
    <row r="1297">
      <c r="A1297" s="209"/>
      <c r="B1297" s="209"/>
      <c r="C1297" s="209"/>
      <c r="D1297" s="209"/>
      <c r="E1297" s="209"/>
      <c r="F1297" s="209"/>
      <c r="G1297" s="209"/>
      <c r="H1297" s="209"/>
      <c r="I1297" s="209"/>
      <c r="J1297" s="209"/>
      <c r="K1297" s="209"/>
      <c r="L1297" s="209"/>
      <c r="M1297" s="209"/>
      <c r="N1297" s="209"/>
      <c r="O1297" s="209"/>
      <c r="P1297" s="209"/>
      <c r="Q1297" s="209"/>
      <c r="R1297" s="209"/>
      <c r="S1297" s="209"/>
      <c r="T1297" s="209"/>
      <c r="U1297" s="209"/>
      <c r="V1297" s="209"/>
      <c r="W1297" s="209"/>
      <c r="X1297" s="209"/>
      <c r="Y1297" s="209"/>
      <c r="Z1297" s="209"/>
      <c r="AA1297" s="209"/>
      <c r="AB1297" s="209"/>
      <c r="AC1297" s="209"/>
      <c r="AD1297" s="209"/>
      <c r="AE1297" s="209"/>
      <c r="AF1297" s="209"/>
      <c r="AG1297" s="209"/>
      <c r="AH1297" s="209"/>
      <c r="AI1297" s="209"/>
      <c r="AJ1297" s="209"/>
    </row>
    <row r="1298">
      <c r="A1298" s="209"/>
      <c r="B1298" s="209"/>
      <c r="C1298" s="209"/>
      <c r="D1298" s="209"/>
      <c r="E1298" s="209"/>
      <c r="F1298" s="209"/>
      <c r="G1298" s="209"/>
      <c r="H1298" s="209"/>
      <c r="I1298" s="209"/>
      <c r="J1298" s="209"/>
      <c r="K1298" s="209"/>
      <c r="L1298" s="209"/>
      <c r="M1298" s="209"/>
      <c r="N1298" s="209"/>
      <c r="O1298" s="209"/>
      <c r="P1298" s="209"/>
      <c r="Q1298" s="209"/>
      <c r="R1298" s="209"/>
      <c r="S1298" s="209"/>
      <c r="T1298" s="209"/>
      <c r="U1298" s="209"/>
      <c r="V1298" s="209"/>
      <c r="W1298" s="209"/>
      <c r="X1298" s="209"/>
      <c r="Y1298" s="209"/>
      <c r="Z1298" s="209"/>
      <c r="AA1298" s="209"/>
      <c r="AB1298" s="209"/>
      <c r="AC1298" s="209"/>
      <c r="AD1298" s="209"/>
      <c r="AE1298" s="209"/>
      <c r="AF1298" s="209"/>
      <c r="AG1298" s="209"/>
      <c r="AH1298" s="209"/>
      <c r="AI1298" s="209"/>
      <c r="AJ1298" s="209"/>
    </row>
    <row r="1299">
      <c r="A1299" s="209"/>
      <c r="B1299" s="209"/>
      <c r="C1299" s="209"/>
      <c r="D1299" s="209"/>
      <c r="E1299" s="209"/>
      <c r="F1299" s="209"/>
      <c r="G1299" s="209"/>
      <c r="H1299" s="209"/>
      <c r="I1299" s="209"/>
      <c r="J1299" s="209"/>
      <c r="K1299" s="209"/>
      <c r="L1299" s="209"/>
      <c r="M1299" s="209"/>
      <c r="N1299" s="209"/>
      <c r="O1299" s="209"/>
      <c r="P1299" s="209"/>
      <c r="Q1299" s="209"/>
      <c r="R1299" s="209"/>
      <c r="S1299" s="209"/>
      <c r="T1299" s="209"/>
      <c r="U1299" s="209"/>
      <c r="V1299" s="209"/>
      <c r="W1299" s="209"/>
      <c r="X1299" s="209"/>
      <c r="Y1299" s="209"/>
      <c r="Z1299" s="209"/>
      <c r="AA1299" s="209"/>
      <c r="AB1299" s="209"/>
      <c r="AC1299" s="209"/>
      <c r="AD1299" s="209"/>
      <c r="AE1299" s="209"/>
      <c r="AF1299" s="209"/>
      <c r="AG1299" s="209"/>
      <c r="AH1299" s="209"/>
      <c r="AI1299" s="209"/>
      <c r="AJ1299" s="209"/>
    </row>
    <row r="1300">
      <c r="A1300" s="209"/>
      <c r="B1300" s="209"/>
      <c r="C1300" s="209"/>
      <c r="D1300" s="209"/>
      <c r="E1300" s="209"/>
      <c r="F1300" s="209"/>
      <c r="G1300" s="209"/>
      <c r="H1300" s="209"/>
      <c r="I1300" s="209"/>
      <c r="J1300" s="209"/>
      <c r="K1300" s="209"/>
      <c r="L1300" s="209"/>
      <c r="M1300" s="209"/>
      <c r="N1300" s="209"/>
      <c r="O1300" s="209"/>
      <c r="P1300" s="209"/>
      <c r="Q1300" s="209"/>
      <c r="R1300" s="209"/>
      <c r="S1300" s="209"/>
      <c r="T1300" s="209"/>
      <c r="U1300" s="209"/>
      <c r="V1300" s="209"/>
      <c r="W1300" s="209"/>
      <c r="X1300" s="209"/>
      <c r="Y1300" s="209"/>
      <c r="Z1300" s="209"/>
      <c r="AA1300" s="209"/>
      <c r="AB1300" s="209"/>
      <c r="AC1300" s="209"/>
      <c r="AD1300" s="209"/>
      <c r="AE1300" s="209"/>
      <c r="AF1300" s="209"/>
      <c r="AG1300" s="209"/>
      <c r="AH1300" s="209"/>
      <c r="AI1300" s="209"/>
      <c r="AJ1300" s="209"/>
    </row>
    <row r="1301">
      <c r="A1301" s="209"/>
      <c r="B1301" s="209"/>
      <c r="C1301" s="209"/>
      <c r="D1301" s="209"/>
      <c r="E1301" s="209"/>
      <c r="F1301" s="209"/>
      <c r="G1301" s="209"/>
      <c r="H1301" s="209"/>
      <c r="I1301" s="209"/>
      <c r="J1301" s="209"/>
      <c r="K1301" s="209"/>
      <c r="L1301" s="209"/>
      <c r="M1301" s="209"/>
      <c r="N1301" s="209"/>
      <c r="O1301" s="209"/>
      <c r="P1301" s="209"/>
      <c r="Q1301" s="209"/>
      <c r="R1301" s="209"/>
      <c r="S1301" s="209"/>
      <c r="T1301" s="209"/>
      <c r="U1301" s="209"/>
      <c r="V1301" s="209"/>
      <c r="W1301" s="209"/>
      <c r="X1301" s="209"/>
      <c r="Y1301" s="209"/>
      <c r="Z1301" s="209"/>
      <c r="AA1301" s="209"/>
      <c r="AB1301" s="209"/>
      <c r="AC1301" s="209"/>
      <c r="AD1301" s="209"/>
      <c r="AE1301" s="209"/>
      <c r="AF1301" s="209"/>
      <c r="AG1301" s="209"/>
      <c r="AH1301" s="209"/>
      <c r="AI1301" s="209"/>
      <c r="AJ1301" s="209"/>
    </row>
    <row r="1302">
      <c r="A1302" s="209"/>
      <c r="B1302" s="209"/>
      <c r="C1302" s="209"/>
      <c r="D1302" s="209"/>
      <c r="E1302" s="209"/>
      <c r="F1302" s="209"/>
      <c r="G1302" s="209"/>
      <c r="H1302" s="209"/>
      <c r="I1302" s="209"/>
      <c r="J1302" s="209"/>
      <c r="K1302" s="209"/>
      <c r="L1302" s="209"/>
      <c r="M1302" s="209"/>
      <c r="N1302" s="209"/>
      <c r="O1302" s="209"/>
      <c r="P1302" s="209"/>
      <c r="Q1302" s="209"/>
      <c r="R1302" s="209"/>
      <c r="S1302" s="209"/>
      <c r="T1302" s="209"/>
      <c r="U1302" s="209"/>
      <c r="V1302" s="209"/>
      <c r="W1302" s="209"/>
      <c r="X1302" s="209"/>
      <c r="Y1302" s="209"/>
      <c r="Z1302" s="209"/>
      <c r="AA1302" s="209"/>
      <c r="AB1302" s="209"/>
      <c r="AC1302" s="209"/>
      <c r="AD1302" s="209"/>
      <c r="AE1302" s="209"/>
      <c r="AF1302" s="209"/>
      <c r="AG1302" s="209"/>
      <c r="AH1302" s="209"/>
      <c r="AI1302" s="209"/>
      <c r="AJ1302" s="209"/>
    </row>
    <row r="1303">
      <c r="A1303" s="209"/>
      <c r="B1303" s="209"/>
      <c r="C1303" s="209"/>
      <c r="D1303" s="209"/>
      <c r="E1303" s="209"/>
      <c r="F1303" s="209"/>
      <c r="G1303" s="209"/>
      <c r="H1303" s="209"/>
      <c r="I1303" s="209"/>
      <c r="J1303" s="209"/>
      <c r="K1303" s="209"/>
      <c r="L1303" s="209"/>
      <c r="M1303" s="209"/>
      <c r="N1303" s="209"/>
      <c r="O1303" s="209"/>
      <c r="P1303" s="209"/>
      <c r="Q1303" s="209"/>
      <c r="R1303" s="209"/>
      <c r="S1303" s="209"/>
      <c r="T1303" s="209"/>
      <c r="U1303" s="209"/>
      <c r="V1303" s="209"/>
      <c r="W1303" s="209"/>
      <c r="X1303" s="209"/>
      <c r="Y1303" s="209"/>
      <c r="Z1303" s="209"/>
      <c r="AA1303" s="209"/>
      <c r="AB1303" s="209"/>
      <c r="AC1303" s="209"/>
      <c r="AD1303" s="209"/>
      <c r="AE1303" s="209"/>
      <c r="AF1303" s="209"/>
      <c r="AG1303" s="209"/>
      <c r="AH1303" s="209"/>
      <c r="AI1303" s="209"/>
      <c r="AJ1303" s="209"/>
    </row>
    <row r="1304">
      <c r="A1304" s="209"/>
      <c r="B1304" s="209"/>
      <c r="C1304" s="209"/>
      <c r="D1304" s="209"/>
      <c r="E1304" s="209"/>
      <c r="F1304" s="209"/>
      <c r="G1304" s="209"/>
      <c r="H1304" s="209"/>
      <c r="I1304" s="209"/>
      <c r="J1304" s="209"/>
      <c r="K1304" s="209"/>
      <c r="L1304" s="209"/>
      <c r="M1304" s="209"/>
      <c r="N1304" s="209"/>
      <c r="O1304" s="209"/>
      <c r="P1304" s="209"/>
      <c r="Q1304" s="209"/>
      <c r="R1304" s="209"/>
      <c r="S1304" s="209"/>
      <c r="T1304" s="209"/>
      <c r="U1304" s="209"/>
      <c r="V1304" s="209"/>
      <c r="W1304" s="209"/>
      <c r="X1304" s="209"/>
      <c r="Y1304" s="209"/>
      <c r="Z1304" s="209"/>
      <c r="AA1304" s="209"/>
      <c r="AB1304" s="209"/>
      <c r="AC1304" s="209"/>
      <c r="AD1304" s="209"/>
      <c r="AE1304" s="209"/>
      <c r="AF1304" s="209"/>
      <c r="AG1304" s="209"/>
      <c r="AH1304" s="209"/>
      <c r="AI1304" s="209"/>
      <c r="AJ1304" s="209"/>
    </row>
    <row r="1305">
      <c r="A1305" s="209"/>
      <c r="B1305" s="209"/>
      <c r="C1305" s="209"/>
      <c r="D1305" s="209"/>
      <c r="E1305" s="209"/>
      <c r="F1305" s="209"/>
      <c r="G1305" s="209"/>
      <c r="H1305" s="209"/>
      <c r="I1305" s="209"/>
      <c r="J1305" s="209"/>
      <c r="K1305" s="209"/>
      <c r="L1305" s="209"/>
      <c r="M1305" s="209"/>
      <c r="N1305" s="209"/>
      <c r="O1305" s="209"/>
      <c r="P1305" s="209"/>
      <c r="Q1305" s="209"/>
      <c r="R1305" s="209"/>
      <c r="S1305" s="209"/>
      <c r="T1305" s="209"/>
      <c r="U1305" s="209"/>
      <c r="V1305" s="209"/>
      <c r="W1305" s="209"/>
      <c r="X1305" s="209"/>
      <c r="Y1305" s="209"/>
      <c r="Z1305" s="209"/>
      <c r="AA1305" s="209"/>
      <c r="AB1305" s="209"/>
      <c r="AC1305" s="209"/>
      <c r="AD1305" s="209"/>
      <c r="AE1305" s="209"/>
      <c r="AF1305" s="209"/>
      <c r="AG1305" s="209"/>
      <c r="AH1305" s="209"/>
      <c r="AI1305" s="209"/>
      <c r="AJ1305" s="209"/>
    </row>
    <row r="1306">
      <c r="A1306" s="209"/>
      <c r="B1306" s="209"/>
      <c r="C1306" s="209"/>
      <c r="D1306" s="209"/>
      <c r="E1306" s="209"/>
      <c r="F1306" s="209"/>
      <c r="G1306" s="209"/>
      <c r="H1306" s="209"/>
      <c r="I1306" s="209"/>
      <c r="J1306" s="209"/>
      <c r="K1306" s="209"/>
      <c r="L1306" s="209"/>
      <c r="M1306" s="209"/>
      <c r="N1306" s="209"/>
      <c r="O1306" s="209"/>
      <c r="P1306" s="209"/>
      <c r="Q1306" s="209"/>
      <c r="R1306" s="209"/>
      <c r="S1306" s="209"/>
      <c r="T1306" s="209"/>
      <c r="U1306" s="209"/>
      <c r="V1306" s="209"/>
      <c r="W1306" s="209"/>
      <c r="X1306" s="209"/>
      <c r="Y1306" s="209"/>
      <c r="Z1306" s="209"/>
      <c r="AA1306" s="209"/>
      <c r="AB1306" s="209"/>
      <c r="AC1306" s="209"/>
      <c r="AD1306" s="209"/>
      <c r="AE1306" s="209"/>
      <c r="AF1306" s="209"/>
      <c r="AG1306" s="209"/>
      <c r="AH1306" s="209"/>
      <c r="AI1306" s="209"/>
      <c r="AJ1306" s="209"/>
    </row>
    <row r="1307">
      <c r="A1307" s="209"/>
      <c r="B1307" s="209"/>
      <c r="C1307" s="209"/>
      <c r="D1307" s="209"/>
      <c r="E1307" s="209"/>
      <c r="F1307" s="209"/>
      <c r="G1307" s="209"/>
      <c r="H1307" s="209"/>
      <c r="I1307" s="209"/>
      <c r="J1307" s="209"/>
      <c r="K1307" s="209"/>
      <c r="L1307" s="209"/>
      <c r="M1307" s="209"/>
      <c r="N1307" s="209"/>
      <c r="O1307" s="209"/>
      <c r="P1307" s="209"/>
      <c r="Q1307" s="209"/>
      <c r="R1307" s="209"/>
      <c r="S1307" s="209"/>
      <c r="T1307" s="209"/>
      <c r="U1307" s="209"/>
      <c r="V1307" s="209"/>
      <c r="W1307" s="209"/>
      <c r="X1307" s="209"/>
      <c r="Y1307" s="209"/>
      <c r="Z1307" s="209"/>
      <c r="AA1307" s="209"/>
      <c r="AB1307" s="209"/>
      <c r="AC1307" s="209"/>
      <c r="AD1307" s="209"/>
      <c r="AE1307" s="209"/>
      <c r="AF1307" s="209"/>
      <c r="AG1307" s="209"/>
      <c r="AH1307" s="209"/>
      <c r="AI1307" s="209"/>
      <c r="AJ1307" s="209"/>
    </row>
    <row r="1308">
      <c r="A1308" s="209"/>
      <c r="B1308" s="209"/>
      <c r="C1308" s="209"/>
      <c r="D1308" s="209"/>
      <c r="E1308" s="209"/>
      <c r="F1308" s="209"/>
      <c r="G1308" s="209"/>
      <c r="H1308" s="209"/>
      <c r="I1308" s="209"/>
      <c r="J1308" s="209"/>
      <c r="K1308" s="209"/>
      <c r="L1308" s="209"/>
      <c r="M1308" s="209"/>
      <c r="N1308" s="209"/>
      <c r="O1308" s="209"/>
      <c r="P1308" s="209"/>
      <c r="Q1308" s="209"/>
      <c r="R1308" s="209"/>
      <c r="S1308" s="209"/>
      <c r="T1308" s="209"/>
      <c r="U1308" s="209"/>
      <c r="V1308" s="209"/>
      <c r="W1308" s="209"/>
      <c r="X1308" s="209"/>
      <c r="Y1308" s="209"/>
      <c r="Z1308" s="209"/>
      <c r="AA1308" s="209"/>
      <c r="AB1308" s="209"/>
      <c r="AC1308" s="209"/>
      <c r="AD1308" s="209"/>
      <c r="AE1308" s="209"/>
      <c r="AF1308" s="209"/>
      <c r="AG1308" s="209"/>
      <c r="AH1308" s="209"/>
      <c r="AI1308" s="209"/>
      <c r="AJ1308" s="209"/>
    </row>
    <row r="1309">
      <c r="A1309" s="209"/>
      <c r="B1309" s="209"/>
      <c r="C1309" s="209"/>
      <c r="D1309" s="209"/>
      <c r="E1309" s="209"/>
      <c r="F1309" s="209"/>
      <c r="G1309" s="209"/>
      <c r="H1309" s="209"/>
      <c r="I1309" s="209"/>
      <c r="J1309" s="209"/>
      <c r="K1309" s="209"/>
      <c r="L1309" s="209"/>
      <c r="M1309" s="209"/>
      <c r="N1309" s="209"/>
      <c r="O1309" s="209"/>
      <c r="P1309" s="209"/>
      <c r="Q1309" s="209"/>
      <c r="R1309" s="209"/>
      <c r="S1309" s="209"/>
      <c r="T1309" s="209"/>
      <c r="U1309" s="209"/>
      <c r="V1309" s="209"/>
      <c r="W1309" s="209"/>
      <c r="X1309" s="209"/>
      <c r="Y1309" s="209"/>
      <c r="Z1309" s="209"/>
      <c r="AA1309" s="209"/>
      <c r="AB1309" s="209"/>
      <c r="AC1309" s="209"/>
      <c r="AD1309" s="209"/>
      <c r="AE1309" s="209"/>
      <c r="AF1309" s="209"/>
      <c r="AG1309" s="209"/>
      <c r="AH1309" s="209"/>
      <c r="AI1309" s="209"/>
      <c r="AJ1309" s="209"/>
    </row>
    <row r="1310">
      <c r="A1310" s="209"/>
      <c r="B1310" s="209"/>
      <c r="C1310" s="209"/>
      <c r="D1310" s="209"/>
      <c r="E1310" s="209"/>
      <c r="F1310" s="209"/>
      <c r="G1310" s="209"/>
      <c r="H1310" s="209"/>
      <c r="I1310" s="209"/>
      <c r="J1310" s="209"/>
      <c r="K1310" s="209"/>
      <c r="L1310" s="209"/>
      <c r="M1310" s="209"/>
      <c r="N1310" s="209"/>
      <c r="O1310" s="209"/>
      <c r="P1310" s="209"/>
      <c r="Q1310" s="209"/>
      <c r="R1310" s="209"/>
      <c r="S1310" s="209"/>
      <c r="T1310" s="209"/>
      <c r="U1310" s="209"/>
      <c r="V1310" s="209"/>
      <c r="W1310" s="209"/>
      <c r="X1310" s="209"/>
      <c r="Y1310" s="209"/>
      <c r="Z1310" s="209"/>
      <c r="AA1310" s="209"/>
      <c r="AB1310" s="209"/>
      <c r="AC1310" s="209"/>
      <c r="AD1310" s="209"/>
      <c r="AE1310" s="209"/>
      <c r="AF1310" s="209"/>
      <c r="AG1310" s="209"/>
      <c r="AH1310" s="209"/>
      <c r="AI1310" s="209"/>
      <c r="AJ1310" s="209"/>
    </row>
    <row r="1311">
      <c r="A1311" s="209"/>
      <c r="B1311" s="209"/>
      <c r="C1311" s="209"/>
      <c r="D1311" s="209"/>
      <c r="E1311" s="209"/>
      <c r="F1311" s="209"/>
      <c r="G1311" s="209"/>
      <c r="H1311" s="209"/>
      <c r="I1311" s="209"/>
      <c r="J1311" s="209"/>
      <c r="K1311" s="209"/>
      <c r="L1311" s="209"/>
      <c r="M1311" s="209"/>
      <c r="N1311" s="209"/>
      <c r="O1311" s="209"/>
      <c r="P1311" s="209"/>
      <c r="Q1311" s="209"/>
      <c r="R1311" s="209"/>
      <c r="S1311" s="209"/>
      <c r="T1311" s="209"/>
      <c r="U1311" s="209"/>
      <c r="V1311" s="209"/>
      <c r="W1311" s="209"/>
      <c r="X1311" s="209"/>
      <c r="Y1311" s="209"/>
      <c r="Z1311" s="209"/>
      <c r="AA1311" s="209"/>
      <c r="AB1311" s="209"/>
      <c r="AC1311" s="209"/>
      <c r="AD1311" s="209"/>
      <c r="AE1311" s="209"/>
      <c r="AF1311" s="209"/>
      <c r="AG1311" s="209"/>
      <c r="AH1311" s="209"/>
      <c r="AI1311" s="209"/>
      <c r="AJ1311" s="209"/>
    </row>
    <row r="1312">
      <c r="A1312" s="209"/>
      <c r="B1312" s="209"/>
      <c r="C1312" s="209"/>
      <c r="D1312" s="209"/>
      <c r="E1312" s="209"/>
      <c r="F1312" s="209"/>
      <c r="G1312" s="209"/>
      <c r="H1312" s="209"/>
      <c r="I1312" s="209"/>
      <c r="J1312" s="209"/>
      <c r="K1312" s="209"/>
      <c r="L1312" s="209"/>
      <c r="M1312" s="209"/>
      <c r="N1312" s="209"/>
      <c r="O1312" s="209"/>
      <c r="P1312" s="209"/>
      <c r="Q1312" s="209"/>
      <c r="R1312" s="209"/>
      <c r="S1312" s="209"/>
      <c r="T1312" s="209"/>
      <c r="U1312" s="209"/>
      <c r="V1312" s="209"/>
      <c r="W1312" s="209"/>
      <c r="X1312" s="209"/>
      <c r="Y1312" s="209"/>
      <c r="Z1312" s="209"/>
      <c r="AA1312" s="209"/>
      <c r="AB1312" s="209"/>
      <c r="AC1312" s="209"/>
      <c r="AD1312" s="209"/>
      <c r="AE1312" s="209"/>
      <c r="AF1312" s="209"/>
      <c r="AG1312" s="209"/>
      <c r="AH1312" s="209"/>
      <c r="AI1312" s="209"/>
      <c r="AJ1312" s="209"/>
    </row>
    <row r="1313">
      <c r="A1313" s="209"/>
      <c r="B1313" s="209"/>
      <c r="C1313" s="209"/>
      <c r="D1313" s="209"/>
      <c r="E1313" s="209"/>
      <c r="F1313" s="209"/>
      <c r="G1313" s="209"/>
      <c r="H1313" s="209"/>
      <c r="I1313" s="209"/>
      <c r="J1313" s="209"/>
      <c r="K1313" s="209"/>
      <c r="L1313" s="209"/>
      <c r="M1313" s="209"/>
      <c r="N1313" s="209"/>
      <c r="O1313" s="209"/>
      <c r="P1313" s="209"/>
      <c r="Q1313" s="209"/>
      <c r="R1313" s="209"/>
      <c r="S1313" s="209"/>
      <c r="T1313" s="209"/>
      <c r="U1313" s="209"/>
      <c r="V1313" s="209"/>
      <c r="W1313" s="209"/>
      <c r="X1313" s="209"/>
      <c r="Y1313" s="209"/>
      <c r="Z1313" s="209"/>
      <c r="AA1313" s="209"/>
      <c r="AB1313" s="209"/>
      <c r="AC1313" s="209"/>
      <c r="AD1313" s="209"/>
      <c r="AE1313" s="209"/>
      <c r="AF1313" s="209"/>
      <c r="AG1313" s="209"/>
      <c r="AH1313" s="209"/>
      <c r="AI1313" s="209"/>
      <c r="AJ1313" s="209"/>
    </row>
    <row r="1314">
      <c r="A1314" s="209"/>
      <c r="B1314" s="209"/>
      <c r="C1314" s="209"/>
      <c r="D1314" s="209"/>
      <c r="E1314" s="209"/>
      <c r="F1314" s="209"/>
      <c r="G1314" s="209"/>
      <c r="H1314" s="209"/>
      <c r="I1314" s="209"/>
      <c r="J1314" s="209"/>
      <c r="K1314" s="209"/>
      <c r="L1314" s="209"/>
      <c r="M1314" s="209"/>
      <c r="N1314" s="209"/>
      <c r="O1314" s="209"/>
      <c r="P1314" s="209"/>
      <c r="Q1314" s="209"/>
      <c r="R1314" s="209"/>
      <c r="S1314" s="209"/>
      <c r="T1314" s="209"/>
      <c r="U1314" s="209"/>
      <c r="V1314" s="209"/>
      <c r="W1314" s="209"/>
      <c r="X1314" s="209"/>
      <c r="Y1314" s="209"/>
      <c r="Z1314" s="209"/>
      <c r="AA1314" s="209"/>
      <c r="AB1314" s="209"/>
      <c r="AC1314" s="209"/>
      <c r="AD1314" s="209"/>
      <c r="AE1314" s="209"/>
      <c r="AF1314" s="209"/>
      <c r="AG1314" s="209"/>
      <c r="AH1314" s="209"/>
      <c r="AI1314" s="209"/>
      <c r="AJ1314" s="209"/>
    </row>
    <row r="1315">
      <c r="A1315" s="209"/>
      <c r="B1315" s="209"/>
      <c r="C1315" s="209"/>
      <c r="D1315" s="209"/>
      <c r="E1315" s="209"/>
      <c r="F1315" s="209"/>
      <c r="G1315" s="209"/>
      <c r="H1315" s="209"/>
      <c r="I1315" s="209"/>
      <c r="J1315" s="209"/>
      <c r="K1315" s="209"/>
      <c r="L1315" s="209"/>
      <c r="M1315" s="209"/>
      <c r="N1315" s="209"/>
      <c r="O1315" s="209"/>
      <c r="P1315" s="209"/>
      <c r="Q1315" s="209"/>
      <c r="R1315" s="209"/>
      <c r="S1315" s="209"/>
      <c r="T1315" s="209"/>
      <c r="U1315" s="209"/>
      <c r="V1315" s="209"/>
      <c r="W1315" s="209"/>
      <c r="X1315" s="209"/>
      <c r="Y1315" s="209"/>
      <c r="Z1315" s="209"/>
      <c r="AA1315" s="209"/>
      <c r="AB1315" s="209"/>
      <c r="AC1315" s="209"/>
      <c r="AD1315" s="209"/>
      <c r="AE1315" s="209"/>
      <c r="AF1315" s="209"/>
      <c r="AG1315" s="209"/>
      <c r="AH1315" s="209"/>
      <c r="AI1315" s="209"/>
      <c r="AJ1315" s="209"/>
    </row>
    <row r="1316">
      <c r="A1316" s="209"/>
      <c r="B1316" s="209"/>
      <c r="C1316" s="209"/>
      <c r="D1316" s="209"/>
      <c r="E1316" s="209"/>
      <c r="F1316" s="209"/>
      <c r="G1316" s="209"/>
      <c r="H1316" s="209"/>
      <c r="I1316" s="209"/>
      <c r="J1316" s="209"/>
      <c r="K1316" s="209"/>
      <c r="L1316" s="209"/>
      <c r="M1316" s="209"/>
      <c r="N1316" s="209"/>
      <c r="O1316" s="209"/>
      <c r="P1316" s="209"/>
      <c r="Q1316" s="209"/>
      <c r="R1316" s="209"/>
      <c r="S1316" s="209"/>
      <c r="T1316" s="209"/>
      <c r="U1316" s="209"/>
      <c r="V1316" s="209"/>
      <c r="W1316" s="209"/>
      <c r="X1316" s="209"/>
      <c r="Y1316" s="209"/>
      <c r="Z1316" s="209"/>
      <c r="AA1316" s="209"/>
      <c r="AB1316" s="209"/>
      <c r="AC1316" s="209"/>
      <c r="AD1316" s="209"/>
      <c r="AE1316" s="209"/>
      <c r="AF1316" s="209"/>
      <c r="AG1316" s="209"/>
      <c r="AH1316" s="209"/>
      <c r="AI1316" s="209"/>
      <c r="AJ1316" s="209"/>
    </row>
    <row r="1317">
      <c r="A1317" s="209"/>
      <c r="B1317" s="209"/>
      <c r="C1317" s="209"/>
      <c r="D1317" s="209"/>
      <c r="E1317" s="209"/>
      <c r="F1317" s="209"/>
      <c r="G1317" s="209"/>
      <c r="H1317" s="209"/>
      <c r="I1317" s="209"/>
      <c r="J1317" s="209"/>
      <c r="K1317" s="209"/>
      <c r="L1317" s="209"/>
      <c r="M1317" s="209"/>
      <c r="N1317" s="209"/>
      <c r="O1317" s="209"/>
      <c r="P1317" s="209"/>
      <c r="Q1317" s="209"/>
      <c r="R1317" s="209"/>
      <c r="S1317" s="209"/>
      <c r="T1317" s="209"/>
      <c r="U1317" s="209"/>
      <c r="V1317" s="209"/>
      <c r="W1317" s="209"/>
      <c r="X1317" s="209"/>
      <c r="Y1317" s="209"/>
      <c r="Z1317" s="209"/>
      <c r="AA1317" s="209"/>
      <c r="AB1317" s="209"/>
      <c r="AC1317" s="209"/>
      <c r="AD1317" s="209"/>
      <c r="AE1317" s="209"/>
      <c r="AF1317" s="209"/>
      <c r="AG1317" s="209"/>
      <c r="AH1317" s="209"/>
      <c r="AI1317" s="209"/>
      <c r="AJ1317" s="209"/>
    </row>
    <row r="1318">
      <c r="A1318" s="209"/>
      <c r="B1318" s="209"/>
      <c r="C1318" s="209"/>
      <c r="D1318" s="209"/>
      <c r="E1318" s="209"/>
      <c r="F1318" s="209"/>
      <c r="G1318" s="209"/>
      <c r="H1318" s="209"/>
      <c r="I1318" s="209"/>
      <c r="J1318" s="209"/>
      <c r="K1318" s="209"/>
      <c r="L1318" s="209"/>
      <c r="M1318" s="209"/>
      <c r="N1318" s="209"/>
      <c r="O1318" s="209"/>
      <c r="P1318" s="209"/>
      <c r="Q1318" s="209"/>
      <c r="R1318" s="209"/>
      <c r="S1318" s="209"/>
      <c r="T1318" s="209"/>
      <c r="U1318" s="209"/>
      <c r="V1318" s="209"/>
      <c r="W1318" s="209"/>
      <c r="X1318" s="209"/>
      <c r="Y1318" s="209"/>
      <c r="Z1318" s="209"/>
      <c r="AA1318" s="209"/>
      <c r="AB1318" s="209"/>
      <c r="AC1318" s="209"/>
      <c r="AD1318" s="209"/>
      <c r="AE1318" s="209"/>
      <c r="AF1318" s="209"/>
      <c r="AG1318" s="209"/>
      <c r="AH1318" s="209"/>
      <c r="AI1318" s="209"/>
      <c r="AJ1318" s="209"/>
    </row>
    <row r="1319">
      <c r="A1319" s="209"/>
      <c r="B1319" s="209"/>
      <c r="C1319" s="209"/>
      <c r="D1319" s="209"/>
      <c r="E1319" s="209"/>
      <c r="F1319" s="209"/>
      <c r="G1319" s="209"/>
      <c r="H1319" s="209"/>
      <c r="I1319" s="209"/>
      <c r="J1319" s="209"/>
      <c r="K1319" s="209"/>
      <c r="L1319" s="209"/>
      <c r="M1319" s="209"/>
      <c r="N1319" s="209"/>
      <c r="O1319" s="209"/>
      <c r="P1319" s="209"/>
      <c r="Q1319" s="209"/>
      <c r="R1319" s="209"/>
      <c r="S1319" s="209"/>
      <c r="T1319" s="209"/>
      <c r="U1319" s="209"/>
      <c r="V1319" s="209"/>
      <c r="W1319" s="209"/>
      <c r="X1319" s="209"/>
      <c r="Y1319" s="209"/>
      <c r="Z1319" s="209"/>
      <c r="AA1319" s="209"/>
      <c r="AB1319" s="209"/>
      <c r="AC1319" s="209"/>
      <c r="AD1319" s="209"/>
      <c r="AE1319" s="209"/>
      <c r="AF1319" s="209"/>
      <c r="AG1319" s="209"/>
      <c r="AH1319" s="209"/>
      <c r="AI1319" s="209"/>
      <c r="AJ1319" s="209"/>
    </row>
    <row r="1320">
      <c r="A1320" s="209"/>
      <c r="B1320" s="209"/>
      <c r="C1320" s="209"/>
      <c r="D1320" s="209"/>
      <c r="E1320" s="209"/>
      <c r="F1320" s="209"/>
      <c r="G1320" s="209"/>
      <c r="H1320" s="209"/>
      <c r="I1320" s="209"/>
      <c r="J1320" s="209"/>
      <c r="K1320" s="209"/>
      <c r="L1320" s="209"/>
      <c r="M1320" s="209"/>
      <c r="N1320" s="209"/>
      <c r="O1320" s="209"/>
      <c r="P1320" s="209"/>
      <c r="Q1320" s="209"/>
      <c r="R1320" s="209"/>
      <c r="S1320" s="209"/>
      <c r="T1320" s="209"/>
      <c r="U1320" s="209"/>
      <c r="V1320" s="209"/>
      <c r="W1320" s="209"/>
      <c r="X1320" s="209"/>
      <c r="Y1320" s="209"/>
      <c r="Z1320" s="209"/>
      <c r="AA1320" s="209"/>
      <c r="AB1320" s="209"/>
      <c r="AC1320" s="209"/>
      <c r="AD1320" s="209"/>
      <c r="AE1320" s="209"/>
      <c r="AF1320" s="209"/>
      <c r="AG1320" s="209"/>
      <c r="AH1320" s="209"/>
      <c r="AI1320" s="209"/>
      <c r="AJ1320" s="209"/>
    </row>
    <row r="1321">
      <c r="A1321" s="209"/>
      <c r="B1321" s="209"/>
      <c r="C1321" s="209"/>
      <c r="D1321" s="209"/>
      <c r="E1321" s="209"/>
      <c r="F1321" s="209"/>
      <c r="G1321" s="209"/>
      <c r="H1321" s="209"/>
      <c r="I1321" s="209"/>
      <c r="J1321" s="209"/>
      <c r="K1321" s="209"/>
      <c r="L1321" s="209"/>
      <c r="M1321" s="209"/>
      <c r="N1321" s="209"/>
      <c r="O1321" s="209"/>
      <c r="P1321" s="209"/>
      <c r="Q1321" s="209"/>
      <c r="R1321" s="209"/>
      <c r="S1321" s="209"/>
      <c r="T1321" s="209"/>
      <c r="U1321" s="209"/>
      <c r="V1321" s="209"/>
      <c r="W1321" s="209"/>
      <c r="X1321" s="209"/>
      <c r="Y1321" s="209"/>
      <c r="Z1321" s="209"/>
      <c r="AA1321" s="209"/>
      <c r="AB1321" s="209"/>
      <c r="AC1321" s="209"/>
      <c r="AD1321" s="209"/>
      <c r="AE1321" s="209"/>
      <c r="AF1321" s="209"/>
      <c r="AG1321" s="209"/>
      <c r="AH1321" s="209"/>
      <c r="AI1321" s="209"/>
      <c r="AJ1321" s="209"/>
    </row>
    <row r="1322">
      <c r="A1322" s="209"/>
      <c r="B1322" s="209"/>
      <c r="C1322" s="209"/>
      <c r="D1322" s="209"/>
      <c r="E1322" s="209"/>
      <c r="F1322" s="209"/>
      <c r="G1322" s="209"/>
      <c r="H1322" s="209"/>
      <c r="I1322" s="209"/>
      <c r="J1322" s="209"/>
      <c r="K1322" s="209"/>
      <c r="L1322" s="209"/>
      <c r="M1322" s="209"/>
      <c r="N1322" s="209"/>
      <c r="O1322" s="209"/>
      <c r="P1322" s="209"/>
      <c r="Q1322" s="209"/>
      <c r="R1322" s="209"/>
      <c r="S1322" s="209"/>
      <c r="T1322" s="209"/>
      <c r="U1322" s="209"/>
      <c r="V1322" s="209"/>
      <c r="W1322" s="209"/>
      <c r="X1322" s="209"/>
      <c r="Y1322" s="209"/>
      <c r="Z1322" s="209"/>
      <c r="AA1322" s="209"/>
      <c r="AB1322" s="209"/>
      <c r="AC1322" s="209"/>
      <c r="AD1322" s="209"/>
      <c r="AE1322" s="209"/>
      <c r="AF1322" s="209"/>
      <c r="AG1322" s="209"/>
      <c r="AH1322" s="209"/>
      <c r="AI1322" s="209"/>
      <c r="AJ1322" s="209"/>
    </row>
    <row r="1323">
      <c r="A1323" s="209"/>
      <c r="B1323" s="209"/>
      <c r="C1323" s="209"/>
      <c r="D1323" s="209"/>
      <c r="E1323" s="209"/>
      <c r="F1323" s="209"/>
      <c r="G1323" s="209"/>
      <c r="H1323" s="209"/>
      <c r="I1323" s="209"/>
      <c r="J1323" s="209"/>
      <c r="K1323" s="209"/>
      <c r="L1323" s="209"/>
      <c r="M1323" s="209"/>
      <c r="N1323" s="209"/>
      <c r="O1323" s="209"/>
      <c r="P1323" s="209"/>
      <c r="Q1323" s="209"/>
      <c r="R1323" s="209"/>
      <c r="S1323" s="209"/>
      <c r="T1323" s="209"/>
      <c r="U1323" s="209"/>
      <c r="V1323" s="209"/>
      <c r="W1323" s="209"/>
      <c r="X1323" s="209"/>
      <c r="Y1323" s="209"/>
      <c r="Z1323" s="209"/>
      <c r="AA1323" s="209"/>
      <c r="AB1323" s="209"/>
      <c r="AC1323" s="209"/>
      <c r="AD1323" s="209"/>
      <c r="AE1323" s="209"/>
      <c r="AF1323" s="209"/>
      <c r="AG1323" s="209"/>
      <c r="AH1323" s="209"/>
      <c r="AI1323" s="209"/>
      <c r="AJ1323" s="209"/>
    </row>
    <row r="1324">
      <c r="A1324" s="209"/>
      <c r="B1324" s="209"/>
      <c r="C1324" s="209"/>
      <c r="D1324" s="209"/>
      <c r="E1324" s="209"/>
      <c r="F1324" s="209"/>
      <c r="G1324" s="209"/>
      <c r="H1324" s="209"/>
      <c r="I1324" s="209"/>
      <c r="J1324" s="209"/>
      <c r="K1324" s="209"/>
      <c r="L1324" s="209"/>
      <c r="M1324" s="209"/>
      <c r="N1324" s="209"/>
      <c r="O1324" s="209"/>
      <c r="P1324" s="209"/>
      <c r="Q1324" s="209"/>
      <c r="R1324" s="209"/>
      <c r="S1324" s="209"/>
      <c r="T1324" s="209"/>
      <c r="U1324" s="209"/>
      <c r="V1324" s="209"/>
      <c r="W1324" s="209"/>
      <c r="X1324" s="209"/>
      <c r="Y1324" s="209"/>
      <c r="Z1324" s="209"/>
      <c r="AA1324" s="209"/>
      <c r="AB1324" s="209"/>
      <c r="AC1324" s="209"/>
      <c r="AD1324" s="209"/>
      <c r="AE1324" s="209"/>
      <c r="AF1324" s="209"/>
      <c r="AG1324" s="209"/>
      <c r="AH1324" s="209"/>
      <c r="AI1324" s="209"/>
      <c r="AJ1324" s="209"/>
    </row>
    <row r="1325">
      <c r="A1325" s="209"/>
      <c r="B1325" s="209"/>
      <c r="C1325" s="209"/>
      <c r="D1325" s="209"/>
      <c r="E1325" s="209"/>
      <c r="F1325" s="209"/>
      <c r="G1325" s="209"/>
      <c r="H1325" s="209"/>
      <c r="I1325" s="209"/>
      <c r="J1325" s="209"/>
      <c r="K1325" s="209"/>
      <c r="L1325" s="209"/>
      <c r="M1325" s="209"/>
      <c r="N1325" s="209"/>
      <c r="O1325" s="209"/>
      <c r="P1325" s="209"/>
      <c r="Q1325" s="209"/>
      <c r="R1325" s="209"/>
      <c r="S1325" s="209"/>
      <c r="T1325" s="209"/>
      <c r="U1325" s="209"/>
      <c r="V1325" s="209"/>
      <c r="W1325" s="209"/>
      <c r="X1325" s="209"/>
      <c r="Y1325" s="209"/>
      <c r="Z1325" s="209"/>
      <c r="AA1325" s="209"/>
      <c r="AB1325" s="209"/>
      <c r="AC1325" s="209"/>
      <c r="AD1325" s="209"/>
      <c r="AE1325" s="209"/>
      <c r="AF1325" s="209"/>
      <c r="AG1325" s="209"/>
      <c r="AH1325" s="209"/>
      <c r="AI1325" s="209"/>
      <c r="AJ1325" s="209"/>
    </row>
    <row r="1326">
      <c r="A1326" s="209"/>
      <c r="B1326" s="209"/>
      <c r="C1326" s="209"/>
      <c r="D1326" s="209"/>
      <c r="E1326" s="209"/>
      <c r="F1326" s="209"/>
      <c r="G1326" s="209"/>
      <c r="H1326" s="209"/>
      <c r="I1326" s="209"/>
      <c r="J1326" s="209"/>
      <c r="K1326" s="209"/>
      <c r="L1326" s="209"/>
      <c r="M1326" s="209"/>
      <c r="N1326" s="209"/>
      <c r="O1326" s="209"/>
      <c r="P1326" s="209"/>
      <c r="Q1326" s="209"/>
      <c r="R1326" s="209"/>
      <c r="S1326" s="209"/>
      <c r="T1326" s="209"/>
      <c r="U1326" s="209"/>
      <c r="V1326" s="209"/>
      <c r="W1326" s="209"/>
      <c r="X1326" s="209"/>
      <c r="Y1326" s="209"/>
      <c r="Z1326" s="209"/>
      <c r="AA1326" s="209"/>
      <c r="AB1326" s="209"/>
      <c r="AC1326" s="209"/>
      <c r="AD1326" s="209"/>
      <c r="AE1326" s="209"/>
      <c r="AF1326" s="209"/>
      <c r="AG1326" s="209"/>
      <c r="AH1326" s="209"/>
      <c r="AI1326" s="209"/>
      <c r="AJ1326" s="209"/>
    </row>
    <row r="1327">
      <c r="A1327" s="209"/>
      <c r="B1327" s="209"/>
      <c r="C1327" s="209"/>
      <c r="D1327" s="209"/>
      <c r="E1327" s="209"/>
      <c r="F1327" s="209"/>
      <c r="G1327" s="209"/>
      <c r="H1327" s="209"/>
      <c r="I1327" s="209"/>
      <c r="J1327" s="209"/>
      <c r="K1327" s="209"/>
      <c r="L1327" s="209"/>
      <c r="M1327" s="209"/>
      <c r="N1327" s="209"/>
      <c r="O1327" s="209"/>
      <c r="P1327" s="209"/>
      <c r="Q1327" s="209"/>
      <c r="R1327" s="209"/>
      <c r="S1327" s="209"/>
      <c r="T1327" s="209"/>
      <c r="U1327" s="209"/>
      <c r="V1327" s="209"/>
      <c r="W1327" s="209"/>
      <c r="X1327" s="209"/>
      <c r="Y1327" s="209"/>
      <c r="Z1327" s="209"/>
      <c r="AA1327" s="209"/>
      <c r="AB1327" s="209"/>
      <c r="AC1327" s="209"/>
      <c r="AD1327" s="209"/>
      <c r="AE1327" s="209"/>
      <c r="AF1327" s="209"/>
      <c r="AG1327" s="209"/>
      <c r="AH1327" s="209"/>
      <c r="AI1327" s="209"/>
      <c r="AJ1327" s="209"/>
    </row>
    <row r="1328">
      <c r="A1328" s="209"/>
      <c r="B1328" s="209"/>
      <c r="C1328" s="209"/>
      <c r="D1328" s="209"/>
      <c r="E1328" s="209"/>
      <c r="F1328" s="209"/>
      <c r="G1328" s="209"/>
      <c r="H1328" s="209"/>
      <c r="I1328" s="209"/>
      <c r="J1328" s="209"/>
      <c r="K1328" s="209"/>
      <c r="L1328" s="209"/>
      <c r="M1328" s="209"/>
      <c r="N1328" s="209"/>
      <c r="O1328" s="209"/>
      <c r="P1328" s="209"/>
      <c r="Q1328" s="209"/>
      <c r="R1328" s="209"/>
      <c r="S1328" s="209"/>
      <c r="T1328" s="209"/>
      <c r="U1328" s="209"/>
      <c r="V1328" s="209"/>
      <c r="W1328" s="209"/>
      <c r="X1328" s="209"/>
      <c r="Y1328" s="209"/>
      <c r="Z1328" s="209"/>
      <c r="AA1328" s="209"/>
      <c r="AB1328" s="209"/>
      <c r="AC1328" s="209"/>
      <c r="AD1328" s="209"/>
      <c r="AE1328" s="209"/>
      <c r="AF1328" s="209"/>
      <c r="AG1328" s="209"/>
      <c r="AH1328" s="209"/>
      <c r="AI1328" s="209"/>
      <c r="AJ1328" s="209"/>
    </row>
    <row r="1329">
      <c r="A1329" s="209"/>
      <c r="B1329" s="209"/>
      <c r="C1329" s="209"/>
      <c r="D1329" s="209"/>
      <c r="E1329" s="209"/>
      <c r="F1329" s="209"/>
      <c r="G1329" s="209"/>
      <c r="H1329" s="209"/>
      <c r="I1329" s="209"/>
      <c r="J1329" s="209"/>
      <c r="K1329" s="209"/>
      <c r="L1329" s="209"/>
      <c r="M1329" s="209"/>
      <c r="N1329" s="209"/>
      <c r="O1329" s="209"/>
      <c r="P1329" s="209"/>
      <c r="Q1329" s="209"/>
      <c r="R1329" s="209"/>
      <c r="S1329" s="209"/>
      <c r="T1329" s="209"/>
      <c r="U1329" s="209"/>
      <c r="V1329" s="209"/>
      <c r="W1329" s="209"/>
      <c r="X1329" s="209"/>
      <c r="Y1329" s="209"/>
      <c r="Z1329" s="209"/>
      <c r="AA1329" s="209"/>
      <c r="AB1329" s="209"/>
      <c r="AC1329" s="209"/>
      <c r="AD1329" s="209"/>
      <c r="AE1329" s="209"/>
      <c r="AF1329" s="209"/>
      <c r="AG1329" s="209"/>
      <c r="AH1329" s="209"/>
      <c r="AI1329" s="209"/>
      <c r="AJ1329" s="209"/>
    </row>
    <row r="1330">
      <c r="A1330" s="209"/>
      <c r="B1330" s="209"/>
      <c r="C1330" s="209"/>
      <c r="D1330" s="209"/>
      <c r="E1330" s="209"/>
      <c r="F1330" s="209"/>
      <c r="G1330" s="209"/>
      <c r="H1330" s="209"/>
      <c r="I1330" s="209"/>
      <c r="J1330" s="209"/>
      <c r="K1330" s="209"/>
      <c r="L1330" s="209"/>
      <c r="M1330" s="209"/>
      <c r="N1330" s="209"/>
      <c r="O1330" s="209"/>
      <c r="P1330" s="209"/>
      <c r="Q1330" s="209"/>
      <c r="R1330" s="209"/>
      <c r="S1330" s="209"/>
      <c r="T1330" s="209"/>
      <c r="U1330" s="209"/>
      <c r="V1330" s="209"/>
      <c r="W1330" s="209"/>
      <c r="X1330" s="209"/>
      <c r="Y1330" s="209"/>
      <c r="Z1330" s="209"/>
      <c r="AA1330" s="209"/>
      <c r="AB1330" s="209"/>
      <c r="AC1330" s="209"/>
      <c r="AD1330" s="209"/>
      <c r="AE1330" s="209"/>
      <c r="AF1330" s="209"/>
      <c r="AG1330" s="209"/>
      <c r="AH1330" s="209"/>
      <c r="AI1330" s="209"/>
      <c r="AJ1330" s="209"/>
    </row>
    <row r="1331">
      <c r="A1331" s="209"/>
      <c r="B1331" s="209"/>
      <c r="C1331" s="209"/>
      <c r="D1331" s="209"/>
      <c r="E1331" s="209"/>
      <c r="F1331" s="209"/>
      <c r="G1331" s="209"/>
      <c r="H1331" s="209"/>
      <c r="I1331" s="209"/>
      <c r="J1331" s="209"/>
      <c r="K1331" s="209"/>
      <c r="L1331" s="209"/>
      <c r="M1331" s="209"/>
      <c r="N1331" s="209"/>
      <c r="O1331" s="209"/>
      <c r="P1331" s="209"/>
      <c r="Q1331" s="209"/>
      <c r="R1331" s="209"/>
      <c r="S1331" s="209"/>
      <c r="T1331" s="209"/>
      <c r="U1331" s="209"/>
      <c r="V1331" s="209"/>
      <c r="W1331" s="209"/>
      <c r="X1331" s="209"/>
      <c r="Y1331" s="209"/>
      <c r="Z1331" s="209"/>
      <c r="AA1331" s="209"/>
      <c r="AB1331" s="209"/>
      <c r="AC1331" s="209"/>
      <c r="AD1331" s="209"/>
      <c r="AE1331" s="209"/>
      <c r="AF1331" s="209"/>
      <c r="AG1331" s="209"/>
      <c r="AH1331" s="209"/>
      <c r="AI1331" s="209"/>
      <c r="AJ1331" s="209"/>
    </row>
    <row r="1332">
      <c r="A1332" s="209"/>
      <c r="B1332" s="209"/>
      <c r="C1332" s="209"/>
      <c r="D1332" s="209"/>
      <c r="E1332" s="209"/>
      <c r="F1332" s="209"/>
      <c r="G1332" s="209"/>
      <c r="H1332" s="209"/>
      <c r="I1332" s="209"/>
      <c r="J1332" s="209"/>
      <c r="K1332" s="209"/>
      <c r="L1332" s="209"/>
      <c r="M1332" s="209"/>
      <c r="N1332" s="209"/>
      <c r="O1332" s="209"/>
      <c r="P1332" s="209"/>
      <c r="Q1332" s="209"/>
      <c r="R1332" s="209"/>
      <c r="S1332" s="209"/>
      <c r="T1332" s="209"/>
      <c r="U1332" s="209"/>
      <c r="V1332" s="209"/>
      <c r="W1332" s="209"/>
      <c r="X1332" s="209"/>
      <c r="Y1332" s="209"/>
      <c r="Z1332" s="209"/>
      <c r="AA1332" s="209"/>
      <c r="AB1332" s="209"/>
      <c r="AC1332" s="209"/>
      <c r="AD1332" s="209"/>
      <c r="AE1332" s="209"/>
      <c r="AF1332" s="209"/>
      <c r="AG1332" s="209"/>
      <c r="AH1332" s="209"/>
      <c r="AI1332" s="209"/>
      <c r="AJ1332" s="209"/>
    </row>
    <row r="1333">
      <c r="A1333" s="209"/>
      <c r="B1333" s="209"/>
      <c r="C1333" s="209"/>
      <c r="D1333" s="209"/>
      <c r="E1333" s="209"/>
      <c r="F1333" s="209"/>
      <c r="G1333" s="209"/>
      <c r="H1333" s="209"/>
      <c r="I1333" s="209"/>
      <c r="J1333" s="209"/>
      <c r="K1333" s="209"/>
      <c r="L1333" s="209"/>
      <c r="M1333" s="209"/>
      <c r="N1333" s="209"/>
      <c r="O1333" s="209"/>
      <c r="P1333" s="209"/>
      <c r="Q1333" s="209"/>
      <c r="R1333" s="209"/>
      <c r="S1333" s="209"/>
      <c r="T1333" s="209"/>
      <c r="U1333" s="209"/>
      <c r="V1333" s="209"/>
      <c r="W1333" s="209"/>
      <c r="X1333" s="209"/>
      <c r="Y1333" s="209"/>
      <c r="Z1333" s="209"/>
      <c r="AA1333" s="209"/>
      <c r="AB1333" s="209"/>
      <c r="AC1333" s="209"/>
      <c r="AD1333" s="209"/>
      <c r="AE1333" s="209"/>
      <c r="AF1333" s="209"/>
      <c r="AG1333" s="209"/>
      <c r="AH1333" s="209"/>
      <c r="AI1333" s="209"/>
      <c r="AJ1333" s="209"/>
    </row>
    <row r="1334">
      <c r="A1334" s="209"/>
      <c r="B1334" s="209"/>
      <c r="C1334" s="209"/>
      <c r="D1334" s="209"/>
      <c r="E1334" s="209"/>
      <c r="F1334" s="209"/>
      <c r="G1334" s="209"/>
      <c r="H1334" s="209"/>
      <c r="I1334" s="209"/>
      <c r="J1334" s="209"/>
      <c r="K1334" s="209"/>
      <c r="L1334" s="209"/>
      <c r="M1334" s="209"/>
      <c r="N1334" s="209"/>
      <c r="O1334" s="209"/>
      <c r="P1334" s="209"/>
      <c r="Q1334" s="209"/>
      <c r="R1334" s="209"/>
      <c r="S1334" s="209"/>
      <c r="T1334" s="209"/>
      <c r="U1334" s="209"/>
      <c r="V1334" s="209"/>
      <c r="W1334" s="209"/>
      <c r="X1334" s="209"/>
      <c r="Y1334" s="209"/>
      <c r="Z1334" s="209"/>
      <c r="AA1334" s="209"/>
      <c r="AB1334" s="209"/>
      <c r="AC1334" s="209"/>
      <c r="AD1334" s="209"/>
      <c r="AE1334" s="209"/>
      <c r="AF1334" s="209"/>
      <c r="AG1334" s="209"/>
      <c r="AH1334" s="209"/>
      <c r="AI1334" s="209"/>
      <c r="AJ1334" s="209"/>
    </row>
    <row r="1335">
      <c r="A1335" s="209"/>
      <c r="B1335" s="209"/>
      <c r="C1335" s="209"/>
      <c r="D1335" s="209"/>
      <c r="E1335" s="209"/>
      <c r="F1335" s="209"/>
      <c r="G1335" s="209"/>
      <c r="H1335" s="209"/>
      <c r="I1335" s="209"/>
      <c r="J1335" s="209"/>
      <c r="K1335" s="209"/>
      <c r="L1335" s="209"/>
      <c r="M1335" s="209"/>
      <c r="N1335" s="209"/>
      <c r="O1335" s="209"/>
      <c r="P1335" s="209"/>
      <c r="Q1335" s="209"/>
      <c r="R1335" s="209"/>
      <c r="S1335" s="209"/>
      <c r="T1335" s="209"/>
      <c r="U1335" s="209"/>
      <c r="V1335" s="209"/>
      <c r="W1335" s="209"/>
      <c r="X1335" s="209"/>
      <c r="Y1335" s="209"/>
      <c r="Z1335" s="209"/>
      <c r="AA1335" s="209"/>
      <c r="AB1335" s="209"/>
      <c r="AC1335" s="209"/>
      <c r="AD1335" s="209"/>
      <c r="AE1335" s="209"/>
      <c r="AF1335" s="209"/>
      <c r="AG1335" s="209"/>
      <c r="AH1335" s="209"/>
      <c r="AI1335" s="209"/>
      <c r="AJ1335" s="209"/>
    </row>
    <row r="1336">
      <c r="A1336" s="209"/>
      <c r="B1336" s="209"/>
      <c r="C1336" s="209"/>
      <c r="D1336" s="209"/>
      <c r="E1336" s="209"/>
      <c r="F1336" s="209"/>
      <c r="G1336" s="209"/>
      <c r="H1336" s="209"/>
      <c r="I1336" s="209"/>
      <c r="J1336" s="209"/>
      <c r="K1336" s="209"/>
      <c r="L1336" s="209"/>
      <c r="M1336" s="209"/>
      <c r="N1336" s="209"/>
      <c r="O1336" s="209"/>
      <c r="P1336" s="209"/>
      <c r="Q1336" s="209"/>
      <c r="R1336" s="209"/>
      <c r="S1336" s="209"/>
      <c r="T1336" s="209"/>
      <c r="U1336" s="209"/>
      <c r="V1336" s="209"/>
      <c r="W1336" s="209"/>
      <c r="X1336" s="209"/>
      <c r="Y1336" s="209"/>
      <c r="Z1336" s="209"/>
      <c r="AA1336" s="209"/>
      <c r="AB1336" s="209"/>
      <c r="AC1336" s="209"/>
      <c r="AD1336" s="209"/>
      <c r="AE1336" s="209"/>
      <c r="AF1336" s="209"/>
      <c r="AG1336" s="209"/>
      <c r="AH1336" s="209"/>
      <c r="AI1336" s="209"/>
      <c r="AJ1336" s="209"/>
    </row>
    <row r="1337">
      <c r="A1337" s="209"/>
      <c r="B1337" s="209"/>
      <c r="C1337" s="209"/>
      <c r="D1337" s="209"/>
      <c r="E1337" s="209"/>
      <c r="F1337" s="209"/>
      <c r="G1337" s="209"/>
      <c r="H1337" s="209"/>
      <c r="I1337" s="209"/>
      <c r="J1337" s="209"/>
      <c r="K1337" s="209"/>
      <c r="L1337" s="209"/>
      <c r="M1337" s="209"/>
      <c r="N1337" s="209"/>
      <c r="O1337" s="209"/>
      <c r="P1337" s="209"/>
      <c r="Q1337" s="209"/>
      <c r="R1337" s="209"/>
      <c r="S1337" s="209"/>
      <c r="T1337" s="209"/>
      <c r="U1337" s="209"/>
      <c r="V1337" s="209"/>
      <c r="W1337" s="209"/>
      <c r="X1337" s="209"/>
      <c r="Y1337" s="209"/>
      <c r="Z1337" s="209"/>
      <c r="AA1337" s="209"/>
      <c r="AB1337" s="209"/>
      <c r="AC1337" s="209"/>
      <c r="AD1337" s="209"/>
      <c r="AE1337" s="209"/>
      <c r="AF1337" s="209"/>
      <c r="AG1337" s="209"/>
      <c r="AH1337" s="209"/>
      <c r="AI1337" s="209"/>
      <c r="AJ1337" s="209"/>
    </row>
    <row r="1338">
      <c r="A1338" s="209"/>
      <c r="B1338" s="209"/>
      <c r="C1338" s="209"/>
      <c r="D1338" s="209"/>
      <c r="E1338" s="209"/>
      <c r="F1338" s="209"/>
      <c r="G1338" s="209"/>
      <c r="H1338" s="209"/>
      <c r="I1338" s="209"/>
      <c r="J1338" s="209"/>
      <c r="K1338" s="209"/>
      <c r="L1338" s="209"/>
      <c r="M1338" s="209"/>
      <c r="N1338" s="209"/>
      <c r="O1338" s="209"/>
      <c r="P1338" s="209"/>
      <c r="Q1338" s="209"/>
      <c r="R1338" s="209"/>
      <c r="S1338" s="209"/>
      <c r="T1338" s="209"/>
      <c r="U1338" s="209"/>
      <c r="V1338" s="209"/>
      <c r="W1338" s="209"/>
      <c r="X1338" s="209"/>
      <c r="Y1338" s="209"/>
      <c r="Z1338" s="209"/>
      <c r="AA1338" s="209"/>
      <c r="AB1338" s="209"/>
      <c r="AC1338" s="209"/>
      <c r="AD1338" s="209"/>
      <c r="AE1338" s="209"/>
      <c r="AF1338" s="209"/>
      <c r="AG1338" s="209"/>
      <c r="AH1338" s="209"/>
      <c r="AI1338" s="209"/>
      <c r="AJ1338" s="209"/>
    </row>
    <row r="1339">
      <c r="A1339" s="209"/>
      <c r="B1339" s="209"/>
      <c r="C1339" s="209"/>
      <c r="D1339" s="209"/>
      <c r="E1339" s="209"/>
      <c r="F1339" s="209"/>
      <c r="G1339" s="209"/>
      <c r="H1339" s="209"/>
      <c r="I1339" s="209"/>
      <c r="J1339" s="209"/>
      <c r="K1339" s="209"/>
      <c r="L1339" s="209"/>
      <c r="M1339" s="209"/>
      <c r="N1339" s="209"/>
      <c r="O1339" s="209"/>
      <c r="P1339" s="209"/>
      <c r="Q1339" s="209"/>
      <c r="R1339" s="209"/>
      <c r="S1339" s="209"/>
      <c r="T1339" s="209"/>
      <c r="U1339" s="209"/>
      <c r="V1339" s="209"/>
      <c r="W1339" s="209"/>
      <c r="X1339" s="209"/>
      <c r="Y1339" s="209"/>
      <c r="Z1339" s="209"/>
      <c r="AA1339" s="209"/>
      <c r="AB1339" s="209"/>
      <c r="AC1339" s="209"/>
      <c r="AD1339" s="209"/>
      <c r="AE1339" s="209"/>
      <c r="AF1339" s="209"/>
      <c r="AG1339" s="209"/>
      <c r="AH1339" s="209"/>
      <c r="AI1339" s="209"/>
      <c r="AJ1339" s="209"/>
    </row>
    <row r="1340">
      <c r="A1340" s="209"/>
      <c r="B1340" s="209"/>
      <c r="C1340" s="209"/>
      <c r="D1340" s="209"/>
      <c r="E1340" s="209"/>
      <c r="F1340" s="209"/>
      <c r="G1340" s="209"/>
      <c r="H1340" s="209"/>
      <c r="I1340" s="209"/>
      <c r="J1340" s="209"/>
      <c r="K1340" s="209"/>
      <c r="L1340" s="209"/>
      <c r="M1340" s="209"/>
      <c r="N1340" s="209"/>
      <c r="O1340" s="209"/>
      <c r="P1340" s="209"/>
      <c r="Q1340" s="209"/>
      <c r="R1340" s="209"/>
      <c r="S1340" s="209"/>
      <c r="T1340" s="209"/>
      <c r="U1340" s="209"/>
      <c r="V1340" s="209"/>
      <c r="W1340" s="209"/>
      <c r="X1340" s="209"/>
      <c r="Y1340" s="209"/>
      <c r="Z1340" s="209"/>
      <c r="AA1340" s="209"/>
      <c r="AB1340" s="209"/>
      <c r="AC1340" s="209"/>
      <c r="AD1340" s="209"/>
      <c r="AE1340" s="209"/>
      <c r="AF1340" s="209"/>
      <c r="AG1340" s="209"/>
      <c r="AH1340" s="209"/>
      <c r="AI1340" s="209"/>
      <c r="AJ1340" s="209"/>
    </row>
    <row r="1341">
      <c r="A1341" s="209"/>
      <c r="B1341" s="209"/>
      <c r="C1341" s="209"/>
      <c r="D1341" s="209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209"/>
      <c r="P1341" s="209"/>
      <c r="Q1341" s="209"/>
      <c r="R1341" s="209"/>
      <c r="S1341" s="209"/>
      <c r="T1341" s="209"/>
      <c r="U1341" s="209"/>
      <c r="V1341" s="209"/>
      <c r="W1341" s="209"/>
      <c r="X1341" s="209"/>
      <c r="Y1341" s="209"/>
      <c r="Z1341" s="209"/>
      <c r="AA1341" s="209"/>
      <c r="AB1341" s="209"/>
      <c r="AC1341" s="209"/>
      <c r="AD1341" s="209"/>
      <c r="AE1341" s="209"/>
      <c r="AF1341" s="209"/>
      <c r="AG1341" s="209"/>
      <c r="AH1341" s="209"/>
      <c r="AI1341" s="209"/>
      <c r="AJ1341" s="209"/>
    </row>
    <row r="1342">
      <c r="A1342" s="209"/>
      <c r="B1342" s="209"/>
      <c r="C1342" s="209"/>
      <c r="D1342" s="209"/>
      <c r="E1342" s="209"/>
      <c r="F1342" s="209"/>
      <c r="G1342" s="209"/>
      <c r="H1342" s="209"/>
      <c r="I1342" s="209"/>
      <c r="J1342" s="209"/>
      <c r="K1342" s="209"/>
      <c r="L1342" s="209"/>
      <c r="M1342" s="209"/>
      <c r="N1342" s="209"/>
      <c r="O1342" s="209"/>
      <c r="P1342" s="209"/>
      <c r="Q1342" s="209"/>
      <c r="R1342" s="209"/>
      <c r="S1342" s="209"/>
      <c r="T1342" s="209"/>
      <c r="U1342" s="209"/>
      <c r="V1342" s="209"/>
      <c r="W1342" s="209"/>
      <c r="X1342" s="209"/>
      <c r="Y1342" s="209"/>
      <c r="Z1342" s="209"/>
      <c r="AA1342" s="209"/>
      <c r="AB1342" s="209"/>
      <c r="AC1342" s="209"/>
      <c r="AD1342" s="209"/>
      <c r="AE1342" s="209"/>
      <c r="AF1342" s="209"/>
      <c r="AG1342" s="209"/>
      <c r="AH1342" s="209"/>
      <c r="AI1342" s="209"/>
      <c r="AJ1342" s="209"/>
    </row>
    <row r="1343">
      <c r="A1343" s="209"/>
      <c r="B1343" s="209"/>
      <c r="C1343" s="209"/>
      <c r="D1343" s="209"/>
      <c r="E1343" s="209"/>
      <c r="F1343" s="209"/>
      <c r="G1343" s="209"/>
      <c r="H1343" s="209"/>
      <c r="I1343" s="209"/>
      <c r="J1343" s="209"/>
      <c r="K1343" s="209"/>
      <c r="L1343" s="209"/>
      <c r="M1343" s="209"/>
      <c r="N1343" s="209"/>
      <c r="O1343" s="209"/>
      <c r="P1343" s="209"/>
      <c r="Q1343" s="209"/>
      <c r="R1343" s="209"/>
      <c r="S1343" s="209"/>
      <c r="T1343" s="209"/>
      <c r="U1343" s="209"/>
      <c r="V1343" s="209"/>
      <c r="W1343" s="209"/>
      <c r="X1343" s="209"/>
      <c r="Y1343" s="209"/>
      <c r="Z1343" s="209"/>
      <c r="AA1343" s="209"/>
      <c r="AB1343" s="209"/>
      <c r="AC1343" s="209"/>
      <c r="AD1343" s="209"/>
      <c r="AE1343" s="209"/>
      <c r="AF1343" s="209"/>
      <c r="AG1343" s="209"/>
      <c r="AH1343" s="209"/>
      <c r="AI1343" s="209"/>
      <c r="AJ1343" s="209"/>
    </row>
    <row r="1344">
      <c r="A1344" s="209"/>
      <c r="B1344" s="209"/>
      <c r="C1344" s="209"/>
      <c r="D1344" s="209"/>
      <c r="E1344" s="209"/>
      <c r="F1344" s="209"/>
      <c r="G1344" s="209"/>
      <c r="H1344" s="209"/>
      <c r="I1344" s="209"/>
      <c r="J1344" s="209"/>
      <c r="K1344" s="209"/>
      <c r="L1344" s="209"/>
      <c r="M1344" s="209"/>
      <c r="N1344" s="209"/>
      <c r="O1344" s="209"/>
      <c r="P1344" s="209"/>
      <c r="Q1344" s="209"/>
      <c r="R1344" s="209"/>
      <c r="S1344" s="209"/>
      <c r="T1344" s="209"/>
      <c r="U1344" s="209"/>
      <c r="V1344" s="209"/>
      <c r="W1344" s="209"/>
      <c r="X1344" s="209"/>
      <c r="Y1344" s="209"/>
      <c r="Z1344" s="209"/>
      <c r="AA1344" s="209"/>
      <c r="AB1344" s="209"/>
      <c r="AC1344" s="209"/>
      <c r="AD1344" s="209"/>
      <c r="AE1344" s="209"/>
      <c r="AF1344" s="209"/>
      <c r="AG1344" s="209"/>
      <c r="AH1344" s="209"/>
      <c r="AI1344" s="209"/>
      <c r="AJ1344" s="209"/>
    </row>
    <row r="1345">
      <c r="A1345" s="209"/>
      <c r="B1345" s="209"/>
      <c r="C1345" s="209"/>
      <c r="D1345" s="209"/>
      <c r="E1345" s="209"/>
      <c r="F1345" s="209"/>
      <c r="G1345" s="209"/>
      <c r="H1345" s="209"/>
      <c r="I1345" s="209"/>
      <c r="J1345" s="209"/>
      <c r="K1345" s="209"/>
      <c r="L1345" s="209"/>
      <c r="M1345" s="209"/>
      <c r="N1345" s="209"/>
      <c r="O1345" s="209"/>
      <c r="P1345" s="209"/>
      <c r="Q1345" s="209"/>
      <c r="R1345" s="209"/>
      <c r="S1345" s="209"/>
      <c r="T1345" s="209"/>
      <c r="U1345" s="209"/>
      <c r="V1345" s="209"/>
      <c r="W1345" s="209"/>
      <c r="X1345" s="209"/>
      <c r="Y1345" s="209"/>
      <c r="Z1345" s="209"/>
      <c r="AA1345" s="209"/>
      <c r="AB1345" s="209"/>
      <c r="AC1345" s="209"/>
      <c r="AD1345" s="209"/>
      <c r="AE1345" s="209"/>
      <c r="AF1345" s="209"/>
      <c r="AG1345" s="209"/>
      <c r="AH1345" s="209"/>
      <c r="AI1345" s="209"/>
      <c r="AJ1345" s="209"/>
    </row>
    <row r="1346">
      <c r="A1346" s="209"/>
      <c r="B1346" s="209"/>
      <c r="C1346" s="209"/>
      <c r="D1346" s="209"/>
      <c r="E1346" s="209"/>
      <c r="F1346" s="209"/>
      <c r="G1346" s="209"/>
      <c r="H1346" s="209"/>
      <c r="I1346" s="209"/>
      <c r="J1346" s="209"/>
      <c r="K1346" s="209"/>
      <c r="L1346" s="209"/>
      <c r="M1346" s="209"/>
      <c r="N1346" s="209"/>
      <c r="O1346" s="209"/>
      <c r="P1346" s="209"/>
      <c r="Q1346" s="209"/>
      <c r="R1346" s="209"/>
      <c r="S1346" s="209"/>
      <c r="T1346" s="209"/>
      <c r="U1346" s="209"/>
      <c r="V1346" s="209"/>
      <c r="W1346" s="209"/>
      <c r="X1346" s="209"/>
      <c r="Y1346" s="209"/>
      <c r="Z1346" s="209"/>
      <c r="AA1346" s="209"/>
      <c r="AB1346" s="209"/>
      <c r="AC1346" s="209"/>
      <c r="AD1346" s="209"/>
      <c r="AE1346" s="209"/>
      <c r="AF1346" s="209"/>
      <c r="AG1346" s="209"/>
      <c r="AH1346" s="209"/>
      <c r="AI1346" s="209"/>
      <c r="AJ1346" s="209"/>
    </row>
    <row r="1347">
      <c r="A1347" s="209"/>
      <c r="B1347" s="209"/>
      <c r="C1347" s="209"/>
      <c r="D1347" s="209"/>
      <c r="E1347" s="209"/>
      <c r="F1347" s="209"/>
      <c r="G1347" s="209"/>
      <c r="H1347" s="209"/>
      <c r="I1347" s="209"/>
      <c r="J1347" s="209"/>
      <c r="K1347" s="209"/>
      <c r="L1347" s="209"/>
      <c r="M1347" s="209"/>
      <c r="N1347" s="209"/>
      <c r="O1347" s="209"/>
      <c r="P1347" s="209"/>
      <c r="Q1347" s="209"/>
      <c r="R1347" s="209"/>
      <c r="S1347" s="209"/>
      <c r="T1347" s="209"/>
      <c r="U1347" s="209"/>
      <c r="V1347" s="209"/>
      <c r="W1347" s="209"/>
      <c r="X1347" s="209"/>
      <c r="Y1347" s="209"/>
      <c r="Z1347" s="209"/>
      <c r="AA1347" s="209"/>
      <c r="AB1347" s="209"/>
      <c r="AC1347" s="209"/>
      <c r="AD1347" s="209"/>
      <c r="AE1347" s="209"/>
      <c r="AF1347" s="209"/>
      <c r="AG1347" s="209"/>
      <c r="AH1347" s="209"/>
      <c r="AI1347" s="209"/>
      <c r="AJ1347" s="209"/>
    </row>
    <row r="1348">
      <c r="A1348" s="209"/>
      <c r="B1348" s="209"/>
      <c r="C1348" s="209"/>
      <c r="D1348" s="209"/>
      <c r="E1348" s="209"/>
      <c r="F1348" s="209"/>
      <c r="G1348" s="209"/>
      <c r="H1348" s="209"/>
      <c r="I1348" s="209"/>
      <c r="J1348" s="209"/>
      <c r="K1348" s="209"/>
      <c r="L1348" s="209"/>
      <c r="M1348" s="209"/>
      <c r="N1348" s="209"/>
      <c r="O1348" s="209"/>
      <c r="P1348" s="209"/>
      <c r="Q1348" s="209"/>
      <c r="R1348" s="209"/>
      <c r="S1348" s="209"/>
      <c r="T1348" s="209"/>
      <c r="U1348" s="209"/>
      <c r="V1348" s="209"/>
      <c r="W1348" s="209"/>
      <c r="X1348" s="209"/>
      <c r="Y1348" s="209"/>
      <c r="Z1348" s="209"/>
      <c r="AA1348" s="209"/>
      <c r="AB1348" s="209"/>
      <c r="AC1348" s="209"/>
      <c r="AD1348" s="209"/>
      <c r="AE1348" s="209"/>
      <c r="AF1348" s="209"/>
      <c r="AG1348" s="209"/>
      <c r="AH1348" s="209"/>
      <c r="AI1348" s="209"/>
      <c r="AJ1348" s="209"/>
    </row>
    <row r="1349">
      <c r="A1349" s="209"/>
      <c r="B1349" s="209"/>
      <c r="C1349" s="209"/>
      <c r="D1349" s="209"/>
      <c r="E1349" s="209"/>
      <c r="F1349" s="209"/>
      <c r="G1349" s="209"/>
      <c r="H1349" s="209"/>
      <c r="I1349" s="209"/>
      <c r="J1349" s="209"/>
      <c r="K1349" s="209"/>
      <c r="L1349" s="209"/>
      <c r="M1349" s="209"/>
      <c r="N1349" s="209"/>
      <c r="O1349" s="209"/>
      <c r="P1349" s="209"/>
      <c r="Q1349" s="209"/>
      <c r="R1349" s="209"/>
      <c r="S1349" s="209"/>
      <c r="T1349" s="209"/>
      <c r="U1349" s="209"/>
      <c r="V1349" s="209"/>
      <c r="W1349" s="209"/>
      <c r="X1349" s="209"/>
      <c r="Y1349" s="209"/>
      <c r="Z1349" s="209"/>
      <c r="AA1349" s="209"/>
      <c r="AB1349" s="209"/>
      <c r="AC1349" s="209"/>
      <c r="AD1349" s="209"/>
      <c r="AE1349" s="209"/>
      <c r="AF1349" s="209"/>
      <c r="AG1349" s="209"/>
      <c r="AH1349" s="209"/>
      <c r="AI1349" s="209"/>
      <c r="AJ1349" s="209"/>
    </row>
    <row r="1350">
      <c r="A1350" s="209"/>
      <c r="B1350" s="209"/>
      <c r="C1350" s="209"/>
      <c r="D1350" s="209"/>
      <c r="E1350" s="209"/>
      <c r="F1350" s="209"/>
      <c r="G1350" s="209"/>
      <c r="H1350" s="209"/>
      <c r="I1350" s="209"/>
      <c r="J1350" s="209"/>
      <c r="K1350" s="209"/>
      <c r="L1350" s="209"/>
      <c r="M1350" s="209"/>
      <c r="N1350" s="209"/>
      <c r="O1350" s="209"/>
      <c r="P1350" s="209"/>
      <c r="Q1350" s="209"/>
      <c r="R1350" s="209"/>
      <c r="S1350" s="209"/>
      <c r="T1350" s="209"/>
      <c r="U1350" s="209"/>
      <c r="V1350" s="209"/>
      <c r="W1350" s="209"/>
      <c r="X1350" s="209"/>
      <c r="Y1350" s="209"/>
      <c r="Z1350" s="209"/>
      <c r="AA1350" s="209"/>
      <c r="AB1350" s="209"/>
      <c r="AC1350" s="209"/>
      <c r="AD1350" s="209"/>
      <c r="AE1350" s="209"/>
      <c r="AF1350" s="209"/>
      <c r="AG1350" s="209"/>
      <c r="AH1350" s="209"/>
      <c r="AI1350" s="209"/>
      <c r="AJ1350" s="209"/>
    </row>
    <row r="1351">
      <c r="A1351" s="209"/>
      <c r="B1351" s="209"/>
      <c r="C1351" s="209"/>
      <c r="D1351" s="209"/>
      <c r="E1351" s="209"/>
      <c r="F1351" s="209"/>
      <c r="G1351" s="209"/>
      <c r="H1351" s="209"/>
      <c r="I1351" s="209"/>
      <c r="J1351" s="209"/>
      <c r="K1351" s="209"/>
      <c r="L1351" s="209"/>
      <c r="M1351" s="209"/>
      <c r="N1351" s="209"/>
      <c r="O1351" s="209"/>
      <c r="P1351" s="209"/>
      <c r="Q1351" s="209"/>
      <c r="R1351" s="209"/>
      <c r="S1351" s="209"/>
      <c r="T1351" s="209"/>
      <c r="U1351" s="209"/>
      <c r="V1351" s="209"/>
      <c r="W1351" s="209"/>
      <c r="X1351" s="209"/>
      <c r="Y1351" s="209"/>
      <c r="Z1351" s="209"/>
      <c r="AA1351" s="209"/>
      <c r="AB1351" s="209"/>
      <c r="AC1351" s="209"/>
      <c r="AD1351" s="209"/>
      <c r="AE1351" s="209"/>
      <c r="AF1351" s="209"/>
      <c r="AG1351" s="209"/>
      <c r="AH1351" s="209"/>
      <c r="AI1351" s="209"/>
      <c r="AJ1351" s="209"/>
    </row>
    <row r="1352">
      <c r="A1352" s="209"/>
      <c r="B1352" s="209"/>
      <c r="C1352" s="209"/>
      <c r="D1352" s="209"/>
      <c r="E1352" s="209"/>
      <c r="F1352" s="209"/>
      <c r="G1352" s="209"/>
      <c r="H1352" s="209"/>
      <c r="I1352" s="209"/>
      <c r="J1352" s="209"/>
      <c r="K1352" s="209"/>
      <c r="L1352" s="209"/>
      <c r="M1352" s="209"/>
      <c r="N1352" s="209"/>
      <c r="O1352" s="209"/>
      <c r="P1352" s="209"/>
      <c r="Q1352" s="209"/>
      <c r="R1352" s="209"/>
      <c r="S1352" s="209"/>
      <c r="T1352" s="209"/>
      <c r="U1352" s="209"/>
      <c r="V1352" s="209"/>
      <c r="W1352" s="209"/>
      <c r="X1352" s="209"/>
      <c r="Y1352" s="209"/>
      <c r="Z1352" s="209"/>
      <c r="AA1352" s="209"/>
      <c r="AB1352" s="209"/>
      <c r="AC1352" s="209"/>
      <c r="AD1352" s="209"/>
      <c r="AE1352" s="209"/>
      <c r="AF1352" s="209"/>
      <c r="AG1352" s="209"/>
      <c r="AH1352" s="209"/>
      <c r="AI1352" s="209"/>
      <c r="AJ1352" s="209"/>
    </row>
    <row r="1353">
      <c r="A1353" s="209"/>
      <c r="B1353" s="209"/>
      <c r="C1353" s="209"/>
      <c r="D1353" s="209"/>
      <c r="E1353" s="209"/>
      <c r="F1353" s="209"/>
      <c r="G1353" s="209"/>
      <c r="H1353" s="209"/>
      <c r="I1353" s="209"/>
      <c r="J1353" s="209"/>
      <c r="K1353" s="209"/>
      <c r="L1353" s="209"/>
      <c r="M1353" s="209"/>
      <c r="N1353" s="209"/>
      <c r="O1353" s="209"/>
      <c r="P1353" s="209"/>
      <c r="Q1353" s="209"/>
      <c r="R1353" s="209"/>
      <c r="S1353" s="209"/>
      <c r="T1353" s="209"/>
      <c r="U1353" s="209"/>
      <c r="V1353" s="209"/>
      <c r="W1353" s="209"/>
      <c r="X1353" s="209"/>
      <c r="Y1353" s="209"/>
      <c r="Z1353" s="209"/>
      <c r="AA1353" s="209"/>
      <c r="AB1353" s="209"/>
      <c r="AC1353" s="209"/>
      <c r="AD1353" s="209"/>
      <c r="AE1353" s="209"/>
      <c r="AF1353" s="209"/>
      <c r="AG1353" s="209"/>
      <c r="AH1353" s="209"/>
      <c r="AI1353" s="209"/>
      <c r="AJ1353" s="209"/>
    </row>
    <row r="1354">
      <c r="A1354" s="209"/>
      <c r="B1354" s="209"/>
      <c r="C1354" s="209"/>
      <c r="D1354" s="209"/>
      <c r="E1354" s="209"/>
      <c r="F1354" s="209"/>
      <c r="G1354" s="209"/>
      <c r="H1354" s="209"/>
      <c r="I1354" s="209"/>
      <c r="J1354" s="209"/>
      <c r="K1354" s="209"/>
      <c r="L1354" s="209"/>
      <c r="M1354" s="209"/>
      <c r="N1354" s="209"/>
      <c r="O1354" s="209"/>
      <c r="P1354" s="209"/>
      <c r="Q1354" s="209"/>
      <c r="R1354" s="209"/>
      <c r="S1354" s="209"/>
      <c r="T1354" s="209"/>
      <c r="U1354" s="209"/>
      <c r="V1354" s="209"/>
      <c r="W1354" s="209"/>
      <c r="X1354" s="209"/>
      <c r="Y1354" s="209"/>
      <c r="Z1354" s="209"/>
      <c r="AA1354" s="209"/>
      <c r="AB1354" s="209"/>
      <c r="AC1354" s="209"/>
      <c r="AD1354" s="209"/>
      <c r="AE1354" s="209"/>
      <c r="AF1354" s="209"/>
      <c r="AG1354" s="209"/>
      <c r="AH1354" s="209"/>
      <c r="AI1354" s="209"/>
      <c r="AJ1354" s="209"/>
    </row>
    <row r="1355">
      <c r="A1355" s="209"/>
      <c r="B1355" s="209"/>
      <c r="C1355" s="209"/>
      <c r="D1355" s="209"/>
      <c r="E1355" s="209"/>
      <c r="F1355" s="209"/>
      <c r="G1355" s="209"/>
      <c r="H1355" s="209"/>
      <c r="I1355" s="209"/>
      <c r="J1355" s="209"/>
      <c r="K1355" s="209"/>
      <c r="L1355" s="209"/>
      <c r="M1355" s="209"/>
      <c r="N1355" s="209"/>
      <c r="O1355" s="209"/>
      <c r="P1355" s="209"/>
      <c r="Q1355" s="209"/>
      <c r="R1355" s="209"/>
      <c r="S1355" s="209"/>
      <c r="T1355" s="209"/>
      <c r="U1355" s="209"/>
      <c r="V1355" s="209"/>
      <c r="W1355" s="209"/>
      <c r="X1355" s="209"/>
      <c r="Y1355" s="209"/>
      <c r="Z1355" s="209"/>
      <c r="AA1355" s="209"/>
      <c r="AB1355" s="209"/>
      <c r="AC1355" s="209"/>
      <c r="AD1355" s="209"/>
      <c r="AE1355" s="209"/>
      <c r="AF1355" s="209"/>
      <c r="AG1355" s="209"/>
      <c r="AH1355" s="209"/>
      <c r="AI1355" s="209"/>
      <c r="AJ1355" s="209"/>
    </row>
    <row r="1356">
      <c r="A1356" s="209"/>
      <c r="B1356" s="209"/>
      <c r="C1356" s="209"/>
      <c r="D1356" s="209"/>
      <c r="E1356" s="209"/>
      <c r="F1356" s="209"/>
      <c r="G1356" s="209"/>
      <c r="H1356" s="209"/>
      <c r="I1356" s="209"/>
      <c r="J1356" s="209"/>
      <c r="K1356" s="209"/>
      <c r="L1356" s="209"/>
      <c r="M1356" s="209"/>
      <c r="N1356" s="209"/>
      <c r="O1356" s="209"/>
      <c r="P1356" s="209"/>
      <c r="Q1356" s="209"/>
      <c r="R1356" s="209"/>
      <c r="S1356" s="209"/>
      <c r="T1356" s="209"/>
      <c r="U1356" s="209"/>
      <c r="V1356" s="209"/>
      <c r="W1356" s="209"/>
      <c r="X1356" s="209"/>
      <c r="Y1356" s="209"/>
      <c r="Z1356" s="209"/>
      <c r="AA1356" s="209"/>
      <c r="AB1356" s="209"/>
      <c r="AC1356" s="209"/>
      <c r="AD1356" s="209"/>
      <c r="AE1356" s="209"/>
      <c r="AF1356" s="209"/>
      <c r="AG1356" s="209"/>
      <c r="AH1356" s="209"/>
      <c r="AI1356" s="209"/>
      <c r="AJ1356" s="209"/>
    </row>
    <row r="1357">
      <c r="A1357" s="209"/>
      <c r="B1357" s="209"/>
      <c r="C1357" s="209"/>
      <c r="D1357" s="209"/>
      <c r="E1357" s="209"/>
      <c r="F1357" s="209"/>
      <c r="G1357" s="209"/>
      <c r="H1357" s="209"/>
      <c r="I1357" s="209"/>
      <c r="J1357" s="209"/>
      <c r="K1357" s="209"/>
      <c r="L1357" s="209"/>
      <c r="M1357" s="209"/>
      <c r="N1357" s="209"/>
      <c r="O1357" s="209"/>
      <c r="P1357" s="209"/>
      <c r="Q1357" s="209"/>
      <c r="R1357" s="209"/>
      <c r="S1357" s="209"/>
      <c r="T1357" s="209"/>
      <c r="U1357" s="209"/>
      <c r="V1357" s="209"/>
      <c r="W1357" s="209"/>
      <c r="X1357" s="209"/>
      <c r="Y1357" s="209"/>
      <c r="Z1357" s="209"/>
      <c r="AA1357" s="209"/>
      <c r="AB1357" s="209"/>
      <c r="AC1357" s="209"/>
      <c r="AD1357" s="209"/>
      <c r="AE1357" s="209"/>
      <c r="AF1357" s="209"/>
      <c r="AG1357" s="209"/>
      <c r="AH1357" s="209"/>
      <c r="AI1357" s="209"/>
      <c r="AJ1357" s="209"/>
    </row>
    <row r="1358">
      <c r="A1358" s="209"/>
      <c r="B1358" s="209"/>
      <c r="C1358" s="209"/>
      <c r="D1358" s="209"/>
      <c r="E1358" s="209"/>
      <c r="F1358" s="209"/>
      <c r="G1358" s="209"/>
      <c r="H1358" s="209"/>
      <c r="I1358" s="209"/>
      <c r="J1358" s="209"/>
      <c r="K1358" s="209"/>
      <c r="L1358" s="209"/>
      <c r="M1358" s="209"/>
      <c r="N1358" s="209"/>
      <c r="O1358" s="209"/>
      <c r="P1358" s="209"/>
      <c r="Q1358" s="209"/>
      <c r="R1358" s="209"/>
      <c r="S1358" s="209"/>
      <c r="T1358" s="209"/>
      <c r="U1358" s="209"/>
      <c r="V1358" s="209"/>
      <c r="W1358" s="209"/>
      <c r="X1358" s="209"/>
      <c r="Y1358" s="209"/>
      <c r="Z1358" s="209"/>
      <c r="AA1358" s="209"/>
      <c r="AB1358" s="209"/>
      <c r="AC1358" s="209"/>
      <c r="AD1358" s="209"/>
      <c r="AE1358" s="209"/>
      <c r="AF1358" s="209"/>
      <c r="AG1358" s="209"/>
      <c r="AH1358" s="209"/>
      <c r="AI1358" s="209"/>
      <c r="AJ1358" s="209"/>
    </row>
    <row r="1359">
      <c r="A1359" s="209"/>
      <c r="B1359" s="209"/>
      <c r="C1359" s="209"/>
      <c r="D1359" s="209"/>
      <c r="E1359" s="209"/>
      <c r="F1359" s="209"/>
      <c r="G1359" s="209"/>
      <c r="H1359" s="209"/>
      <c r="I1359" s="209"/>
      <c r="J1359" s="209"/>
      <c r="K1359" s="209"/>
      <c r="L1359" s="209"/>
      <c r="M1359" s="209"/>
      <c r="N1359" s="209"/>
      <c r="O1359" s="209"/>
      <c r="P1359" s="209"/>
      <c r="Q1359" s="209"/>
      <c r="R1359" s="209"/>
      <c r="S1359" s="209"/>
      <c r="T1359" s="209"/>
      <c r="U1359" s="209"/>
      <c r="V1359" s="209"/>
      <c r="W1359" s="209"/>
      <c r="X1359" s="209"/>
      <c r="Y1359" s="209"/>
      <c r="Z1359" s="209"/>
      <c r="AA1359" s="209"/>
      <c r="AB1359" s="209"/>
      <c r="AC1359" s="209"/>
      <c r="AD1359" s="209"/>
      <c r="AE1359" s="209"/>
      <c r="AF1359" s="209"/>
      <c r="AG1359" s="209"/>
      <c r="AH1359" s="209"/>
      <c r="AI1359" s="209"/>
      <c r="AJ1359" s="209"/>
    </row>
    <row r="1360">
      <c r="A1360" s="209"/>
      <c r="B1360" s="209"/>
      <c r="C1360" s="209"/>
      <c r="D1360" s="209"/>
      <c r="E1360" s="209"/>
      <c r="F1360" s="209"/>
      <c r="G1360" s="209"/>
      <c r="H1360" s="209"/>
      <c r="I1360" s="209"/>
      <c r="J1360" s="209"/>
      <c r="K1360" s="209"/>
      <c r="L1360" s="209"/>
      <c r="M1360" s="209"/>
      <c r="N1360" s="209"/>
      <c r="O1360" s="209"/>
      <c r="P1360" s="209"/>
      <c r="Q1360" s="209"/>
      <c r="R1360" s="209"/>
      <c r="S1360" s="209"/>
      <c r="T1360" s="209"/>
      <c r="U1360" s="209"/>
      <c r="V1360" s="209"/>
      <c r="W1360" s="209"/>
      <c r="X1360" s="209"/>
      <c r="Y1360" s="209"/>
      <c r="Z1360" s="209"/>
      <c r="AA1360" s="209"/>
      <c r="AB1360" s="209"/>
      <c r="AC1360" s="209"/>
      <c r="AD1360" s="209"/>
      <c r="AE1360" s="209"/>
      <c r="AF1360" s="209"/>
      <c r="AG1360" s="209"/>
      <c r="AH1360" s="209"/>
      <c r="AI1360" s="209"/>
      <c r="AJ1360" s="209"/>
    </row>
    <row r="1361">
      <c r="A1361" s="209"/>
      <c r="B1361" s="209"/>
      <c r="C1361" s="209"/>
      <c r="D1361" s="209"/>
      <c r="E1361" s="209"/>
      <c r="F1361" s="209"/>
      <c r="G1361" s="209"/>
      <c r="H1361" s="209"/>
      <c r="I1361" s="209"/>
      <c r="J1361" s="209"/>
      <c r="K1361" s="209"/>
      <c r="L1361" s="209"/>
      <c r="M1361" s="209"/>
      <c r="N1361" s="209"/>
      <c r="O1361" s="209"/>
      <c r="P1361" s="209"/>
      <c r="Q1361" s="209"/>
      <c r="R1361" s="209"/>
      <c r="S1361" s="209"/>
      <c r="T1361" s="209"/>
      <c r="U1361" s="209"/>
      <c r="V1361" s="209"/>
      <c r="W1361" s="209"/>
      <c r="X1361" s="209"/>
      <c r="Y1361" s="209"/>
      <c r="Z1361" s="209"/>
      <c r="AA1361" s="209"/>
      <c r="AB1361" s="209"/>
      <c r="AC1361" s="209"/>
      <c r="AD1361" s="209"/>
      <c r="AE1361" s="209"/>
      <c r="AF1361" s="209"/>
      <c r="AG1361" s="209"/>
      <c r="AH1361" s="209"/>
      <c r="AI1361" s="209"/>
      <c r="AJ1361" s="209"/>
    </row>
    <row r="1362">
      <c r="A1362" s="209"/>
      <c r="B1362" s="209"/>
      <c r="C1362" s="209"/>
      <c r="D1362" s="209"/>
      <c r="E1362" s="209"/>
      <c r="F1362" s="209"/>
      <c r="G1362" s="209"/>
      <c r="H1362" s="209"/>
      <c r="I1362" s="209"/>
      <c r="J1362" s="209"/>
      <c r="K1362" s="209"/>
      <c r="L1362" s="209"/>
      <c r="M1362" s="209"/>
      <c r="N1362" s="209"/>
      <c r="O1362" s="209"/>
      <c r="P1362" s="209"/>
      <c r="Q1362" s="209"/>
      <c r="R1362" s="209"/>
      <c r="S1362" s="209"/>
      <c r="T1362" s="209"/>
      <c r="U1362" s="209"/>
      <c r="V1362" s="209"/>
      <c r="W1362" s="209"/>
      <c r="X1362" s="209"/>
      <c r="Y1362" s="209"/>
      <c r="Z1362" s="209"/>
      <c r="AA1362" s="209"/>
      <c r="AB1362" s="209"/>
      <c r="AC1362" s="209"/>
      <c r="AD1362" s="209"/>
      <c r="AE1362" s="209"/>
      <c r="AF1362" s="209"/>
      <c r="AG1362" s="209"/>
      <c r="AH1362" s="209"/>
      <c r="AI1362" s="209"/>
      <c r="AJ1362" s="209"/>
    </row>
    <row r="1363">
      <c r="A1363" s="209"/>
      <c r="B1363" s="209"/>
      <c r="C1363" s="209"/>
      <c r="D1363" s="209"/>
      <c r="E1363" s="209"/>
      <c r="F1363" s="209"/>
      <c r="G1363" s="209"/>
      <c r="H1363" s="209"/>
      <c r="I1363" s="209"/>
      <c r="J1363" s="209"/>
      <c r="K1363" s="209"/>
      <c r="L1363" s="209"/>
      <c r="M1363" s="209"/>
      <c r="N1363" s="209"/>
      <c r="O1363" s="209"/>
      <c r="P1363" s="209"/>
      <c r="Q1363" s="209"/>
      <c r="R1363" s="209"/>
      <c r="S1363" s="209"/>
      <c r="T1363" s="209"/>
      <c r="U1363" s="209"/>
      <c r="V1363" s="209"/>
      <c r="W1363" s="209"/>
      <c r="X1363" s="209"/>
      <c r="Y1363" s="209"/>
      <c r="Z1363" s="209"/>
      <c r="AA1363" s="209"/>
      <c r="AB1363" s="209"/>
      <c r="AC1363" s="209"/>
      <c r="AD1363" s="209"/>
      <c r="AE1363" s="209"/>
      <c r="AF1363" s="209"/>
      <c r="AG1363" s="209"/>
      <c r="AH1363" s="209"/>
      <c r="AI1363" s="209"/>
      <c r="AJ1363" s="209"/>
    </row>
    <row r="1364">
      <c r="A1364" s="209"/>
      <c r="B1364" s="209"/>
      <c r="C1364" s="209"/>
      <c r="D1364" s="209"/>
      <c r="E1364" s="209"/>
      <c r="F1364" s="209"/>
      <c r="G1364" s="209"/>
      <c r="H1364" s="209"/>
      <c r="I1364" s="209"/>
      <c r="J1364" s="209"/>
      <c r="K1364" s="209"/>
      <c r="L1364" s="209"/>
      <c r="M1364" s="209"/>
      <c r="N1364" s="209"/>
      <c r="O1364" s="209"/>
      <c r="P1364" s="209"/>
      <c r="Q1364" s="209"/>
      <c r="R1364" s="209"/>
      <c r="S1364" s="209"/>
      <c r="T1364" s="209"/>
      <c r="U1364" s="209"/>
      <c r="V1364" s="209"/>
      <c r="W1364" s="209"/>
      <c r="X1364" s="209"/>
      <c r="Y1364" s="209"/>
      <c r="Z1364" s="209"/>
      <c r="AA1364" s="209"/>
      <c r="AB1364" s="209"/>
      <c r="AC1364" s="209"/>
      <c r="AD1364" s="209"/>
      <c r="AE1364" s="209"/>
      <c r="AF1364" s="209"/>
      <c r="AG1364" s="209"/>
      <c r="AH1364" s="209"/>
      <c r="AI1364" s="209"/>
      <c r="AJ1364" s="209"/>
    </row>
    <row r="1365">
      <c r="A1365" s="209"/>
      <c r="B1365" s="209"/>
      <c r="C1365" s="209"/>
      <c r="D1365" s="209"/>
      <c r="E1365" s="209"/>
      <c r="F1365" s="209"/>
      <c r="G1365" s="209"/>
      <c r="H1365" s="209"/>
      <c r="I1365" s="209"/>
      <c r="J1365" s="209"/>
      <c r="K1365" s="209"/>
      <c r="L1365" s="209"/>
      <c r="M1365" s="209"/>
      <c r="N1365" s="209"/>
      <c r="O1365" s="209"/>
      <c r="P1365" s="209"/>
      <c r="Q1365" s="209"/>
      <c r="R1365" s="209"/>
      <c r="S1365" s="209"/>
      <c r="T1365" s="209"/>
      <c r="U1365" s="209"/>
      <c r="V1365" s="209"/>
      <c r="W1365" s="209"/>
      <c r="X1365" s="209"/>
      <c r="Y1365" s="209"/>
      <c r="Z1365" s="209"/>
      <c r="AA1365" s="209"/>
      <c r="AB1365" s="209"/>
      <c r="AC1365" s="209"/>
      <c r="AD1365" s="209"/>
      <c r="AE1365" s="209"/>
      <c r="AF1365" s="209"/>
      <c r="AG1365" s="209"/>
      <c r="AH1365" s="209"/>
      <c r="AI1365" s="209"/>
      <c r="AJ1365" s="209"/>
    </row>
    <row r="1366">
      <c r="A1366" s="209"/>
      <c r="B1366" s="209"/>
      <c r="C1366" s="209"/>
      <c r="D1366" s="209"/>
      <c r="E1366" s="209"/>
      <c r="F1366" s="209"/>
      <c r="G1366" s="209"/>
      <c r="H1366" s="209"/>
      <c r="I1366" s="209"/>
      <c r="J1366" s="209"/>
      <c r="K1366" s="209"/>
      <c r="L1366" s="209"/>
      <c r="M1366" s="209"/>
      <c r="N1366" s="209"/>
      <c r="O1366" s="209"/>
      <c r="P1366" s="209"/>
      <c r="Q1366" s="209"/>
      <c r="R1366" s="209"/>
      <c r="S1366" s="209"/>
      <c r="T1366" s="209"/>
      <c r="U1366" s="209"/>
      <c r="V1366" s="209"/>
      <c r="W1366" s="209"/>
      <c r="X1366" s="209"/>
      <c r="Y1366" s="209"/>
      <c r="Z1366" s="209"/>
      <c r="AA1366" s="209"/>
      <c r="AB1366" s="209"/>
      <c r="AC1366" s="209"/>
      <c r="AD1366" s="209"/>
      <c r="AE1366" s="209"/>
      <c r="AF1366" s="209"/>
      <c r="AG1366" s="209"/>
      <c r="AH1366" s="209"/>
      <c r="AI1366" s="209"/>
      <c r="AJ1366" s="209"/>
    </row>
    <row r="1367">
      <c r="A1367" s="209"/>
      <c r="B1367" s="209"/>
      <c r="C1367" s="209"/>
      <c r="D1367" s="209"/>
      <c r="E1367" s="209"/>
      <c r="F1367" s="209"/>
      <c r="G1367" s="209"/>
      <c r="H1367" s="209"/>
      <c r="I1367" s="209"/>
      <c r="J1367" s="209"/>
      <c r="K1367" s="209"/>
      <c r="L1367" s="209"/>
      <c r="M1367" s="209"/>
      <c r="N1367" s="209"/>
      <c r="O1367" s="209"/>
      <c r="P1367" s="209"/>
      <c r="Q1367" s="209"/>
      <c r="R1367" s="209"/>
      <c r="S1367" s="209"/>
      <c r="T1367" s="209"/>
      <c r="U1367" s="209"/>
      <c r="V1367" s="209"/>
      <c r="W1367" s="209"/>
      <c r="X1367" s="209"/>
      <c r="Y1367" s="209"/>
      <c r="Z1367" s="209"/>
      <c r="AA1367" s="209"/>
      <c r="AB1367" s="209"/>
      <c r="AC1367" s="209"/>
      <c r="AD1367" s="209"/>
      <c r="AE1367" s="209"/>
      <c r="AF1367" s="209"/>
      <c r="AG1367" s="209"/>
      <c r="AH1367" s="209"/>
      <c r="AI1367" s="209"/>
      <c r="AJ1367" s="209"/>
    </row>
    <row r="1368">
      <c r="A1368" s="209"/>
      <c r="B1368" s="209"/>
      <c r="C1368" s="209"/>
      <c r="D1368" s="209"/>
      <c r="E1368" s="209"/>
      <c r="F1368" s="209"/>
      <c r="G1368" s="209"/>
      <c r="H1368" s="209"/>
      <c r="I1368" s="209"/>
      <c r="J1368" s="209"/>
      <c r="K1368" s="209"/>
      <c r="L1368" s="209"/>
      <c r="M1368" s="209"/>
      <c r="N1368" s="209"/>
      <c r="O1368" s="209"/>
      <c r="P1368" s="209"/>
      <c r="Q1368" s="209"/>
      <c r="R1368" s="209"/>
      <c r="S1368" s="209"/>
      <c r="T1368" s="209"/>
      <c r="U1368" s="209"/>
      <c r="V1368" s="209"/>
      <c r="W1368" s="209"/>
      <c r="X1368" s="209"/>
      <c r="Y1368" s="209"/>
      <c r="Z1368" s="209"/>
      <c r="AA1368" s="209"/>
      <c r="AB1368" s="209"/>
      <c r="AC1368" s="209"/>
      <c r="AD1368" s="209"/>
      <c r="AE1368" s="209"/>
      <c r="AF1368" s="209"/>
      <c r="AG1368" s="209"/>
      <c r="AH1368" s="209"/>
      <c r="AI1368" s="209"/>
      <c r="AJ1368" s="209"/>
    </row>
    <row r="1369">
      <c r="A1369" s="209"/>
      <c r="B1369" s="209"/>
      <c r="C1369" s="209"/>
      <c r="D1369" s="209"/>
      <c r="E1369" s="209"/>
      <c r="F1369" s="209"/>
      <c r="G1369" s="209"/>
      <c r="H1369" s="209"/>
      <c r="I1369" s="209"/>
      <c r="J1369" s="209"/>
      <c r="K1369" s="209"/>
      <c r="L1369" s="209"/>
      <c r="M1369" s="209"/>
      <c r="N1369" s="209"/>
      <c r="O1369" s="209"/>
      <c r="P1369" s="209"/>
      <c r="Q1369" s="209"/>
      <c r="R1369" s="209"/>
      <c r="S1369" s="209"/>
      <c r="T1369" s="209"/>
      <c r="U1369" s="209"/>
      <c r="V1369" s="209"/>
      <c r="W1369" s="209"/>
      <c r="X1369" s="209"/>
      <c r="Y1369" s="209"/>
      <c r="Z1369" s="209"/>
      <c r="AA1369" s="209"/>
      <c r="AB1369" s="209"/>
      <c r="AC1369" s="209"/>
      <c r="AD1369" s="209"/>
      <c r="AE1369" s="209"/>
      <c r="AF1369" s="209"/>
      <c r="AG1369" s="209"/>
      <c r="AH1369" s="209"/>
      <c r="AI1369" s="209"/>
      <c r="AJ1369" s="209"/>
    </row>
    <row r="1370">
      <c r="A1370" s="209"/>
      <c r="B1370" s="209"/>
      <c r="C1370" s="209"/>
      <c r="D1370" s="209"/>
      <c r="E1370" s="209"/>
      <c r="F1370" s="209"/>
      <c r="G1370" s="209"/>
      <c r="H1370" s="209"/>
      <c r="I1370" s="209"/>
      <c r="J1370" s="209"/>
      <c r="K1370" s="209"/>
      <c r="L1370" s="209"/>
      <c r="M1370" s="209"/>
      <c r="N1370" s="209"/>
      <c r="O1370" s="209"/>
      <c r="P1370" s="209"/>
      <c r="Q1370" s="209"/>
      <c r="R1370" s="209"/>
      <c r="S1370" s="209"/>
      <c r="T1370" s="209"/>
      <c r="U1370" s="209"/>
      <c r="V1370" s="209"/>
      <c r="W1370" s="209"/>
      <c r="X1370" s="209"/>
      <c r="Y1370" s="209"/>
      <c r="Z1370" s="209"/>
      <c r="AA1370" s="209"/>
      <c r="AB1370" s="209"/>
      <c r="AC1370" s="209"/>
      <c r="AD1370" s="209"/>
      <c r="AE1370" s="209"/>
      <c r="AF1370" s="209"/>
      <c r="AG1370" s="209"/>
      <c r="AH1370" s="209"/>
      <c r="AI1370" s="209"/>
      <c r="AJ1370" s="209"/>
    </row>
    <row r="1371">
      <c r="A1371" s="209"/>
      <c r="B1371" s="209"/>
      <c r="C1371" s="209"/>
      <c r="D1371" s="209"/>
      <c r="E1371" s="209"/>
      <c r="F1371" s="209"/>
      <c r="G1371" s="209"/>
      <c r="H1371" s="209"/>
      <c r="I1371" s="209"/>
      <c r="J1371" s="209"/>
      <c r="K1371" s="209"/>
      <c r="L1371" s="209"/>
      <c r="M1371" s="209"/>
      <c r="N1371" s="209"/>
      <c r="O1371" s="209"/>
      <c r="P1371" s="209"/>
      <c r="Q1371" s="209"/>
      <c r="R1371" s="209"/>
      <c r="S1371" s="209"/>
      <c r="T1371" s="209"/>
      <c r="U1371" s="209"/>
      <c r="V1371" s="209"/>
      <c r="W1371" s="209"/>
      <c r="X1371" s="209"/>
      <c r="Y1371" s="209"/>
      <c r="Z1371" s="209"/>
      <c r="AA1371" s="209"/>
      <c r="AB1371" s="209"/>
      <c r="AC1371" s="209"/>
      <c r="AD1371" s="209"/>
      <c r="AE1371" s="209"/>
      <c r="AF1371" s="209"/>
      <c r="AG1371" s="209"/>
      <c r="AH1371" s="209"/>
      <c r="AI1371" s="209"/>
      <c r="AJ1371" s="209"/>
    </row>
    <row r="1372">
      <c r="A1372" s="209"/>
      <c r="B1372" s="209"/>
      <c r="C1372" s="209"/>
      <c r="D1372" s="209"/>
      <c r="E1372" s="209"/>
      <c r="F1372" s="209"/>
      <c r="G1372" s="209"/>
      <c r="H1372" s="209"/>
      <c r="I1372" s="209"/>
      <c r="J1372" s="209"/>
      <c r="K1372" s="209"/>
      <c r="L1372" s="209"/>
      <c r="M1372" s="209"/>
      <c r="N1372" s="209"/>
      <c r="O1372" s="209"/>
      <c r="P1372" s="209"/>
      <c r="Q1372" s="209"/>
      <c r="R1372" s="209"/>
      <c r="S1372" s="209"/>
      <c r="T1372" s="209"/>
      <c r="U1372" s="209"/>
      <c r="V1372" s="209"/>
      <c r="W1372" s="209"/>
      <c r="X1372" s="209"/>
      <c r="Y1372" s="209"/>
      <c r="Z1372" s="209"/>
      <c r="AA1372" s="209"/>
      <c r="AB1372" s="209"/>
      <c r="AC1372" s="209"/>
      <c r="AD1372" s="209"/>
      <c r="AE1372" s="209"/>
      <c r="AF1372" s="209"/>
      <c r="AG1372" s="209"/>
      <c r="AH1372" s="209"/>
      <c r="AI1372" s="209"/>
      <c r="AJ1372" s="209"/>
    </row>
    <row r="1373">
      <c r="A1373" s="209"/>
      <c r="B1373" s="209"/>
      <c r="C1373" s="209"/>
      <c r="D1373" s="209"/>
      <c r="E1373" s="209"/>
      <c r="F1373" s="209"/>
      <c r="G1373" s="209"/>
      <c r="H1373" s="209"/>
      <c r="I1373" s="209"/>
      <c r="J1373" s="209"/>
      <c r="K1373" s="209"/>
      <c r="L1373" s="209"/>
      <c r="M1373" s="209"/>
      <c r="N1373" s="209"/>
      <c r="O1373" s="209"/>
      <c r="P1373" s="209"/>
      <c r="Q1373" s="209"/>
      <c r="R1373" s="209"/>
      <c r="S1373" s="209"/>
      <c r="T1373" s="209"/>
      <c r="U1373" s="209"/>
      <c r="V1373" s="209"/>
      <c r="W1373" s="209"/>
      <c r="X1373" s="209"/>
      <c r="Y1373" s="209"/>
      <c r="Z1373" s="209"/>
      <c r="AA1373" s="209"/>
      <c r="AB1373" s="209"/>
      <c r="AC1373" s="209"/>
      <c r="AD1373" s="209"/>
      <c r="AE1373" s="209"/>
      <c r="AF1373" s="209"/>
      <c r="AG1373" s="209"/>
      <c r="AH1373" s="209"/>
      <c r="AI1373" s="209"/>
      <c r="AJ1373" s="209"/>
    </row>
    <row r="1374">
      <c r="A1374" s="209"/>
      <c r="B1374" s="209"/>
      <c r="C1374" s="209"/>
      <c r="D1374" s="209"/>
      <c r="E1374" s="209"/>
      <c r="F1374" s="209"/>
      <c r="G1374" s="209"/>
      <c r="H1374" s="209"/>
      <c r="I1374" s="209"/>
      <c r="J1374" s="209"/>
      <c r="K1374" s="209"/>
      <c r="L1374" s="209"/>
      <c r="M1374" s="209"/>
      <c r="N1374" s="209"/>
      <c r="O1374" s="209"/>
      <c r="P1374" s="209"/>
      <c r="Q1374" s="209"/>
      <c r="R1374" s="209"/>
      <c r="S1374" s="209"/>
      <c r="T1374" s="209"/>
      <c r="U1374" s="209"/>
      <c r="V1374" s="209"/>
      <c r="W1374" s="209"/>
      <c r="X1374" s="209"/>
      <c r="Y1374" s="209"/>
      <c r="Z1374" s="209"/>
      <c r="AA1374" s="209"/>
      <c r="AB1374" s="209"/>
      <c r="AC1374" s="209"/>
      <c r="AD1374" s="209"/>
      <c r="AE1374" s="209"/>
      <c r="AF1374" s="209"/>
      <c r="AG1374" s="209"/>
      <c r="AH1374" s="209"/>
      <c r="AI1374" s="209"/>
      <c r="AJ1374" s="209"/>
    </row>
    <row r="1375">
      <c r="A1375" s="209"/>
      <c r="B1375" s="209"/>
      <c r="C1375" s="209"/>
      <c r="D1375" s="209"/>
      <c r="E1375" s="209"/>
      <c r="F1375" s="209"/>
      <c r="G1375" s="209"/>
      <c r="H1375" s="209"/>
      <c r="I1375" s="209"/>
      <c r="J1375" s="209"/>
      <c r="K1375" s="209"/>
      <c r="L1375" s="209"/>
      <c r="M1375" s="209"/>
      <c r="N1375" s="209"/>
      <c r="O1375" s="209"/>
      <c r="P1375" s="209"/>
      <c r="Q1375" s="209"/>
      <c r="R1375" s="209"/>
      <c r="S1375" s="209"/>
      <c r="T1375" s="209"/>
      <c r="U1375" s="209"/>
      <c r="V1375" s="209"/>
      <c r="W1375" s="209"/>
      <c r="X1375" s="209"/>
      <c r="Y1375" s="209"/>
      <c r="Z1375" s="209"/>
      <c r="AA1375" s="209"/>
      <c r="AB1375" s="209"/>
      <c r="AC1375" s="209"/>
      <c r="AD1375" s="209"/>
      <c r="AE1375" s="209"/>
      <c r="AF1375" s="209"/>
      <c r="AG1375" s="209"/>
      <c r="AH1375" s="209"/>
      <c r="AI1375" s="209"/>
      <c r="AJ1375" s="209"/>
    </row>
    <row r="1376">
      <c r="A1376" s="209"/>
      <c r="B1376" s="209"/>
      <c r="C1376" s="209"/>
      <c r="D1376" s="209"/>
      <c r="E1376" s="209"/>
      <c r="F1376" s="209"/>
      <c r="G1376" s="209"/>
      <c r="H1376" s="209"/>
      <c r="I1376" s="209"/>
      <c r="J1376" s="209"/>
      <c r="K1376" s="209"/>
      <c r="L1376" s="209"/>
      <c r="M1376" s="209"/>
      <c r="N1376" s="209"/>
      <c r="O1376" s="209"/>
      <c r="P1376" s="209"/>
      <c r="Q1376" s="209"/>
      <c r="R1376" s="209"/>
      <c r="S1376" s="209"/>
      <c r="T1376" s="209"/>
      <c r="U1376" s="209"/>
      <c r="V1376" s="209"/>
      <c r="W1376" s="209"/>
      <c r="X1376" s="209"/>
      <c r="Y1376" s="209"/>
      <c r="Z1376" s="209"/>
      <c r="AA1376" s="209"/>
      <c r="AB1376" s="209"/>
      <c r="AC1376" s="209"/>
      <c r="AD1376" s="209"/>
      <c r="AE1376" s="209"/>
      <c r="AF1376" s="209"/>
      <c r="AG1376" s="209"/>
      <c r="AH1376" s="209"/>
      <c r="AI1376" s="209"/>
      <c r="AJ1376" s="209"/>
    </row>
    <row r="1377">
      <c r="A1377" s="209"/>
      <c r="B1377" s="209"/>
      <c r="C1377" s="209"/>
      <c r="D1377" s="209"/>
      <c r="E1377" s="209"/>
      <c r="F1377" s="209"/>
      <c r="G1377" s="209"/>
      <c r="H1377" s="209"/>
      <c r="I1377" s="209"/>
      <c r="J1377" s="209"/>
      <c r="K1377" s="209"/>
      <c r="L1377" s="209"/>
      <c r="M1377" s="209"/>
      <c r="N1377" s="209"/>
      <c r="O1377" s="209"/>
      <c r="P1377" s="209"/>
      <c r="Q1377" s="209"/>
      <c r="R1377" s="209"/>
      <c r="S1377" s="209"/>
      <c r="T1377" s="209"/>
      <c r="U1377" s="209"/>
      <c r="V1377" s="209"/>
      <c r="W1377" s="209"/>
      <c r="X1377" s="209"/>
      <c r="Y1377" s="209"/>
      <c r="Z1377" s="209"/>
      <c r="AA1377" s="209"/>
      <c r="AB1377" s="209"/>
      <c r="AC1377" s="209"/>
      <c r="AD1377" s="209"/>
      <c r="AE1377" s="209"/>
      <c r="AF1377" s="209"/>
      <c r="AG1377" s="209"/>
      <c r="AH1377" s="209"/>
      <c r="AI1377" s="209"/>
      <c r="AJ1377" s="209"/>
    </row>
    <row r="1378">
      <c r="A1378" s="209"/>
      <c r="B1378" s="209"/>
      <c r="C1378" s="209"/>
      <c r="D1378" s="209"/>
      <c r="E1378" s="209"/>
      <c r="F1378" s="209"/>
      <c r="G1378" s="209"/>
      <c r="H1378" s="209"/>
      <c r="I1378" s="209"/>
      <c r="J1378" s="209"/>
      <c r="K1378" s="209"/>
      <c r="L1378" s="209"/>
      <c r="M1378" s="209"/>
      <c r="N1378" s="209"/>
      <c r="O1378" s="209"/>
      <c r="P1378" s="209"/>
      <c r="Q1378" s="209"/>
      <c r="R1378" s="209"/>
      <c r="S1378" s="209"/>
      <c r="T1378" s="209"/>
      <c r="U1378" s="209"/>
      <c r="V1378" s="209"/>
      <c r="W1378" s="209"/>
      <c r="X1378" s="209"/>
      <c r="Y1378" s="209"/>
      <c r="Z1378" s="209"/>
      <c r="AA1378" s="209"/>
      <c r="AB1378" s="209"/>
      <c r="AC1378" s="209"/>
      <c r="AD1378" s="209"/>
      <c r="AE1378" s="209"/>
      <c r="AF1378" s="209"/>
      <c r="AG1378" s="209"/>
      <c r="AH1378" s="209"/>
      <c r="AI1378" s="209"/>
      <c r="AJ1378" s="209"/>
    </row>
    <row r="1379">
      <c r="A1379" s="209"/>
      <c r="B1379" s="209"/>
      <c r="C1379" s="209"/>
      <c r="D1379" s="209"/>
      <c r="E1379" s="209"/>
      <c r="F1379" s="209"/>
      <c r="G1379" s="209"/>
      <c r="H1379" s="209"/>
      <c r="I1379" s="209"/>
      <c r="J1379" s="209"/>
      <c r="K1379" s="209"/>
      <c r="L1379" s="209"/>
      <c r="M1379" s="209"/>
      <c r="N1379" s="209"/>
      <c r="O1379" s="209"/>
      <c r="P1379" s="209"/>
      <c r="Q1379" s="209"/>
      <c r="R1379" s="209"/>
      <c r="S1379" s="209"/>
      <c r="T1379" s="209"/>
      <c r="U1379" s="209"/>
      <c r="V1379" s="209"/>
      <c r="W1379" s="209"/>
      <c r="X1379" s="209"/>
      <c r="Y1379" s="209"/>
      <c r="Z1379" s="209"/>
      <c r="AA1379" s="209"/>
      <c r="AB1379" s="209"/>
      <c r="AC1379" s="209"/>
      <c r="AD1379" s="209"/>
      <c r="AE1379" s="209"/>
      <c r="AF1379" s="209"/>
      <c r="AG1379" s="209"/>
      <c r="AH1379" s="209"/>
      <c r="AI1379" s="209"/>
      <c r="AJ1379" s="209"/>
    </row>
    <row r="1380">
      <c r="A1380" s="209"/>
      <c r="B1380" s="209"/>
      <c r="C1380" s="209"/>
      <c r="D1380" s="209"/>
      <c r="E1380" s="209"/>
      <c r="F1380" s="209"/>
      <c r="G1380" s="209"/>
      <c r="H1380" s="209"/>
      <c r="I1380" s="209"/>
      <c r="J1380" s="209"/>
      <c r="K1380" s="209"/>
      <c r="L1380" s="209"/>
      <c r="M1380" s="209"/>
      <c r="N1380" s="209"/>
      <c r="O1380" s="209"/>
      <c r="P1380" s="209"/>
      <c r="Q1380" s="209"/>
      <c r="R1380" s="209"/>
      <c r="S1380" s="209"/>
      <c r="T1380" s="209"/>
      <c r="U1380" s="209"/>
      <c r="V1380" s="209"/>
      <c r="W1380" s="209"/>
      <c r="X1380" s="209"/>
      <c r="Y1380" s="209"/>
      <c r="Z1380" s="209"/>
      <c r="AA1380" s="209"/>
      <c r="AB1380" s="209"/>
      <c r="AC1380" s="209"/>
      <c r="AD1380" s="209"/>
      <c r="AE1380" s="209"/>
      <c r="AF1380" s="209"/>
      <c r="AG1380" s="209"/>
      <c r="AH1380" s="209"/>
      <c r="AI1380" s="209"/>
      <c r="AJ1380" s="209"/>
    </row>
    <row r="1381">
      <c r="A1381" s="209"/>
      <c r="B1381" s="209"/>
      <c r="C1381" s="209"/>
      <c r="D1381" s="209"/>
      <c r="E1381" s="209"/>
      <c r="F1381" s="209"/>
      <c r="G1381" s="209"/>
      <c r="H1381" s="209"/>
      <c r="I1381" s="209"/>
      <c r="J1381" s="209"/>
      <c r="K1381" s="209"/>
      <c r="L1381" s="209"/>
      <c r="M1381" s="209"/>
      <c r="N1381" s="209"/>
      <c r="O1381" s="209"/>
      <c r="P1381" s="209"/>
      <c r="Q1381" s="209"/>
      <c r="R1381" s="209"/>
      <c r="S1381" s="209"/>
      <c r="T1381" s="209"/>
      <c r="U1381" s="209"/>
      <c r="V1381" s="209"/>
      <c r="W1381" s="209"/>
      <c r="X1381" s="209"/>
      <c r="Y1381" s="209"/>
      <c r="Z1381" s="209"/>
      <c r="AA1381" s="209"/>
      <c r="AB1381" s="209"/>
      <c r="AC1381" s="209"/>
      <c r="AD1381" s="209"/>
      <c r="AE1381" s="209"/>
      <c r="AF1381" s="209"/>
      <c r="AG1381" s="209"/>
      <c r="AH1381" s="209"/>
      <c r="AI1381" s="209"/>
      <c r="AJ1381" s="209"/>
    </row>
    <row r="1382">
      <c r="A1382" s="209"/>
      <c r="B1382" s="209"/>
      <c r="C1382" s="209"/>
      <c r="D1382" s="209"/>
      <c r="E1382" s="209"/>
      <c r="F1382" s="209"/>
      <c r="G1382" s="209"/>
      <c r="H1382" s="209"/>
      <c r="I1382" s="209"/>
      <c r="J1382" s="209"/>
      <c r="K1382" s="209"/>
      <c r="L1382" s="209"/>
      <c r="M1382" s="209"/>
      <c r="N1382" s="209"/>
      <c r="O1382" s="209"/>
      <c r="P1382" s="209"/>
      <c r="Q1382" s="209"/>
      <c r="R1382" s="209"/>
      <c r="S1382" s="209"/>
      <c r="T1382" s="209"/>
      <c r="U1382" s="209"/>
      <c r="V1382" s="209"/>
      <c r="W1382" s="209"/>
      <c r="X1382" s="209"/>
      <c r="Y1382" s="209"/>
      <c r="Z1382" s="209"/>
      <c r="AA1382" s="209"/>
      <c r="AB1382" s="209"/>
      <c r="AC1382" s="209"/>
      <c r="AD1382" s="209"/>
      <c r="AE1382" s="209"/>
      <c r="AF1382" s="209"/>
      <c r="AG1382" s="209"/>
      <c r="AH1382" s="209"/>
      <c r="AI1382" s="209"/>
      <c r="AJ1382" s="209"/>
    </row>
    <row r="1383">
      <c r="A1383" s="209"/>
      <c r="B1383" s="209"/>
      <c r="C1383" s="209"/>
      <c r="D1383" s="209"/>
      <c r="E1383" s="209"/>
      <c r="F1383" s="209"/>
      <c r="G1383" s="209"/>
      <c r="H1383" s="209"/>
      <c r="I1383" s="209"/>
      <c r="J1383" s="209"/>
      <c r="K1383" s="209"/>
      <c r="L1383" s="209"/>
      <c r="M1383" s="209"/>
      <c r="N1383" s="209"/>
      <c r="O1383" s="209"/>
      <c r="P1383" s="209"/>
      <c r="Q1383" s="209"/>
      <c r="R1383" s="209"/>
      <c r="S1383" s="209"/>
      <c r="T1383" s="209"/>
      <c r="U1383" s="209"/>
      <c r="V1383" s="209"/>
      <c r="W1383" s="209"/>
      <c r="X1383" s="209"/>
      <c r="Y1383" s="209"/>
      <c r="Z1383" s="209"/>
      <c r="AA1383" s="209"/>
      <c r="AB1383" s="209"/>
      <c r="AC1383" s="209"/>
      <c r="AD1383" s="209"/>
      <c r="AE1383" s="209"/>
      <c r="AF1383" s="209"/>
      <c r="AG1383" s="209"/>
      <c r="AH1383" s="209"/>
      <c r="AI1383" s="209"/>
      <c r="AJ1383" s="209"/>
    </row>
    <row r="1384">
      <c r="A1384" s="209"/>
      <c r="B1384" s="209"/>
      <c r="C1384" s="209"/>
      <c r="D1384" s="209"/>
      <c r="E1384" s="209"/>
      <c r="F1384" s="209"/>
      <c r="G1384" s="209"/>
      <c r="H1384" s="209"/>
      <c r="I1384" s="209"/>
      <c r="J1384" s="209"/>
      <c r="K1384" s="209"/>
      <c r="L1384" s="209"/>
      <c r="M1384" s="209"/>
      <c r="N1384" s="209"/>
      <c r="O1384" s="209"/>
      <c r="P1384" s="209"/>
      <c r="Q1384" s="209"/>
      <c r="R1384" s="209"/>
      <c r="S1384" s="209"/>
      <c r="T1384" s="209"/>
      <c r="U1384" s="209"/>
      <c r="V1384" s="209"/>
      <c r="W1384" s="209"/>
      <c r="X1384" s="209"/>
      <c r="Y1384" s="209"/>
      <c r="Z1384" s="209"/>
      <c r="AA1384" s="209"/>
      <c r="AB1384" s="209"/>
      <c r="AC1384" s="209"/>
      <c r="AD1384" s="209"/>
      <c r="AE1384" s="209"/>
      <c r="AF1384" s="209"/>
      <c r="AG1384" s="209"/>
      <c r="AH1384" s="209"/>
      <c r="AI1384" s="209"/>
      <c r="AJ1384" s="209"/>
    </row>
    <row r="1385">
      <c r="A1385" s="209"/>
      <c r="B1385" s="209"/>
      <c r="C1385" s="209"/>
      <c r="D1385" s="209"/>
      <c r="E1385" s="209"/>
      <c r="F1385" s="209"/>
      <c r="G1385" s="209"/>
      <c r="H1385" s="209"/>
      <c r="I1385" s="209"/>
      <c r="J1385" s="209"/>
      <c r="K1385" s="209"/>
      <c r="L1385" s="209"/>
      <c r="M1385" s="209"/>
      <c r="N1385" s="209"/>
      <c r="O1385" s="209"/>
      <c r="P1385" s="209"/>
      <c r="Q1385" s="209"/>
      <c r="R1385" s="209"/>
      <c r="S1385" s="209"/>
      <c r="T1385" s="209"/>
      <c r="U1385" s="209"/>
      <c r="V1385" s="209"/>
      <c r="W1385" s="209"/>
      <c r="X1385" s="209"/>
      <c r="Y1385" s="209"/>
      <c r="Z1385" s="209"/>
      <c r="AA1385" s="209"/>
      <c r="AB1385" s="209"/>
      <c r="AC1385" s="209"/>
      <c r="AD1385" s="209"/>
      <c r="AE1385" s="209"/>
      <c r="AF1385" s="209"/>
      <c r="AG1385" s="209"/>
      <c r="AH1385" s="209"/>
      <c r="AI1385" s="209"/>
      <c r="AJ1385" s="209"/>
    </row>
    <row r="1386">
      <c r="A1386" s="209"/>
      <c r="B1386" s="209"/>
      <c r="C1386" s="209"/>
      <c r="D1386" s="209"/>
      <c r="E1386" s="209"/>
      <c r="F1386" s="209"/>
      <c r="G1386" s="209"/>
      <c r="H1386" s="209"/>
      <c r="I1386" s="209"/>
      <c r="J1386" s="209"/>
      <c r="K1386" s="209"/>
      <c r="L1386" s="209"/>
      <c r="M1386" s="209"/>
      <c r="N1386" s="209"/>
      <c r="O1386" s="209"/>
      <c r="P1386" s="209"/>
      <c r="Q1386" s="209"/>
      <c r="R1386" s="209"/>
      <c r="S1386" s="209"/>
      <c r="T1386" s="209"/>
      <c r="U1386" s="209"/>
      <c r="V1386" s="209"/>
      <c r="W1386" s="209"/>
      <c r="X1386" s="209"/>
      <c r="Y1386" s="209"/>
      <c r="Z1386" s="209"/>
      <c r="AA1386" s="209"/>
      <c r="AB1386" s="209"/>
      <c r="AC1386" s="209"/>
      <c r="AD1386" s="209"/>
      <c r="AE1386" s="209"/>
      <c r="AF1386" s="209"/>
      <c r="AG1386" s="209"/>
      <c r="AH1386" s="209"/>
      <c r="AI1386" s="209"/>
      <c r="AJ1386" s="209"/>
    </row>
    <row r="1387">
      <c r="A1387" s="209"/>
      <c r="B1387" s="209"/>
      <c r="C1387" s="209"/>
      <c r="D1387" s="209"/>
      <c r="E1387" s="209"/>
      <c r="F1387" s="209"/>
      <c r="G1387" s="209"/>
      <c r="H1387" s="209"/>
      <c r="I1387" s="209"/>
      <c r="J1387" s="209"/>
      <c r="K1387" s="209"/>
      <c r="L1387" s="209"/>
      <c r="M1387" s="209"/>
      <c r="N1387" s="209"/>
      <c r="O1387" s="209"/>
      <c r="P1387" s="209"/>
      <c r="Q1387" s="209"/>
      <c r="R1387" s="209"/>
      <c r="S1387" s="209"/>
      <c r="T1387" s="209"/>
      <c r="U1387" s="209"/>
      <c r="V1387" s="209"/>
      <c r="W1387" s="209"/>
      <c r="X1387" s="209"/>
      <c r="Y1387" s="209"/>
      <c r="Z1387" s="209"/>
      <c r="AA1387" s="209"/>
      <c r="AB1387" s="209"/>
      <c r="AC1387" s="209"/>
      <c r="AD1387" s="209"/>
      <c r="AE1387" s="209"/>
      <c r="AF1387" s="209"/>
      <c r="AG1387" s="209"/>
      <c r="AH1387" s="209"/>
      <c r="AI1387" s="209"/>
      <c r="AJ1387" s="209"/>
    </row>
    <row r="1388">
      <c r="A1388" s="209"/>
      <c r="B1388" s="209"/>
      <c r="C1388" s="209"/>
      <c r="D1388" s="209"/>
      <c r="E1388" s="209"/>
      <c r="F1388" s="209"/>
      <c r="G1388" s="209"/>
      <c r="H1388" s="209"/>
      <c r="I1388" s="209"/>
      <c r="J1388" s="209"/>
      <c r="K1388" s="209"/>
      <c r="L1388" s="209"/>
      <c r="M1388" s="209"/>
      <c r="N1388" s="209"/>
      <c r="O1388" s="209"/>
      <c r="P1388" s="209"/>
      <c r="Q1388" s="209"/>
      <c r="R1388" s="209"/>
      <c r="S1388" s="209"/>
      <c r="T1388" s="209"/>
      <c r="U1388" s="209"/>
      <c r="V1388" s="209"/>
      <c r="W1388" s="209"/>
      <c r="X1388" s="209"/>
      <c r="Y1388" s="209"/>
      <c r="Z1388" s="209"/>
      <c r="AA1388" s="209"/>
      <c r="AB1388" s="209"/>
      <c r="AC1388" s="209"/>
      <c r="AD1388" s="209"/>
      <c r="AE1388" s="209"/>
      <c r="AF1388" s="209"/>
      <c r="AG1388" s="209"/>
      <c r="AH1388" s="209"/>
      <c r="AI1388" s="209"/>
      <c r="AJ1388" s="209"/>
    </row>
    <row r="1389">
      <c r="A1389" s="209"/>
      <c r="B1389" s="209"/>
      <c r="C1389" s="209"/>
      <c r="D1389" s="209"/>
      <c r="E1389" s="209"/>
      <c r="F1389" s="209"/>
      <c r="G1389" s="209"/>
      <c r="H1389" s="209"/>
      <c r="I1389" s="209"/>
      <c r="J1389" s="209"/>
      <c r="K1389" s="209"/>
      <c r="L1389" s="209"/>
      <c r="M1389" s="209"/>
      <c r="N1389" s="209"/>
      <c r="O1389" s="209"/>
      <c r="P1389" s="209"/>
      <c r="Q1389" s="209"/>
      <c r="R1389" s="209"/>
      <c r="S1389" s="209"/>
      <c r="T1389" s="209"/>
      <c r="U1389" s="209"/>
      <c r="V1389" s="209"/>
      <c r="W1389" s="209"/>
      <c r="X1389" s="209"/>
      <c r="Y1389" s="209"/>
      <c r="Z1389" s="209"/>
      <c r="AA1389" s="209"/>
      <c r="AB1389" s="209"/>
      <c r="AC1389" s="209"/>
      <c r="AD1389" s="209"/>
      <c r="AE1389" s="209"/>
      <c r="AF1389" s="209"/>
      <c r="AG1389" s="209"/>
      <c r="AH1389" s="209"/>
      <c r="AI1389" s="209"/>
      <c r="AJ1389" s="209"/>
    </row>
    <row r="1390">
      <c r="A1390" s="209"/>
      <c r="B1390" s="209"/>
      <c r="C1390" s="209"/>
      <c r="D1390" s="209"/>
      <c r="E1390" s="209"/>
      <c r="F1390" s="209"/>
      <c r="G1390" s="209"/>
      <c r="H1390" s="209"/>
      <c r="I1390" s="209"/>
      <c r="J1390" s="209"/>
      <c r="K1390" s="209"/>
      <c r="L1390" s="209"/>
      <c r="M1390" s="209"/>
      <c r="N1390" s="209"/>
      <c r="O1390" s="209"/>
      <c r="P1390" s="209"/>
      <c r="Q1390" s="209"/>
      <c r="R1390" s="209"/>
      <c r="S1390" s="209"/>
      <c r="T1390" s="209"/>
      <c r="U1390" s="209"/>
      <c r="V1390" s="209"/>
      <c r="W1390" s="209"/>
      <c r="X1390" s="209"/>
      <c r="Y1390" s="209"/>
      <c r="Z1390" s="209"/>
      <c r="AA1390" s="209"/>
      <c r="AB1390" s="209"/>
      <c r="AC1390" s="209"/>
      <c r="AD1390" s="209"/>
      <c r="AE1390" s="209"/>
      <c r="AF1390" s="209"/>
      <c r="AG1390" s="209"/>
      <c r="AH1390" s="209"/>
      <c r="AI1390" s="209"/>
      <c r="AJ1390" s="209"/>
    </row>
    <row r="1391">
      <c r="A1391" s="209"/>
      <c r="B1391" s="209"/>
      <c r="C1391" s="209"/>
      <c r="D1391" s="209"/>
      <c r="E1391" s="209"/>
      <c r="F1391" s="209"/>
      <c r="G1391" s="209"/>
      <c r="H1391" s="209"/>
      <c r="I1391" s="209"/>
      <c r="J1391" s="209"/>
      <c r="K1391" s="209"/>
      <c r="L1391" s="209"/>
      <c r="M1391" s="209"/>
      <c r="N1391" s="209"/>
      <c r="O1391" s="209"/>
      <c r="P1391" s="209"/>
      <c r="Q1391" s="209"/>
      <c r="R1391" s="209"/>
      <c r="S1391" s="209"/>
      <c r="T1391" s="209"/>
      <c r="U1391" s="209"/>
      <c r="V1391" s="209"/>
      <c r="W1391" s="209"/>
      <c r="X1391" s="209"/>
      <c r="Y1391" s="209"/>
      <c r="Z1391" s="209"/>
      <c r="AA1391" s="209"/>
      <c r="AB1391" s="209"/>
      <c r="AC1391" s="209"/>
      <c r="AD1391" s="209"/>
      <c r="AE1391" s="209"/>
      <c r="AF1391" s="209"/>
      <c r="AG1391" s="209"/>
      <c r="AH1391" s="209"/>
      <c r="AI1391" s="209"/>
      <c r="AJ1391" s="209"/>
    </row>
    <row r="1392">
      <c r="A1392" s="209"/>
      <c r="B1392" s="209"/>
      <c r="C1392" s="209"/>
      <c r="D1392" s="209"/>
      <c r="E1392" s="209"/>
      <c r="F1392" s="209"/>
      <c r="G1392" s="209"/>
      <c r="H1392" s="209"/>
      <c r="I1392" s="209"/>
      <c r="J1392" s="209"/>
      <c r="K1392" s="209"/>
      <c r="L1392" s="209"/>
      <c r="M1392" s="209"/>
      <c r="N1392" s="209"/>
      <c r="O1392" s="209"/>
      <c r="P1392" s="209"/>
      <c r="Q1392" s="209"/>
      <c r="R1392" s="209"/>
      <c r="S1392" s="209"/>
      <c r="T1392" s="209"/>
      <c r="U1392" s="209"/>
      <c r="V1392" s="209"/>
      <c r="W1392" s="209"/>
      <c r="X1392" s="209"/>
      <c r="Y1392" s="209"/>
      <c r="Z1392" s="209"/>
      <c r="AA1392" s="209"/>
      <c r="AB1392" s="209"/>
      <c r="AC1392" s="209"/>
      <c r="AD1392" s="209"/>
      <c r="AE1392" s="209"/>
      <c r="AF1392" s="209"/>
      <c r="AG1392" s="209"/>
      <c r="AH1392" s="209"/>
      <c r="AI1392" s="209"/>
      <c r="AJ1392" s="209"/>
    </row>
    <row r="1393">
      <c r="A1393" s="209"/>
      <c r="B1393" s="209"/>
      <c r="C1393" s="209"/>
      <c r="D1393" s="209"/>
      <c r="E1393" s="209"/>
      <c r="F1393" s="209"/>
      <c r="G1393" s="209"/>
      <c r="H1393" s="209"/>
      <c r="I1393" s="209"/>
      <c r="J1393" s="209"/>
      <c r="K1393" s="209"/>
      <c r="L1393" s="209"/>
      <c r="M1393" s="209"/>
      <c r="N1393" s="209"/>
      <c r="O1393" s="209"/>
      <c r="P1393" s="209"/>
      <c r="Q1393" s="209"/>
      <c r="R1393" s="209"/>
      <c r="S1393" s="209"/>
      <c r="T1393" s="209"/>
      <c r="U1393" s="209"/>
      <c r="V1393" s="209"/>
      <c r="W1393" s="209"/>
      <c r="X1393" s="209"/>
      <c r="Y1393" s="209"/>
      <c r="Z1393" s="209"/>
      <c r="AA1393" s="209"/>
      <c r="AB1393" s="209"/>
      <c r="AC1393" s="209"/>
      <c r="AD1393" s="209"/>
      <c r="AE1393" s="209"/>
      <c r="AF1393" s="209"/>
      <c r="AG1393" s="209"/>
      <c r="AH1393" s="209"/>
      <c r="AI1393" s="209"/>
      <c r="AJ1393" s="209"/>
    </row>
    <row r="1394">
      <c r="A1394" s="209"/>
      <c r="B1394" s="209"/>
      <c r="C1394" s="209"/>
      <c r="D1394" s="209"/>
      <c r="E1394" s="209"/>
      <c r="F1394" s="209"/>
      <c r="G1394" s="209"/>
      <c r="H1394" s="209"/>
      <c r="I1394" s="209"/>
      <c r="J1394" s="209"/>
      <c r="K1394" s="209"/>
      <c r="L1394" s="209"/>
      <c r="M1394" s="209"/>
      <c r="N1394" s="209"/>
      <c r="O1394" s="209"/>
      <c r="P1394" s="209"/>
      <c r="Q1394" s="209"/>
      <c r="R1394" s="209"/>
      <c r="S1394" s="209"/>
      <c r="T1394" s="209"/>
      <c r="U1394" s="209"/>
      <c r="V1394" s="209"/>
      <c r="W1394" s="209"/>
      <c r="X1394" s="209"/>
      <c r="Y1394" s="209"/>
      <c r="Z1394" s="209"/>
      <c r="AA1394" s="209"/>
      <c r="AB1394" s="209"/>
      <c r="AC1394" s="209"/>
      <c r="AD1394" s="209"/>
      <c r="AE1394" s="209"/>
      <c r="AF1394" s="209"/>
      <c r="AG1394" s="209"/>
      <c r="AH1394" s="209"/>
      <c r="AI1394" s="209"/>
      <c r="AJ1394" s="209"/>
    </row>
    <row r="1395">
      <c r="A1395" s="209"/>
      <c r="B1395" s="209"/>
      <c r="C1395" s="209"/>
      <c r="D1395" s="209"/>
      <c r="E1395" s="209"/>
      <c r="F1395" s="209"/>
      <c r="G1395" s="209"/>
      <c r="H1395" s="209"/>
      <c r="I1395" s="209"/>
      <c r="J1395" s="209"/>
      <c r="K1395" s="209"/>
      <c r="L1395" s="209"/>
      <c r="M1395" s="209"/>
      <c r="N1395" s="209"/>
      <c r="O1395" s="209"/>
      <c r="P1395" s="209"/>
      <c r="Q1395" s="209"/>
      <c r="R1395" s="209"/>
      <c r="S1395" s="209"/>
      <c r="T1395" s="209"/>
      <c r="U1395" s="209"/>
      <c r="V1395" s="209"/>
      <c r="W1395" s="209"/>
      <c r="X1395" s="209"/>
      <c r="Y1395" s="209"/>
      <c r="Z1395" s="209"/>
      <c r="AA1395" s="209"/>
      <c r="AB1395" s="209"/>
      <c r="AC1395" s="209"/>
      <c r="AD1395" s="209"/>
      <c r="AE1395" s="209"/>
      <c r="AF1395" s="209"/>
      <c r="AG1395" s="209"/>
      <c r="AH1395" s="209"/>
      <c r="AI1395" s="209"/>
      <c r="AJ1395" s="209"/>
    </row>
    <row r="1396">
      <c r="A1396" s="209"/>
      <c r="B1396" s="209"/>
      <c r="C1396" s="209"/>
      <c r="D1396" s="209"/>
      <c r="E1396" s="209"/>
      <c r="F1396" s="209"/>
      <c r="G1396" s="209"/>
      <c r="H1396" s="209"/>
      <c r="I1396" s="209"/>
      <c r="J1396" s="209"/>
      <c r="K1396" s="209"/>
      <c r="L1396" s="209"/>
      <c r="M1396" s="209"/>
      <c r="N1396" s="209"/>
      <c r="O1396" s="209"/>
      <c r="P1396" s="209"/>
      <c r="Q1396" s="209"/>
      <c r="R1396" s="209"/>
      <c r="S1396" s="209"/>
      <c r="T1396" s="209"/>
      <c r="U1396" s="209"/>
      <c r="V1396" s="209"/>
      <c r="W1396" s="209"/>
      <c r="X1396" s="209"/>
      <c r="Y1396" s="209"/>
      <c r="Z1396" s="209"/>
      <c r="AA1396" s="209"/>
      <c r="AB1396" s="209"/>
      <c r="AC1396" s="209"/>
      <c r="AD1396" s="209"/>
      <c r="AE1396" s="209"/>
      <c r="AF1396" s="209"/>
      <c r="AG1396" s="209"/>
      <c r="AH1396" s="209"/>
      <c r="AI1396" s="209"/>
      <c r="AJ1396" s="209"/>
    </row>
    <row r="1397">
      <c r="A1397" s="209"/>
      <c r="B1397" s="209"/>
      <c r="C1397" s="209"/>
      <c r="D1397" s="209"/>
      <c r="E1397" s="209"/>
      <c r="F1397" s="209"/>
      <c r="G1397" s="209"/>
      <c r="H1397" s="209"/>
      <c r="I1397" s="209"/>
      <c r="J1397" s="209"/>
      <c r="K1397" s="209"/>
      <c r="L1397" s="209"/>
      <c r="M1397" s="209"/>
      <c r="N1397" s="209"/>
      <c r="O1397" s="209"/>
      <c r="P1397" s="209"/>
      <c r="Q1397" s="209"/>
      <c r="R1397" s="209"/>
      <c r="S1397" s="209"/>
      <c r="T1397" s="209"/>
      <c r="U1397" s="209"/>
      <c r="V1397" s="209"/>
      <c r="W1397" s="209"/>
      <c r="X1397" s="209"/>
      <c r="Y1397" s="209"/>
      <c r="Z1397" s="209"/>
      <c r="AA1397" s="209"/>
      <c r="AB1397" s="209"/>
      <c r="AC1397" s="209"/>
      <c r="AD1397" s="209"/>
      <c r="AE1397" s="209"/>
      <c r="AF1397" s="209"/>
      <c r="AG1397" s="209"/>
      <c r="AH1397" s="209"/>
      <c r="AI1397" s="209"/>
      <c r="AJ1397" s="209"/>
    </row>
    <row r="1398">
      <c r="A1398" s="209"/>
      <c r="B1398" s="209"/>
      <c r="C1398" s="209"/>
      <c r="D1398" s="209"/>
      <c r="E1398" s="209"/>
      <c r="F1398" s="209"/>
      <c r="G1398" s="209"/>
      <c r="H1398" s="209"/>
      <c r="I1398" s="209"/>
      <c r="J1398" s="209"/>
      <c r="K1398" s="209"/>
      <c r="L1398" s="209"/>
      <c r="M1398" s="209"/>
      <c r="N1398" s="209"/>
      <c r="O1398" s="209"/>
      <c r="P1398" s="209"/>
      <c r="Q1398" s="209"/>
      <c r="R1398" s="209"/>
      <c r="S1398" s="209"/>
      <c r="T1398" s="209"/>
      <c r="U1398" s="209"/>
      <c r="V1398" s="209"/>
      <c r="W1398" s="209"/>
      <c r="X1398" s="209"/>
      <c r="Y1398" s="209"/>
      <c r="Z1398" s="209"/>
      <c r="AA1398" s="209"/>
      <c r="AB1398" s="209"/>
      <c r="AC1398" s="209"/>
      <c r="AD1398" s="209"/>
      <c r="AE1398" s="209"/>
      <c r="AF1398" s="209"/>
      <c r="AG1398" s="209"/>
      <c r="AH1398" s="209"/>
      <c r="AI1398" s="209"/>
      <c r="AJ1398" s="209"/>
    </row>
    <row r="1399">
      <c r="A1399" s="209"/>
      <c r="B1399" s="209"/>
      <c r="C1399" s="209"/>
      <c r="D1399" s="209"/>
      <c r="E1399" s="209"/>
      <c r="F1399" s="209"/>
      <c r="G1399" s="209"/>
      <c r="H1399" s="209"/>
      <c r="I1399" s="209"/>
      <c r="J1399" s="209"/>
      <c r="K1399" s="209"/>
      <c r="L1399" s="209"/>
      <c r="M1399" s="209"/>
      <c r="N1399" s="209"/>
      <c r="O1399" s="209"/>
      <c r="P1399" s="209"/>
      <c r="Q1399" s="209"/>
      <c r="R1399" s="209"/>
      <c r="S1399" s="209"/>
      <c r="T1399" s="209"/>
      <c r="U1399" s="209"/>
      <c r="V1399" s="209"/>
      <c r="W1399" s="209"/>
      <c r="X1399" s="209"/>
      <c r="Y1399" s="209"/>
      <c r="Z1399" s="209"/>
      <c r="AA1399" s="209"/>
      <c r="AB1399" s="209"/>
      <c r="AC1399" s="209"/>
      <c r="AD1399" s="209"/>
      <c r="AE1399" s="209"/>
      <c r="AF1399" s="209"/>
      <c r="AG1399" s="209"/>
      <c r="AH1399" s="209"/>
      <c r="AI1399" s="209"/>
      <c r="AJ1399" s="209"/>
    </row>
    <row r="1400">
      <c r="A1400" s="209"/>
      <c r="B1400" s="209"/>
      <c r="C1400" s="209"/>
      <c r="D1400" s="209"/>
      <c r="E1400" s="209"/>
      <c r="F1400" s="209"/>
      <c r="G1400" s="209"/>
      <c r="H1400" s="209"/>
      <c r="I1400" s="209"/>
      <c r="J1400" s="209"/>
      <c r="K1400" s="209"/>
      <c r="L1400" s="209"/>
      <c r="M1400" s="209"/>
      <c r="N1400" s="209"/>
      <c r="O1400" s="209"/>
      <c r="P1400" s="209"/>
      <c r="Q1400" s="209"/>
      <c r="R1400" s="209"/>
      <c r="S1400" s="209"/>
      <c r="T1400" s="209"/>
      <c r="U1400" s="209"/>
      <c r="V1400" s="209"/>
      <c r="W1400" s="209"/>
      <c r="X1400" s="209"/>
      <c r="Y1400" s="209"/>
      <c r="Z1400" s="209"/>
      <c r="AA1400" s="209"/>
      <c r="AB1400" s="209"/>
      <c r="AC1400" s="209"/>
      <c r="AD1400" s="209"/>
      <c r="AE1400" s="209"/>
      <c r="AF1400" s="209"/>
      <c r="AG1400" s="209"/>
      <c r="AH1400" s="209"/>
      <c r="AI1400" s="209"/>
      <c r="AJ1400" s="209"/>
    </row>
    <row r="1401">
      <c r="A1401" s="209"/>
      <c r="B1401" s="209"/>
      <c r="C1401" s="209"/>
      <c r="D1401" s="209"/>
      <c r="E1401" s="209"/>
      <c r="F1401" s="209"/>
      <c r="G1401" s="209"/>
      <c r="H1401" s="209"/>
      <c r="I1401" s="209"/>
      <c r="J1401" s="209"/>
      <c r="K1401" s="209"/>
      <c r="L1401" s="209"/>
      <c r="M1401" s="209"/>
      <c r="N1401" s="209"/>
      <c r="O1401" s="209"/>
      <c r="P1401" s="209"/>
      <c r="Q1401" s="209"/>
      <c r="R1401" s="209"/>
      <c r="S1401" s="209"/>
      <c r="T1401" s="209"/>
      <c r="U1401" s="209"/>
      <c r="V1401" s="209"/>
      <c r="W1401" s="209"/>
      <c r="X1401" s="209"/>
      <c r="Y1401" s="209"/>
      <c r="Z1401" s="209"/>
      <c r="AA1401" s="209"/>
      <c r="AB1401" s="209"/>
      <c r="AC1401" s="209"/>
      <c r="AD1401" s="209"/>
      <c r="AE1401" s="209"/>
      <c r="AF1401" s="209"/>
      <c r="AG1401" s="209"/>
      <c r="AH1401" s="209"/>
      <c r="AI1401" s="209"/>
      <c r="AJ1401" s="209"/>
    </row>
    <row r="1402">
      <c r="A1402" s="209"/>
      <c r="B1402" s="209"/>
      <c r="C1402" s="209"/>
      <c r="D1402" s="209"/>
      <c r="E1402" s="209"/>
      <c r="F1402" s="209"/>
      <c r="G1402" s="209"/>
      <c r="H1402" s="209"/>
      <c r="I1402" s="209"/>
      <c r="J1402" s="209"/>
      <c r="K1402" s="209"/>
      <c r="L1402" s="209"/>
      <c r="M1402" s="209"/>
      <c r="N1402" s="209"/>
      <c r="O1402" s="209"/>
      <c r="P1402" s="209"/>
      <c r="Q1402" s="209"/>
      <c r="R1402" s="209"/>
      <c r="S1402" s="209"/>
      <c r="T1402" s="209"/>
      <c r="U1402" s="209"/>
      <c r="V1402" s="209"/>
      <c r="W1402" s="209"/>
      <c r="X1402" s="209"/>
      <c r="Y1402" s="209"/>
      <c r="Z1402" s="209"/>
      <c r="AA1402" s="209"/>
      <c r="AB1402" s="209"/>
      <c r="AC1402" s="209"/>
      <c r="AD1402" s="209"/>
      <c r="AE1402" s="209"/>
      <c r="AF1402" s="209"/>
      <c r="AG1402" s="209"/>
      <c r="AH1402" s="209"/>
      <c r="AI1402" s="209"/>
      <c r="AJ1402" s="209"/>
    </row>
    <row r="1403">
      <c r="A1403" s="209"/>
      <c r="B1403" s="209"/>
      <c r="C1403" s="209"/>
      <c r="D1403" s="209"/>
      <c r="E1403" s="209"/>
      <c r="F1403" s="209"/>
      <c r="G1403" s="209"/>
      <c r="H1403" s="209"/>
      <c r="I1403" s="209"/>
      <c r="J1403" s="209"/>
      <c r="K1403" s="209"/>
      <c r="L1403" s="209"/>
      <c r="M1403" s="209"/>
      <c r="N1403" s="209"/>
      <c r="O1403" s="209"/>
      <c r="P1403" s="209"/>
      <c r="Q1403" s="209"/>
      <c r="R1403" s="209"/>
      <c r="S1403" s="209"/>
      <c r="T1403" s="209"/>
      <c r="U1403" s="209"/>
      <c r="V1403" s="209"/>
      <c r="W1403" s="209"/>
      <c r="X1403" s="209"/>
      <c r="Y1403" s="209"/>
      <c r="Z1403" s="209"/>
      <c r="AA1403" s="209"/>
      <c r="AB1403" s="209"/>
      <c r="AC1403" s="209"/>
      <c r="AD1403" s="209"/>
      <c r="AE1403" s="209"/>
      <c r="AF1403" s="209"/>
      <c r="AG1403" s="209"/>
      <c r="AH1403" s="209"/>
      <c r="AI1403" s="209"/>
      <c r="AJ1403" s="209"/>
    </row>
    <row r="1404">
      <c r="A1404" s="209"/>
      <c r="B1404" s="209"/>
      <c r="C1404" s="209"/>
      <c r="D1404" s="209"/>
      <c r="E1404" s="209"/>
      <c r="F1404" s="209"/>
      <c r="G1404" s="209"/>
      <c r="H1404" s="209"/>
      <c r="I1404" s="209"/>
      <c r="J1404" s="209"/>
      <c r="K1404" s="209"/>
      <c r="L1404" s="209"/>
      <c r="M1404" s="209"/>
      <c r="N1404" s="209"/>
      <c r="O1404" s="209"/>
      <c r="P1404" s="209"/>
      <c r="Q1404" s="209"/>
      <c r="R1404" s="209"/>
      <c r="S1404" s="209"/>
      <c r="T1404" s="209"/>
      <c r="U1404" s="209"/>
      <c r="V1404" s="209"/>
      <c r="W1404" s="209"/>
      <c r="X1404" s="209"/>
      <c r="Y1404" s="209"/>
      <c r="Z1404" s="209"/>
      <c r="AA1404" s="209"/>
      <c r="AB1404" s="209"/>
      <c r="AC1404" s="209"/>
      <c r="AD1404" s="209"/>
      <c r="AE1404" s="209"/>
      <c r="AF1404" s="209"/>
      <c r="AG1404" s="209"/>
      <c r="AH1404" s="209"/>
      <c r="AI1404" s="209"/>
      <c r="AJ1404" s="209"/>
    </row>
    <row r="1405">
      <c r="A1405" s="209"/>
      <c r="B1405" s="209"/>
      <c r="C1405" s="209"/>
      <c r="D1405" s="209"/>
      <c r="E1405" s="209"/>
      <c r="F1405" s="209"/>
      <c r="G1405" s="209"/>
      <c r="H1405" s="209"/>
      <c r="I1405" s="209"/>
      <c r="J1405" s="209"/>
      <c r="K1405" s="209"/>
      <c r="L1405" s="209"/>
      <c r="M1405" s="209"/>
      <c r="N1405" s="209"/>
      <c r="O1405" s="209"/>
      <c r="P1405" s="209"/>
      <c r="Q1405" s="209"/>
      <c r="R1405" s="209"/>
      <c r="S1405" s="209"/>
      <c r="T1405" s="209"/>
      <c r="U1405" s="209"/>
      <c r="V1405" s="209"/>
      <c r="W1405" s="209"/>
      <c r="X1405" s="209"/>
      <c r="Y1405" s="209"/>
      <c r="Z1405" s="209"/>
      <c r="AA1405" s="209"/>
      <c r="AB1405" s="209"/>
      <c r="AC1405" s="209"/>
      <c r="AD1405" s="209"/>
      <c r="AE1405" s="209"/>
      <c r="AF1405" s="209"/>
      <c r="AG1405" s="209"/>
      <c r="AH1405" s="209"/>
      <c r="AI1405" s="209"/>
      <c r="AJ1405" s="209"/>
    </row>
    <row r="1406">
      <c r="A1406" s="209"/>
      <c r="B1406" s="209"/>
      <c r="C1406" s="209"/>
      <c r="D1406" s="209"/>
      <c r="E1406" s="209"/>
      <c r="F1406" s="209"/>
      <c r="G1406" s="209"/>
      <c r="H1406" s="209"/>
      <c r="I1406" s="209"/>
      <c r="J1406" s="209"/>
      <c r="K1406" s="209"/>
      <c r="L1406" s="209"/>
      <c r="M1406" s="209"/>
      <c r="N1406" s="209"/>
      <c r="O1406" s="209"/>
      <c r="P1406" s="209"/>
      <c r="Q1406" s="209"/>
      <c r="R1406" s="209"/>
      <c r="S1406" s="209"/>
      <c r="T1406" s="209"/>
      <c r="U1406" s="209"/>
      <c r="V1406" s="209"/>
      <c r="W1406" s="209"/>
      <c r="X1406" s="209"/>
      <c r="Y1406" s="209"/>
      <c r="Z1406" s="209"/>
      <c r="AA1406" s="209"/>
      <c r="AB1406" s="209"/>
      <c r="AC1406" s="209"/>
      <c r="AD1406" s="209"/>
      <c r="AE1406" s="209"/>
      <c r="AF1406" s="209"/>
      <c r="AG1406" s="209"/>
      <c r="AH1406" s="209"/>
      <c r="AI1406" s="209"/>
      <c r="AJ1406" s="209"/>
    </row>
    <row r="1407">
      <c r="A1407" s="209"/>
      <c r="B1407" s="209"/>
      <c r="C1407" s="209"/>
      <c r="D1407" s="209"/>
      <c r="E1407" s="209"/>
      <c r="F1407" s="209"/>
      <c r="G1407" s="209"/>
      <c r="H1407" s="209"/>
      <c r="I1407" s="209"/>
      <c r="J1407" s="209"/>
      <c r="K1407" s="209"/>
      <c r="L1407" s="209"/>
      <c r="M1407" s="209"/>
      <c r="N1407" s="209"/>
      <c r="O1407" s="209"/>
      <c r="P1407" s="209"/>
      <c r="Q1407" s="209"/>
      <c r="R1407" s="209"/>
      <c r="S1407" s="209"/>
      <c r="T1407" s="209"/>
      <c r="U1407" s="209"/>
      <c r="V1407" s="209"/>
      <c r="W1407" s="209"/>
      <c r="X1407" s="209"/>
      <c r="Y1407" s="209"/>
      <c r="Z1407" s="209"/>
      <c r="AA1407" s="209"/>
      <c r="AB1407" s="209"/>
      <c r="AC1407" s="209"/>
      <c r="AD1407" s="209"/>
      <c r="AE1407" s="209"/>
      <c r="AF1407" s="209"/>
      <c r="AG1407" s="209"/>
      <c r="AH1407" s="209"/>
      <c r="AI1407" s="209"/>
      <c r="AJ1407" s="209"/>
    </row>
    <row r="1408">
      <c r="A1408" s="209"/>
      <c r="B1408" s="209"/>
      <c r="C1408" s="209"/>
      <c r="D1408" s="209"/>
      <c r="E1408" s="209"/>
      <c r="F1408" s="209"/>
      <c r="G1408" s="209"/>
      <c r="H1408" s="209"/>
      <c r="I1408" s="209"/>
      <c r="J1408" s="209"/>
      <c r="K1408" s="209"/>
      <c r="L1408" s="209"/>
      <c r="M1408" s="209"/>
      <c r="N1408" s="209"/>
      <c r="O1408" s="209"/>
      <c r="P1408" s="209"/>
      <c r="Q1408" s="209"/>
      <c r="R1408" s="209"/>
      <c r="S1408" s="209"/>
      <c r="T1408" s="209"/>
      <c r="U1408" s="209"/>
      <c r="V1408" s="209"/>
      <c r="W1408" s="209"/>
      <c r="X1408" s="209"/>
      <c r="Y1408" s="209"/>
      <c r="Z1408" s="209"/>
      <c r="AA1408" s="209"/>
      <c r="AB1408" s="209"/>
      <c r="AC1408" s="209"/>
      <c r="AD1408" s="209"/>
      <c r="AE1408" s="209"/>
      <c r="AF1408" s="209"/>
      <c r="AG1408" s="209"/>
      <c r="AH1408" s="209"/>
      <c r="AI1408" s="209"/>
      <c r="AJ1408" s="209"/>
    </row>
    <row r="1409">
      <c r="A1409" s="209"/>
      <c r="B1409" s="209"/>
      <c r="C1409" s="209"/>
      <c r="D1409" s="209"/>
      <c r="E1409" s="209"/>
      <c r="F1409" s="209"/>
      <c r="G1409" s="209"/>
      <c r="H1409" s="209"/>
      <c r="I1409" s="209"/>
      <c r="J1409" s="209"/>
      <c r="K1409" s="209"/>
      <c r="L1409" s="209"/>
      <c r="M1409" s="209"/>
      <c r="N1409" s="209"/>
      <c r="O1409" s="209"/>
      <c r="P1409" s="209"/>
      <c r="Q1409" s="209"/>
      <c r="R1409" s="209"/>
      <c r="S1409" s="209"/>
      <c r="T1409" s="209"/>
      <c r="U1409" s="209"/>
      <c r="V1409" s="209"/>
      <c r="W1409" s="209"/>
      <c r="X1409" s="209"/>
      <c r="Y1409" s="209"/>
      <c r="Z1409" s="209"/>
      <c r="AA1409" s="209"/>
      <c r="AB1409" s="209"/>
      <c r="AC1409" s="209"/>
      <c r="AD1409" s="209"/>
      <c r="AE1409" s="209"/>
      <c r="AF1409" s="209"/>
      <c r="AG1409" s="209"/>
      <c r="AH1409" s="209"/>
      <c r="AI1409" s="209"/>
      <c r="AJ1409" s="209"/>
    </row>
    <row r="1410">
      <c r="A1410" s="209"/>
      <c r="B1410" s="209"/>
      <c r="C1410" s="209"/>
      <c r="D1410" s="209"/>
      <c r="E1410" s="209"/>
      <c r="F1410" s="209"/>
      <c r="G1410" s="209"/>
      <c r="H1410" s="209"/>
      <c r="I1410" s="209"/>
      <c r="J1410" s="209"/>
      <c r="K1410" s="209"/>
      <c r="L1410" s="209"/>
      <c r="M1410" s="209"/>
      <c r="N1410" s="209"/>
      <c r="O1410" s="209"/>
      <c r="P1410" s="209"/>
      <c r="Q1410" s="209"/>
      <c r="R1410" s="209"/>
      <c r="S1410" s="209"/>
      <c r="T1410" s="209"/>
      <c r="U1410" s="209"/>
      <c r="V1410" s="209"/>
      <c r="W1410" s="209"/>
      <c r="X1410" s="209"/>
      <c r="Y1410" s="209"/>
      <c r="Z1410" s="209"/>
      <c r="AA1410" s="209"/>
      <c r="AB1410" s="209"/>
      <c r="AC1410" s="209"/>
      <c r="AD1410" s="209"/>
      <c r="AE1410" s="209"/>
      <c r="AF1410" s="209"/>
      <c r="AG1410" s="209"/>
      <c r="AH1410" s="209"/>
      <c r="AI1410" s="209"/>
      <c r="AJ1410" s="209"/>
    </row>
    <row r="1411">
      <c r="A1411" s="209"/>
      <c r="B1411" s="209"/>
      <c r="C1411" s="209"/>
      <c r="D1411" s="209"/>
      <c r="E1411" s="209"/>
      <c r="F1411" s="209"/>
      <c r="G1411" s="209"/>
      <c r="H1411" s="209"/>
      <c r="I1411" s="209"/>
      <c r="J1411" s="209"/>
      <c r="K1411" s="209"/>
      <c r="L1411" s="209"/>
      <c r="M1411" s="209"/>
      <c r="N1411" s="209"/>
      <c r="O1411" s="209"/>
      <c r="P1411" s="209"/>
      <c r="Q1411" s="209"/>
      <c r="R1411" s="209"/>
      <c r="S1411" s="209"/>
      <c r="T1411" s="209"/>
      <c r="U1411" s="209"/>
      <c r="V1411" s="209"/>
      <c r="W1411" s="209"/>
      <c r="X1411" s="209"/>
      <c r="Y1411" s="209"/>
      <c r="Z1411" s="209"/>
      <c r="AA1411" s="209"/>
      <c r="AB1411" s="209"/>
      <c r="AC1411" s="209"/>
      <c r="AD1411" s="209"/>
      <c r="AE1411" s="209"/>
      <c r="AF1411" s="209"/>
      <c r="AG1411" s="209"/>
      <c r="AH1411" s="209"/>
      <c r="AI1411" s="209"/>
      <c r="AJ1411" s="209"/>
    </row>
    <row r="1412">
      <c r="A1412" s="209"/>
      <c r="B1412" s="209"/>
      <c r="C1412" s="209"/>
      <c r="D1412" s="209"/>
      <c r="E1412" s="209"/>
      <c r="F1412" s="209"/>
      <c r="G1412" s="209"/>
      <c r="H1412" s="209"/>
      <c r="I1412" s="209"/>
      <c r="J1412" s="209"/>
      <c r="K1412" s="209"/>
      <c r="L1412" s="209"/>
      <c r="M1412" s="209"/>
      <c r="N1412" s="209"/>
      <c r="O1412" s="209"/>
      <c r="P1412" s="209"/>
      <c r="Q1412" s="209"/>
      <c r="R1412" s="209"/>
      <c r="S1412" s="209"/>
      <c r="T1412" s="209"/>
      <c r="U1412" s="209"/>
      <c r="V1412" s="209"/>
      <c r="W1412" s="209"/>
      <c r="X1412" s="209"/>
      <c r="Y1412" s="209"/>
      <c r="Z1412" s="209"/>
      <c r="AA1412" s="209"/>
      <c r="AB1412" s="209"/>
      <c r="AC1412" s="209"/>
      <c r="AD1412" s="209"/>
      <c r="AE1412" s="209"/>
      <c r="AF1412" s="209"/>
      <c r="AG1412" s="209"/>
      <c r="AH1412" s="209"/>
      <c r="AI1412" s="209"/>
      <c r="AJ1412" s="209"/>
    </row>
    <row r="1413">
      <c r="A1413" s="209"/>
      <c r="B1413" s="209"/>
      <c r="C1413" s="209"/>
      <c r="D1413" s="209"/>
      <c r="E1413" s="209"/>
      <c r="F1413" s="209"/>
      <c r="G1413" s="209"/>
      <c r="H1413" s="209"/>
      <c r="I1413" s="209"/>
      <c r="J1413" s="209"/>
      <c r="K1413" s="209"/>
      <c r="L1413" s="209"/>
      <c r="M1413" s="209"/>
      <c r="N1413" s="209"/>
      <c r="O1413" s="209"/>
      <c r="P1413" s="209"/>
      <c r="Q1413" s="209"/>
      <c r="R1413" s="209"/>
      <c r="S1413" s="209"/>
      <c r="T1413" s="209"/>
      <c r="U1413" s="209"/>
      <c r="V1413" s="209"/>
      <c r="W1413" s="209"/>
      <c r="X1413" s="209"/>
      <c r="Y1413" s="209"/>
      <c r="Z1413" s="209"/>
      <c r="AA1413" s="209"/>
      <c r="AB1413" s="209"/>
      <c r="AC1413" s="209"/>
      <c r="AD1413" s="209"/>
      <c r="AE1413" s="209"/>
      <c r="AF1413" s="209"/>
      <c r="AG1413" s="209"/>
      <c r="AH1413" s="209"/>
      <c r="AI1413" s="209"/>
      <c r="AJ1413" s="209"/>
    </row>
    <row r="1414">
      <c r="A1414" s="209"/>
      <c r="B1414" s="209"/>
      <c r="C1414" s="209"/>
      <c r="D1414" s="209"/>
      <c r="E1414" s="209"/>
      <c r="F1414" s="209"/>
      <c r="G1414" s="209"/>
      <c r="H1414" s="209"/>
      <c r="I1414" s="209"/>
      <c r="J1414" s="209"/>
      <c r="K1414" s="209"/>
      <c r="L1414" s="209"/>
      <c r="M1414" s="209"/>
      <c r="N1414" s="209"/>
      <c r="O1414" s="209"/>
      <c r="P1414" s="209"/>
      <c r="Q1414" s="209"/>
      <c r="R1414" s="209"/>
      <c r="S1414" s="209"/>
      <c r="T1414" s="209"/>
      <c r="U1414" s="209"/>
      <c r="V1414" s="209"/>
      <c r="W1414" s="209"/>
      <c r="X1414" s="209"/>
      <c r="Y1414" s="209"/>
      <c r="Z1414" s="209"/>
      <c r="AA1414" s="209"/>
      <c r="AB1414" s="209"/>
      <c r="AC1414" s="209"/>
      <c r="AD1414" s="209"/>
      <c r="AE1414" s="209"/>
      <c r="AF1414" s="209"/>
      <c r="AG1414" s="209"/>
      <c r="AH1414" s="209"/>
      <c r="AI1414" s="209"/>
      <c r="AJ1414" s="209"/>
    </row>
    <row r="1415">
      <c r="A1415" s="209"/>
      <c r="B1415" s="209"/>
      <c r="C1415" s="209"/>
      <c r="D1415" s="209"/>
      <c r="E1415" s="209"/>
      <c r="F1415" s="209"/>
      <c r="G1415" s="209"/>
      <c r="H1415" s="209"/>
      <c r="I1415" s="209"/>
      <c r="J1415" s="209"/>
      <c r="K1415" s="209"/>
      <c r="L1415" s="209"/>
      <c r="M1415" s="209"/>
      <c r="N1415" s="209"/>
      <c r="O1415" s="209"/>
      <c r="P1415" s="209"/>
      <c r="Q1415" s="209"/>
      <c r="R1415" s="209"/>
      <c r="S1415" s="209"/>
      <c r="T1415" s="209"/>
      <c r="U1415" s="209"/>
      <c r="V1415" s="209"/>
      <c r="W1415" s="209"/>
      <c r="X1415" s="209"/>
      <c r="Y1415" s="209"/>
      <c r="Z1415" s="209"/>
      <c r="AA1415" s="209"/>
      <c r="AB1415" s="209"/>
      <c r="AC1415" s="209"/>
      <c r="AD1415" s="209"/>
      <c r="AE1415" s="209"/>
      <c r="AF1415" s="209"/>
      <c r="AG1415" s="209"/>
      <c r="AH1415" s="209"/>
      <c r="AI1415" s="209"/>
      <c r="AJ1415" s="209"/>
    </row>
    <row r="1416">
      <c r="A1416" s="209"/>
      <c r="B1416" s="209"/>
      <c r="C1416" s="209"/>
      <c r="D1416" s="209"/>
      <c r="E1416" s="209"/>
      <c r="F1416" s="209"/>
      <c r="G1416" s="209"/>
      <c r="H1416" s="209"/>
      <c r="I1416" s="209"/>
      <c r="J1416" s="209"/>
      <c r="K1416" s="209"/>
      <c r="L1416" s="209"/>
      <c r="M1416" s="209"/>
      <c r="N1416" s="209"/>
      <c r="O1416" s="209"/>
      <c r="P1416" s="209"/>
      <c r="Q1416" s="209"/>
      <c r="R1416" s="209"/>
      <c r="S1416" s="209"/>
      <c r="T1416" s="209"/>
      <c r="U1416" s="209"/>
      <c r="V1416" s="209"/>
      <c r="W1416" s="209"/>
      <c r="X1416" s="209"/>
      <c r="Y1416" s="209"/>
      <c r="Z1416" s="209"/>
      <c r="AA1416" s="209"/>
      <c r="AB1416" s="209"/>
      <c r="AC1416" s="209"/>
      <c r="AD1416" s="209"/>
      <c r="AE1416" s="209"/>
      <c r="AF1416" s="209"/>
      <c r="AG1416" s="209"/>
      <c r="AH1416" s="209"/>
      <c r="AI1416" s="209"/>
      <c r="AJ1416" s="209"/>
    </row>
    <row r="1417">
      <c r="A1417" s="209"/>
      <c r="B1417" s="209"/>
      <c r="C1417" s="209"/>
      <c r="D1417" s="209"/>
      <c r="E1417" s="209"/>
      <c r="F1417" s="209"/>
      <c r="G1417" s="209"/>
      <c r="H1417" s="209"/>
      <c r="I1417" s="209"/>
      <c r="J1417" s="209"/>
      <c r="K1417" s="209"/>
      <c r="L1417" s="209"/>
      <c r="M1417" s="209"/>
      <c r="N1417" s="209"/>
      <c r="O1417" s="209"/>
      <c r="P1417" s="209"/>
      <c r="Q1417" s="209"/>
      <c r="R1417" s="209"/>
      <c r="S1417" s="209"/>
      <c r="T1417" s="209"/>
      <c r="U1417" s="209"/>
      <c r="V1417" s="209"/>
      <c r="W1417" s="209"/>
      <c r="X1417" s="209"/>
      <c r="Y1417" s="209"/>
      <c r="Z1417" s="209"/>
      <c r="AA1417" s="209"/>
      <c r="AB1417" s="209"/>
      <c r="AC1417" s="209"/>
      <c r="AD1417" s="209"/>
      <c r="AE1417" s="209"/>
      <c r="AF1417" s="209"/>
      <c r="AG1417" s="209"/>
      <c r="AH1417" s="209"/>
      <c r="AI1417" s="209"/>
      <c r="AJ1417" s="209"/>
    </row>
    <row r="1418">
      <c r="A1418" s="209"/>
      <c r="B1418" s="209"/>
      <c r="C1418" s="209"/>
      <c r="D1418" s="209"/>
      <c r="E1418" s="209"/>
      <c r="F1418" s="209"/>
      <c r="G1418" s="209"/>
      <c r="H1418" s="209"/>
      <c r="I1418" s="209"/>
      <c r="J1418" s="209"/>
      <c r="K1418" s="209"/>
      <c r="L1418" s="209"/>
      <c r="M1418" s="209"/>
      <c r="N1418" s="209"/>
      <c r="O1418" s="209"/>
      <c r="P1418" s="209"/>
      <c r="Q1418" s="209"/>
      <c r="R1418" s="209"/>
      <c r="S1418" s="209"/>
      <c r="T1418" s="209"/>
      <c r="U1418" s="209"/>
      <c r="V1418" s="209"/>
      <c r="W1418" s="209"/>
      <c r="X1418" s="209"/>
      <c r="Y1418" s="209"/>
      <c r="Z1418" s="209"/>
      <c r="AA1418" s="209"/>
      <c r="AB1418" s="209"/>
      <c r="AC1418" s="209"/>
      <c r="AD1418" s="209"/>
      <c r="AE1418" s="209"/>
      <c r="AF1418" s="209"/>
      <c r="AG1418" s="209"/>
      <c r="AH1418" s="209"/>
      <c r="AI1418" s="209"/>
      <c r="AJ1418" s="209"/>
    </row>
    <row r="1419">
      <c r="A1419" s="209"/>
      <c r="B1419" s="209"/>
      <c r="C1419" s="209"/>
      <c r="D1419" s="209"/>
      <c r="E1419" s="209"/>
      <c r="F1419" s="209"/>
      <c r="G1419" s="209"/>
      <c r="H1419" s="209"/>
      <c r="I1419" s="209"/>
      <c r="J1419" s="209"/>
      <c r="K1419" s="209"/>
      <c r="L1419" s="209"/>
      <c r="M1419" s="209"/>
      <c r="N1419" s="209"/>
      <c r="O1419" s="209"/>
      <c r="P1419" s="209"/>
      <c r="Q1419" s="209"/>
      <c r="R1419" s="209"/>
      <c r="S1419" s="209"/>
      <c r="T1419" s="209"/>
      <c r="U1419" s="209"/>
      <c r="V1419" s="209"/>
      <c r="W1419" s="209"/>
      <c r="X1419" s="209"/>
      <c r="Y1419" s="209"/>
      <c r="Z1419" s="209"/>
      <c r="AA1419" s="209"/>
      <c r="AB1419" s="209"/>
      <c r="AC1419" s="209"/>
      <c r="AD1419" s="209"/>
      <c r="AE1419" s="209"/>
      <c r="AF1419" s="209"/>
      <c r="AG1419" s="209"/>
      <c r="AH1419" s="209"/>
      <c r="AI1419" s="209"/>
      <c r="AJ1419" s="209"/>
    </row>
    <row r="1420">
      <c r="A1420" s="209"/>
      <c r="B1420" s="209"/>
      <c r="C1420" s="209"/>
      <c r="D1420" s="209"/>
      <c r="E1420" s="209"/>
      <c r="F1420" s="209"/>
      <c r="G1420" s="209"/>
      <c r="H1420" s="209"/>
      <c r="I1420" s="209"/>
      <c r="J1420" s="209"/>
      <c r="K1420" s="209"/>
      <c r="L1420" s="209"/>
      <c r="M1420" s="209"/>
      <c r="N1420" s="209"/>
      <c r="O1420" s="209"/>
      <c r="P1420" s="209"/>
      <c r="Q1420" s="209"/>
      <c r="R1420" s="209"/>
      <c r="S1420" s="209"/>
      <c r="T1420" s="209"/>
      <c r="U1420" s="209"/>
      <c r="V1420" s="209"/>
      <c r="W1420" s="209"/>
      <c r="X1420" s="209"/>
      <c r="Y1420" s="209"/>
      <c r="Z1420" s="209"/>
      <c r="AA1420" s="209"/>
      <c r="AB1420" s="209"/>
      <c r="AC1420" s="209"/>
      <c r="AD1420" s="209"/>
      <c r="AE1420" s="209"/>
      <c r="AF1420" s="209"/>
      <c r="AG1420" s="209"/>
      <c r="AH1420" s="209"/>
      <c r="AI1420" s="209"/>
      <c r="AJ1420" s="209"/>
    </row>
    <row r="1421">
      <c r="A1421" s="209"/>
      <c r="B1421" s="209"/>
      <c r="C1421" s="209"/>
      <c r="D1421" s="209"/>
      <c r="E1421" s="209"/>
      <c r="F1421" s="209"/>
      <c r="G1421" s="209"/>
      <c r="H1421" s="209"/>
      <c r="I1421" s="209"/>
      <c r="J1421" s="209"/>
      <c r="K1421" s="209"/>
      <c r="L1421" s="209"/>
      <c r="M1421" s="209"/>
      <c r="N1421" s="209"/>
      <c r="O1421" s="209"/>
      <c r="P1421" s="209"/>
      <c r="Q1421" s="209"/>
      <c r="R1421" s="209"/>
      <c r="S1421" s="209"/>
      <c r="T1421" s="209"/>
      <c r="U1421" s="209"/>
      <c r="V1421" s="209"/>
      <c r="W1421" s="209"/>
      <c r="X1421" s="209"/>
      <c r="Y1421" s="209"/>
      <c r="Z1421" s="209"/>
      <c r="AA1421" s="209"/>
      <c r="AB1421" s="209"/>
      <c r="AC1421" s="209"/>
      <c r="AD1421" s="209"/>
      <c r="AE1421" s="209"/>
      <c r="AF1421" s="209"/>
      <c r="AG1421" s="209"/>
      <c r="AH1421" s="209"/>
      <c r="AI1421" s="209"/>
      <c r="AJ1421" s="209"/>
    </row>
    <row r="1422">
      <c r="A1422" s="209"/>
      <c r="B1422" s="209"/>
      <c r="C1422" s="209"/>
      <c r="D1422" s="209"/>
      <c r="E1422" s="209"/>
      <c r="F1422" s="209"/>
      <c r="G1422" s="209"/>
      <c r="H1422" s="209"/>
      <c r="I1422" s="209"/>
      <c r="J1422" s="209"/>
      <c r="K1422" s="209"/>
      <c r="L1422" s="209"/>
      <c r="M1422" s="209"/>
      <c r="N1422" s="209"/>
      <c r="O1422" s="209"/>
      <c r="P1422" s="209"/>
      <c r="Q1422" s="209"/>
      <c r="R1422" s="209"/>
      <c r="S1422" s="209"/>
      <c r="T1422" s="209"/>
      <c r="U1422" s="209"/>
      <c r="V1422" s="209"/>
      <c r="W1422" s="209"/>
      <c r="X1422" s="209"/>
      <c r="Y1422" s="209"/>
      <c r="Z1422" s="209"/>
      <c r="AA1422" s="209"/>
      <c r="AB1422" s="209"/>
      <c r="AC1422" s="209"/>
      <c r="AD1422" s="209"/>
      <c r="AE1422" s="209"/>
      <c r="AF1422" s="209"/>
      <c r="AG1422" s="209"/>
      <c r="AH1422" s="209"/>
      <c r="AI1422" s="209"/>
      <c r="AJ1422" s="209"/>
    </row>
    <row r="1423">
      <c r="A1423" s="209"/>
      <c r="B1423" s="209"/>
      <c r="C1423" s="209"/>
      <c r="D1423" s="209"/>
      <c r="E1423" s="209"/>
      <c r="F1423" s="209"/>
      <c r="G1423" s="209"/>
      <c r="H1423" s="209"/>
      <c r="I1423" s="209"/>
      <c r="J1423" s="209"/>
      <c r="K1423" s="209"/>
      <c r="L1423" s="209"/>
      <c r="M1423" s="209"/>
      <c r="N1423" s="209"/>
      <c r="O1423" s="209"/>
      <c r="P1423" s="209"/>
      <c r="Q1423" s="209"/>
      <c r="R1423" s="209"/>
      <c r="S1423" s="209"/>
      <c r="T1423" s="209"/>
      <c r="U1423" s="209"/>
      <c r="V1423" s="209"/>
      <c r="W1423" s="209"/>
      <c r="X1423" s="209"/>
      <c r="Y1423" s="209"/>
      <c r="Z1423" s="209"/>
      <c r="AA1423" s="209"/>
      <c r="AB1423" s="209"/>
      <c r="AC1423" s="209"/>
      <c r="AD1423" s="209"/>
      <c r="AE1423" s="209"/>
      <c r="AF1423" s="209"/>
      <c r="AG1423" s="209"/>
      <c r="AH1423" s="209"/>
      <c r="AI1423" s="209"/>
      <c r="AJ1423" s="209"/>
    </row>
    <row r="1424">
      <c r="A1424" s="209"/>
      <c r="B1424" s="209"/>
      <c r="C1424" s="209"/>
      <c r="D1424" s="209"/>
      <c r="E1424" s="209"/>
      <c r="F1424" s="209"/>
      <c r="G1424" s="209"/>
      <c r="H1424" s="209"/>
      <c r="I1424" s="209"/>
      <c r="J1424" s="209"/>
      <c r="K1424" s="209"/>
      <c r="L1424" s="209"/>
      <c r="M1424" s="209"/>
      <c r="N1424" s="209"/>
      <c r="O1424" s="209"/>
      <c r="P1424" s="209"/>
      <c r="Q1424" s="209"/>
      <c r="R1424" s="209"/>
      <c r="S1424" s="209"/>
      <c r="T1424" s="209"/>
      <c r="U1424" s="209"/>
      <c r="V1424" s="209"/>
      <c r="W1424" s="209"/>
      <c r="X1424" s="209"/>
      <c r="Y1424" s="209"/>
      <c r="Z1424" s="209"/>
      <c r="AA1424" s="209"/>
      <c r="AB1424" s="209"/>
      <c r="AC1424" s="209"/>
      <c r="AD1424" s="209"/>
      <c r="AE1424" s="209"/>
      <c r="AF1424" s="209"/>
      <c r="AG1424" s="209"/>
      <c r="AH1424" s="209"/>
      <c r="AI1424" s="209"/>
      <c r="AJ1424" s="209"/>
    </row>
    <row r="1425">
      <c r="A1425" s="209"/>
      <c r="B1425" s="209"/>
      <c r="C1425" s="209"/>
      <c r="D1425" s="209"/>
      <c r="E1425" s="209"/>
      <c r="F1425" s="209"/>
      <c r="G1425" s="209"/>
      <c r="H1425" s="209"/>
      <c r="I1425" s="209"/>
      <c r="J1425" s="209"/>
      <c r="K1425" s="209"/>
      <c r="L1425" s="209"/>
      <c r="M1425" s="209"/>
      <c r="N1425" s="209"/>
      <c r="O1425" s="209"/>
      <c r="P1425" s="209"/>
      <c r="Q1425" s="209"/>
      <c r="R1425" s="209"/>
      <c r="S1425" s="209"/>
      <c r="T1425" s="209"/>
      <c r="U1425" s="209"/>
      <c r="V1425" s="209"/>
      <c r="W1425" s="209"/>
      <c r="X1425" s="209"/>
      <c r="Y1425" s="209"/>
      <c r="Z1425" s="209"/>
      <c r="AA1425" s="209"/>
      <c r="AB1425" s="209"/>
      <c r="AC1425" s="209"/>
      <c r="AD1425" s="209"/>
      <c r="AE1425" s="209"/>
      <c r="AF1425" s="209"/>
      <c r="AG1425" s="209"/>
      <c r="AH1425" s="209"/>
      <c r="AI1425" s="209"/>
      <c r="AJ1425" s="209"/>
    </row>
    <row r="1426">
      <c r="A1426" s="209"/>
      <c r="B1426" s="209"/>
      <c r="C1426" s="209"/>
      <c r="D1426" s="209"/>
      <c r="E1426" s="209"/>
      <c r="F1426" s="209"/>
      <c r="G1426" s="209"/>
      <c r="H1426" s="209"/>
      <c r="I1426" s="209"/>
      <c r="J1426" s="209"/>
      <c r="K1426" s="209"/>
      <c r="L1426" s="209"/>
      <c r="M1426" s="209"/>
      <c r="N1426" s="209"/>
      <c r="O1426" s="209"/>
      <c r="P1426" s="209"/>
      <c r="Q1426" s="209"/>
      <c r="R1426" s="209"/>
      <c r="S1426" s="209"/>
      <c r="T1426" s="209"/>
      <c r="U1426" s="209"/>
      <c r="V1426" s="209"/>
      <c r="W1426" s="209"/>
      <c r="X1426" s="209"/>
      <c r="Y1426" s="209"/>
      <c r="Z1426" s="209"/>
      <c r="AA1426" s="209"/>
      <c r="AB1426" s="209"/>
      <c r="AC1426" s="209"/>
      <c r="AD1426" s="209"/>
      <c r="AE1426" s="209"/>
      <c r="AF1426" s="209"/>
      <c r="AG1426" s="209"/>
      <c r="AH1426" s="209"/>
      <c r="AI1426" s="209"/>
      <c r="AJ1426" s="209"/>
    </row>
    <row r="1427">
      <c r="A1427" s="209"/>
      <c r="B1427" s="209"/>
      <c r="C1427" s="209"/>
      <c r="D1427" s="209"/>
      <c r="E1427" s="209"/>
      <c r="F1427" s="209"/>
      <c r="G1427" s="209"/>
      <c r="H1427" s="209"/>
      <c r="I1427" s="209"/>
      <c r="J1427" s="209"/>
      <c r="K1427" s="209"/>
      <c r="L1427" s="209"/>
      <c r="M1427" s="209"/>
      <c r="N1427" s="209"/>
      <c r="O1427" s="209"/>
      <c r="P1427" s="209"/>
      <c r="Q1427" s="209"/>
      <c r="R1427" s="209"/>
      <c r="S1427" s="209"/>
      <c r="T1427" s="209"/>
      <c r="U1427" s="209"/>
      <c r="V1427" s="209"/>
      <c r="W1427" s="209"/>
      <c r="X1427" s="209"/>
      <c r="Y1427" s="209"/>
      <c r="Z1427" s="209"/>
      <c r="AA1427" s="209"/>
      <c r="AB1427" s="209"/>
      <c r="AC1427" s="209"/>
      <c r="AD1427" s="209"/>
      <c r="AE1427" s="209"/>
      <c r="AF1427" s="209"/>
      <c r="AG1427" s="209"/>
      <c r="AH1427" s="209"/>
      <c r="AI1427" s="209"/>
      <c r="AJ1427" s="209"/>
    </row>
    <row r="1428">
      <c r="A1428" s="209"/>
      <c r="B1428" s="209"/>
      <c r="C1428" s="209"/>
      <c r="D1428" s="209"/>
      <c r="E1428" s="209"/>
      <c r="F1428" s="209"/>
      <c r="G1428" s="209"/>
      <c r="H1428" s="209"/>
      <c r="I1428" s="209"/>
      <c r="J1428" s="209"/>
      <c r="K1428" s="209"/>
      <c r="L1428" s="209"/>
      <c r="M1428" s="209"/>
      <c r="N1428" s="209"/>
      <c r="O1428" s="209"/>
      <c r="P1428" s="209"/>
      <c r="Q1428" s="209"/>
      <c r="R1428" s="209"/>
      <c r="S1428" s="209"/>
      <c r="T1428" s="209"/>
      <c r="U1428" s="209"/>
      <c r="V1428" s="209"/>
      <c r="W1428" s="209"/>
      <c r="X1428" s="209"/>
      <c r="Y1428" s="209"/>
      <c r="Z1428" s="209"/>
      <c r="AA1428" s="209"/>
      <c r="AB1428" s="209"/>
      <c r="AC1428" s="209"/>
      <c r="AD1428" s="209"/>
      <c r="AE1428" s="209"/>
      <c r="AF1428" s="209"/>
      <c r="AG1428" s="209"/>
      <c r="AH1428" s="209"/>
      <c r="AI1428" s="209"/>
      <c r="AJ1428" s="209"/>
    </row>
    <row r="1429">
      <c r="A1429" s="209"/>
      <c r="B1429" s="209"/>
      <c r="C1429" s="209"/>
      <c r="D1429" s="209"/>
      <c r="E1429" s="209"/>
      <c r="F1429" s="209"/>
      <c r="G1429" s="209"/>
      <c r="H1429" s="209"/>
      <c r="I1429" s="209"/>
      <c r="J1429" s="209"/>
      <c r="K1429" s="209"/>
      <c r="L1429" s="209"/>
      <c r="M1429" s="209"/>
      <c r="N1429" s="209"/>
      <c r="O1429" s="209"/>
      <c r="P1429" s="209"/>
      <c r="Q1429" s="209"/>
      <c r="R1429" s="209"/>
      <c r="S1429" s="209"/>
      <c r="T1429" s="209"/>
      <c r="U1429" s="209"/>
      <c r="V1429" s="209"/>
      <c r="W1429" s="209"/>
      <c r="X1429" s="209"/>
      <c r="Y1429" s="209"/>
      <c r="Z1429" s="209"/>
      <c r="AA1429" s="209"/>
      <c r="AB1429" s="209"/>
      <c r="AC1429" s="209"/>
      <c r="AD1429" s="209"/>
      <c r="AE1429" s="209"/>
      <c r="AF1429" s="209"/>
      <c r="AG1429" s="209"/>
      <c r="AH1429" s="209"/>
      <c r="AI1429" s="209"/>
      <c r="AJ1429" s="209"/>
    </row>
    <row r="1430">
      <c r="A1430" s="209"/>
      <c r="B1430" s="209"/>
      <c r="C1430" s="209"/>
      <c r="D1430" s="209"/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209"/>
      <c r="P1430" s="209"/>
      <c r="Q1430" s="209"/>
      <c r="R1430" s="209"/>
      <c r="S1430" s="209"/>
      <c r="T1430" s="209"/>
      <c r="U1430" s="209"/>
      <c r="V1430" s="209"/>
      <c r="W1430" s="209"/>
      <c r="X1430" s="209"/>
      <c r="Y1430" s="209"/>
      <c r="Z1430" s="209"/>
      <c r="AA1430" s="209"/>
      <c r="AB1430" s="209"/>
      <c r="AC1430" s="209"/>
      <c r="AD1430" s="209"/>
      <c r="AE1430" s="209"/>
      <c r="AF1430" s="209"/>
      <c r="AG1430" s="209"/>
      <c r="AH1430" s="209"/>
      <c r="AI1430" s="209"/>
      <c r="AJ1430" s="209"/>
    </row>
    <row r="1431">
      <c r="A1431" s="209"/>
      <c r="B1431" s="209"/>
      <c r="C1431" s="209"/>
      <c r="D1431" s="209"/>
      <c r="E1431" s="209"/>
      <c r="F1431" s="209"/>
      <c r="G1431" s="209"/>
      <c r="H1431" s="209"/>
      <c r="I1431" s="209"/>
      <c r="J1431" s="209"/>
      <c r="K1431" s="209"/>
      <c r="L1431" s="209"/>
      <c r="M1431" s="209"/>
      <c r="N1431" s="209"/>
      <c r="O1431" s="209"/>
      <c r="P1431" s="209"/>
      <c r="Q1431" s="209"/>
      <c r="R1431" s="209"/>
      <c r="S1431" s="209"/>
      <c r="T1431" s="209"/>
      <c r="U1431" s="209"/>
      <c r="V1431" s="209"/>
      <c r="W1431" s="209"/>
      <c r="X1431" s="209"/>
      <c r="Y1431" s="209"/>
      <c r="Z1431" s="209"/>
      <c r="AA1431" s="209"/>
      <c r="AB1431" s="209"/>
      <c r="AC1431" s="209"/>
      <c r="AD1431" s="209"/>
      <c r="AE1431" s="209"/>
      <c r="AF1431" s="209"/>
      <c r="AG1431" s="209"/>
      <c r="AH1431" s="209"/>
      <c r="AI1431" s="209"/>
      <c r="AJ1431" s="209"/>
    </row>
    <row r="1432">
      <c r="A1432" s="209"/>
      <c r="B1432" s="209"/>
      <c r="C1432" s="209"/>
      <c r="D1432" s="209"/>
      <c r="E1432" s="209"/>
      <c r="F1432" s="209"/>
      <c r="G1432" s="209"/>
      <c r="H1432" s="209"/>
      <c r="I1432" s="209"/>
      <c r="J1432" s="209"/>
      <c r="K1432" s="209"/>
      <c r="L1432" s="209"/>
      <c r="M1432" s="209"/>
      <c r="N1432" s="209"/>
      <c r="O1432" s="209"/>
      <c r="P1432" s="209"/>
      <c r="Q1432" s="209"/>
      <c r="R1432" s="209"/>
      <c r="S1432" s="209"/>
      <c r="T1432" s="209"/>
      <c r="U1432" s="209"/>
      <c r="V1432" s="209"/>
      <c r="W1432" s="209"/>
      <c r="X1432" s="209"/>
      <c r="Y1432" s="209"/>
      <c r="Z1432" s="209"/>
      <c r="AA1432" s="209"/>
      <c r="AB1432" s="209"/>
      <c r="AC1432" s="209"/>
      <c r="AD1432" s="209"/>
      <c r="AE1432" s="209"/>
      <c r="AF1432" s="209"/>
      <c r="AG1432" s="209"/>
      <c r="AH1432" s="209"/>
      <c r="AI1432" s="209"/>
      <c r="AJ1432" s="209"/>
    </row>
    <row r="1433">
      <c r="A1433" s="209"/>
      <c r="B1433" s="209"/>
      <c r="C1433" s="209"/>
      <c r="D1433" s="209"/>
      <c r="E1433" s="209"/>
      <c r="F1433" s="209"/>
      <c r="G1433" s="209"/>
      <c r="H1433" s="209"/>
      <c r="I1433" s="209"/>
      <c r="J1433" s="209"/>
      <c r="K1433" s="209"/>
      <c r="L1433" s="209"/>
      <c r="M1433" s="209"/>
      <c r="N1433" s="209"/>
      <c r="O1433" s="209"/>
      <c r="P1433" s="209"/>
      <c r="Q1433" s="209"/>
      <c r="R1433" s="209"/>
      <c r="S1433" s="209"/>
      <c r="T1433" s="209"/>
      <c r="U1433" s="209"/>
      <c r="V1433" s="209"/>
      <c r="W1433" s="209"/>
      <c r="X1433" s="209"/>
      <c r="Y1433" s="209"/>
      <c r="Z1433" s="209"/>
      <c r="AA1433" s="209"/>
      <c r="AB1433" s="209"/>
      <c r="AC1433" s="209"/>
      <c r="AD1433" s="209"/>
      <c r="AE1433" s="209"/>
      <c r="AF1433" s="209"/>
      <c r="AG1433" s="209"/>
      <c r="AH1433" s="209"/>
      <c r="AI1433" s="209"/>
      <c r="AJ1433" s="209"/>
    </row>
    <row r="1434">
      <c r="A1434" s="209"/>
      <c r="B1434" s="209"/>
      <c r="C1434" s="209"/>
      <c r="D1434" s="209"/>
      <c r="E1434" s="209"/>
      <c r="F1434" s="209"/>
      <c r="G1434" s="209"/>
      <c r="H1434" s="209"/>
      <c r="I1434" s="209"/>
      <c r="J1434" s="209"/>
      <c r="K1434" s="209"/>
      <c r="L1434" s="209"/>
      <c r="M1434" s="209"/>
      <c r="N1434" s="209"/>
      <c r="O1434" s="209"/>
      <c r="P1434" s="209"/>
      <c r="Q1434" s="209"/>
      <c r="R1434" s="209"/>
      <c r="S1434" s="209"/>
      <c r="T1434" s="209"/>
      <c r="U1434" s="209"/>
      <c r="V1434" s="209"/>
      <c r="W1434" s="209"/>
      <c r="X1434" s="209"/>
      <c r="Y1434" s="209"/>
      <c r="Z1434" s="209"/>
      <c r="AA1434" s="209"/>
      <c r="AB1434" s="209"/>
      <c r="AC1434" s="209"/>
      <c r="AD1434" s="209"/>
      <c r="AE1434" s="209"/>
      <c r="AF1434" s="209"/>
      <c r="AG1434" s="209"/>
      <c r="AH1434" s="209"/>
      <c r="AI1434" s="209"/>
      <c r="AJ1434" s="209"/>
    </row>
    <row r="1435">
      <c r="A1435" s="209"/>
      <c r="B1435" s="209"/>
      <c r="C1435" s="209"/>
      <c r="D1435" s="209"/>
      <c r="E1435" s="209"/>
      <c r="F1435" s="209"/>
      <c r="G1435" s="209"/>
      <c r="H1435" s="209"/>
      <c r="I1435" s="209"/>
      <c r="J1435" s="209"/>
      <c r="K1435" s="209"/>
      <c r="L1435" s="209"/>
      <c r="M1435" s="209"/>
      <c r="N1435" s="209"/>
      <c r="O1435" s="209"/>
      <c r="P1435" s="209"/>
      <c r="Q1435" s="209"/>
      <c r="R1435" s="209"/>
      <c r="S1435" s="209"/>
      <c r="T1435" s="209"/>
      <c r="U1435" s="209"/>
      <c r="V1435" s="209"/>
      <c r="W1435" s="209"/>
      <c r="X1435" s="209"/>
      <c r="Y1435" s="209"/>
      <c r="Z1435" s="209"/>
      <c r="AA1435" s="209"/>
      <c r="AB1435" s="209"/>
      <c r="AC1435" s="209"/>
      <c r="AD1435" s="209"/>
      <c r="AE1435" s="209"/>
      <c r="AF1435" s="209"/>
      <c r="AG1435" s="209"/>
      <c r="AH1435" s="209"/>
      <c r="AI1435" s="209"/>
      <c r="AJ1435" s="209"/>
    </row>
    <row r="1436">
      <c r="A1436" s="209"/>
      <c r="B1436" s="209"/>
      <c r="C1436" s="209"/>
      <c r="D1436" s="209"/>
      <c r="E1436" s="209"/>
      <c r="F1436" s="209"/>
      <c r="G1436" s="209"/>
      <c r="H1436" s="209"/>
      <c r="I1436" s="209"/>
      <c r="J1436" s="209"/>
      <c r="K1436" s="209"/>
      <c r="L1436" s="209"/>
      <c r="M1436" s="209"/>
      <c r="N1436" s="209"/>
      <c r="O1436" s="209"/>
      <c r="P1436" s="209"/>
      <c r="Q1436" s="209"/>
      <c r="R1436" s="209"/>
      <c r="S1436" s="209"/>
      <c r="T1436" s="209"/>
      <c r="U1436" s="209"/>
      <c r="V1436" s="209"/>
      <c r="W1436" s="209"/>
      <c r="X1436" s="209"/>
      <c r="Y1436" s="209"/>
      <c r="Z1436" s="209"/>
      <c r="AA1436" s="209"/>
      <c r="AB1436" s="209"/>
      <c r="AC1436" s="209"/>
      <c r="AD1436" s="209"/>
      <c r="AE1436" s="209"/>
      <c r="AF1436" s="209"/>
      <c r="AG1436" s="209"/>
      <c r="AH1436" s="209"/>
      <c r="AI1436" s="209"/>
      <c r="AJ1436" s="209"/>
    </row>
    <row r="1437">
      <c r="A1437" s="209"/>
      <c r="B1437" s="209"/>
      <c r="C1437" s="209"/>
      <c r="D1437" s="209"/>
      <c r="E1437" s="209"/>
      <c r="F1437" s="209"/>
      <c r="G1437" s="209"/>
      <c r="H1437" s="209"/>
      <c r="I1437" s="209"/>
      <c r="J1437" s="209"/>
      <c r="K1437" s="209"/>
      <c r="L1437" s="209"/>
      <c r="M1437" s="209"/>
      <c r="N1437" s="209"/>
      <c r="O1437" s="209"/>
      <c r="P1437" s="209"/>
      <c r="Q1437" s="209"/>
      <c r="R1437" s="209"/>
      <c r="S1437" s="209"/>
      <c r="T1437" s="209"/>
      <c r="U1437" s="209"/>
      <c r="V1437" s="209"/>
      <c r="W1437" s="209"/>
      <c r="X1437" s="209"/>
      <c r="Y1437" s="209"/>
      <c r="Z1437" s="209"/>
      <c r="AA1437" s="209"/>
      <c r="AB1437" s="209"/>
      <c r="AC1437" s="209"/>
      <c r="AD1437" s="209"/>
      <c r="AE1437" s="209"/>
      <c r="AF1437" s="209"/>
      <c r="AG1437" s="209"/>
      <c r="AH1437" s="209"/>
      <c r="AI1437" s="209"/>
      <c r="AJ1437" s="209"/>
    </row>
    <row r="1438">
      <c r="A1438" s="209"/>
      <c r="B1438" s="209"/>
      <c r="C1438" s="209"/>
      <c r="D1438" s="209"/>
      <c r="E1438" s="209"/>
      <c r="F1438" s="209"/>
      <c r="G1438" s="209"/>
      <c r="H1438" s="209"/>
      <c r="I1438" s="209"/>
      <c r="J1438" s="209"/>
      <c r="K1438" s="209"/>
      <c r="L1438" s="209"/>
      <c r="M1438" s="209"/>
      <c r="N1438" s="209"/>
      <c r="O1438" s="209"/>
      <c r="P1438" s="209"/>
      <c r="Q1438" s="209"/>
      <c r="R1438" s="209"/>
      <c r="S1438" s="209"/>
      <c r="T1438" s="209"/>
      <c r="U1438" s="209"/>
      <c r="V1438" s="209"/>
      <c r="W1438" s="209"/>
      <c r="X1438" s="209"/>
      <c r="Y1438" s="209"/>
      <c r="Z1438" s="209"/>
      <c r="AA1438" s="209"/>
      <c r="AB1438" s="209"/>
      <c r="AC1438" s="209"/>
      <c r="AD1438" s="209"/>
      <c r="AE1438" s="209"/>
      <c r="AF1438" s="209"/>
      <c r="AG1438" s="209"/>
      <c r="AH1438" s="209"/>
      <c r="AI1438" s="209"/>
      <c r="AJ1438" s="209"/>
    </row>
    <row r="1439">
      <c r="A1439" s="209"/>
      <c r="B1439" s="209"/>
      <c r="C1439" s="209"/>
      <c r="D1439" s="209"/>
      <c r="E1439" s="209"/>
      <c r="F1439" s="209"/>
      <c r="G1439" s="209"/>
      <c r="H1439" s="209"/>
      <c r="I1439" s="209"/>
      <c r="J1439" s="209"/>
      <c r="K1439" s="209"/>
      <c r="L1439" s="209"/>
      <c r="M1439" s="209"/>
      <c r="N1439" s="209"/>
      <c r="O1439" s="209"/>
      <c r="P1439" s="209"/>
      <c r="Q1439" s="209"/>
      <c r="R1439" s="209"/>
      <c r="S1439" s="209"/>
      <c r="T1439" s="209"/>
      <c r="U1439" s="209"/>
      <c r="V1439" s="209"/>
      <c r="W1439" s="209"/>
      <c r="X1439" s="209"/>
      <c r="Y1439" s="209"/>
      <c r="Z1439" s="209"/>
      <c r="AA1439" s="209"/>
      <c r="AB1439" s="209"/>
      <c r="AC1439" s="209"/>
      <c r="AD1439" s="209"/>
      <c r="AE1439" s="209"/>
      <c r="AF1439" s="209"/>
      <c r="AG1439" s="209"/>
      <c r="AH1439" s="209"/>
      <c r="AI1439" s="209"/>
      <c r="AJ1439" s="209"/>
    </row>
    <row r="1440">
      <c r="A1440" s="209"/>
      <c r="B1440" s="209"/>
      <c r="C1440" s="209"/>
      <c r="D1440" s="209"/>
      <c r="E1440" s="209"/>
      <c r="F1440" s="209"/>
      <c r="G1440" s="209"/>
      <c r="H1440" s="209"/>
      <c r="I1440" s="209"/>
      <c r="J1440" s="209"/>
      <c r="K1440" s="209"/>
      <c r="L1440" s="209"/>
      <c r="M1440" s="209"/>
      <c r="N1440" s="209"/>
      <c r="O1440" s="209"/>
      <c r="P1440" s="209"/>
      <c r="Q1440" s="209"/>
      <c r="R1440" s="209"/>
      <c r="S1440" s="209"/>
      <c r="T1440" s="209"/>
      <c r="U1440" s="209"/>
      <c r="V1440" s="209"/>
      <c r="W1440" s="209"/>
      <c r="X1440" s="209"/>
      <c r="Y1440" s="209"/>
      <c r="Z1440" s="209"/>
      <c r="AA1440" s="209"/>
      <c r="AB1440" s="209"/>
      <c r="AC1440" s="209"/>
      <c r="AD1440" s="209"/>
      <c r="AE1440" s="209"/>
      <c r="AF1440" s="209"/>
      <c r="AG1440" s="209"/>
      <c r="AH1440" s="209"/>
      <c r="AI1440" s="209"/>
      <c r="AJ1440" s="209"/>
    </row>
    <row r="1441">
      <c r="A1441" s="209"/>
      <c r="B1441" s="209"/>
      <c r="C1441" s="209"/>
      <c r="D1441" s="209"/>
      <c r="E1441" s="209"/>
      <c r="F1441" s="209"/>
      <c r="G1441" s="209"/>
      <c r="H1441" s="209"/>
      <c r="I1441" s="209"/>
      <c r="J1441" s="209"/>
      <c r="K1441" s="209"/>
      <c r="L1441" s="209"/>
      <c r="M1441" s="209"/>
      <c r="N1441" s="209"/>
      <c r="O1441" s="209"/>
      <c r="P1441" s="209"/>
      <c r="Q1441" s="209"/>
      <c r="R1441" s="209"/>
      <c r="S1441" s="209"/>
      <c r="T1441" s="209"/>
      <c r="U1441" s="209"/>
      <c r="V1441" s="209"/>
      <c r="W1441" s="209"/>
      <c r="X1441" s="209"/>
      <c r="Y1441" s="209"/>
      <c r="Z1441" s="209"/>
      <c r="AA1441" s="209"/>
      <c r="AB1441" s="209"/>
      <c r="AC1441" s="209"/>
      <c r="AD1441" s="209"/>
      <c r="AE1441" s="209"/>
      <c r="AF1441" s="209"/>
      <c r="AG1441" s="209"/>
      <c r="AH1441" s="209"/>
      <c r="AI1441" s="209"/>
      <c r="AJ1441" s="209"/>
    </row>
    <row r="1442">
      <c r="A1442" s="209"/>
      <c r="B1442" s="209"/>
      <c r="C1442" s="209"/>
      <c r="D1442" s="209"/>
      <c r="E1442" s="209"/>
      <c r="F1442" s="209"/>
      <c r="G1442" s="209"/>
      <c r="H1442" s="209"/>
      <c r="I1442" s="209"/>
      <c r="J1442" s="209"/>
      <c r="K1442" s="209"/>
      <c r="L1442" s="209"/>
      <c r="M1442" s="209"/>
      <c r="N1442" s="209"/>
      <c r="O1442" s="209"/>
      <c r="P1442" s="209"/>
      <c r="Q1442" s="209"/>
      <c r="R1442" s="209"/>
      <c r="S1442" s="209"/>
      <c r="T1442" s="209"/>
      <c r="U1442" s="209"/>
      <c r="V1442" s="209"/>
      <c r="W1442" s="209"/>
      <c r="X1442" s="209"/>
      <c r="Y1442" s="209"/>
      <c r="Z1442" s="209"/>
      <c r="AA1442" s="209"/>
      <c r="AB1442" s="209"/>
      <c r="AC1442" s="209"/>
      <c r="AD1442" s="209"/>
      <c r="AE1442" s="209"/>
      <c r="AF1442" s="209"/>
      <c r="AG1442" s="209"/>
      <c r="AH1442" s="209"/>
      <c r="AI1442" s="209"/>
      <c r="AJ1442" s="209"/>
    </row>
    <row r="1443">
      <c r="A1443" s="209"/>
      <c r="B1443" s="209"/>
      <c r="C1443" s="209"/>
      <c r="D1443" s="209"/>
      <c r="E1443" s="209"/>
      <c r="F1443" s="209"/>
      <c r="G1443" s="209"/>
      <c r="H1443" s="209"/>
      <c r="I1443" s="209"/>
      <c r="J1443" s="209"/>
      <c r="K1443" s="209"/>
      <c r="L1443" s="209"/>
      <c r="M1443" s="209"/>
      <c r="N1443" s="209"/>
      <c r="O1443" s="209"/>
      <c r="P1443" s="209"/>
      <c r="Q1443" s="209"/>
      <c r="R1443" s="209"/>
      <c r="S1443" s="209"/>
      <c r="T1443" s="209"/>
      <c r="U1443" s="209"/>
      <c r="V1443" s="209"/>
      <c r="W1443" s="209"/>
      <c r="X1443" s="209"/>
      <c r="Y1443" s="209"/>
      <c r="Z1443" s="209"/>
      <c r="AA1443" s="209"/>
      <c r="AB1443" s="209"/>
      <c r="AC1443" s="209"/>
      <c r="AD1443" s="209"/>
      <c r="AE1443" s="209"/>
      <c r="AF1443" s="209"/>
      <c r="AG1443" s="209"/>
      <c r="AH1443" s="209"/>
      <c r="AI1443" s="209"/>
      <c r="AJ1443" s="209"/>
    </row>
    <row r="1444">
      <c r="A1444" s="209"/>
      <c r="B1444" s="209"/>
      <c r="C1444" s="209"/>
      <c r="D1444" s="209"/>
      <c r="E1444" s="209"/>
      <c r="F1444" s="209"/>
      <c r="G1444" s="209"/>
      <c r="H1444" s="209"/>
      <c r="I1444" s="209"/>
      <c r="J1444" s="209"/>
      <c r="K1444" s="209"/>
      <c r="L1444" s="209"/>
      <c r="M1444" s="209"/>
      <c r="N1444" s="209"/>
      <c r="O1444" s="209"/>
      <c r="P1444" s="209"/>
      <c r="Q1444" s="209"/>
      <c r="R1444" s="209"/>
      <c r="S1444" s="209"/>
      <c r="T1444" s="209"/>
      <c r="U1444" s="209"/>
      <c r="V1444" s="209"/>
      <c r="W1444" s="209"/>
      <c r="X1444" s="209"/>
      <c r="Y1444" s="209"/>
      <c r="Z1444" s="209"/>
      <c r="AA1444" s="209"/>
      <c r="AB1444" s="209"/>
      <c r="AC1444" s="209"/>
      <c r="AD1444" s="209"/>
      <c r="AE1444" s="209"/>
      <c r="AF1444" s="209"/>
      <c r="AG1444" s="209"/>
      <c r="AH1444" s="209"/>
      <c r="AI1444" s="209"/>
      <c r="AJ1444" s="209"/>
    </row>
    <row r="1445">
      <c r="A1445" s="209"/>
      <c r="B1445" s="209"/>
      <c r="C1445" s="209"/>
      <c r="D1445" s="209"/>
      <c r="E1445" s="209"/>
      <c r="F1445" s="209"/>
      <c r="G1445" s="209"/>
      <c r="H1445" s="209"/>
      <c r="I1445" s="209"/>
      <c r="J1445" s="209"/>
      <c r="K1445" s="209"/>
      <c r="L1445" s="209"/>
      <c r="M1445" s="209"/>
      <c r="N1445" s="209"/>
      <c r="O1445" s="209"/>
      <c r="P1445" s="209"/>
      <c r="Q1445" s="209"/>
      <c r="R1445" s="209"/>
      <c r="S1445" s="209"/>
      <c r="T1445" s="209"/>
      <c r="U1445" s="209"/>
      <c r="V1445" s="209"/>
      <c r="W1445" s="209"/>
      <c r="X1445" s="209"/>
      <c r="Y1445" s="209"/>
      <c r="Z1445" s="209"/>
      <c r="AA1445" s="209"/>
      <c r="AB1445" s="209"/>
      <c r="AC1445" s="209"/>
      <c r="AD1445" s="209"/>
      <c r="AE1445" s="209"/>
      <c r="AF1445" s="209"/>
      <c r="AG1445" s="209"/>
      <c r="AH1445" s="209"/>
      <c r="AI1445" s="209"/>
      <c r="AJ1445" s="209"/>
    </row>
    <row r="1446">
      <c r="A1446" s="209"/>
      <c r="B1446" s="209"/>
      <c r="C1446" s="209"/>
      <c r="D1446" s="209"/>
      <c r="E1446" s="209"/>
      <c r="F1446" s="209"/>
      <c r="G1446" s="209"/>
      <c r="H1446" s="209"/>
      <c r="I1446" s="209"/>
      <c r="J1446" s="209"/>
      <c r="K1446" s="209"/>
      <c r="L1446" s="209"/>
      <c r="M1446" s="209"/>
      <c r="N1446" s="209"/>
      <c r="O1446" s="209"/>
      <c r="P1446" s="209"/>
      <c r="Q1446" s="209"/>
      <c r="R1446" s="209"/>
      <c r="S1446" s="209"/>
      <c r="T1446" s="209"/>
      <c r="U1446" s="209"/>
      <c r="V1446" s="209"/>
      <c r="W1446" s="209"/>
      <c r="X1446" s="209"/>
      <c r="Y1446" s="209"/>
      <c r="Z1446" s="209"/>
      <c r="AA1446" s="209"/>
      <c r="AB1446" s="209"/>
      <c r="AC1446" s="209"/>
      <c r="AD1446" s="209"/>
      <c r="AE1446" s="209"/>
      <c r="AF1446" s="209"/>
      <c r="AG1446" s="209"/>
      <c r="AH1446" s="209"/>
      <c r="AI1446" s="209"/>
      <c r="AJ1446" s="209"/>
    </row>
    <row r="1447">
      <c r="A1447" s="209"/>
      <c r="B1447" s="209"/>
      <c r="C1447" s="209"/>
      <c r="D1447" s="209"/>
      <c r="E1447" s="209"/>
      <c r="F1447" s="209"/>
      <c r="G1447" s="209"/>
      <c r="H1447" s="209"/>
      <c r="I1447" s="209"/>
      <c r="J1447" s="209"/>
      <c r="K1447" s="209"/>
      <c r="L1447" s="209"/>
      <c r="M1447" s="209"/>
      <c r="N1447" s="209"/>
      <c r="O1447" s="209"/>
      <c r="P1447" s="209"/>
      <c r="Q1447" s="209"/>
      <c r="R1447" s="209"/>
      <c r="S1447" s="209"/>
      <c r="T1447" s="209"/>
      <c r="U1447" s="209"/>
      <c r="V1447" s="209"/>
      <c r="W1447" s="209"/>
      <c r="X1447" s="209"/>
      <c r="Y1447" s="209"/>
      <c r="Z1447" s="209"/>
      <c r="AA1447" s="209"/>
      <c r="AB1447" s="209"/>
      <c r="AC1447" s="209"/>
      <c r="AD1447" s="209"/>
      <c r="AE1447" s="209"/>
      <c r="AF1447" s="209"/>
      <c r="AG1447" s="209"/>
      <c r="AH1447" s="209"/>
      <c r="AI1447" s="209"/>
      <c r="AJ1447" s="209"/>
    </row>
    <row r="1448">
      <c r="A1448" s="209"/>
      <c r="B1448" s="209"/>
      <c r="C1448" s="209"/>
      <c r="D1448" s="209"/>
      <c r="E1448" s="209"/>
      <c r="F1448" s="209"/>
      <c r="G1448" s="209"/>
      <c r="H1448" s="209"/>
      <c r="I1448" s="209"/>
      <c r="J1448" s="209"/>
      <c r="K1448" s="209"/>
      <c r="L1448" s="209"/>
      <c r="M1448" s="209"/>
      <c r="N1448" s="209"/>
      <c r="O1448" s="209"/>
      <c r="P1448" s="209"/>
      <c r="Q1448" s="209"/>
      <c r="R1448" s="209"/>
      <c r="S1448" s="209"/>
      <c r="T1448" s="209"/>
      <c r="U1448" s="209"/>
      <c r="V1448" s="209"/>
      <c r="W1448" s="209"/>
      <c r="X1448" s="209"/>
      <c r="Y1448" s="209"/>
      <c r="Z1448" s="209"/>
      <c r="AA1448" s="209"/>
      <c r="AB1448" s="209"/>
      <c r="AC1448" s="209"/>
      <c r="AD1448" s="209"/>
      <c r="AE1448" s="209"/>
      <c r="AF1448" s="209"/>
      <c r="AG1448" s="209"/>
      <c r="AH1448" s="209"/>
      <c r="AI1448" s="209"/>
      <c r="AJ1448" s="209"/>
    </row>
    <row r="1449">
      <c r="A1449" s="209"/>
      <c r="B1449" s="209"/>
      <c r="C1449" s="209"/>
      <c r="D1449" s="209"/>
      <c r="E1449" s="209"/>
      <c r="F1449" s="209"/>
      <c r="G1449" s="209"/>
      <c r="H1449" s="209"/>
      <c r="I1449" s="209"/>
      <c r="J1449" s="209"/>
      <c r="K1449" s="209"/>
      <c r="L1449" s="209"/>
      <c r="M1449" s="209"/>
      <c r="N1449" s="209"/>
      <c r="O1449" s="209"/>
      <c r="P1449" s="209"/>
      <c r="Q1449" s="209"/>
      <c r="R1449" s="209"/>
      <c r="S1449" s="209"/>
      <c r="T1449" s="209"/>
      <c r="U1449" s="209"/>
      <c r="V1449" s="209"/>
      <c r="W1449" s="209"/>
      <c r="X1449" s="209"/>
      <c r="Y1449" s="209"/>
      <c r="Z1449" s="209"/>
      <c r="AA1449" s="209"/>
      <c r="AB1449" s="209"/>
      <c r="AC1449" s="209"/>
      <c r="AD1449" s="209"/>
      <c r="AE1449" s="209"/>
      <c r="AF1449" s="209"/>
      <c r="AG1449" s="209"/>
      <c r="AH1449" s="209"/>
      <c r="AI1449" s="209"/>
      <c r="AJ1449" s="209"/>
    </row>
    <row r="1450">
      <c r="A1450" s="209"/>
      <c r="B1450" s="209"/>
      <c r="C1450" s="209"/>
      <c r="D1450" s="209"/>
      <c r="E1450" s="209"/>
      <c r="F1450" s="209"/>
      <c r="G1450" s="209"/>
      <c r="H1450" s="209"/>
      <c r="I1450" s="209"/>
      <c r="J1450" s="209"/>
      <c r="K1450" s="209"/>
      <c r="L1450" s="209"/>
      <c r="M1450" s="209"/>
      <c r="N1450" s="209"/>
      <c r="O1450" s="209"/>
      <c r="P1450" s="209"/>
      <c r="Q1450" s="209"/>
      <c r="R1450" s="209"/>
      <c r="S1450" s="209"/>
      <c r="T1450" s="209"/>
      <c r="U1450" s="209"/>
      <c r="V1450" s="209"/>
      <c r="W1450" s="209"/>
      <c r="X1450" s="209"/>
      <c r="Y1450" s="209"/>
      <c r="Z1450" s="209"/>
      <c r="AA1450" s="209"/>
      <c r="AB1450" s="209"/>
      <c r="AC1450" s="209"/>
      <c r="AD1450" s="209"/>
      <c r="AE1450" s="209"/>
      <c r="AF1450" s="209"/>
      <c r="AG1450" s="209"/>
      <c r="AH1450" s="209"/>
      <c r="AI1450" s="209"/>
      <c r="AJ1450" s="209"/>
    </row>
    <row r="1451">
      <c r="A1451" s="209"/>
      <c r="B1451" s="209"/>
      <c r="C1451" s="209"/>
      <c r="D1451" s="209"/>
      <c r="E1451" s="209"/>
      <c r="F1451" s="209"/>
      <c r="G1451" s="209"/>
      <c r="H1451" s="209"/>
      <c r="I1451" s="209"/>
      <c r="J1451" s="209"/>
      <c r="K1451" s="209"/>
      <c r="L1451" s="209"/>
      <c r="M1451" s="209"/>
      <c r="N1451" s="209"/>
      <c r="O1451" s="209"/>
      <c r="P1451" s="209"/>
      <c r="Q1451" s="209"/>
      <c r="R1451" s="209"/>
      <c r="S1451" s="209"/>
      <c r="T1451" s="209"/>
      <c r="U1451" s="209"/>
      <c r="V1451" s="209"/>
      <c r="W1451" s="209"/>
      <c r="X1451" s="209"/>
      <c r="Y1451" s="209"/>
      <c r="Z1451" s="209"/>
      <c r="AA1451" s="209"/>
      <c r="AB1451" s="209"/>
      <c r="AC1451" s="209"/>
      <c r="AD1451" s="209"/>
      <c r="AE1451" s="209"/>
      <c r="AF1451" s="209"/>
      <c r="AG1451" s="209"/>
      <c r="AH1451" s="209"/>
      <c r="AI1451" s="209"/>
      <c r="AJ1451" s="209"/>
    </row>
    <row r="1452">
      <c r="A1452" s="209"/>
      <c r="B1452" s="209"/>
      <c r="C1452" s="209"/>
      <c r="D1452" s="209"/>
      <c r="E1452" s="209"/>
      <c r="F1452" s="209"/>
      <c r="G1452" s="209"/>
      <c r="H1452" s="209"/>
      <c r="I1452" s="209"/>
      <c r="J1452" s="209"/>
      <c r="K1452" s="209"/>
      <c r="L1452" s="209"/>
      <c r="M1452" s="209"/>
      <c r="N1452" s="209"/>
      <c r="O1452" s="209"/>
      <c r="P1452" s="209"/>
      <c r="Q1452" s="209"/>
      <c r="R1452" s="209"/>
      <c r="S1452" s="209"/>
      <c r="T1452" s="209"/>
      <c r="U1452" s="209"/>
      <c r="V1452" s="209"/>
      <c r="W1452" s="209"/>
      <c r="X1452" s="209"/>
      <c r="Y1452" s="209"/>
      <c r="Z1452" s="209"/>
      <c r="AA1452" s="209"/>
      <c r="AB1452" s="209"/>
      <c r="AC1452" s="209"/>
      <c r="AD1452" s="209"/>
      <c r="AE1452" s="209"/>
      <c r="AF1452" s="209"/>
      <c r="AG1452" s="209"/>
      <c r="AH1452" s="209"/>
      <c r="AI1452" s="209"/>
      <c r="AJ1452" s="209"/>
    </row>
    <row r="1453">
      <c r="A1453" s="209"/>
      <c r="B1453" s="209"/>
      <c r="C1453" s="209"/>
      <c r="D1453" s="209"/>
      <c r="E1453" s="209"/>
      <c r="F1453" s="209"/>
      <c r="G1453" s="209"/>
      <c r="H1453" s="209"/>
      <c r="I1453" s="209"/>
      <c r="J1453" s="209"/>
      <c r="K1453" s="209"/>
      <c r="L1453" s="209"/>
      <c r="M1453" s="209"/>
      <c r="N1453" s="209"/>
      <c r="O1453" s="209"/>
      <c r="P1453" s="209"/>
      <c r="Q1453" s="209"/>
      <c r="R1453" s="209"/>
      <c r="S1453" s="209"/>
      <c r="T1453" s="209"/>
      <c r="U1453" s="209"/>
      <c r="V1453" s="209"/>
      <c r="W1453" s="209"/>
      <c r="X1453" s="209"/>
      <c r="Y1453" s="209"/>
      <c r="Z1453" s="209"/>
      <c r="AA1453" s="209"/>
      <c r="AB1453" s="209"/>
      <c r="AC1453" s="209"/>
      <c r="AD1453" s="209"/>
      <c r="AE1453" s="209"/>
      <c r="AF1453" s="209"/>
      <c r="AG1453" s="209"/>
      <c r="AH1453" s="209"/>
      <c r="AI1453" s="209"/>
      <c r="AJ1453" s="209"/>
    </row>
    <row r="1454">
      <c r="A1454" s="209"/>
      <c r="B1454" s="209"/>
      <c r="C1454" s="209"/>
      <c r="D1454" s="209"/>
      <c r="E1454" s="209"/>
      <c r="F1454" s="209"/>
      <c r="G1454" s="209"/>
      <c r="H1454" s="209"/>
      <c r="I1454" s="209"/>
      <c r="J1454" s="209"/>
      <c r="K1454" s="209"/>
      <c r="L1454" s="209"/>
      <c r="M1454" s="209"/>
      <c r="N1454" s="209"/>
      <c r="O1454" s="209"/>
      <c r="P1454" s="209"/>
      <c r="Q1454" s="209"/>
      <c r="R1454" s="209"/>
      <c r="S1454" s="209"/>
      <c r="T1454" s="209"/>
      <c r="U1454" s="209"/>
      <c r="V1454" s="209"/>
      <c r="W1454" s="209"/>
      <c r="X1454" s="209"/>
      <c r="Y1454" s="209"/>
      <c r="Z1454" s="209"/>
      <c r="AA1454" s="209"/>
      <c r="AB1454" s="209"/>
      <c r="AC1454" s="209"/>
      <c r="AD1454" s="209"/>
      <c r="AE1454" s="209"/>
      <c r="AF1454" s="209"/>
      <c r="AG1454" s="209"/>
      <c r="AH1454" s="209"/>
      <c r="AI1454" s="209"/>
      <c r="AJ1454" s="209"/>
    </row>
    <row r="1455">
      <c r="A1455" s="209"/>
      <c r="B1455" s="209"/>
      <c r="C1455" s="209"/>
      <c r="D1455" s="209"/>
      <c r="E1455" s="209"/>
      <c r="F1455" s="209"/>
      <c r="G1455" s="209"/>
      <c r="H1455" s="209"/>
      <c r="I1455" s="209"/>
      <c r="J1455" s="209"/>
      <c r="K1455" s="209"/>
      <c r="L1455" s="209"/>
      <c r="M1455" s="209"/>
      <c r="N1455" s="209"/>
      <c r="O1455" s="209"/>
      <c r="P1455" s="209"/>
      <c r="Q1455" s="209"/>
      <c r="R1455" s="209"/>
      <c r="S1455" s="209"/>
      <c r="T1455" s="209"/>
      <c r="U1455" s="209"/>
      <c r="V1455" s="209"/>
      <c r="W1455" s="209"/>
      <c r="X1455" s="209"/>
      <c r="Y1455" s="209"/>
      <c r="Z1455" s="209"/>
      <c r="AA1455" s="209"/>
      <c r="AB1455" s="209"/>
      <c r="AC1455" s="209"/>
      <c r="AD1455" s="209"/>
      <c r="AE1455" s="209"/>
      <c r="AF1455" s="209"/>
      <c r="AG1455" s="209"/>
      <c r="AH1455" s="209"/>
      <c r="AI1455" s="209"/>
      <c r="AJ1455" s="209"/>
    </row>
    <row r="1456">
      <c r="A1456" s="209"/>
      <c r="B1456" s="209"/>
      <c r="C1456" s="209"/>
      <c r="D1456" s="209"/>
      <c r="E1456" s="209"/>
      <c r="F1456" s="209"/>
      <c r="G1456" s="209"/>
      <c r="H1456" s="209"/>
      <c r="I1456" s="209"/>
      <c r="J1456" s="209"/>
      <c r="K1456" s="209"/>
      <c r="L1456" s="209"/>
      <c r="M1456" s="209"/>
      <c r="N1456" s="209"/>
      <c r="O1456" s="209"/>
      <c r="P1456" s="209"/>
      <c r="Q1456" s="209"/>
      <c r="R1456" s="209"/>
      <c r="S1456" s="209"/>
      <c r="T1456" s="209"/>
      <c r="U1456" s="209"/>
      <c r="V1456" s="209"/>
      <c r="W1456" s="209"/>
      <c r="X1456" s="209"/>
      <c r="Y1456" s="209"/>
      <c r="Z1456" s="209"/>
      <c r="AA1456" s="209"/>
      <c r="AB1456" s="209"/>
      <c r="AC1456" s="209"/>
      <c r="AD1456" s="209"/>
      <c r="AE1456" s="209"/>
      <c r="AF1456" s="209"/>
      <c r="AG1456" s="209"/>
      <c r="AH1456" s="209"/>
      <c r="AI1456" s="209"/>
      <c r="AJ1456" s="209"/>
    </row>
    <row r="1457">
      <c r="A1457" s="209"/>
      <c r="B1457" s="209"/>
      <c r="C1457" s="209"/>
      <c r="D1457" s="209"/>
      <c r="E1457" s="209"/>
      <c r="F1457" s="209"/>
      <c r="G1457" s="209"/>
      <c r="H1457" s="209"/>
      <c r="I1457" s="209"/>
      <c r="J1457" s="209"/>
      <c r="K1457" s="209"/>
      <c r="L1457" s="209"/>
      <c r="M1457" s="209"/>
      <c r="N1457" s="209"/>
      <c r="O1457" s="209"/>
      <c r="P1457" s="209"/>
      <c r="Q1457" s="209"/>
      <c r="R1457" s="209"/>
      <c r="S1457" s="209"/>
      <c r="T1457" s="209"/>
      <c r="U1457" s="209"/>
      <c r="V1457" s="209"/>
      <c r="W1457" s="209"/>
      <c r="X1457" s="209"/>
      <c r="Y1457" s="209"/>
      <c r="Z1457" s="209"/>
      <c r="AA1457" s="209"/>
      <c r="AB1457" s="209"/>
      <c r="AC1457" s="209"/>
      <c r="AD1457" s="209"/>
      <c r="AE1457" s="209"/>
      <c r="AF1457" s="209"/>
      <c r="AG1457" s="209"/>
      <c r="AH1457" s="209"/>
      <c r="AI1457" s="209"/>
      <c r="AJ1457" s="209"/>
    </row>
    <row r="1458">
      <c r="A1458" s="209"/>
      <c r="B1458" s="209"/>
      <c r="C1458" s="209"/>
      <c r="D1458" s="209"/>
      <c r="E1458" s="209"/>
      <c r="F1458" s="209"/>
      <c r="G1458" s="209"/>
      <c r="H1458" s="209"/>
      <c r="I1458" s="209"/>
      <c r="J1458" s="209"/>
      <c r="K1458" s="209"/>
      <c r="L1458" s="209"/>
      <c r="M1458" s="209"/>
      <c r="N1458" s="209"/>
      <c r="O1458" s="209"/>
      <c r="P1458" s="209"/>
      <c r="Q1458" s="209"/>
      <c r="R1458" s="209"/>
      <c r="S1458" s="209"/>
      <c r="T1458" s="209"/>
      <c r="U1458" s="209"/>
      <c r="V1458" s="209"/>
      <c r="W1458" s="209"/>
      <c r="X1458" s="209"/>
      <c r="Y1458" s="209"/>
      <c r="Z1458" s="209"/>
      <c r="AA1458" s="209"/>
      <c r="AB1458" s="209"/>
      <c r="AC1458" s="209"/>
      <c r="AD1458" s="209"/>
      <c r="AE1458" s="209"/>
      <c r="AF1458" s="209"/>
      <c r="AG1458" s="209"/>
      <c r="AH1458" s="209"/>
      <c r="AI1458" s="209"/>
      <c r="AJ1458" s="209"/>
    </row>
    <row r="1459">
      <c r="A1459" s="209"/>
      <c r="B1459" s="209"/>
      <c r="C1459" s="209"/>
      <c r="D1459" s="209"/>
      <c r="E1459" s="209"/>
      <c r="F1459" s="209"/>
      <c r="G1459" s="209"/>
      <c r="H1459" s="209"/>
      <c r="I1459" s="209"/>
      <c r="J1459" s="209"/>
      <c r="K1459" s="209"/>
      <c r="L1459" s="209"/>
      <c r="M1459" s="209"/>
      <c r="N1459" s="209"/>
      <c r="O1459" s="209"/>
      <c r="P1459" s="209"/>
      <c r="Q1459" s="209"/>
      <c r="R1459" s="209"/>
      <c r="S1459" s="209"/>
      <c r="T1459" s="209"/>
      <c r="U1459" s="209"/>
      <c r="V1459" s="209"/>
      <c r="W1459" s="209"/>
      <c r="X1459" s="209"/>
      <c r="Y1459" s="209"/>
      <c r="Z1459" s="209"/>
      <c r="AA1459" s="209"/>
      <c r="AB1459" s="209"/>
      <c r="AC1459" s="209"/>
      <c r="AD1459" s="209"/>
      <c r="AE1459" s="209"/>
      <c r="AF1459" s="209"/>
      <c r="AG1459" s="209"/>
      <c r="AH1459" s="209"/>
      <c r="AI1459" s="209"/>
      <c r="AJ1459" s="209"/>
    </row>
    <row r="1460">
      <c r="A1460" s="209"/>
      <c r="B1460" s="209"/>
      <c r="C1460" s="209"/>
      <c r="D1460" s="209"/>
      <c r="E1460" s="209"/>
      <c r="F1460" s="209"/>
      <c r="G1460" s="209"/>
      <c r="H1460" s="209"/>
      <c r="I1460" s="209"/>
      <c r="J1460" s="209"/>
      <c r="K1460" s="209"/>
      <c r="L1460" s="209"/>
      <c r="M1460" s="209"/>
      <c r="N1460" s="209"/>
      <c r="O1460" s="209"/>
      <c r="P1460" s="209"/>
      <c r="Q1460" s="209"/>
      <c r="R1460" s="209"/>
      <c r="S1460" s="209"/>
      <c r="T1460" s="209"/>
      <c r="U1460" s="209"/>
      <c r="V1460" s="209"/>
      <c r="W1460" s="209"/>
      <c r="X1460" s="209"/>
      <c r="Y1460" s="209"/>
      <c r="Z1460" s="209"/>
      <c r="AA1460" s="209"/>
      <c r="AB1460" s="209"/>
      <c r="AC1460" s="209"/>
      <c r="AD1460" s="209"/>
      <c r="AE1460" s="209"/>
      <c r="AF1460" s="209"/>
      <c r="AG1460" s="209"/>
      <c r="AH1460" s="209"/>
      <c r="AI1460" s="209"/>
      <c r="AJ1460" s="209"/>
    </row>
    <row r="1461">
      <c r="A1461" s="209"/>
      <c r="B1461" s="209"/>
      <c r="C1461" s="209"/>
      <c r="D1461" s="209"/>
      <c r="E1461" s="209"/>
      <c r="F1461" s="209"/>
      <c r="G1461" s="209"/>
      <c r="H1461" s="209"/>
      <c r="I1461" s="209"/>
      <c r="J1461" s="209"/>
      <c r="K1461" s="209"/>
      <c r="L1461" s="209"/>
      <c r="M1461" s="209"/>
      <c r="N1461" s="209"/>
      <c r="O1461" s="209"/>
      <c r="P1461" s="209"/>
      <c r="Q1461" s="209"/>
      <c r="R1461" s="209"/>
      <c r="S1461" s="209"/>
      <c r="T1461" s="209"/>
      <c r="U1461" s="209"/>
      <c r="V1461" s="209"/>
      <c r="W1461" s="209"/>
      <c r="X1461" s="209"/>
      <c r="Y1461" s="209"/>
      <c r="Z1461" s="209"/>
      <c r="AA1461" s="209"/>
      <c r="AB1461" s="209"/>
      <c r="AC1461" s="209"/>
      <c r="AD1461" s="209"/>
      <c r="AE1461" s="209"/>
      <c r="AF1461" s="209"/>
      <c r="AG1461" s="209"/>
      <c r="AH1461" s="209"/>
      <c r="AI1461" s="209"/>
      <c r="AJ1461" s="209"/>
    </row>
    <row r="1462">
      <c r="A1462" s="209"/>
      <c r="B1462" s="209"/>
      <c r="C1462" s="209"/>
      <c r="D1462" s="209"/>
      <c r="E1462" s="209"/>
      <c r="F1462" s="209"/>
      <c r="G1462" s="209"/>
      <c r="H1462" s="209"/>
      <c r="I1462" s="209"/>
      <c r="J1462" s="209"/>
      <c r="K1462" s="209"/>
      <c r="L1462" s="209"/>
      <c r="M1462" s="209"/>
      <c r="N1462" s="209"/>
      <c r="O1462" s="209"/>
      <c r="P1462" s="209"/>
      <c r="Q1462" s="209"/>
      <c r="R1462" s="209"/>
      <c r="S1462" s="209"/>
      <c r="T1462" s="209"/>
      <c r="U1462" s="209"/>
      <c r="V1462" s="209"/>
      <c r="W1462" s="209"/>
      <c r="X1462" s="209"/>
      <c r="Y1462" s="209"/>
      <c r="Z1462" s="209"/>
      <c r="AA1462" s="209"/>
      <c r="AB1462" s="209"/>
      <c r="AC1462" s="209"/>
      <c r="AD1462" s="209"/>
      <c r="AE1462" s="209"/>
      <c r="AF1462" s="209"/>
      <c r="AG1462" s="209"/>
      <c r="AH1462" s="209"/>
      <c r="AI1462" s="209"/>
      <c r="AJ1462" s="209"/>
    </row>
    <row r="1463">
      <c r="A1463" s="209"/>
      <c r="B1463" s="209"/>
      <c r="C1463" s="209"/>
      <c r="D1463" s="209"/>
      <c r="E1463" s="209"/>
      <c r="F1463" s="209"/>
      <c r="G1463" s="209"/>
      <c r="H1463" s="209"/>
      <c r="I1463" s="209"/>
      <c r="J1463" s="209"/>
      <c r="K1463" s="209"/>
      <c r="L1463" s="209"/>
      <c r="M1463" s="209"/>
      <c r="N1463" s="209"/>
      <c r="O1463" s="209"/>
      <c r="P1463" s="209"/>
      <c r="Q1463" s="209"/>
      <c r="R1463" s="209"/>
      <c r="S1463" s="209"/>
      <c r="T1463" s="209"/>
      <c r="U1463" s="209"/>
      <c r="V1463" s="209"/>
      <c r="W1463" s="209"/>
      <c r="X1463" s="209"/>
      <c r="Y1463" s="209"/>
      <c r="Z1463" s="209"/>
      <c r="AA1463" s="209"/>
      <c r="AB1463" s="209"/>
      <c r="AC1463" s="209"/>
      <c r="AD1463" s="209"/>
      <c r="AE1463" s="209"/>
      <c r="AF1463" s="209"/>
      <c r="AG1463" s="209"/>
      <c r="AH1463" s="209"/>
      <c r="AI1463" s="209"/>
      <c r="AJ1463" s="209"/>
    </row>
    <row r="1464">
      <c r="A1464" s="209"/>
      <c r="B1464" s="209"/>
      <c r="C1464" s="209"/>
      <c r="D1464" s="209"/>
      <c r="E1464" s="209"/>
      <c r="F1464" s="209"/>
      <c r="G1464" s="209"/>
      <c r="H1464" s="209"/>
      <c r="I1464" s="209"/>
      <c r="J1464" s="209"/>
      <c r="K1464" s="209"/>
      <c r="L1464" s="209"/>
      <c r="M1464" s="209"/>
      <c r="N1464" s="209"/>
      <c r="O1464" s="209"/>
      <c r="P1464" s="209"/>
      <c r="Q1464" s="209"/>
      <c r="R1464" s="209"/>
      <c r="S1464" s="209"/>
      <c r="T1464" s="209"/>
      <c r="U1464" s="209"/>
      <c r="V1464" s="209"/>
      <c r="W1464" s="209"/>
      <c r="X1464" s="209"/>
      <c r="Y1464" s="209"/>
      <c r="Z1464" s="209"/>
      <c r="AA1464" s="209"/>
      <c r="AB1464" s="209"/>
      <c r="AC1464" s="209"/>
      <c r="AD1464" s="209"/>
      <c r="AE1464" s="209"/>
      <c r="AF1464" s="209"/>
      <c r="AG1464" s="209"/>
      <c r="AH1464" s="209"/>
      <c r="AI1464" s="209"/>
      <c r="AJ1464" s="209"/>
    </row>
    <row r="1465">
      <c r="A1465" s="209"/>
      <c r="B1465" s="209"/>
      <c r="C1465" s="209"/>
      <c r="D1465" s="209"/>
      <c r="E1465" s="209"/>
      <c r="F1465" s="209"/>
      <c r="G1465" s="209"/>
      <c r="H1465" s="209"/>
      <c r="I1465" s="209"/>
      <c r="J1465" s="209"/>
      <c r="K1465" s="209"/>
      <c r="L1465" s="209"/>
      <c r="M1465" s="209"/>
      <c r="N1465" s="209"/>
      <c r="O1465" s="209"/>
      <c r="P1465" s="209"/>
      <c r="Q1465" s="209"/>
      <c r="R1465" s="209"/>
      <c r="S1465" s="209"/>
      <c r="T1465" s="209"/>
      <c r="U1465" s="209"/>
      <c r="V1465" s="209"/>
      <c r="W1465" s="209"/>
      <c r="X1465" s="209"/>
      <c r="Y1465" s="209"/>
      <c r="Z1465" s="209"/>
      <c r="AA1465" s="209"/>
      <c r="AB1465" s="209"/>
      <c r="AC1465" s="209"/>
      <c r="AD1465" s="209"/>
      <c r="AE1465" s="209"/>
      <c r="AF1465" s="209"/>
      <c r="AG1465" s="209"/>
      <c r="AH1465" s="209"/>
      <c r="AI1465" s="209"/>
      <c r="AJ1465" s="209"/>
    </row>
    <row r="1466">
      <c r="A1466" s="209"/>
      <c r="B1466" s="209"/>
      <c r="C1466" s="209"/>
      <c r="D1466" s="209"/>
      <c r="E1466" s="209"/>
      <c r="F1466" s="209"/>
      <c r="G1466" s="209"/>
      <c r="H1466" s="209"/>
      <c r="I1466" s="209"/>
      <c r="J1466" s="209"/>
      <c r="K1466" s="209"/>
      <c r="L1466" s="209"/>
      <c r="M1466" s="209"/>
      <c r="N1466" s="209"/>
      <c r="O1466" s="209"/>
      <c r="P1466" s="209"/>
      <c r="Q1466" s="209"/>
      <c r="R1466" s="209"/>
      <c r="S1466" s="209"/>
      <c r="T1466" s="209"/>
      <c r="U1466" s="209"/>
      <c r="V1466" s="209"/>
      <c r="W1466" s="209"/>
      <c r="X1466" s="209"/>
      <c r="Y1466" s="209"/>
      <c r="Z1466" s="209"/>
      <c r="AA1466" s="209"/>
      <c r="AB1466" s="209"/>
      <c r="AC1466" s="209"/>
      <c r="AD1466" s="209"/>
      <c r="AE1466" s="209"/>
      <c r="AF1466" s="209"/>
      <c r="AG1466" s="209"/>
      <c r="AH1466" s="209"/>
      <c r="AI1466" s="209"/>
      <c r="AJ1466" s="209"/>
    </row>
    <row r="1467">
      <c r="A1467" s="209"/>
      <c r="B1467" s="209"/>
      <c r="C1467" s="209"/>
      <c r="D1467" s="209"/>
      <c r="E1467" s="209"/>
      <c r="F1467" s="209"/>
      <c r="G1467" s="209"/>
      <c r="H1467" s="209"/>
      <c r="I1467" s="209"/>
      <c r="J1467" s="209"/>
      <c r="K1467" s="209"/>
      <c r="L1467" s="209"/>
      <c r="M1467" s="209"/>
      <c r="N1467" s="209"/>
      <c r="O1467" s="209"/>
      <c r="P1467" s="209"/>
      <c r="Q1467" s="209"/>
      <c r="R1467" s="209"/>
      <c r="S1467" s="209"/>
      <c r="T1467" s="209"/>
      <c r="U1467" s="209"/>
      <c r="V1467" s="209"/>
      <c r="W1467" s="209"/>
      <c r="X1467" s="209"/>
      <c r="Y1467" s="209"/>
      <c r="Z1467" s="209"/>
      <c r="AA1467" s="209"/>
      <c r="AB1467" s="209"/>
      <c r="AC1467" s="209"/>
      <c r="AD1467" s="209"/>
      <c r="AE1467" s="209"/>
      <c r="AF1467" s="209"/>
      <c r="AG1467" s="209"/>
      <c r="AH1467" s="209"/>
      <c r="AI1467" s="209"/>
      <c r="AJ1467" s="209"/>
    </row>
    <row r="1468">
      <c r="A1468" s="209"/>
      <c r="B1468" s="209"/>
      <c r="C1468" s="209"/>
      <c r="D1468" s="209"/>
      <c r="E1468" s="209"/>
      <c r="F1468" s="209"/>
      <c r="G1468" s="209"/>
      <c r="H1468" s="209"/>
      <c r="I1468" s="209"/>
      <c r="J1468" s="209"/>
      <c r="K1468" s="209"/>
      <c r="L1468" s="209"/>
      <c r="M1468" s="209"/>
      <c r="N1468" s="209"/>
      <c r="O1468" s="209"/>
      <c r="P1468" s="209"/>
      <c r="Q1468" s="209"/>
      <c r="R1468" s="209"/>
      <c r="S1468" s="209"/>
      <c r="T1468" s="209"/>
      <c r="U1468" s="209"/>
      <c r="V1468" s="209"/>
      <c r="W1468" s="209"/>
      <c r="X1468" s="209"/>
      <c r="Y1468" s="209"/>
      <c r="Z1468" s="209"/>
      <c r="AA1468" s="209"/>
      <c r="AB1468" s="209"/>
      <c r="AC1468" s="209"/>
      <c r="AD1468" s="209"/>
      <c r="AE1468" s="209"/>
      <c r="AF1468" s="209"/>
      <c r="AG1468" s="209"/>
      <c r="AH1468" s="209"/>
      <c r="AI1468" s="209"/>
      <c r="AJ1468" s="209"/>
    </row>
    <row r="1469">
      <c r="A1469" s="209"/>
      <c r="B1469" s="209"/>
      <c r="C1469" s="209"/>
      <c r="D1469" s="209"/>
      <c r="E1469" s="209"/>
      <c r="F1469" s="209"/>
      <c r="G1469" s="209"/>
      <c r="H1469" s="209"/>
      <c r="I1469" s="209"/>
      <c r="J1469" s="209"/>
      <c r="K1469" s="209"/>
      <c r="L1469" s="209"/>
      <c r="M1469" s="209"/>
      <c r="N1469" s="209"/>
      <c r="O1469" s="209"/>
      <c r="P1469" s="209"/>
      <c r="Q1469" s="209"/>
      <c r="R1469" s="209"/>
      <c r="S1469" s="209"/>
      <c r="T1469" s="209"/>
      <c r="U1469" s="209"/>
      <c r="V1469" s="209"/>
      <c r="W1469" s="209"/>
      <c r="X1469" s="209"/>
      <c r="Y1469" s="209"/>
      <c r="Z1469" s="209"/>
      <c r="AA1469" s="209"/>
      <c r="AB1469" s="209"/>
      <c r="AC1469" s="209"/>
      <c r="AD1469" s="209"/>
      <c r="AE1469" s="209"/>
      <c r="AF1469" s="209"/>
      <c r="AG1469" s="209"/>
      <c r="AH1469" s="209"/>
      <c r="AI1469" s="209"/>
      <c r="AJ1469" s="209"/>
    </row>
    <row r="1470">
      <c r="A1470" s="209"/>
      <c r="B1470" s="209"/>
      <c r="C1470" s="209"/>
      <c r="D1470" s="209"/>
      <c r="E1470" s="209"/>
      <c r="F1470" s="209"/>
      <c r="G1470" s="209"/>
      <c r="H1470" s="209"/>
      <c r="I1470" s="209"/>
      <c r="J1470" s="209"/>
      <c r="K1470" s="209"/>
      <c r="L1470" s="209"/>
      <c r="M1470" s="209"/>
      <c r="N1470" s="209"/>
      <c r="O1470" s="209"/>
      <c r="P1470" s="209"/>
      <c r="Q1470" s="209"/>
      <c r="R1470" s="209"/>
      <c r="S1470" s="209"/>
      <c r="T1470" s="209"/>
      <c r="U1470" s="209"/>
      <c r="V1470" s="209"/>
      <c r="W1470" s="209"/>
      <c r="X1470" s="209"/>
      <c r="Y1470" s="209"/>
      <c r="Z1470" s="209"/>
      <c r="AA1470" s="209"/>
      <c r="AB1470" s="209"/>
      <c r="AC1470" s="209"/>
      <c r="AD1470" s="209"/>
      <c r="AE1470" s="209"/>
      <c r="AF1470" s="209"/>
      <c r="AG1470" s="209"/>
      <c r="AH1470" s="209"/>
      <c r="AI1470" s="209"/>
      <c r="AJ1470" s="209"/>
    </row>
    <row r="1471">
      <c r="A1471" s="209"/>
      <c r="B1471" s="209"/>
      <c r="C1471" s="209"/>
      <c r="D1471" s="209"/>
      <c r="E1471" s="209"/>
      <c r="F1471" s="209"/>
      <c r="G1471" s="209"/>
      <c r="H1471" s="209"/>
      <c r="I1471" s="209"/>
      <c r="J1471" s="209"/>
      <c r="K1471" s="209"/>
      <c r="L1471" s="209"/>
      <c r="M1471" s="209"/>
      <c r="N1471" s="209"/>
      <c r="O1471" s="209"/>
      <c r="P1471" s="209"/>
      <c r="Q1471" s="209"/>
      <c r="R1471" s="209"/>
      <c r="S1471" s="209"/>
      <c r="T1471" s="209"/>
      <c r="U1471" s="209"/>
      <c r="V1471" s="209"/>
      <c r="W1471" s="209"/>
      <c r="X1471" s="209"/>
      <c r="Y1471" s="209"/>
      <c r="Z1471" s="209"/>
      <c r="AA1471" s="209"/>
      <c r="AB1471" s="209"/>
      <c r="AC1471" s="209"/>
      <c r="AD1471" s="209"/>
      <c r="AE1471" s="209"/>
      <c r="AF1471" s="209"/>
      <c r="AG1471" s="209"/>
      <c r="AH1471" s="209"/>
      <c r="AI1471" s="209"/>
      <c r="AJ1471" s="209"/>
    </row>
    <row r="1472">
      <c r="A1472" s="209"/>
      <c r="B1472" s="209"/>
      <c r="C1472" s="209"/>
      <c r="D1472" s="209"/>
      <c r="E1472" s="209"/>
      <c r="F1472" s="209"/>
      <c r="G1472" s="209"/>
      <c r="H1472" s="209"/>
      <c r="I1472" s="209"/>
      <c r="J1472" s="209"/>
      <c r="K1472" s="209"/>
      <c r="L1472" s="209"/>
      <c r="M1472" s="209"/>
      <c r="N1472" s="209"/>
      <c r="O1472" s="209"/>
      <c r="P1472" s="209"/>
      <c r="Q1472" s="209"/>
      <c r="R1472" s="209"/>
      <c r="S1472" s="209"/>
      <c r="T1472" s="209"/>
      <c r="U1472" s="209"/>
      <c r="V1472" s="209"/>
      <c r="W1472" s="209"/>
      <c r="X1472" s="209"/>
      <c r="Y1472" s="209"/>
      <c r="Z1472" s="209"/>
      <c r="AA1472" s="209"/>
      <c r="AB1472" s="209"/>
      <c r="AC1472" s="209"/>
      <c r="AD1472" s="209"/>
      <c r="AE1472" s="209"/>
      <c r="AF1472" s="209"/>
      <c r="AG1472" s="209"/>
      <c r="AH1472" s="209"/>
      <c r="AI1472" s="209"/>
      <c r="AJ1472" s="209"/>
    </row>
    <row r="1473">
      <c r="A1473" s="209"/>
      <c r="B1473" s="209"/>
      <c r="C1473" s="209"/>
      <c r="D1473" s="209"/>
      <c r="E1473" s="209"/>
      <c r="F1473" s="209"/>
      <c r="G1473" s="209"/>
      <c r="H1473" s="209"/>
      <c r="I1473" s="209"/>
      <c r="J1473" s="209"/>
      <c r="K1473" s="209"/>
      <c r="L1473" s="209"/>
      <c r="M1473" s="209"/>
      <c r="N1473" s="209"/>
      <c r="O1473" s="209"/>
      <c r="P1473" s="209"/>
      <c r="Q1473" s="209"/>
      <c r="R1473" s="209"/>
      <c r="S1473" s="209"/>
      <c r="T1473" s="209"/>
      <c r="U1473" s="209"/>
      <c r="V1473" s="209"/>
      <c r="W1473" s="209"/>
      <c r="X1473" s="209"/>
      <c r="Y1473" s="209"/>
      <c r="Z1473" s="209"/>
      <c r="AA1473" s="209"/>
      <c r="AB1473" s="209"/>
      <c r="AC1473" s="209"/>
      <c r="AD1473" s="209"/>
      <c r="AE1473" s="209"/>
      <c r="AF1473" s="209"/>
      <c r="AG1473" s="209"/>
      <c r="AH1473" s="209"/>
      <c r="AI1473" s="209"/>
      <c r="AJ1473" s="209"/>
    </row>
    <row r="1474">
      <c r="A1474" s="209"/>
      <c r="B1474" s="209"/>
      <c r="C1474" s="209"/>
      <c r="D1474" s="209"/>
      <c r="E1474" s="209"/>
      <c r="F1474" s="209"/>
      <c r="G1474" s="209"/>
      <c r="H1474" s="209"/>
      <c r="I1474" s="209"/>
      <c r="J1474" s="209"/>
      <c r="K1474" s="209"/>
      <c r="L1474" s="209"/>
      <c r="M1474" s="209"/>
      <c r="N1474" s="209"/>
      <c r="O1474" s="209"/>
      <c r="P1474" s="209"/>
      <c r="Q1474" s="209"/>
      <c r="R1474" s="209"/>
      <c r="S1474" s="209"/>
      <c r="T1474" s="209"/>
      <c r="U1474" s="209"/>
      <c r="V1474" s="209"/>
      <c r="W1474" s="209"/>
      <c r="X1474" s="209"/>
      <c r="Y1474" s="209"/>
      <c r="Z1474" s="209"/>
      <c r="AA1474" s="209"/>
      <c r="AB1474" s="209"/>
      <c r="AC1474" s="209"/>
      <c r="AD1474" s="209"/>
      <c r="AE1474" s="209"/>
      <c r="AF1474" s="209"/>
      <c r="AG1474" s="209"/>
      <c r="AH1474" s="209"/>
      <c r="AI1474" s="209"/>
      <c r="AJ1474" s="209"/>
    </row>
    <row r="1475">
      <c r="A1475" s="209"/>
      <c r="B1475" s="209"/>
      <c r="C1475" s="209"/>
      <c r="D1475" s="209"/>
      <c r="E1475" s="209"/>
      <c r="F1475" s="209"/>
      <c r="G1475" s="209"/>
      <c r="H1475" s="209"/>
      <c r="I1475" s="209"/>
      <c r="J1475" s="209"/>
      <c r="K1475" s="209"/>
      <c r="L1475" s="209"/>
      <c r="M1475" s="209"/>
      <c r="N1475" s="209"/>
      <c r="O1475" s="209"/>
      <c r="P1475" s="209"/>
      <c r="Q1475" s="209"/>
      <c r="R1475" s="209"/>
      <c r="S1475" s="209"/>
      <c r="T1475" s="209"/>
      <c r="U1475" s="209"/>
      <c r="V1475" s="209"/>
      <c r="W1475" s="209"/>
      <c r="X1475" s="209"/>
      <c r="Y1475" s="209"/>
      <c r="Z1475" s="209"/>
      <c r="AA1475" s="209"/>
      <c r="AB1475" s="209"/>
      <c r="AC1475" s="209"/>
      <c r="AD1475" s="209"/>
      <c r="AE1475" s="209"/>
      <c r="AF1475" s="209"/>
      <c r="AG1475" s="209"/>
      <c r="AH1475" s="209"/>
      <c r="AI1475" s="209"/>
      <c r="AJ1475" s="209"/>
    </row>
    <row r="1476">
      <c r="A1476" s="209"/>
      <c r="B1476" s="209"/>
      <c r="C1476" s="209"/>
      <c r="D1476" s="209"/>
      <c r="E1476" s="209"/>
      <c r="F1476" s="209"/>
      <c r="G1476" s="209"/>
      <c r="H1476" s="209"/>
      <c r="I1476" s="209"/>
      <c r="J1476" s="209"/>
      <c r="K1476" s="209"/>
      <c r="L1476" s="209"/>
      <c r="M1476" s="209"/>
      <c r="N1476" s="209"/>
      <c r="O1476" s="209"/>
      <c r="P1476" s="209"/>
      <c r="Q1476" s="209"/>
      <c r="R1476" s="209"/>
      <c r="S1476" s="209"/>
      <c r="T1476" s="209"/>
      <c r="U1476" s="209"/>
      <c r="V1476" s="209"/>
      <c r="W1476" s="209"/>
      <c r="X1476" s="209"/>
      <c r="Y1476" s="209"/>
      <c r="Z1476" s="209"/>
      <c r="AA1476" s="209"/>
      <c r="AB1476" s="209"/>
      <c r="AC1476" s="209"/>
      <c r="AD1476" s="209"/>
      <c r="AE1476" s="209"/>
      <c r="AF1476" s="209"/>
      <c r="AG1476" s="209"/>
      <c r="AH1476" s="209"/>
      <c r="AI1476" s="209"/>
      <c r="AJ1476" s="209"/>
    </row>
    <row r="1477">
      <c r="A1477" s="209"/>
      <c r="B1477" s="209"/>
      <c r="C1477" s="209"/>
      <c r="D1477" s="209"/>
      <c r="E1477" s="209"/>
      <c r="F1477" s="209"/>
      <c r="G1477" s="209"/>
      <c r="H1477" s="209"/>
      <c r="I1477" s="209"/>
      <c r="J1477" s="209"/>
      <c r="K1477" s="209"/>
      <c r="L1477" s="209"/>
      <c r="M1477" s="209"/>
      <c r="N1477" s="209"/>
      <c r="O1477" s="209"/>
      <c r="P1477" s="209"/>
      <c r="Q1477" s="209"/>
      <c r="R1477" s="209"/>
      <c r="S1477" s="209"/>
      <c r="T1477" s="209"/>
      <c r="U1477" s="209"/>
      <c r="V1477" s="209"/>
      <c r="W1477" s="209"/>
      <c r="X1477" s="209"/>
      <c r="Y1477" s="209"/>
      <c r="Z1477" s="209"/>
      <c r="AA1477" s="209"/>
      <c r="AB1477" s="209"/>
      <c r="AC1477" s="209"/>
      <c r="AD1477" s="209"/>
      <c r="AE1477" s="209"/>
      <c r="AF1477" s="209"/>
      <c r="AG1477" s="209"/>
      <c r="AH1477" s="209"/>
      <c r="AI1477" s="209"/>
      <c r="AJ1477" s="209"/>
    </row>
    <row r="1478">
      <c r="A1478" s="209"/>
      <c r="B1478" s="209"/>
      <c r="C1478" s="209"/>
      <c r="D1478" s="209"/>
      <c r="E1478" s="209"/>
      <c r="F1478" s="209"/>
      <c r="G1478" s="209"/>
      <c r="H1478" s="209"/>
      <c r="I1478" s="209"/>
      <c r="J1478" s="209"/>
      <c r="K1478" s="209"/>
      <c r="L1478" s="209"/>
      <c r="M1478" s="209"/>
      <c r="N1478" s="209"/>
      <c r="O1478" s="209"/>
      <c r="P1478" s="209"/>
      <c r="Q1478" s="209"/>
      <c r="R1478" s="209"/>
      <c r="S1478" s="209"/>
      <c r="T1478" s="209"/>
      <c r="U1478" s="209"/>
      <c r="V1478" s="209"/>
      <c r="W1478" s="209"/>
      <c r="X1478" s="209"/>
      <c r="Y1478" s="209"/>
      <c r="Z1478" s="209"/>
      <c r="AA1478" s="209"/>
      <c r="AB1478" s="209"/>
      <c r="AC1478" s="209"/>
      <c r="AD1478" s="209"/>
      <c r="AE1478" s="209"/>
      <c r="AF1478" s="209"/>
      <c r="AG1478" s="209"/>
      <c r="AH1478" s="209"/>
      <c r="AI1478" s="209"/>
      <c r="AJ1478" s="209"/>
    </row>
    <row r="1479">
      <c r="A1479" s="209"/>
      <c r="B1479" s="209"/>
      <c r="C1479" s="209"/>
      <c r="D1479" s="209"/>
      <c r="E1479" s="209"/>
      <c r="F1479" s="209"/>
      <c r="G1479" s="209"/>
      <c r="H1479" s="209"/>
      <c r="I1479" s="209"/>
      <c r="J1479" s="209"/>
      <c r="K1479" s="209"/>
      <c r="L1479" s="209"/>
      <c r="M1479" s="209"/>
      <c r="N1479" s="209"/>
      <c r="O1479" s="209"/>
      <c r="P1479" s="209"/>
      <c r="Q1479" s="209"/>
      <c r="R1479" s="209"/>
      <c r="S1479" s="209"/>
      <c r="T1479" s="209"/>
      <c r="U1479" s="209"/>
      <c r="V1479" s="209"/>
      <c r="W1479" s="209"/>
      <c r="X1479" s="209"/>
      <c r="Y1479" s="209"/>
      <c r="Z1479" s="209"/>
      <c r="AA1479" s="209"/>
      <c r="AB1479" s="209"/>
      <c r="AC1479" s="209"/>
      <c r="AD1479" s="209"/>
      <c r="AE1479" s="209"/>
      <c r="AF1479" s="209"/>
      <c r="AG1479" s="209"/>
      <c r="AH1479" s="209"/>
      <c r="AI1479" s="209"/>
      <c r="AJ1479" s="209"/>
    </row>
    <row r="1480">
      <c r="A1480" s="209"/>
      <c r="B1480" s="209"/>
      <c r="C1480" s="209"/>
      <c r="D1480" s="209"/>
      <c r="E1480" s="209"/>
      <c r="F1480" s="209"/>
      <c r="G1480" s="209"/>
      <c r="H1480" s="209"/>
      <c r="I1480" s="209"/>
      <c r="J1480" s="209"/>
      <c r="K1480" s="209"/>
      <c r="L1480" s="209"/>
      <c r="M1480" s="209"/>
      <c r="N1480" s="209"/>
      <c r="O1480" s="209"/>
      <c r="P1480" s="209"/>
      <c r="Q1480" s="209"/>
      <c r="R1480" s="209"/>
      <c r="S1480" s="209"/>
      <c r="T1480" s="209"/>
      <c r="U1480" s="209"/>
      <c r="V1480" s="209"/>
      <c r="W1480" s="209"/>
      <c r="X1480" s="209"/>
      <c r="Y1480" s="209"/>
      <c r="Z1480" s="209"/>
      <c r="AA1480" s="209"/>
      <c r="AB1480" s="209"/>
      <c r="AC1480" s="209"/>
      <c r="AD1480" s="209"/>
      <c r="AE1480" s="209"/>
      <c r="AF1480" s="209"/>
      <c r="AG1480" s="209"/>
      <c r="AH1480" s="209"/>
      <c r="AI1480" s="209"/>
      <c r="AJ1480" s="209"/>
    </row>
    <row r="1481">
      <c r="A1481" s="209"/>
      <c r="B1481" s="209"/>
      <c r="C1481" s="209"/>
      <c r="D1481" s="209"/>
      <c r="E1481" s="209"/>
      <c r="F1481" s="209"/>
      <c r="G1481" s="209"/>
      <c r="H1481" s="209"/>
      <c r="I1481" s="209"/>
      <c r="J1481" s="209"/>
      <c r="K1481" s="209"/>
      <c r="L1481" s="209"/>
      <c r="M1481" s="209"/>
      <c r="N1481" s="209"/>
      <c r="O1481" s="209"/>
      <c r="P1481" s="209"/>
      <c r="Q1481" s="209"/>
      <c r="R1481" s="209"/>
      <c r="S1481" s="209"/>
      <c r="T1481" s="209"/>
      <c r="U1481" s="209"/>
      <c r="V1481" s="209"/>
      <c r="W1481" s="209"/>
      <c r="X1481" s="209"/>
      <c r="Y1481" s="209"/>
      <c r="Z1481" s="209"/>
      <c r="AA1481" s="209"/>
      <c r="AB1481" s="209"/>
      <c r="AC1481" s="209"/>
      <c r="AD1481" s="209"/>
      <c r="AE1481" s="209"/>
      <c r="AF1481" s="209"/>
      <c r="AG1481" s="209"/>
      <c r="AH1481" s="209"/>
      <c r="AI1481" s="209"/>
      <c r="AJ1481" s="209"/>
    </row>
    <row r="1482">
      <c r="A1482" s="209"/>
      <c r="B1482" s="209"/>
      <c r="C1482" s="209"/>
      <c r="D1482" s="209"/>
      <c r="E1482" s="209"/>
      <c r="F1482" s="209"/>
      <c r="G1482" s="209"/>
      <c r="H1482" s="209"/>
      <c r="I1482" s="209"/>
      <c r="J1482" s="209"/>
      <c r="K1482" s="209"/>
      <c r="L1482" s="209"/>
      <c r="M1482" s="209"/>
      <c r="N1482" s="209"/>
      <c r="O1482" s="209"/>
      <c r="P1482" s="209"/>
      <c r="Q1482" s="209"/>
      <c r="R1482" s="209"/>
      <c r="S1482" s="209"/>
      <c r="T1482" s="209"/>
      <c r="U1482" s="209"/>
      <c r="V1482" s="209"/>
      <c r="W1482" s="209"/>
      <c r="X1482" s="209"/>
      <c r="Y1482" s="209"/>
      <c r="Z1482" s="209"/>
      <c r="AA1482" s="209"/>
      <c r="AB1482" s="209"/>
      <c r="AC1482" s="209"/>
      <c r="AD1482" s="209"/>
      <c r="AE1482" s="209"/>
      <c r="AF1482" s="209"/>
      <c r="AG1482" s="209"/>
      <c r="AH1482" s="209"/>
      <c r="AI1482" s="209"/>
      <c r="AJ1482" s="209"/>
    </row>
    <row r="1483">
      <c r="A1483" s="209"/>
      <c r="B1483" s="209"/>
      <c r="C1483" s="209"/>
      <c r="D1483" s="209"/>
      <c r="E1483" s="209"/>
      <c r="F1483" s="209"/>
      <c r="G1483" s="209"/>
      <c r="H1483" s="209"/>
      <c r="I1483" s="209"/>
      <c r="J1483" s="209"/>
      <c r="K1483" s="209"/>
      <c r="L1483" s="209"/>
      <c r="M1483" s="209"/>
      <c r="N1483" s="209"/>
      <c r="O1483" s="209"/>
      <c r="P1483" s="209"/>
      <c r="Q1483" s="209"/>
      <c r="R1483" s="209"/>
      <c r="S1483" s="209"/>
      <c r="T1483" s="209"/>
      <c r="U1483" s="209"/>
      <c r="V1483" s="209"/>
      <c r="W1483" s="209"/>
      <c r="X1483" s="209"/>
      <c r="Y1483" s="209"/>
      <c r="Z1483" s="209"/>
      <c r="AA1483" s="209"/>
      <c r="AB1483" s="209"/>
      <c r="AC1483" s="209"/>
      <c r="AD1483" s="209"/>
      <c r="AE1483" s="209"/>
      <c r="AF1483" s="209"/>
      <c r="AG1483" s="209"/>
      <c r="AH1483" s="209"/>
      <c r="AI1483" s="209"/>
      <c r="AJ1483" s="209"/>
    </row>
    <row r="1484">
      <c r="A1484" s="209"/>
      <c r="B1484" s="209"/>
      <c r="C1484" s="209"/>
      <c r="D1484" s="209"/>
      <c r="E1484" s="209"/>
      <c r="F1484" s="209"/>
      <c r="G1484" s="209"/>
      <c r="H1484" s="209"/>
      <c r="I1484" s="209"/>
      <c r="J1484" s="209"/>
      <c r="K1484" s="209"/>
      <c r="L1484" s="209"/>
      <c r="M1484" s="209"/>
      <c r="N1484" s="209"/>
      <c r="O1484" s="209"/>
      <c r="P1484" s="209"/>
      <c r="Q1484" s="209"/>
      <c r="R1484" s="209"/>
      <c r="S1484" s="209"/>
      <c r="T1484" s="209"/>
      <c r="U1484" s="209"/>
      <c r="V1484" s="209"/>
      <c r="W1484" s="209"/>
      <c r="X1484" s="209"/>
      <c r="Y1484" s="209"/>
      <c r="Z1484" s="209"/>
      <c r="AA1484" s="209"/>
      <c r="AB1484" s="209"/>
      <c r="AC1484" s="209"/>
      <c r="AD1484" s="209"/>
      <c r="AE1484" s="209"/>
      <c r="AF1484" s="209"/>
      <c r="AG1484" s="209"/>
      <c r="AH1484" s="209"/>
      <c r="AI1484" s="209"/>
      <c r="AJ1484" s="209"/>
    </row>
    <row r="1485">
      <c r="A1485" s="209"/>
      <c r="B1485" s="209"/>
      <c r="C1485" s="209"/>
      <c r="D1485" s="209"/>
      <c r="E1485" s="209"/>
      <c r="F1485" s="209"/>
      <c r="G1485" s="209"/>
      <c r="H1485" s="209"/>
      <c r="I1485" s="209"/>
      <c r="J1485" s="209"/>
      <c r="K1485" s="209"/>
      <c r="L1485" s="209"/>
      <c r="M1485" s="209"/>
      <c r="N1485" s="209"/>
      <c r="O1485" s="209"/>
      <c r="P1485" s="209"/>
      <c r="Q1485" s="209"/>
      <c r="R1485" s="209"/>
      <c r="S1485" s="209"/>
      <c r="T1485" s="209"/>
      <c r="U1485" s="209"/>
      <c r="V1485" s="209"/>
      <c r="W1485" s="209"/>
      <c r="X1485" s="209"/>
      <c r="Y1485" s="209"/>
      <c r="Z1485" s="209"/>
      <c r="AA1485" s="209"/>
      <c r="AB1485" s="209"/>
      <c r="AC1485" s="209"/>
      <c r="AD1485" s="209"/>
      <c r="AE1485" s="209"/>
      <c r="AF1485" s="209"/>
      <c r="AG1485" s="209"/>
      <c r="AH1485" s="209"/>
      <c r="AI1485" s="209"/>
      <c r="AJ1485" s="209"/>
    </row>
    <row r="1486">
      <c r="A1486" s="209"/>
      <c r="B1486" s="209"/>
      <c r="C1486" s="209"/>
      <c r="D1486" s="209"/>
      <c r="E1486" s="209"/>
      <c r="F1486" s="209"/>
      <c r="G1486" s="209"/>
      <c r="H1486" s="209"/>
      <c r="I1486" s="209"/>
      <c r="J1486" s="209"/>
      <c r="K1486" s="209"/>
      <c r="L1486" s="209"/>
      <c r="M1486" s="209"/>
      <c r="N1486" s="209"/>
      <c r="O1486" s="209"/>
      <c r="P1486" s="209"/>
      <c r="Q1486" s="209"/>
      <c r="R1486" s="209"/>
      <c r="S1486" s="209"/>
      <c r="T1486" s="209"/>
      <c r="U1486" s="209"/>
      <c r="V1486" s="209"/>
      <c r="W1486" s="209"/>
      <c r="X1486" s="209"/>
      <c r="Y1486" s="209"/>
      <c r="Z1486" s="209"/>
      <c r="AA1486" s="209"/>
      <c r="AB1486" s="209"/>
      <c r="AC1486" s="209"/>
      <c r="AD1486" s="209"/>
      <c r="AE1486" s="209"/>
      <c r="AF1486" s="209"/>
      <c r="AG1486" s="209"/>
      <c r="AH1486" s="209"/>
      <c r="AI1486" s="209"/>
      <c r="AJ1486" s="209"/>
    </row>
    <row r="1487">
      <c r="A1487" s="209"/>
      <c r="B1487" s="209"/>
      <c r="C1487" s="209"/>
      <c r="D1487" s="209"/>
      <c r="E1487" s="209"/>
      <c r="F1487" s="209"/>
      <c r="G1487" s="209"/>
      <c r="H1487" s="209"/>
      <c r="I1487" s="209"/>
      <c r="J1487" s="209"/>
      <c r="K1487" s="209"/>
      <c r="L1487" s="209"/>
      <c r="M1487" s="209"/>
      <c r="N1487" s="209"/>
      <c r="O1487" s="209"/>
      <c r="P1487" s="209"/>
      <c r="Q1487" s="209"/>
      <c r="R1487" s="209"/>
      <c r="S1487" s="209"/>
      <c r="T1487" s="209"/>
      <c r="U1487" s="209"/>
      <c r="V1487" s="209"/>
      <c r="W1487" s="209"/>
      <c r="X1487" s="209"/>
      <c r="Y1487" s="209"/>
      <c r="Z1487" s="209"/>
      <c r="AA1487" s="209"/>
      <c r="AB1487" s="209"/>
      <c r="AC1487" s="209"/>
      <c r="AD1487" s="209"/>
      <c r="AE1487" s="209"/>
      <c r="AF1487" s="209"/>
      <c r="AG1487" s="209"/>
      <c r="AH1487" s="209"/>
      <c r="AI1487" s="209"/>
      <c r="AJ1487" s="209"/>
    </row>
    <row r="1488">
      <c r="A1488" s="209"/>
      <c r="B1488" s="209"/>
      <c r="C1488" s="209"/>
      <c r="D1488" s="209"/>
      <c r="E1488" s="209"/>
      <c r="F1488" s="209"/>
      <c r="G1488" s="209"/>
      <c r="H1488" s="209"/>
      <c r="I1488" s="209"/>
      <c r="J1488" s="209"/>
      <c r="K1488" s="209"/>
      <c r="L1488" s="209"/>
      <c r="M1488" s="209"/>
      <c r="N1488" s="209"/>
      <c r="O1488" s="209"/>
      <c r="P1488" s="209"/>
      <c r="Q1488" s="209"/>
      <c r="R1488" s="209"/>
      <c r="S1488" s="209"/>
      <c r="T1488" s="209"/>
      <c r="U1488" s="209"/>
      <c r="V1488" s="209"/>
      <c r="W1488" s="209"/>
      <c r="X1488" s="209"/>
      <c r="Y1488" s="209"/>
      <c r="Z1488" s="209"/>
      <c r="AA1488" s="209"/>
      <c r="AB1488" s="209"/>
      <c r="AC1488" s="209"/>
      <c r="AD1488" s="209"/>
      <c r="AE1488" s="209"/>
      <c r="AF1488" s="209"/>
      <c r="AG1488" s="209"/>
      <c r="AH1488" s="209"/>
      <c r="AI1488" s="209"/>
      <c r="AJ1488" s="209"/>
    </row>
    <row r="1489">
      <c r="A1489" s="209"/>
      <c r="B1489" s="209"/>
      <c r="C1489" s="209"/>
      <c r="D1489" s="209"/>
      <c r="E1489" s="209"/>
      <c r="F1489" s="209"/>
      <c r="G1489" s="209"/>
      <c r="H1489" s="209"/>
      <c r="I1489" s="209"/>
      <c r="J1489" s="209"/>
      <c r="K1489" s="209"/>
      <c r="L1489" s="209"/>
      <c r="M1489" s="209"/>
      <c r="N1489" s="209"/>
      <c r="O1489" s="209"/>
      <c r="P1489" s="209"/>
      <c r="Q1489" s="209"/>
      <c r="R1489" s="209"/>
      <c r="S1489" s="209"/>
      <c r="T1489" s="209"/>
      <c r="U1489" s="209"/>
      <c r="V1489" s="209"/>
      <c r="W1489" s="209"/>
      <c r="X1489" s="209"/>
      <c r="Y1489" s="209"/>
      <c r="Z1489" s="209"/>
      <c r="AA1489" s="209"/>
      <c r="AB1489" s="209"/>
      <c r="AC1489" s="209"/>
      <c r="AD1489" s="209"/>
      <c r="AE1489" s="209"/>
      <c r="AF1489" s="209"/>
      <c r="AG1489" s="209"/>
      <c r="AH1489" s="209"/>
      <c r="AI1489" s="209"/>
      <c r="AJ1489" s="209"/>
    </row>
    <row r="1490">
      <c r="A1490" s="209"/>
      <c r="B1490" s="209"/>
      <c r="C1490" s="209"/>
      <c r="D1490" s="209"/>
      <c r="E1490" s="209"/>
      <c r="F1490" s="209"/>
      <c r="G1490" s="209"/>
      <c r="H1490" s="209"/>
      <c r="I1490" s="209"/>
      <c r="J1490" s="209"/>
      <c r="K1490" s="209"/>
      <c r="L1490" s="209"/>
      <c r="M1490" s="209"/>
      <c r="N1490" s="209"/>
      <c r="O1490" s="209"/>
      <c r="P1490" s="209"/>
      <c r="Q1490" s="209"/>
      <c r="R1490" s="209"/>
      <c r="S1490" s="209"/>
      <c r="T1490" s="209"/>
      <c r="U1490" s="209"/>
      <c r="V1490" s="209"/>
      <c r="W1490" s="209"/>
      <c r="X1490" s="209"/>
      <c r="Y1490" s="209"/>
      <c r="Z1490" s="209"/>
      <c r="AA1490" s="209"/>
      <c r="AB1490" s="209"/>
      <c r="AC1490" s="209"/>
      <c r="AD1490" s="209"/>
      <c r="AE1490" s="209"/>
      <c r="AF1490" s="209"/>
      <c r="AG1490" s="209"/>
      <c r="AH1490" s="209"/>
      <c r="AI1490" s="209"/>
      <c r="AJ1490" s="209"/>
    </row>
    <row r="1491">
      <c r="A1491" s="209"/>
      <c r="B1491" s="209"/>
      <c r="C1491" s="209"/>
      <c r="D1491" s="209"/>
      <c r="E1491" s="209"/>
      <c r="F1491" s="209"/>
      <c r="G1491" s="209"/>
      <c r="H1491" s="209"/>
      <c r="I1491" s="209"/>
      <c r="J1491" s="209"/>
      <c r="K1491" s="209"/>
      <c r="L1491" s="209"/>
      <c r="M1491" s="209"/>
      <c r="N1491" s="209"/>
      <c r="O1491" s="209"/>
      <c r="P1491" s="209"/>
      <c r="Q1491" s="209"/>
      <c r="R1491" s="209"/>
      <c r="S1491" s="209"/>
      <c r="T1491" s="209"/>
      <c r="U1491" s="209"/>
      <c r="V1491" s="209"/>
      <c r="W1491" s="209"/>
      <c r="X1491" s="209"/>
      <c r="Y1491" s="209"/>
      <c r="Z1491" s="209"/>
      <c r="AA1491" s="209"/>
      <c r="AB1491" s="209"/>
      <c r="AC1491" s="209"/>
      <c r="AD1491" s="209"/>
      <c r="AE1491" s="209"/>
      <c r="AF1491" s="209"/>
      <c r="AG1491" s="209"/>
      <c r="AH1491" s="209"/>
      <c r="AI1491" s="209"/>
      <c r="AJ1491" s="209"/>
    </row>
    <row r="1492">
      <c r="A1492" s="209"/>
      <c r="B1492" s="209"/>
      <c r="C1492" s="209"/>
      <c r="D1492" s="209"/>
      <c r="E1492" s="209"/>
      <c r="F1492" s="209"/>
      <c r="G1492" s="209"/>
      <c r="H1492" s="209"/>
      <c r="I1492" s="209"/>
      <c r="J1492" s="209"/>
      <c r="K1492" s="209"/>
      <c r="L1492" s="209"/>
      <c r="M1492" s="209"/>
      <c r="N1492" s="209"/>
      <c r="O1492" s="209"/>
      <c r="P1492" s="209"/>
      <c r="Q1492" s="209"/>
      <c r="R1492" s="209"/>
      <c r="S1492" s="209"/>
      <c r="T1492" s="209"/>
      <c r="U1492" s="209"/>
      <c r="V1492" s="209"/>
      <c r="W1492" s="209"/>
      <c r="X1492" s="209"/>
      <c r="Y1492" s="209"/>
      <c r="Z1492" s="209"/>
      <c r="AA1492" s="209"/>
      <c r="AB1492" s="209"/>
      <c r="AC1492" s="209"/>
      <c r="AD1492" s="209"/>
      <c r="AE1492" s="209"/>
      <c r="AF1492" s="209"/>
      <c r="AG1492" s="209"/>
      <c r="AH1492" s="209"/>
      <c r="AI1492" s="209"/>
      <c r="AJ1492" s="209"/>
    </row>
    <row r="1493">
      <c r="A1493" s="209"/>
      <c r="B1493" s="209"/>
      <c r="C1493" s="209"/>
      <c r="D1493" s="209"/>
      <c r="E1493" s="209"/>
      <c r="F1493" s="209"/>
      <c r="G1493" s="209"/>
      <c r="H1493" s="209"/>
      <c r="I1493" s="209"/>
      <c r="J1493" s="209"/>
      <c r="K1493" s="209"/>
      <c r="L1493" s="209"/>
      <c r="M1493" s="209"/>
      <c r="N1493" s="209"/>
      <c r="O1493" s="209"/>
      <c r="P1493" s="209"/>
      <c r="Q1493" s="209"/>
      <c r="R1493" s="209"/>
      <c r="S1493" s="209"/>
      <c r="T1493" s="209"/>
      <c r="U1493" s="209"/>
      <c r="V1493" s="209"/>
      <c r="W1493" s="209"/>
      <c r="X1493" s="209"/>
      <c r="Y1493" s="209"/>
      <c r="Z1493" s="209"/>
      <c r="AA1493" s="209"/>
      <c r="AB1493" s="209"/>
      <c r="AC1493" s="209"/>
      <c r="AD1493" s="209"/>
      <c r="AE1493" s="209"/>
      <c r="AF1493" s="209"/>
      <c r="AG1493" s="209"/>
      <c r="AH1493" s="209"/>
      <c r="AI1493" s="209"/>
      <c r="AJ1493" s="209"/>
    </row>
    <row r="1494">
      <c r="A1494" s="209"/>
      <c r="B1494" s="209"/>
      <c r="C1494" s="209"/>
      <c r="D1494" s="209"/>
      <c r="E1494" s="209"/>
      <c r="F1494" s="209"/>
      <c r="G1494" s="209"/>
      <c r="H1494" s="209"/>
      <c r="I1494" s="209"/>
      <c r="J1494" s="209"/>
      <c r="K1494" s="209"/>
      <c r="L1494" s="209"/>
      <c r="M1494" s="209"/>
      <c r="N1494" s="209"/>
      <c r="O1494" s="209"/>
      <c r="P1494" s="209"/>
      <c r="Q1494" s="209"/>
      <c r="R1494" s="209"/>
      <c r="S1494" s="209"/>
      <c r="T1494" s="209"/>
      <c r="U1494" s="209"/>
      <c r="V1494" s="209"/>
      <c r="W1494" s="209"/>
      <c r="X1494" s="209"/>
      <c r="Y1494" s="209"/>
      <c r="Z1494" s="209"/>
      <c r="AA1494" s="209"/>
      <c r="AB1494" s="209"/>
      <c r="AC1494" s="209"/>
      <c r="AD1494" s="209"/>
      <c r="AE1494" s="209"/>
      <c r="AF1494" s="209"/>
      <c r="AG1494" s="209"/>
      <c r="AH1494" s="209"/>
      <c r="AI1494" s="209"/>
      <c r="AJ1494" s="209"/>
    </row>
    <row r="1495">
      <c r="A1495" s="209"/>
      <c r="B1495" s="209"/>
      <c r="C1495" s="209"/>
      <c r="D1495" s="209"/>
      <c r="E1495" s="209"/>
      <c r="F1495" s="209"/>
      <c r="G1495" s="209"/>
      <c r="H1495" s="209"/>
      <c r="I1495" s="209"/>
      <c r="J1495" s="209"/>
      <c r="K1495" s="209"/>
      <c r="L1495" s="209"/>
      <c r="M1495" s="209"/>
      <c r="N1495" s="209"/>
      <c r="O1495" s="209"/>
      <c r="P1495" s="209"/>
      <c r="Q1495" s="209"/>
      <c r="R1495" s="209"/>
      <c r="S1495" s="209"/>
      <c r="T1495" s="209"/>
      <c r="U1495" s="209"/>
      <c r="V1495" s="209"/>
      <c r="W1495" s="209"/>
      <c r="X1495" s="209"/>
      <c r="Y1495" s="209"/>
      <c r="Z1495" s="209"/>
      <c r="AA1495" s="209"/>
      <c r="AB1495" s="209"/>
      <c r="AC1495" s="209"/>
      <c r="AD1495" s="209"/>
      <c r="AE1495" s="209"/>
      <c r="AF1495" s="209"/>
      <c r="AG1495" s="209"/>
      <c r="AH1495" s="209"/>
      <c r="AI1495" s="209"/>
      <c r="AJ1495" s="209"/>
    </row>
    <row r="1496">
      <c r="A1496" s="209"/>
      <c r="B1496" s="209"/>
      <c r="C1496" s="209"/>
      <c r="D1496" s="209"/>
      <c r="E1496" s="209"/>
      <c r="F1496" s="209"/>
      <c r="G1496" s="209"/>
      <c r="H1496" s="209"/>
      <c r="I1496" s="209"/>
      <c r="J1496" s="209"/>
      <c r="K1496" s="209"/>
      <c r="L1496" s="209"/>
      <c r="M1496" s="209"/>
      <c r="N1496" s="209"/>
      <c r="O1496" s="209"/>
      <c r="P1496" s="209"/>
      <c r="Q1496" s="209"/>
      <c r="R1496" s="209"/>
      <c r="S1496" s="209"/>
      <c r="T1496" s="209"/>
      <c r="U1496" s="209"/>
      <c r="V1496" s="209"/>
      <c r="W1496" s="209"/>
      <c r="X1496" s="209"/>
      <c r="Y1496" s="209"/>
      <c r="Z1496" s="209"/>
      <c r="AA1496" s="209"/>
      <c r="AB1496" s="209"/>
      <c r="AC1496" s="209"/>
      <c r="AD1496" s="209"/>
      <c r="AE1496" s="209"/>
      <c r="AF1496" s="209"/>
      <c r="AG1496" s="209"/>
      <c r="AH1496" s="209"/>
      <c r="AI1496" s="209"/>
      <c r="AJ1496" s="209"/>
    </row>
    <row r="1497">
      <c r="A1497" s="209"/>
      <c r="B1497" s="209"/>
      <c r="C1497" s="209"/>
      <c r="D1497" s="209"/>
      <c r="E1497" s="209"/>
      <c r="F1497" s="209"/>
      <c r="G1497" s="209"/>
      <c r="H1497" s="209"/>
      <c r="I1497" s="209"/>
      <c r="J1497" s="209"/>
      <c r="K1497" s="209"/>
      <c r="L1497" s="209"/>
      <c r="M1497" s="209"/>
      <c r="N1497" s="209"/>
      <c r="O1497" s="209"/>
      <c r="P1497" s="209"/>
      <c r="Q1497" s="209"/>
      <c r="R1497" s="209"/>
      <c r="S1497" s="209"/>
      <c r="T1497" s="209"/>
      <c r="U1497" s="209"/>
      <c r="V1497" s="209"/>
      <c r="W1497" s="209"/>
      <c r="X1497" s="209"/>
      <c r="Y1497" s="209"/>
      <c r="Z1497" s="209"/>
      <c r="AA1497" s="209"/>
      <c r="AB1497" s="209"/>
      <c r="AC1497" s="209"/>
      <c r="AD1497" s="209"/>
      <c r="AE1497" s="209"/>
      <c r="AF1497" s="209"/>
      <c r="AG1497" s="209"/>
      <c r="AH1497" s="209"/>
      <c r="AI1497" s="209"/>
      <c r="AJ1497" s="209"/>
    </row>
    <row r="1498">
      <c r="A1498" s="209"/>
      <c r="B1498" s="209"/>
      <c r="C1498" s="209"/>
      <c r="D1498" s="209"/>
      <c r="E1498" s="209"/>
      <c r="F1498" s="209"/>
      <c r="G1498" s="209"/>
      <c r="H1498" s="209"/>
      <c r="I1498" s="209"/>
      <c r="J1498" s="209"/>
      <c r="K1498" s="209"/>
      <c r="L1498" s="209"/>
      <c r="M1498" s="209"/>
      <c r="N1498" s="209"/>
      <c r="O1498" s="209"/>
      <c r="P1498" s="209"/>
      <c r="Q1498" s="209"/>
      <c r="R1498" s="209"/>
      <c r="S1498" s="209"/>
      <c r="T1498" s="209"/>
      <c r="U1498" s="209"/>
      <c r="V1498" s="209"/>
      <c r="W1498" s="209"/>
      <c r="X1498" s="209"/>
      <c r="Y1498" s="209"/>
      <c r="Z1498" s="209"/>
      <c r="AA1498" s="209"/>
      <c r="AB1498" s="209"/>
      <c r="AC1498" s="209"/>
      <c r="AD1498" s="209"/>
      <c r="AE1498" s="209"/>
      <c r="AF1498" s="209"/>
      <c r="AG1498" s="209"/>
      <c r="AH1498" s="209"/>
      <c r="AI1498" s="209"/>
      <c r="AJ1498" s="209"/>
    </row>
    <row r="1499">
      <c r="A1499" s="209"/>
      <c r="B1499" s="209"/>
      <c r="C1499" s="209"/>
      <c r="D1499" s="209"/>
      <c r="E1499" s="209"/>
      <c r="F1499" s="209"/>
      <c r="G1499" s="209"/>
      <c r="H1499" s="209"/>
      <c r="I1499" s="209"/>
      <c r="J1499" s="209"/>
      <c r="K1499" s="209"/>
      <c r="L1499" s="209"/>
      <c r="M1499" s="209"/>
      <c r="N1499" s="209"/>
      <c r="O1499" s="209"/>
      <c r="P1499" s="209"/>
      <c r="Q1499" s="209"/>
      <c r="R1499" s="209"/>
      <c r="S1499" s="209"/>
      <c r="T1499" s="209"/>
      <c r="U1499" s="209"/>
      <c r="V1499" s="209"/>
      <c r="W1499" s="209"/>
      <c r="X1499" s="209"/>
      <c r="Y1499" s="209"/>
      <c r="Z1499" s="209"/>
      <c r="AA1499" s="209"/>
      <c r="AB1499" s="209"/>
      <c r="AC1499" s="209"/>
      <c r="AD1499" s="209"/>
      <c r="AE1499" s="209"/>
      <c r="AF1499" s="209"/>
      <c r="AG1499" s="209"/>
      <c r="AH1499" s="209"/>
      <c r="AI1499" s="209"/>
      <c r="AJ1499" s="209"/>
    </row>
    <row r="1500">
      <c r="A1500" s="209"/>
      <c r="B1500" s="209"/>
      <c r="C1500" s="209"/>
      <c r="D1500" s="209"/>
      <c r="E1500" s="209"/>
      <c r="F1500" s="209"/>
      <c r="G1500" s="209"/>
      <c r="H1500" s="209"/>
      <c r="I1500" s="209"/>
      <c r="J1500" s="209"/>
      <c r="K1500" s="209"/>
      <c r="L1500" s="209"/>
      <c r="M1500" s="209"/>
      <c r="N1500" s="209"/>
      <c r="O1500" s="209"/>
      <c r="P1500" s="209"/>
      <c r="Q1500" s="209"/>
      <c r="R1500" s="209"/>
      <c r="S1500" s="209"/>
      <c r="T1500" s="209"/>
      <c r="U1500" s="209"/>
      <c r="V1500" s="209"/>
      <c r="W1500" s="209"/>
      <c r="X1500" s="209"/>
      <c r="Y1500" s="209"/>
      <c r="Z1500" s="209"/>
      <c r="AA1500" s="209"/>
      <c r="AB1500" s="209"/>
      <c r="AC1500" s="209"/>
      <c r="AD1500" s="209"/>
      <c r="AE1500" s="209"/>
      <c r="AF1500" s="209"/>
      <c r="AG1500" s="209"/>
      <c r="AH1500" s="209"/>
      <c r="AI1500" s="209"/>
      <c r="AJ1500" s="209"/>
    </row>
    <row r="1501">
      <c r="A1501" s="209"/>
      <c r="B1501" s="209"/>
      <c r="C1501" s="209"/>
      <c r="D1501" s="209"/>
      <c r="E1501" s="209"/>
      <c r="F1501" s="209"/>
      <c r="G1501" s="209"/>
      <c r="H1501" s="209"/>
      <c r="I1501" s="209"/>
      <c r="J1501" s="209"/>
      <c r="K1501" s="209"/>
      <c r="L1501" s="209"/>
      <c r="M1501" s="209"/>
      <c r="N1501" s="209"/>
      <c r="O1501" s="209"/>
      <c r="P1501" s="209"/>
      <c r="Q1501" s="209"/>
      <c r="R1501" s="209"/>
      <c r="S1501" s="209"/>
      <c r="T1501" s="209"/>
      <c r="U1501" s="209"/>
      <c r="V1501" s="209"/>
      <c r="W1501" s="209"/>
      <c r="X1501" s="209"/>
      <c r="Y1501" s="209"/>
      <c r="Z1501" s="209"/>
      <c r="AA1501" s="209"/>
      <c r="AB1501" s="209"/>
      <c r="AC1501" s="209"/>
      <c r="AD1501" s="209"/>
      <c r="AE1501" s="209"/>
      <c r="AF1501" s="209"/>
      <c r="AG1501" s="209"/>
      <c r="AH1501" s="209"/>
      <c r="AI1501" s="209"/>
      <c r="AJ1501" s="209"/>
    </row>
    <row r="1502">
      <c r="A1502" s="209"/>
      <c r="B1502" s="209"/>
      <c r="C1502" s="209"/>
      <c r="D1502" s="209"/>
      <c r="E1502" s="209"/>
      <c r="F1502" s="209"/>
      <c r="G1502" s="209"/>
      <c r="H1502" s="209"/>
      <c r="I1502" s="209"/>
      <c r="J1502" s="209"/>
      <c r="K1502" s="209"/>
      <c r="L1502" s="209"/>
      <c r="M1502" s="209"/>
      <c r="N1502" s="209"/>
      <c r="O1502" s="209"/>
      <c r="P1502" s="209"/>
      <c r="Q1502" s="209"/>
      <c r="R1502" s="209"/>
      <c r="S1502" s="209"/>
      <c r="T1502" s="209"/>
      <c r="U1502" s="209"/>
      <c r="V1502" s="209"/>
      <c r="W1502" s="209"/>
      <c r="X1502" s="209"/>
      <c r="Y1502" s="209"/>
      <c r="Z1502" s="209"/>
      <c r="AA1502" s="209"/>
      <c r="AB1502" s="209"/>
      <c r="AC1502" s="209"/>
      <c r="AD1502" s="209"/>
      <c r="AE1502" s="209"/>
      <c r="AF1502" s="209"/>
      <c r="AG1502" s="209"/>
      <c r="AH1502" s="209"/>
      <c r="AI1502" s="209"/>
      <c r="AJ1502" s="209"/>
    </row>
    <row r="1503">
      <c r="A1503" s="209"/>
      <c r="B1503" s="209"/>
      <c r="C1503" s="209"/>
      <c r="D1503" s="209"/>
      <c r="E1503" s="209"/>
      <c r="F1503" s="209"/>
      <c r="G1503" s="209"/>
      <c r="H1503" s="209"/>
      <c r="I1503" s="209"/>
      <c r="J1503" s="209"/>
      <c r="K1503" s="209"/>
      <c r="L1503" s="209"/>
      <c r="M1503" s="209"/>
      <c r="N1503" s="209"/>
      <c r="O1503" s="209"/>
      <c r="P1503" s="209"/>
      <c r="Q1503" s="209"/>
      <c r="R1503" s="209"/>
      <c r="S1503" s="209"/>
      <c r="T1503" s="209"/>
      <c r="U1503" s="209"/>
      <c r="V1503" s="209"/>
      <c r="W1503" s="209"/>
      <c r="X1503" s="209"/>
      <c r="Y1503" s="209"/>
      <c r="Z1503" s="209"/>
      <c r="AA1503" s="209"/>
      <c r="AB1503" s="209"/>
      <c r="AC1503" s="209"/>
      <c r="AD1503" s="209"/>
      <c r="AE1503" s="209"/>
      <c r="AF1503" s="209"/>
      <c r="AG1503" s="209"/>
      <c r="AH1503" s="209"/>
      <c r="AI1503" s="209"/>
      <c r="AJ1503" s="209"/>
    </row>
    <row r="1504">
      <c r="A1504" s="209"/>
      <c r="B1504" s="209"/>
      <c r="C1504" s="209"/>
      <c r="D1504" s="209"/>
      <c r="E1504" s="209"/>
      <c r="F1504" s="209"/>
      <c r="G1504" s="209"/>
      <c r="H1504" s="209"/>
      <c r="I1504" s="209"/>
      <c r="J1504" s="209"/>
      <c r="K1504" s="209"/>
      <c r="L1504" s="209"/>
      <c r="M1504" s="209"/>
      <c r="N1504" s="209"/>
      <c r="O1504" s="209"/>
      <c r="P1504" s="209"/>
      <c r="Q1504" s="209"/>
      <c r="R1504" s="209"/>
      <c r="S1504" s="209"/>
      <c r="T1504" s="209"/>
      <c r="U1504" s="209"/>
      <c r="V1504" s="209"/>
      <c r="W1504" s="209"/>
      <c r="X1504" s="209"/>
      <c r="Y1504" s="209"/>
      <c r="Z1504" s="209"/>
      <c r="AA1504" s="209"/>
      <c r="AB1504" s="209"/>
      <c r="AC1504" s="209"/>
      <c r="AD1504" s="209"/>
      <c r="AE1504" s="209"/>
      <c r="AF1504" s="209"/>
      <c r="AG1504" s="209"/>
      <c r="AH1504" s="209"/>
      <c r="AI1504" s="209"/>
      <c r="AJ1504" s="209"/>
    </row>
    <row r="1505">
      <c r="A1505" s="209"/>
      <c r="B1505" s="209"/>
      <c r="C1505" s="209"/>
      <c r="D1505" s="209"/>
      <c r="E1505" s="209"/>
      <c r="F1505" s="209"/>
      <c r="G1505" s="209"/>
      <c r="H1505" s="209"/>
      <c r="I1505" s="209"/>
      <c r="J1505" s="209"/>
      <c r="K1505" s="209"/>
      <c r="L1505" s="209"/>
      <c r="M1505" s="209"/>
      <c r="N1505" s="209"/>
      <c r="O1505" s="209"/>
      <c r="P1505" s="209"/>
      <c r="Q1505" s="209"/>
      <c r="R1505" s="209"/>
      <c r="S1505" s="209"/>
      <c r="T1505" s="209"/>
      <c r="U1505" s="209"/>
      <c r="V1505" s="209"/>
      <c r="W1505" s="209"/>
      <c r="X1505" s="209"/>
      <c r="Y1505" s="209"/>
      <c r="Z1505" s="209"/>
      <c r="AA1505" s="209"/>
      <c r="AB1505" s="209"/>
      <c r="AC1505" s="209"/>
      <c r="AD1505" s="209"/>
      <c r="AE1505" s="209"/>
      <c r="AF1505" s="209"/>
      <c r="AG1505" s="209"/>
      <c r="AH1505" s="209"/>
      <c r="AI1505" s="209"/>
      <c r="AJ1505" s="209"/>
    </row>
    <row r="1506">
      <c r="A1506" s="209"/>
      <c r="B1506" s="209"/>
      <c r="C1506" s="209"/>
      <c r="D1506" s="209"/>
      <c r="E1506" s="209"/>
      <c r="F1506" s="209"/>
      <c r="G1506" s="209"/>
      <c r="H1506" s="209"/>
      <c r="I1506" s="209"/>
      <c r="J1506" s="209"/>
      <c r="K1506" s="209"/>
      <c r="L1506" s="209"/>
      <c r="M1506" s="209"/>
      <c r="N1506" s="209"/>
      <c r="O1506" s="209"/>
      <c r="P1506" s="209"/>
      <c r="Q1506" s="209"/>
      <c r="R1506" s="209"/>
      <c r="S1506" s="209"/>
      <c r="T1506" s="209"/>
      <c r="U1506" s="209"/>
      <c r="V1506" s="209"/>
      <c r="W1506" s="209"/>
      <c r="X1506" s="209"/>
      <c r="Y1506" s="209"/>
      <c r="Z1506" s="209"/>
      <c r="AA1506" s="209"/>
      <c r="AB1506" s="209"/>
      <c r="AC1506" s="209"/>
      <c r="AD1506" s="209"/>
      <c r="AE1506" s="209"/>
      <c r="AF1506" s="209"/>
      <c r="AG1506" s="209"/>
      <c r="AH1506" s="209"/>
      <c r="AI1506" s="209"/>
      <c r="AJ1506" s="209"/>
    </row>
    <row r="1507">
      <c r="A1507" s="209"/>
      <c r="B1507" s="209"/>
      <c r="C1507" s="209"/>
      <c r="D1507" s="209"/>
      <c r="E1507" s="209"/>
      <c r="F1507" s="209"/>
      <c r="G1507" s="209"/>
      <c r="H1507" s="209"/>
      <c r="I1507" s="209"/>
      <c r="J1507" s="209"/>
      <c r="K1507" s="209"/>
      <c r="L1507" s="209"/>
      <c r="M1507" s="209"/>
      <c r="N1507" s="209"/>
      <c r="O1507" s="209"/>
      <c r="P1507" s="209"/>
      <c r="Q1507" s="209"/>
      <c r="R1507" s="209"/>
      <c r="S1507" s="209"/>
      <c r="T1507" s="209"/>
      <c r="U1507" s="209"/>
      <c r="V1507" s="209"/>
      <c r="W1507" s="209"/>
      <c r="X1507" s="209"/>
      <c r="Y1507" s="209"/>
      <c r="Z1507" s="209"/>
      <c r="AA1507" s="209"/>
      <c r="AB1507" s="209"/>
      <c r="AC1507" s="209"/>
      <c r="AD1507" s="209"/>
      <c r="AE1507" s="209"/>
      <c r="AF1507" s="209"/>
      <c r="AG1507" s="209"/>
      <c r="AH1507" s="209"/>
      <c r="AI1507" s="209"/>
      <c r="AJ1507" s="209"/>
    </row>
    <row r="1508">
      <c r="A1508" s="209"/>
      <c r="B1508" s="209"/>
      <c r="C1508" s="209"/>
      <c r="D1508" s="209"/>
      <c r="E1508" s="209"/>
      <c r="F1508" s="209"/>
      <c r="G1508" s="209"/>
      <c r="H1508" s="209"/>
      <c r="I1508" s="209"/>
      <c r="J1508" s="209"/>
      <c r="K1508" s="209"/>
      <c r="L1508" s="209"/>
      <c r="M1508" s="209"/>
      <c r="N1508" s="209"/>
      <c r="O1508" s="209"/>
      <c r="P1508" s="209"/>
      <c r="Q1508" s="209"/>
      <c r="R1508" s="209"/>
      <c r="S1508" s="209"/>
      <c r="T1508" s="209"/>
      <c r="U1508" s="209"/>
      <c r="V1508" s="209"/>
      <c r="W1508" s="209"/>
      <c r="X1508" s="209"/>
      <c r="Y1508" s="209"/>
      <c r="Z1508" s="209"/>
      <c r="AA1508" s="209"/>
      <c r="AB1508" s="209"/>
      <c r="AC1508" s="209"/>
      <c r="AD1508" s="209"/>
      <c r="AE1508" s="209"/>
      <c r="AF1508" s="209"/>
      <c r="AG1508" s="209"/>
      <c r="AH1508" s="209"/>
      <c r="AI1508" s="209"/>
      <c r="AJ1508" s="209"/>
    </row>
    <row r="1509">
      <c r="A1509" s="209"/>
      <c r="B1509" s="209"/>
      <c r="C1509" s="209"/>
      <c r="D1509" s="209"/>
      <c r="E1509" s="209"/>
      <c r="F1509" s="209"/>
      <c r="G1509" s="209"/>
      <c r="H1509" s="209"/>
      <c r="I1509" s="209"/>
      <c r="J1509" s="209"/>
      <c r="K1509" s="209"/>
      <c r="L1509" s="209"/>
      <c r="M1509" s="209"/>
      <c r="N1509" s="209"/>
      <c r="O1509" s="209"/>
      <c r="P1509" s="209"/>
      <c r="Q1509" s="209"/>
      <c r="R1509" s="209"/>
      <c r="S1509" s="209"/>
      <c r="T1509" s="209"/>
      <c r="U1509" s="209"/>
      <c r="V1509" s="209"/>
      <c r="W1509" s="209"/>
      <c r="X1509" s="209"/>
      <c r="Y1509" s="209"/>
      <c r="Z1509" s="209"/>
      <c r="AA1509" s="209"/>
      <c r="AB1509" s="209"/>
      <c r="AC1509" s="209"/>
      <c r="AD1509" s="209"/>
      <c r="AE1509" s="209"/>
      <c r="AF1509" s="209"/>
      <c r="AG1509" s="209"/>
      <c r="AH1509" s="209"/>
      <c r="AI1509" s="209"/>
      <c r="AJ1509" s="209"/>
    </row>
    <row r="1510">
      <c r="A1510" s="209"/>
      <c r="B1510" s="209"/>
      <c r="C1510" s="209"/>
      <c r="D1510" s="209"/>
      <c r="E1510" s="209"/>
      <c r="F1510" s="209"/>
      <c r="G1510" s="209"/>
      <c r="H1510" s="209"/>
      <c r="I1510" s="209"/>
      <c r="J1510" s="209"/>
      <c r="K1510" s="209"/>
      <c r="L1510" s="209"/>
      <c r="M1510" s="209"/>
      <c r="N1510" s="209"/>
      <c r="O1510" s="209"/>
      <c r="P1510" s="209"/>
      <c r="Q1510" s="209"/>
      <c r="R1510" s="209"/>
      <c r="S1510" s="209"/>
      <c r="T1510" s="209"/>
      <c r="U1510" s="209"/>
      <c r="V1510" s="209"/>
      <c r="W1510" s="209"/>
      <c r="X1510" s="209"/>
      <c r="Y1510" s="209"/>
      <c r="Z1510" s="209"/>
      <c r="AA1510" s="209"/>
      <c r="AB1510" s="209"/>
      <c r="AC1510" s="209"/>
      <c r="AD1510" s="209"/>
      <c r="AE1510" s="209"/>
      <c r="AF1510" s="209"/>
      <c r="AG1510" s="209"/>
      <c r="AH1510" s="209"/>
      <c r="AI1510" s="209"/>
      <c r="AJ1510" s="209"/>
    </row>
    <row r="1511">
      <c r="A1511" s="209"/>
      <c r="B1511" s="209"/>
      <c r="C1511" s="209"/>
      <c r="D1511" s="209"/>
      <c r="E1511" s="209"/>
      <c r="F1511" s="209"/>
      <c r="G1511" s="209"/>
      <c r="H1511" s="209"/>
      <c r="I1511" s="209"/>
      <c r="J1511" s="209"/>
      <c r="K1511" s="209"/>
      <c r="L1511" s="209"/>
      <c r="M1511" s="209"/>
      <c r="N1511" s="209"/>
      <c r="O1511" s="209"/>
      <c r="P1511" s="209"/>
      <c r="Q1511" s="209"/>
      <c r="R1511" s="209"/>
      <c r="S1511" s="209"/>
      <c r="T1511" s="209"/>
      <c r="U1511" s="209"/>
      <c r="V1511" s="209"/>
      <c r="W1511" s="209"/>
      <c r="X1511" s="209"/>
      <c r="Y1511" s="209"/>
      <c r="Z1511" s="209"/>
      <c r="AA1511" s="209"/>
      <c r="AB1511" s="209"/>
      <c r="AC1511" s="209"/>
      <c r="AD1511" s="209"/>
      <c r="AE1511" s="209"/>
      <c r="AF1511" s="209"/>
      <c r="AG1511" s="209"/>
      <c r="AH1511" s="209"/>
      <c r="AI1511" s="209"/>
      <c r="AJ1511" s="209"/>
    </row>
    <row r="1512">
      <c r="A1512" s="209"/>
      <c r="B1512" s="209"/>
      <c r="C1512" s="209"/>
      <c r="D1512" s="209"/>
      <c r="E1512" s="209"/>
      <c r="F1512" s="209"/>
      <c r="G1512" s="209"/>
      <c r="H1512" s="209"/>
      <c r="I1512" s="209"/>
      <c r="J1512" s="209"/>
      <c r="K1512" s="209"/>
      <c r="L1512" s="209"/>
      <c r="M1512" s="209"/>
      <c r="N1512" s="209"/>
      <c r="O1512" s="209"/>
      <c r="P1512" s="209"/>
      <c r="Q1512" s="209"/>
      <c r="R1512" s="209"/>
      <c r="S1512" s="209"/>
      <c r="T1512" s="209"/>
      <c r="U1512" s="209"/>
      <c r="V1512" s="209"/>
      <c r="W1512" s="209"/>
      <c r="X1512" s="209"/>
      <c r="Y1512" s="209"/>
      <c r="Z1512" s="209"/>
      <c r="AA1512" s="209"/>
      <c r="AB1512" s="209"/>
      <c r="AC1512" s="209"/>
      <c r="AD1512" s="209"/>
      <c r="AE1512" s="209"/>
      <c r="AF1512" s="209"/>
      <c r="AG1512" s="209"/>
      <c r="AH1512" s="209"/>
      <c r="AI1512" s="209"/>
      <c r="AJ1512" s="209"/>
    </row>
    <row r="1513">
      <c r="A1513" s="209"/>
      <c r="B1513" s="209"/>
      <c r="C1513" s="209"/>
      <c r="D1513" s="209"/>
      <c r="E1513" s="209"/>
      <c r="F1513" s="209"/>
      <c r="G1513" s="209"/>
      <c r="H1513" s="209"/>
      <c r="I1513" s="209"/>
      <c r="J1513" s="209"/>
      <c r="K1513" s="209"/>
      <c r="L1513" s="209"/>
      <c r="M1513" s="209"/>
      <c r="N1513" s="209"/>
      <c r="O1513" s="209"/>
      <c r="P1513" s="209"/>
      <c r="Q1513" s="209"/>
      <c r="R1513" s="209"/>
      <c r="S1513" s="209"/>
      <c r="T1513" s="209"/>
      <c r="U1513" s="209"/>
      <c r="V1513" s="209"/>
      <c r="W1513" s="209"/>
      <c r="X1513" s="209"/>
      <c r="Y1513" s="209"/>
      <c r="Z1513" s="209"/>
      <c r="AA1513" s="209"/>
      <c r="AB1513" s="209"/>
      <c r="AC1513" s="209"/>
      <c r="AD1513" s="209"/>
      <c r="AE1513" s="209"/>
      <c r="AF1513" s="209"/>
      <c r="AG1513" s="209"/>
      <c r="AH1513" s="209"/>
      <c r="AI1513" s="209"/>
      <c r="AJ1513" s="209"/>
    </row>
    <row r="1514">
      <c r="A1514" s="209"/>
      <c r="B1514" s="209"/>
      <c r="C1514" s="209"/>
      <c r="D1514" s="209"/>
      <c r="E1514" s="209"/>
      <c r="F1514" s="209"/>
      <c r="G1514" s="209"/>
      <c r="H1514" s="209"/>
      <c r="I1514" s="209"/>
      <c r="J1514" s="209"/>
      <c r="K1514" s="209"/>
      <c r="L1514" s="209"/>
      <c r="M1514" s="209"/>
      <c r="N1514" s="209"/>
      <c r="O1514" s="209"/>
      <c r="P1514" s="209"/>
      <c r="Q1514" s="209"/>
      <c r="R1514" s="209"/>
      <c r="S1514" s="209"/>
      <c r="T1514" s="209"/>
      <c r="U1514" s="209"/>
      <c r="V1514" s="209"/>
      <c r="W1514" s="209"/>
      <c r="X1514" s="209"/>
      <c r="Y1514" s="209"/>
      <c r="Z1514" s="209"/>
      <c r="AA1514" s="209"/>
      <c r="AB1514" s="209"/>
      <c r="AC1514" s="209"/>
      <c r="AD1514" s="209"/>
      <c r="AE1514" s="209"/>
      <c r="AF1514" s="209"/>
      <c r="AG1514" s="209"/>
      <c r="AH1514" s="209"/>
      <c r="AI1514" s="209"/>
      <c r="AJ1514" s="209"/>
    </row>
    <row r="1515">
      <c r="A1515" s="209"/>
      <c r="B1515" s="209"/>
      <c r="C1515" s="209"/>
      <c r="D1515" s="209"/>
      <c r="E1515" s="209"/>
      <c r="F1515" s="209"/>
      <c r="G1515" s="209"/>
      <c r="H1515" s="209"/>
      <c r="I1515" s="209"/>
      <c r="J1515" s="209"/>
      <c r="K1515" s="209"/>
      <c r="L1515" s="209"/>
      <c r="M1515" s="209"/>
      <c r="N1515" s="209"/>
      <c r="O1515" s="209"/>
      <c r="P1515" s="209"/>
      <c r="Q1515" s="209"/>
      <c r="R1515" s="209"/>
      <c r="S1515" s="209"/>
      <c r="T1515" s="209"/>
      <c r="U1515" s="209"/>
      <c r="V1515" s="209"/>
      <c r="W1515" s="209"/>
      <c r="X1515" s="209"/>
      <c r="Y1515" s="209"/>
      <c r="Z1515" s="209"/>
      <c r="AA1515" s="209"/>
      <c r="AB1515" s="209"/>
      <c r="AC1515" s="209"/>
      <c r="AD1515" s="209"/>
      <c r="AE1515" s="209"/>
      <c r="AF1515" s="209"/>
      <c r="AG1515" s="209"/>
      <c r="AH1515" s="209"/>
      <c r="AI1515" s="209"/>
      <c r="AJ1515" s="209"/>
    </row>
    <row r="1516">
      <c r="A1516" s="209"/>
      <c r="B1516" s="209"/>
      <c r="C1516" s="209"/>
      <c r="D1516" s="209"/>
      <c r="E1516" s="209"/>
      <c r="F1516" s="209"/>
      <c r="G1516" s="209"/>
      <c r="H1516" s="209"/>
      <c r="I1516" s="209"/>
      <c r="J1516" s="209"/>
      <c r="K1516" s="209"/>
      <c r="L1516" s="209"/>
      <c r="M1516" s="209"/>
      <c r="N1516" s="209"/>
      <c r="O1516" s="209"/>
      <c r="P1516" s="209"/>
      <c r="Q1516" s="209"/>
      <c r="R1516" s="209"/>
      <c r="S1516" s="209"/>
      <c r="T1516" s="209"/>
      <c r="U1516" s="209"/>
      <c r="V1516" s="209"/>
      <c r="W1516" s="209"/>
      <c r="X1516" s="209"/>
      <c r="Y1516" s="209"/>
      <c r="Z1516" s="209"/>
      <c r="AA1516" s="209"/>
      <c r="AB1516" s="209"/>
      <c r="AC1516" s="209"/>
      <c r="AD1516" s="209"/>
      <c r="AE1516" s="209"/>
      <c r="AF1516" s="209"/>
      <c r="AG1516" s="209"/>
      <c r="AH1516" s="209"/>
      <c r="AI1516" s="209"/>
      <c r="AJ1516" s="209"/>
    </row>
    <row r="1517">
      <c r="A1517" s="209"/>
      <c r="B1517" s="209"/>
      <c r="C1517" s="209"/>
      <c r="D1517" s="209"/>
      <c r="E1517" s="209"/>
      <c r="F1517" s="209"/>
      <c r="G1517" s="209"/>
      <c r="H1517" s="209"/>
      <c r="I1517" s="209"/>
      <c r="J1517" s="209"/>
      <c r="K1517" s="209"/>
      <c r="L1517" s="209"/>
      <c r="M1517" s="209"/>
      <c r="N1517" s="209"/>
      <c r="O1517" s="209"/>
      <c r="P1517" s="209"/>
      <c r="Q1517" s="209"/>
      <c r="R1517" s="209"/>
      <c r="S1517" s="209"/>
      <c r="T1517" s="209"/>
      <c r="U1517" s="209"/>
      <c r="V1517" s="209"/>
      <c r="W1517" s="209"/>
      <c r="X1517" s="209"/>
      <c r="Y1517" s="209"/>
      <c r="Z1517" s="209"/>
      <c r="AA1517" s="209"/>
      <c r="AB1517" s="209"/>
      <c r="AC1517" s="209"/>
      <c r="AD1517" s="209"/>
      <c r="AE1517" s="209"/>
      <c r="AF1517" s="209"/>
      <c r="AG1517" s="209"/>
      <c r="AH1517" s="209"/>
      <c r="AI1517" s="209"/>
      <c r="AJ1517" s="209"/>
    </row>
    <row r="1518">
      <c r="A1518" s="209"/>
      <c r="B1518" s="209"/>
      <c r="C1518" s="209"/>
      <c r="D1518" s="209"/>
      <c r="E1518" s="209"/>
      <c r="F1518" s="209"/>
      <c r="G1518" s="209"/>
      <c r="H1518" s="209"/>
      <c r="I1518" s="209"/>
      <c r="J1518" s="209"/>
      <c r="K1518" s="209"/>
      <c r="L1518" s="209"/>
      <c r="M1518" s="209"/>
      <c r="N1518" s="209"/>
      <c r="O1518" s="209"/>
      <c r="P1518" s="209"/>
      <c r="Q1518" s="209"/>
      <c r="R1518" s="209"/>
      <c r="S1518" s="209"/>
      <c r="T1518" s="209"/>
      <c r="U1518" s="209"/>
      <c r="V1518" s="209"/>
      <c r="W1518" s="209"/>
      <c r="X1518" s="209"/>
      <c r="Y1518" s="209"/>
      <c r="Z1518" s="209"/>
      <c r="AA1518" s="209"/>
      <c r="AB1518" s="209"/>
      <c r="AC1518" s="209"/>
      <c r="AD1518" s="209"/>
      <c r="AE1518" s="209"/>
      <c r="AF1518" s="209"/>
      <c r="AG1518" s="209"/>
      <c r="AH1518" s="209"/>
      <c r="AI1518" s="209"/>
      <c r="AJ1518" s="209"/>
    </row>
    <row r="1519">
      <c r="A1519" s="209"/>
      <c r="B1519" s="209"/>
      <c r="C1519" s="209"/>
      <c r="D1519" s="209"/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209"/>
      <c r="P1519" s="209"/>
      <c r="Q1519" s="209"/>
      <c r="R1519" s="209"/>
      <c r="S1519" s="209"/>
      <c r="T1519" s="209"/>
      <c r="U1519" s="209"/>
      <c r="V1519" s="209"/>
      <c r="W1519" s="209"/>
      <c r="X1519" s="209"/>
      <c r="Y1519" s="209"/>
      <c r="Z1519" s="209"/>
      <c r="AA1519" s="209"/>
      <c r="AB1519" s="209"/>
      <c r="AC1519" s="209"/>
      <c r="AD1519" s="209"/>
      <c r="AE1519" s="209"/>
      <c r="AF1519" s="209"/>
      <c r="AG1519" s="209"/>
      <c r="AH1519" s="209"/>
      <c r="AI1519" s="209"/>
      <c r="AJ1519" s="209"/>
    </row>
    <row r="1520">
      <c r="A1520" s="209"/>
      <c r="B1520" s="209"/>
      <c r="C1520" s="209"/>
      <c r="D1520" s="209"/>
      <c r="E1520" s="209"/>
      <c r="F1520" s="209"/>
      <c r="G1520" s="209"/>
      <c r="H1520" s="209"/>
      <c r="I1520" s="209"/>
      <c r="J1520" s="209"/>
      <c r="K1520" s="209"/>
      <c r="L1520" s="209"/>
      <c r="M1520" s="209"/>
      <c r="N1520" s="209"/>
      <c r="O1520" s="209"/>
      <c r="P1520" s="209"/>
      <c r="Q1520" s="209"/>
      <c r="R1520" s="209"/>
      <c r="S1520" s="209"/>
      <c r="T1520" s="209"/>
      <c r="U1520" s="209"/>
      <c r="V1520" s="209"/>
      <c r="W1520" s="209"/>
      <c r="X1520" s="209"/>
      <c r="Y1520" s="209"/>
      <c r="Z1520" s="209"/>
      <c r="AA1520" s="209"/>
      <c r="AB1520" s="209"/>
      <c r="AC1520" s="209"/>
      <c r="AD1520" s="209"/>
      <c r="AE1520" s="209"/>
      <c r="AF1520" s="209"/>
      <c r="AG1520" s="209"/>
      <c r="AH1520" s="209"/>
      <c r="AI1520" s="209"/>
      <c r="AJ1520" s="209"/>
    </row>
    <row r="1521">
      <c r="A1521" s="209"/>
      <c r="B1521" s="209"/>
      <c r="C1521" s="209"/>
      <c r="D1521" s="209"/>
      <c r="E1521" s="209"/>
      <c r="F1521" s="209"/>
      <c r="G1521" s="209"/>
      <c r="H1521" s="209"/>
      <c r="I1521" s="209"/>
      <c r="J1521" s="209"/>
      <c r="K1521" s="209"/>
      <c r="L1521" s="209"/>
      <c r="M1521" s="209"/>
      <c r="N1521" s="209"/>
      <c r="O1521" s="209"/>
      <c r="P1521" s="209"/>
      <c r="Q1521" s="209"/>
      <c r="R1521" s="209"/>
      <c r="S1521" s="209"/>
      <c r="T1521" s="209"/>
      <c r="U1521" s="209"/>
      <c r="V1521" s="209"/>
      <c r="W1521" s="209"/>
      <c r="X1521" s="209"/>
      <c r="Y1521" s="209"/>
      <c r="Z1521" s="209"/>
      <c r="AA1521" s="209"/>
      <c r="AB1521" s="209"/>
      <c r="AC1521" s="209"/>
      <c r="AD1521" s="209"/>
      <c r="AE1521" s="209"/>
      <c r="AF1521" s="209"/>
      <c r="AG1521" s="209"/>
      <c r="AH1521" s="209"/>
      <c r="AI1521" s="209"/>
      <c r="AJ1521" s="209"/>
    </row>
    <row r="1522">
      <c r="A1522" s="209"/>
      <c r="B1522" s="209"/>
      <c r="C1522" s="209"/>
      <c r="D1522" s="209"/>
      <c r="E1522" s="209"/>
      <c r="F1522" s="209"/>
      <c r="G1522" s="209"/>
      <c r="H1522" s="209"/>
      <c r="I1522" s="209"/>
      <c r="J1522" s="209"/>
      <c r="K1522" s="209"/>
      <c r="L1522" s="209"/>
      <c r="M1522" s="209"/>
      <c r="N1522" s="209"/>
      <c r="O1522" s="209"/>
      <c r="P1522" s="209"/>
      <c r="Q1522" s="209"/>
      <c r="R1522" s="209"/>
      <c r="S1522" s="209"/>
      <c r="T1522" s="209"/>
      <c r="U1522" s="209"/>
      <c r="V1522" s="209"/>
      <c r="W1522" s="209"/>
      <c r="X1522" s="209"/>
      <c r="Y1522" s="209"/>
      <c r="Z1522" s="209"/>
      <c r="AA1522" s="209"/>
      <c r="AB1522" s="209"/>
      <c r="AC1522" s="209"/>
      <c r="AD1522" s="209"/>
      <c r="AE1522" s="209"/>
      <c r="AF1522" s="209"/>
      <c r="AG1522" s="209"/>
      <c r="AH1522" s="209"/>
      <c r="AI1522" s="209"/>
      <c r="AJ1522" s="209"/>
    </row>
    <row r="1523">
      <c r="A1523" s="209"/>
      <c r="B1523" s="209"/>
      <c r="C1523" s="209"/>
      <c r="D1523" s="209"/>
      <c r="E1523" s="209"/>
      <c r="F1523" s="209"/>
      <c r="G1523" s="209"/>
      <c r="H1523" s="209"/>
      <c r="I1523" s="209"/>
      <c r="J1523" s="209"/>
      <c r="K1523" s="209"/>
      <c r="L1523" s="209"/>
      <c r="M1523" s="209"/>
      <c r="N1523" s="209"/>
      <c r="O1523" s="209"/>
      <c r="P1523" s="209"/>
      <c r="Q1523" s="209"/>
      <c r="R1523" s="209"/>
      <c r="S1523" s="209"/>
      <c r="T1523" s="209"/>
      <c r="U1523" s="209"/>
      <c r="V1523" s="209"/>
      <c r="W1523" s="209"/>
      <c r="X1523" s="209"/>
      <c r="Y1523" s="209"/>
      <c r="Z1523" s="209"/>
      <c r="AA1523" s="209"/>
      <c r="AB1523" s="209"/>
      <c r="AC1523" s="209"/>
      <c r="AD1523" s="209"/>
      <c r="AE1523" s="209"/>
      <c r="AF1523" s="209"/>
      <c r="AG1523" s="209"/>
      <c r="AH1523" s="209"/>
      <c r="AI1523" s="209"/>
      <c r="AJ1523" s="209"/>
    </row>
    <row r="1524">
      <c r="A1524" s="209"/>
      <c r="B1524" s="209"/>
      <c r="C1524" s="209"/>
      <c r="D1524" s="209"/>
      <c r="E1524" s="209"/>
      <c r="F1524" s="209"/>
      <c r="G1524" s="209"/>
      <c r="H1524" s="209"/>
      <c r="I1524" s="209"/>
      <c r="J1524" s="209"/>
      <c r="K1524" s="209"/>
      <c r="L1524" s="209"/>
      <c r="M1524" s="209"/>
      <c r="N1524" s="209"/>
      <c r="O1524" s="209"/>
      <c r="P1524" s="209"/>
      <c r="Q1524" s="209"/>
      <c r="R1524" s="209"/>
      <c r="S1524" s="209"/>
      <c r="T1524" s="209"/>
      <c r="U1524" s="209"/>
      <c r="V1524" s="209"/>
      <c r="W1524" s="209"/>
      <c r="X1524" s="209"/>
      <c r="Y1524" s="209"/>
      <c r="Z1524" s="209"/>
      <c r="AA1524" s="209"/>
      <c r="AB1524" s="209"/>
      <c r="AC1524" s="209"/>
      <c r="AD1524" s="209"/>
      <c r="AE1524" s="209"/>
      <c r="AF1524" s="209"/>
      <c r="AG1524" s="209"/>
      <c r="AH1524" s="209"/>
      <c r="AI1524" s="209"/>
      <c r="AJ1524" s="209"/>
    </row>
    <row r="1525">
      <c r="A1525" s="209"/>
      <c r="B1525" s="209"/>
      <c r="C1525" s="209"/>
      <c r="D1525" s="209"/>
      <c r="E1525" s="209"/>
      <c r="F1525" s="209"/>
      <c r="G1525" s="209"/>
      <c r="H1525" s="209"/>
      <c r="I1525" s="209"/>
      <c r="J1525" s="209"/>
      <c r="K1525" s="209"/>
      <c r="L1525" s="209"/>
      <c r="M1525" s="209"/>
      <c r="N1525" s="209"/>
      <c r="O1525" s="209"/>
      <c r="P1525" s="209"/>
      <c r="Q1525" s="209"/>
      <c r="R1525" s="209"/>
      <c r="S1525" s="209"/>
      <c r="T1525" s="209"/>
      <c r="U1525" s="209"/>
      <c r="V1525" s="209"/>
      <c r="W1525" s="209"/>
      <c r="X1525" s="209"/>
      <c r="Y1525" s="209"/>
      <c r="Z1525" s="209"/>
      <c r="AA1525" s="209"/>
      <c r="AB1525" s="209"/>
      <c r="AC1525" s="209"/>
      <c r="AD1525" s="209"/>
      <c r="AE1525" s="209"/>
      <c r="AF1525" s="209"/>
      <c r="AG1525" s="209"/>
      <c r="AH1525" s="209"/>
      <c r="AI1525" s="209"/>
      <c r="AJ1525" s="209"/>
    </row>
    <row r="1526">
      <c r="A1526" s="209"/>
      <c r="B1526" s="209"/>
      <c r="C1526" s="209"/>
      <c r="D1526" s="209"/>
      <c r="E1526" s="209"/>
      <c r="F1526" s="209"/>
      <c r="G1526" s="209"/>
      <c r="H1526" s="209"/>
      <c r="I1526" s="209"/>
      <c r="J1526" s="209"/>
      <c r="K1526" s="209"/>
      <c r="L1526" s="209"/>
      <c r="M1526" s="209"/>
      <c r="N1526" s="209"/>
      <c r="O1526" s="209"/>
      <c r="P1526" s="209"/>
      <c r="Q1526" s="209"/>
      <c r="R1526" s="209"/>
      <c r="S1526" s="209"/>
      <c r="T1526" s="209"/>
      <c r="U1526" s="209"/>
      <c r="V1526" s="209"/>
      <c r="W1526" s="209"/>
      <c r="X1526" s="209"/>
      <c r="Y1526" s="209"/>
      <c r="Z1526" s="209"/>
      <c r="AA1526" s="209"/>
      <c r="AB1526" s="209"/>
      <c r="AC1526" s="209"/>
      <c r="AD1526" s="209"/>
      <c r="AE1526" s="209"/>
      <c r="AF1526" s="209"/>
      <c r="AG1526" s="209"/>
      <c r="AH1526" s="209"/>
      <c r="AI1526" s="209"/>
      <c r="AJ1526" s="209"/>
    </row>
    <row r="1527">
      <c r="A1527" s="209"/>
      <c r="B1527" s="209"/>
      <c r="C1527" s="209"/>
      <c r="D1527" s="209"/>
      <c r="E1527" s="209"/>
      <c r="F1527" s="209"/>
      <c r="G1527" s="209"/>
      <c r="H1527" s="209"/>
      <c r="I1527" s="209"/>
      <c r="J1527" s="209"/>
      <c r="K1527" s="209"/>
      <c r="L1527" s="209"/>
      <c r="M1527" s="209"/>
      <c r="N1527" s="209"/>
      <c r="O1527" s="209"/>
      <c r="P1527" s="209"/>
      <c r="Q1527" s="209"/>
      <c r="R1527" s="209"/>
      <c r="S1527" s="209"/>
      <c r="T1527" s="209"/>
      <c r="U1527" s="209"/>
      <c r="V1527" s="209"/>
      <c r="W1527" s="209"/>
      <c r="X1527" s="209"/>
      <c r="Y1527" s="209"/>
      <c r="Z1527" s="209"/>
      <c r="AA1527" s="209"/>
      <c r="AB1527" s="209"/>
      <c r="AC1527" s="209"/>
      <c r="AD1527" s="209"/>
      <c r="AE1527" s="209"/>
      <c r="AF1527" s="209"/>
      <c r="AG1527" s="209"/>
      <c r="AH1527" s="209"/>
      <c r="AI1527" s="209"/>
      <c r="AJ1527" s="209"/>
    </row>
    <row r="1528">
      <c r="A1528" s="209"/>
      <c r="B1528" s="209"/>
      <c r="C1528" s="209"/>
      <c r="D1528" s="209"/>
      <c r="E1528" s="209"/>
      <c r="F1528" s="209"/>
      <c r="G1528" s="209"/>
      <c r="H1528" s="209"/>
      <c r="I1528" s="209"/>
      <c r="J1528" s="209"/>
      <c r="K1528" s="209"/>
      <c r="L1528" s="209"/>
      <c r="M1528" s="209"/>
      <c r="N1528" s="209"/>
      <c r="O1528" s="209"/>
      <c r="P1528" s="209"/>
      <c r="Q1528" s="209"/>
      <c r="R1528" s="209"/>
      <c r="S1528" s="209"/>
      <c r="T1528" s="209"/>
      <c r="U1528" s="209"/>
      <c r="V1528" s="209"/>
      <c r="W1528" s="209"/>
      <c r="X1528" s="209"/>
      <c r="Y1528" s="209"/>
      <c r="Z1528" s="209"/>
      <c r="AA1528" s="209"/>
      <c r="AB1528" s="209"/>
      <c r="AC1528" s="209"/>
      <c r="AD1528" s="209"/>
      <c r="AE1528" s="209"/>
      <c r="AF1528" s="209"/>
      <c r="AG1528" s="209"/>
      <c r="AH1528" s="209"/>
      <c r="AI1528" s="209"/>
      <c r="AJ1528" s="209"/>
    </row>
    <row r="1529">
      <c r="A1529" s="209"/>
      <c r="B1529" s="209"/>
      <c r="C1529" s="209"/>
      <c r="D1529" s="209"/>
      <c r="E1529" s="209"/>
      <c r="F1529" s="209"/>
      <c r="G1529" s="209"/>
      <c r="H1529" s="209"/>
      <c r="I1529" s="209"/>
      <c r="J1529" s="209"/>
      <c r="K1529" s="209"/>
      <c r="L1529" s="209"/>
      <c r="M1529" s="209"/>
      <c r="N1529" s="209"/>
      <c r="O1529" s="209"/>
      <c r="P1529" s="209"/>
      <c r="Q1529" s="209"/>
      <c r="R1529" s="209"/>
      <c r="S1529" s="209"/>
      <c r="T1529" s="209"/>
      <c r="U1529" s="209"/>
      <c r="V1529" s="209"/>
      <c r="W1529" s="209"/>
      <c r="X1529" s="209"/>
      <c r="Y1529" s="209"/>
      <c r="Z1529" s="209"/>
      <c r="AA1529" s="209"/>
      <c r="AB1529" s="209"/>
      <c r="AC1529" s="209"/>
      <c r="AD1529" s="209"/>
      <c r="AE1529" s="209"/>
      <c r="AF1529" s="209"/>
      <c r="AG1529" s="209"/>
      <c r="AH1529" s="209"/>
      <c r="AI1529" s="209"/>
      <c r="AJ1529" s="209"/>
    </row>
    <row r="1530">
      <c r="A1530" s="209"/>
      <c r="B1530" s="209"/>
      <c r="C1530" s="209"/>
      <c r="D1530" s="209"/>
      <c r="E1530" s="209"/>
      <c r="F1530" s="209"/>
      <c r="G1530" s="209"/>
      <c r="H1530" s="209"/>
      <c r="I1530" s="209"/>
      <c r="J1530" s="209"/>
      <c r="K1530" s="209"/>
      <c r="L1530" s="209"/>
      <c r="M1530" s="209"/>
      <c r="N1530" s="209"/>
      <c r="O1530" s="209"/>
      <c r="P1530" s="209"/>
      <c r="Q1530" s="209"/>
      <c r="R1530" s="209"/>
      <c r="S1530" s="209"/>
      <c r="T1530" s="209"/>
      <c r="U1530" s="209"/>
      <c r="V1530" s="209"/>
      <c r="W1530" s="209"/>
      <c r="X1530" s="209"/>
      <c r="Y1530" s="209"/>
      <c r="Z1530" s="209"/>
      <c r="AA1530" s="209"/>
      <c r="AB1530" s="209"/>
      <c r="AC1530" s="209"/>
      <c r="AD1530" s="209"/>
      <c r="AE1530" s="209"/>
      <c r="AF1530" s="209"/>
      <c r="AG1530" s="209"/>
      <c r="AH1530" s="209"/>
      <c r="AI1530" s="209"/>
      <c r="AJ1530" s="209"/>
    </row>
    <row r="1531">
      <c r="A1531" s="209"/>
      <c r="B1531" s="209"/>
      <c r="C1531" s="209"/>
      <c r="D1531" s="209"/>
      <c r="E1531" s="209"/>
      <c r="F1531" s="209"/>
      <c r="G1531" s="209"/>
      <c r="H1531" s="209"/>
      <c r="I1531" s="209"/>
      <c r="J1531" s="209"/>
      <c r="K1531" s="209"/>
      <c r="L1531" s="209"/>
      <c r="M1531" s="209"/>
      <c r="N1531" s="209"/>
      <c r="O1531" s="209"/>
      <c r="P1531" s="209"/>
      <c r="Q1531" s="209"/>
      <c r="R1531" s="209"/>
      <c r="S1531" s="209"/>
      <c r="T1531" s="209"/>
      <c r="U1531" s="209"/>
      <c r="V1531" s="209"/>
      <c r="W1531" s="209"/>
      <c r="X1531" s="209"/>
      <c r="Y1531" s="209"/>
      <c r="Z1531" s="209"/>
      <c r="AA1531" s="209"/>
      <c r="AB1531" s="209"/>
      <c r="AC1531" s="209"/>
      <c r="AD1531" s="209"/>
      <c r="AE1531" s="209"/>
      <c r="AF1531" s="209"/>
      <c r="AG1531" s="209"/>
      <c r="AH1531" s="209"/>
      <c r="AI1531" s="209"/>
      <c r="AJ1531" s="209"/>
    </row>
    <row r="1532">
      <c r="A1532" s="209"/>
      <c r="B1532" s="209"/>
      <c r="C1532" s="209"/>
      <c r="D1532" s="209"/>
      <c r="E1532" s="209"/>
      <c r="F1532" s="209"/>
      <c r="G1532" s="209"/>
      <c r="H1532" s="209"/>
      <c r="I1532" s="209"/>
      <c r="J1532" s="209"/>
      <c r="K1532" s="209"/>
      <c r="L1532" s="209"/>
      <c r="M1532" s="209"/>
      <c r="N1532" s="209"/>
      <c r="O1532" s="209"/>
      <c r="P1532" s="209"/>
      <c r="Q1532" s="209"/>
      <c r="R1532" s="209"/>
      <c r="S1532" s="209"/>
      <c r="T1532" s="209"/>
      <c r="U1532" s="209"/>
      <c r="V1532" s="209"/>
      <c r="W1532" s="209"/>
      <c r="X1532" s="209"/>
      <c r="Y1532" s="209"/>
      <c r="Z1532" s="209"/>
      <c r="AA1532" s="209"/>
      <c r="AB1532" s="209"/>
      <c r="AC1532" s="209"/>
      <c r="AD1532" s="209"/>
      <c r="AE1532" s="209"/>
      <c r="AF1532" s="209"/>
      <c r="AG1532" s="209"/>
      <c r="AH1532" s="209"/>
      <c r="AI1532" s="209"/>
      <c r="AJ1532" s="209"/>
    </row>
    <row r="1533">
      <c r="A1533" s="209"/>
      <c r="B1533" s="209"/>
      <c r="C1533" s="209"/>
      <c r="D1533" s="209"/>
      <c r="E1533" s="209"/>
      <c r="F1533" s="209"/>
      <c r="G1533" s="209"/>
      <c r="H1533" s="209"/>
      <c r="I1533" s="209"/>
      <c r="J1533" s="209"/>
      <c r="K1533" s="209"/>
      <c r="L1533" s="209"/>
      <c r="M1533" s="209"/>
      <c r="N1533" s="209"/>
      <c r="O1533" s="209"/>
      <c r="P1533" s="209"/>
      <c r="Q1533" s="209"/>
      <c r="R1533" s="209"/>
      <c r="S1533" s="209"/>
      <c r="T1533" s="209"/>
      <c r="U1533" s="209"/>
      <c r="V1533" s="209"/>
      <c r="W1533" s="209"/>
      <c r="X1533" s="209"/>
      <c r="Y1533" s="209"/>
      <c r="Z1533" s="209"/>
      <c r="AA1533" s="209"/>
      <c r="AB1533" s="209"/>
      <c r="AC1533" s="209"/>
      <c r="AD1533" s="209"/>
      <c r="AE1533" s="209"/>
      <c r="AF1533" s="209"/>
      <c r="AG1533" s="209"/>
      <c r="AH1533" s="209"/>
      <c r="AI1533" s="209"/>
      <c r="AJ1533" s="209"/>
    </row>
    <row r="1534">
      <c r="A1534" s="209"/>
      <c r="B1534" s="209"/>
      <c r="C1534" s="209"/>
      <c r="D1534" s="209"/>
      <c r="E1534" s="209"/>
      <c r="F1534" s="209"/>
      <c r="G1534" s="209"/>
      <c r="H1534" s="209"/>
      <c r="I1534" s="209"/>
      <c r="J1534" s="209"/>
      <c r="K1534" s="209"/>
      <c r="L1534" s="209"/>
      <c r="M1534" s="209"/>
      <c r="N1534" s="209"/>
      <c r="O1534" s="209"/>
      <c r="P1534" s="209"/>
      <c r="Q1534" s="209"/>
      <c r="R1534" s="209"/>
      <c r="S1534" s="209"/>
      <c r="T1534" s="209"/>
      <c r="U1534" s="209"/>
      <c r="V1534" s="209"/>
      <c r="W1534" s="209"/>
      <c r="X1534" s="209"/>
      <c r="Y1534" s="209"/>
      <c r="Z1534" s="209"/>
      <c r="AA1534" s="209"/>
      <c r="AB1534" s="209"/>
      <c r="AC1534" s="209"/>
      <c r="AD1534" s="209"/>
      <c r="AE1534" s="209"/>
      <c r="AF1534" s="209"/>
      <c r="AG1534" s="209"/>
      <c r="AH1534" s="209"/>
      <c r="AI1534" s="209"/>
      <c r="AJ1534" s="209"/>
    </row>
    <row r="1535">
      <c r="A1535" s="209"/>
      <c r="B1535" s="209"/>
      <c r="C1535" s="209"/>
      <c r="D1535" s="209"/>
      <c r="E1535" s="209"/>
      <c r="F1535" s="209"/>
      <c r="G1535" s="209"/>
      <c r="H1535" s="209"/>
      <c r="I1535" s="209"/>
      <c r="J1535" s="209"/>
      <c r="K1535" s="209"/>
      <c r="L1535" s="209"/>
      <c r="M1535" s="209"/>
      <c r="N1535" s="209"/>
      <c r="O1535" s="209"/>
      <c r="P1535" s="209"/>
      <c r="Q1535" s="209"/>
      <c r="R1535" s="209"/>
      <c r="S1535" s="209"/>
      <c r="T1535" s="209"/>
      <c r="U1535" s="209"/>
      <c r="V1535" s="209"/>
      <c r="W1535" s="209"/>
      <c r="X1535" s="209"/>
      <c r="Y1535" s="209"/>
      <c r="Z1535" s="209"/>
      <c r="AA1535" s="209"/>
      <c r="AB1535" s="209"/>
      <c r="AC1535" s="209"/>
      <c r="AD1535" s="209"/>
      <c r="AE1535" s="209"/>
      <c r="AF1535" s="209"/>
      <c r="AG1535" s="209"/>
      <c r="AH1535" s="209"/>
      <c r="AI1535" s="209"/>
      <c r="AJ1535" s="209"/>
    </row>
    <row r="1536">
      <c r="A1536" s="209"/>
      <c r="B1536" s="209"/>
      <c r="C1536" s="209"/>
      <c r="D1536" s="209"/>
      <c r="E1536" s="209"/>
      <c r="F1536" s="209"/>
      <c r="G1536" s="209"/>
      <c r="H1536" s="209"/>
      <c r="I1536" s="209"/>
      <c r="J1536" s="209"/>
      <c r="K1536" s="209"/>
      <c r="L1536" s="209"/>
      <c r="M1536" s="209"/>
      <c r="N1536" s="209"/>
      <c r="O1536" s="209"/>
      <c r="P1536" s="209"/>
      <c r="Q1536" s="209"/>
      <c r="R1536" s="209"/>
      <c r="S1536" s="209"/>
      <c r="T1536" s="209"/>
      <c r="U1536" s="209"/>
      <c r="V1536" s="209"/>
      <c r="W1536" s="209"/>
      <c r="X1536" s="209"/>
      <c r="Y1536" s="209"/>
      <c r="Z1536" s="209"/>
      <c r="AA1536" s="209"/>
      <c r="AB1536" s="209"/>
      <c r="AC1536" s="209"/>
      <c r="AD1536" s="209"/>
      <c r="AE1536" s="209"/>
      <c r="AF1536" s="209"/>
      <c r="AG1536" s="209"/>
      <c r="AH1536" s="209"/>
      <c r="AI1536" s="209"/>
      <c r="AJ1536" s="209"/>
    </row>
    <row r="1537">
      <c r="A1537" s="209"/>
      <c r="B1537" s="209"/>
      <c r="C1537" s="209"/>
      <c r="D1537" s="209"/>
      <c r="E1537" s="209"/>
      <c r="F1537" s="209"/>
      <c r="G1537" s="209"/>
      <c r="H1537" s="209"/>
      <c r="I1537" s="209"/>
      <c r="J1537" s="209"/>
      <c r="K1537" s="209"/>
      <c r="L1537" s="209"/>
      <c r="M1537" s="209"/>
      <c r="N1537" s="209"/>
      <c r="O1537" s="209"/>
      <c r="P1537" s="209"/>
      <c r="Q1537" s="209"/>
      <c r="R1537" s="209"/>
      <c r="S1537" s="209"/>
      <c r="T1537" s="209"/>
      <c r="U1537" s="209"/>
      <c r="V1537" s="209"/>
      <c r="W1537" s="209"/>
      <c r="X1537" s="209"/>
      <c r="Y1537" s="209"/>
      <c r="Z1537" s="209"/>
      <c r="AA1537" s="209"/>
      <c r="AB1537" s="209"/>
      <c r="AC1537" s="209"/>
      <c r="AD1537" s="209"/>
      <c r="AE1537" s="209"/>
      <c r="AF1537" s="209"/>
      <c r="AG1537" s="209"/>
      <c r="AH1537" s="209"/>
      <c r="AI1537" s="209"/>
      <c r="AJ1537" s="209"/>
    </row>
    <row r="1538">
      <c r="A1538" s="209"/>
      <c r="B1538" s="209"/>
      <c r="C1538" s="209"/>
      <c r="D1538" s="209"/>
      <c r="E1538" s="209"/>
      <c r="F1538" s="209"/>
      <c r="G1538" s="209"/>
      <c r="H1538" s="209"/>
      <c r="I1538" s="209"/>
      <c r="J1538" s="209"/>
      <c r="K1538" s="209"/>
      <c r="L1538" s="209"/>
      <c r="M1538" s="209"/>
      <c r="N1538" s="209"/>
      <c r="O1538" s="209"/>
      <c r="P1538" s="209"/>
      <c r="Q1538" s="209"/>
      <c r="R1538" s="209"/>
      <c r="S1538" s="209"/>
      <c r="T1538" s="209"/>
      <c r="U1538" s="209"/>
      <c r="V1538" s="209"/>
      <c r="W1538" s="209"/>
      <c r="X1538" s="209"/>
      <c r="Y1538" s="209"/>
      <c r="Z1538" s="209"/>
      <c r="AA1538" s="209"/>
      <c r="AB1538" s="209"/>
      <c r="AC1538" s="209"/>
      <c r="AD1538" s="209"/>
      <c r="AE1538" s="209"/>
      <c r="AF1538" s="209"/>
      <c r="AG1538" s="209"/>
      <c r="AH1538" s="209"/>
      <c r="AI1538" s="209"/>
      <c r="AJ1538" s="209"/>
    </row>
    <row r="1539">
      <c r="A1539" s="209"/>
      <c r="B1539" s="209"/>
      <c r="C1539" s="209"/>
      <c r="D1539" s="209"/>
      <c r="E1539" s="209"/>
      <c r="F1539" s="209"/>
      <c r="G1539" s="209"/>
      <c r="H1539" s="209"/>
      <c r="I1539" s="209"/>
      <c r="J1539" s="209"/>
      <c r="K1539" s="209"/>
      <c r="L1539" s="209"/>
      <c r="M1539" s="209"/>
      <c r="N1539" s="209"/>
      <c r="O1539" s="209"/>
      <c r="P1539" s="209"/>
      <c r="Q1539" s="209"/>
      <c r="R1539" s="209"/>
      <c r="S1539" s="209"/>
      <c r="T1539" s="209"/>
      <c r="U1539" s="209"/>
      <c r="V1539" s="209"/>
      <c r="W1539" s="209"/>
      <c r="X1539" s="209"/>
      <c r="Y1539" s="209"/>
      <c r="Z1539" s="209"/>
      <c r="AA1539" s="209"/>
      <c r="AB1539" s="209"/>
      <c r="AC1539" s="209"/>
      <c r="AD1539" s="209"/>
      <c r="AE1539" s="209"/>
      <c r="AF1539" s="209"/>
      <c r="AG1539" s="209"/>
      <c r="AH1539" s="209"/>
      <c r="AI1539" s="209"/>
      <c r="AJ1539" s="209"/>
    </row>
    <row r="1540">
      <c r="A1540" s="209"/>
      <c r="B1540" s="209"/>
      <c r="C1540" s="209"/>
      <c r="D1540" s="209"/>
      <c r="E1540" s="209"/>
      <c r="F1540" s="209"/>
      <c r="G1540" s="209"/>
      <c r="H1540" s="209"/>
      <c r="I1540" s="209"/>
      <c r="J1540" s="209"/>
      <c r="K1540" s="209"/>
      <c r="L1540" s="209"/>
      <c r="M1540" s="209"/>
      <c r="N1540" s="209"/>
      <c r="O1540" s="209"/>
      <c r="P1540" s="209"/>
      <c r="Q1540" s="209"/>
      <c r="R1540" s="209"/>
      <c r="S1540" s="209"/>
      <c r="T1540" s="209"/>
      <c r="U1540" s="209"/>
      <c r="V1540" s="209"/>
      <c r="W1540" s="209"/>
      <c r="X1540" s="209"/>
      <c r="Y1540" s="209"/>
      <c r="Z1540" s="209"/>
      <c r="AA1540" s="209"/>
      <c r="AB1540" s="209"/>
      <c r="AC1540" s="209"/>
      <c r="AD1540" s="209"/>
      <c r="AE1540" s="209"/>
      <c r="AF1540" s="209"/>
      <c r="AG1540" s="209"/>
      <c r="AH1540" s="209"/>
      <c r="AI1540" s="209"/>
      <c r="AJ1540" s="209"/>
    </row>
    <row r="1541">
      <c r="A1541" s="209"/>
      <c r="B1541" s="209"/>
      <c r="C1541" s="209"/>
      <c r="D1541" s="209"/>
      <c r="E1541" s="209"/>
      <c r="F1541" s="209"/>
      <c r="G1541" s="209"/>
      <c r="H1541" s="209"/>
      <c r="I1541" s="209"/>
      <c r="J1541" s="209"/>
      <c r="K1541" s="209"/>
      <c r="L1541" s="209"/>
      <c r="M1541" s="209"/>
      <c r="N1541" s="209"/>
      <c r="O1541" s="209"/>
      <c r="P1541" s="209"/>
      <c r="Q1541" s="209"/>
      <c r="R1541" s="209"/>
      <c r="S1541" s="209"/>
      <c r="T1541" s="209"/>
      <c r="U1541" s="209"/>
      <c r="V1541" s="209"/>
      <c r="W1541" s="209"/>
      <c r="X1541" s="209"/>
      <c r="Y1541" s="209"/>
      <c r="Z1541" s="209"/>
      <c r="AA1541" s="209"/>
      <c r="AB1541" s="209"/>
      <c r="AC1541" s="209"/>
      <c r="AD1541" s="209"/>
      <c r="AE1541" s="209"/>
      <c r="AF1541" s="209"/>
      <c r="AG1541" s="209"/>
      <c r="AH1541" s="209"/>
      <c r="AI1541" s="209"/>
      <c r="AJ1541" s="209"/>
    </row>
    <row r="1542">
      <c r="A1542" s="209"/>
      <c r="B1542" s="209"/>
      <c r="C1542" s="209"/>
      <c r="D1542" s="209"/>
      <c r="E1542" s="209"/>
      <c r="F1542" s="209"/>
      <c r="G1542" s="209"/>
      <c r="H1542" s="209"/>
      <c r="I1542" s="209"/>
      <c r="J1542" s="209"/>
      <c r="K1542" s="209"/>
      <c r="L1542" s="209"/>
      <c r="M1542" s="209"/>
      <c r="N1542" s="209"/>
      <c r="O1542" s="209"/>
      <c r="P1542" s="209"/>
      <c r="Q1542" s="209"/>
      <c r="R1542" s="209"/>
      <c r="S1542" s="209"/>
      <c r="T1542" s="209"/>
      <c r="U1542" s="209"/>
      <c r="V1542" s="209"/>
      <c r="W1542" s="209"/>
      <c r="X1542" s="209"/>
      <c r="Y1542" s="209"/>
      <c r="Z1542" s="209"/>
      <c r="AA1542" s="209"/>
      <c r="AB1542" s="209"/>
      <c r="AC1542" s="209"/>
      <c r="AD1542" s="209"/>
      <c r="AE1542" s="209"/>
      <c r="AF1542" s="209"/>
      <c r="AG1542" s="209"/>
      <c r="AH1542" s="209"/>
      <c r="AI1542" s="209"/>
      <c r="AJ1542" s="209"/>
    </row>
    <row r="1543">
      <c r="A1543" s="209"/>
      <c r="B1543" s="209"/>
      <c r="C1543" s="209"/>
      <c r="D1543" s="209"/>
      <c r="E1543" s="209"/>
      <c r="F1543" s="209"/>
      <c r="G1543" s="209"/>
      <c r="H1543" s="209"/>
      <c r="I1543" s="209"/>
      <c r="J1543" s="209"/>
      <c r="K1543" s="209"/>
      <c r="L1543" s="209"/>
      <c r="M1543" s="209"/>
      <c r="N1543" s="209"/>
      <c r="O1543" s="209"/>
      <c r="P1543" s="209"/>
      <c r="Q1543" s="209"/>
      <c r="R1543" s="209"/>
      <c r="S1543" s="209"/>
      <c r="T1543" s="209"/>
      <c r="U1543" s="209"/>
      <c r="V1543" s="209"/>
      <c r="W1543" s="209"/>
      <c r="X1543" s="209"/>
      <c r="Y1543" s="209"/>
      <c r="Z1543" s="209"/>
      <c r="AA1543" s="209"/>
      <c r="AB1543" s="209"/>
      <c r="AC1543" s="209"/>
      <c r="AD1543" s="209"/>
      <c r="AE1543" s="209"/>
      <c r="AF1543" s="209"/>
      <c r="AG1543" s="209"/>
      <c r="AH1543" s="209"/>
      <c r="AI1543" s="209"/>
      <c r="AJ1543" s="209"/>
    </row>
    <row r="1544">
      <c r="A1544" s="209"/>
      <c r="B1544" s="209"/>
      <c r="C1544" s="209"/>
      <c r="D1544" s="209"/>
      <c r="E1544" s="209"/>
      <c r="F1544" s="209"/>
      <c r="G1544" s="209"/>
      <c r="H1544" s="209"/>
      <c r="I1544" s="209"/>
      <c r="J1544" s="209"/>
      <c r="K1544" s="209"/>
      <c r="L1544" s="209"/>
      <c r="M1544" s="209"/>
      <c r="N1544" s="209"/>
      <c r="O1544" s="209"/>
      <c r="P1544" s="209"/>
      <c r="Q1544" s="209"/>
      <c r="R1544" s="209"/>
      <c r="S1544" s="209"/>
      <c r="T1544" s="209"/>
      <c r="U1544" s="209"/>
      <c r="V1544" s="209"/>
      <c r="W1544" s="209"/>
      <c r="X1544" s="209"/>
      <c r="Y1544" s="209"/>
      <c r="Z1544" s="209"/>
      <c r="AA1544" s="209"/>
      <c r="AB1544" s="209"/>
      <c r="AC1544" s="209"/>
      <c r="AD1544" s="209"/>
      <c r="AE1544" s="209"/>
      <c r="AF1544" s="209"/>
      <c r="AG1544" s="209"/>
      <c r="AH1544" s="209"/>
      <c r="AI1544" s="209"/>
      <c r="AJ1544" s="209"/>
    </row>
    <row r="1545">
      <c r="A1545" s="209"/>
      <c r="B1545" s="209"/>
      <c r="C1545" s="209"/>
      <c r="D1545" s="209"/>
      <c r="E1545" s="209"/>
      <c r="F1545" s="209"/>
      <c r="G1545" s="209"/>
      <c r="H1545" s="209"/>
      <c r="I1545" s="209"/>
      <c r="J1545" s="209"/>
      <c r="K1545" s="209"/>
      <c r="L1545" s="209"/>
      <c r="M1545" s="209"/>
      <c r="N1545" s="209"/>
      <c r="O1545" s="209"/>
      <c r="P1545" s="209"/>
      <c r="Q1545" s="209"/>
      <c r="R1545" s="209"/>
      <c r="S1545" s="209"/>
      <c r="T1545" s="209"/>
      <c r="U1545" s="209"/>
      <c r="V1545" s="209"/>
      <c r="W1545" s="209"/>
      <c r="X1545" s="209"/>
      <c r="Y1545" s="209"/>
      <c r="Z1545" s="209"/>
      <c r="AA1545" s="209"/>
      <c r="AB1545" s="209"/>
      <c r="AC1545" s="209"/>
      <c r="AD1545" s="209"/>
      <c r="AE1545" s="209"/>
      <c r="AF1545" s="209"/>
      <c r="AG1545" s="209"/>
      <c r="AH1545" s="209"/>
      <c r="AI1545" s="209"/>
      <c r="AJ1545" s="209"/>
    </row>
    <row r="1546">
      <c r="A1546" s="209"/>
      <c r="B1546" s="209"/>
      <c r="C1546" s="209"/>
      <c r="D1546" s="209"/>
      <c r="E1546" s="209"/>
      <c r="F1546" s="209"/>
      <c r="G1546" s="209"/>
      <c r="H1546" s="209"/>
      <c r="I1546" s="209"/>
      <c r="J1546" s="209"/>
      <c r="K1546" s="209"/>
      <c r="L1546" s="209"/>
      <c r="M1546" s="209"/>
      <c r="N1546" s="209"/>
      <c r="O1546" s="209"/>
      <c r="P1546" s="209"/>
      <c r="Q1546" s="209"/>
      <c r="R1546" s="209"/>
      <c r="S1546" s="209"/>
      <c r="T1546" s="209"/>
      <c r="U1546" s="209"/>
      <c r="V1546" s="209"/>
      <c r="W1546" s="209"/>
      <c r="X1546" s="209"/>
      <c r="Y1546" s="209"/>
      <c r="Z1546" s="209"/>
      <c r="AA1546" s="209"/>
      <c r="AB1546" s="209"/>
      <c r="AC1546" s="209"/>
      <c r="AD1546" s="209"/>
      <c r="AE1546" s="209"/>
      <c r="AF1546" s="209"/>
      <c r="AG1546" s="209"/>
      <c r="AH1546" s="209"/>
      <c r="AI1546" s="209"/>
      <c r="AJ1546" s="209"/>
    </row>
    <row r="1547">
      <c r="A1547" s="209"/>
      <c r="B1547" s="209"/>
      <c r="C1547" s="209"/>
      <c r="D1547" s="209"/>
      <c r="E1547" s="209"/>
      <c r="F1547" s="209"/>
      <c r="G1547" s="209"/>
      <c r="H1547" s="209"/>
      <c r="I1547" s="209"/>
      <c r="J1547" s="209"/>
      <c r="K1547" s="209"/>
      <c r="L1547" s="209"/>
      <c r="M1547" s="209"/>
      <c r="N1547" s="209"/>
      <c r="O1547" s="209"/>
      <c r="P1547" s="209"/>
      <c r="Q1547" s="209"/>
      <c r="R1547" s="209"/>
      <c r="S1547" s="209"/>
      <c r="T1547" s="209"/>
      <c r="U1547" s="209"/>
      <c r="V1547" s="209"/>
      <c r="W1547" s="209"/>
      <c r="X1547" s="209"/>
      <c r="Y1547" s="209"/>
      <c r="Z1547" s="209"/>
      <c r="AA1547" s="209"/>
      <c r="AB1547" s="209"/>
      <c r="AC1547" s="209"/>
      <c r="AD1547" s="209"/>
      <c r="AE1547" s="209"/>
      <c r="AF1547" s="209"/>
      <c r="AG1547" s="209"/>
      <c r="AH1547" s="209"/>
      <c r="AI1547" s="209"/>
      <c r="AJ1547" s="209"/>
    </row>
    <row r="1548">
      <c r="A1548" s="209"/>
      <c r="B1548" s="209"/>
      <c r="C1548" s="209"/>
      <c r="D1548" s="209"/>
      <c r="E1548" s="209"/>
      <c r="F1548" s="209"/>
      <c r="G1548" s="209"/>
      <c r="H1548" s="209"/>
      <c r="I1548" s="209"/>
      <c r="J1548" s="209"/>
      <c r="K1548" s="209"/>
      <c r="L1548" s="209"/>
      <c r="M1548" s="209"/>
      <c r="N1548" s="209"/>
      <c r="O1548" s="209"/>
      <c r="P1548" s="209"/>
      <c r="Q1548" s="209"/>
      <c r="R1548" s="209"/>
      <c r="S1548" s="209"/>
      <c r="T1548" s="209"/>
      <c r="U1548" s="209"/>
      <c r="V1548" s="209"/>
      <c r="W1548" s="209"/>
      <c r="X1548" s="209"/>
      <c r="Y1548" s="209"/>
      <c r="Z1548" s="209"/>
      <c r="AA1548" s="209"/>
      <c r="AB1548" s="209"/>
      <c r="AC1548" s="209"/>
      <c r="AD1548" s="209"/>
      <c r="AE1548" s="209"/>
      <c r="AF1548" s="209"/>
      <c r="AG1548" s="209"/>
      <c r="AH1548" s="209"/>
      <c r="AI1548" s="209"/>
      <c r="AJ1548" s="209"/>
    </row>
    <row r="1549">
      <c r="A1549" s="209"/>
      <c r="B1549" s="209"/>
      <c r="C1549" s="209"/>
      <c r="D1549" s="209"/>
      <c r="E1549" s="209"/>
      <c r="F1549" s="209"/>
      <c r="G1549" s="209"/>
      <c r="H1549" s="209"/>
      <c r="I1549" s="209"/>
      <c r="J1549" s="209"/>
      <c r="K1549" s="209"/>
      <c r="L1549" s="209"/>
      <c r="M1549" s="209"/>
      <c r="N1549" s="209"/>
      <c r="O1549" s="209"/>
      <c r="P1549" s="209"/>
      <c r="Q1549" s="209"/>
      <c r="R1549" s="209"/>
      <c r="S1549" s="209"/>
      <c r="T1549" s="209"/>
      <c r="U1549" s="209"/>
      <c r="V1549" s="209"/>
      <c r="W1549" s="209"/>
      <c r="X1549" s="209"/>
      <c r="Y1549" s="209"/>
      <c r="Z1549" s="209"/>
      <c r="AA1549" s="209"/>
      <c r="AB1549" s="209"/>
      <c r="AC1549" s="209"/>
      <c r="AD1549" s="209"/>
      <c r="AE1549" s="209"/>
      <c r="AF1549" s="209"/>
      <c r="AG1549" s="209"/>
      <c r="AH1549" s="209"/>
      <c r="AI1549" s="209"/>
      <c r="AJ1549" s="209"/>
    </row>
    <row r="1550">
      <c r="A1550" s="209"/>
      <c r="B1550" s="209"/>
      <c r="C1550" s="209"/>
      <c r="D1550" s="209"/>
      <c r="E1550" s="209"/>
      <c r="F1550" s="209"/>
      <c r="G1550" s="209"/>
      <c r="H1550" s="209"/>
      <c r="I1550" s="209"/>
      <c r="J1550" s="209"/>
      <c r="K1550" s="209"/>
      <c r="L1550" s="209"/>
      <c r="M1550" s="209"/>
      <c r="N1550" s="209"/>
      <c r="O1550" s="209"/>
      <c r="P1550" s="209"/>
      <c r="Q1550" s="209"/>
      <c r="R1550" s="209"/>
      <c r="S1550" s="209"/>
      <c r="T1550" s="209"/>
      <c r="U1550" s="209"/>
      <c r="V1550" s="209"/>
      <c r="W1550" s="209"/>
      <c r="X1550" s="209"/>
      <c r="Y1550" s="209"/>
      <c r="Z1550" s="209"/>
      <c r="AA1550" s="209"/>
      <c r="AB1550" s="209"/>
      <c r="AC1550" s="209"/>
      <c r="AD1550" s="209"/>
      <c r="AE1550" s="209"/>
      <c r="AF1550" s="209"/>
      <c r="AG1550" s="209"/>
      <c r="AH1550" s="209"/>
      <c r="AI1550" s="209"/>
      <c r="AJ1550" s="209"/>
    </row>
    <row r="1551">
      <c r="A1551" s="209"/>
      <c r="B1551" s="209"/>
      <c r="C1551" s="209"/>
      <c r="D1551" s="209"/>
      <c r="E1551" s="209"/>
      <c r="F1551" s="209"/>
      <c r="G1551" s="209"/>
      <c r="H1551" s="209"/>
      <c r="I1551" s="209"/>
      <c r="J1551" s="209"/>
      <c r="K1551" s="209"/>
      <c r="L1551" s="209"/>
      <c r="M1551" s="209"/>
      <c r="N1551" s="209"/>
      <c r="O1551" s="209"/>
      <c r="P1551" s="209"/>
      <c r="Q1551" s="209"/>
      <c r="R1551" s="209"/>
      <c r="S1551" s="209"/>
      <c r="T1551" s="209"/>
      <c r="U1551" s="209"/>
      <c r="V1551" s="209"/>
      <c r="W1551" s="209"/>
      <c r="X1551" s="209"/>
      <c r="Y1551" s="209"/>
      <c r="Z1551" s="209"/>
      <c r="AA1551" s="209"/>
      <c r="AB1551" s="209"/>
      <c r="AC1551" s="209"/>
      <c r="AD1551" s="209"/>
      <c r="AE1551" s="209"/>
      <c r="AF1551" s="209"/>
      <c r="AG1551" s="209"/>
      <c r="AH1551" s="209"/>
      <c r="AI1551" s="209"/>
      <c r="AJ1551" s="209"/>
    </row>
    <row r="1552">
      <c r="A1552" s="209"/>
      <c r="B1552" s="209"/>
      <c r="C1552" s="209"/>
      <c r="D1552" s="209"/>
      <c r="E1552" s="209"/>
      <c r="F1552" s="209"/>
      <c r="G1552" s="209"/>
      <c r="H1552" s="209"/>
      <c r="I1552" s="209"/>
      <c r="J1552" s="209"/>
      <c r="K1552" s="209"/>
      <c r="L1552" s="209"/>
      <c r="M1552" s="209"/>
      <c r="N1552" s="209"/>
      <c r="O1552" s="209"/>
      <c r="P1552" s="209"/>
      <c r="Q1552" s="209"/>
      <c r="R1552" s="209"/>
      <c r="S1552" s="209"/>
      <c r="T1552" s="209"/>
      <c r="U1552" s="209"/>
      <c r="V1552" s="209"/>
      <c r="W1552" s="209"/>
      <c r="X1552" s="209"/>
      <c r="Y1552" s="209"/>
      <c r="Z1552" s="209"/>
      <c r="AA1552" s="209"/>
      <c r="AB1552" s="209"/>
      <c r="AC1552" s="209"/>
      <c r="AD1552" s="209"/>
      <c r="AE1552" s="209"/>
      <c r="AF1552" s="209"/>
      <c r="AG1552" s="209"/>
      <c r="AH1552" s="209"/>
      <c r="AI1552" s="209"/>
      <c r="AJ1552" s="209"/>
    </row>
    <row r="1553">
      <c r="A1553" s="209"/>
      <c r="B1553" s="209"/>
      <c r="C1553" s="209"/>
      <c r="D1553" s="209"/>
      <c r="E1553" s="209"/>
      <c r="F1553" s="209"/>
      <c r="G1553" s="209"/>
      <c r="H1553" s="209"/>
      <c r="I1553" s="209"/>
      <c r="J1553" s="209"/>
      <c r="K1553" s="209"/>
      <c r="L1553" s="209"/>
      <c r="M1553" s="209"/>
      <c r="N1553" s="209"/>
      <c r="O1553" s="209"/>
      <c r="P1553" s="209"/>
      <c r="Q1553" s="209"/>
      <c r="R1553" s="209"/>
      <c r="S1553" s="209"/>
      <c r="T1553" s="209"/>
      <c r="U1553" s="209"/>
      <c r="V1553" s="209"/>
      <c r="W1553" s="209"/>
      <c r="X1553" s="209"/>
      <c r="Y1553" s="209"/>
      <c r="Z1553" s="209"/>
      <c r="AA1553" s="209"/>
      <c r="AB1553" s="209"/>
      <c r="AC1553" s="209"/>
      <c r="AD1553" s="209"/>
      <c r="AE1553" s="209"/>
      <c r="AF1553" s="209"/>
      <c r="AG1553" s="209"/>
      <c r="AH1553" s="209"/>
      <c r="AI1553" s="209"/>
      <c r="AJ1553" s="209"/>
    </row>
    <row r="1554">
      <c r="A1554" s="209"/>
      <c r="B1554" s="209"/>
      <c r="C1554" s="209"/>
      <c r="D1554" s="209"/>
      <c r="E1554" s="209"/>
      <c r="F1554" s="209"/>
      <c r="G1554" s="209"/>
      <c r="H1554" s="209"/>
      <c r="I1554" s="209"/>
      <c r="J1554" s="209"/>
      <c r="K1554" s="209"/>
      <c r="L1554" s="209"/>
      <c r="M1554" s="209"/>
      <c r="N1554" s="209"/>
      <c r="O1554" s="209"/>
      <c r="P1554" s="209"/>
      <c r="Q1554" s="209"/>
      <c r="R1554" s="209"/>
      <c r="S1554" s="209"/>
      <c r="T1554" s="209"/>
      <c r="U1554" s="209"/>
      <c r="V1554" s="209"/>
      <c r="W1554" s="209"/>
      <c r="X1554" s="209"/>
      <c r="Y1554" s="209"/>
      <c r="Z1554" s="209"/>
      <c r="AA1554" s="209"/>
      <c r="AB1554" s="209"/>
      <c r="AC1554" s="209"/>
      <c r="AD1554" s="209"/>
      <c r="AE1554" s="209"/>
      <c r="AF1554" s="209"/>
      <c r="AG1554" s="209"/>
      <c r="AH1554" s="209"/>
      <c r="AI1554" s="209"/>
      <c r="AJ1554" s="209"/>
    </row>
    <row r="1555">
      <c r="A1555" s="209"/>
      <c r="B1555" s="209"/>
      <c r="C1555" s="209"/>
      <c r="D1555" s="209"/>
      <c r="E1555" s="209"/>
      <c r="F1555" s="209"/>
      <c r="G1555" s="209"/>
      <c r="H1555" s="209"/>
      <c r="I1555" s="209"/>
      <c r="J1555" s="209"/>
      <c r="K1555" s="209"/>
      <c r="L1555" s="209"/>
      <c r="M1555" s="209"/>
      <c r="N1555" s="209"/>
      <c r="O1555" s="209"/>
      <c r="P1555" s="209"/>
      <c r="Q1555" s="209"/>
      <c r="R1555" s="209"/>
      <c r="S1555" s="209"/>
      <c r="T1555" s="209"/>
      <c r="U1555" s="209"/>
      <c r="V1555" s="209"/>
      <c r="W1555" s="209"/>
      <c r="X1555" s="209"/>
      <c r="Y1555" s="209"/>
      <c r="Z1555" s="209"/>
      <c r="AA1555" s="209"/>
      <c r="AB1555" s="209"/>
      <c r="AC1555" s="209"/>
      <c r="AD1555" s="209"/>
      <c r="AE1555" s="209"/>
      <c r="AF1555" s="209"/>
      <c r="AG1555" s="209"/>
      <c r="AH1555" s="209"/>
      <c r="AI1555" s="209"/>
      <c r="AJ1555" s="209"/>
    </row>
    <row r="1556">
      <c r="A1556" s="209"/>
      <c r="B1556" s="209"/>
      <c r="C1556" s="209"/>
      <c r="D1556" s="209"/>
      <c r="E1556" s="209"/>
      <c r="F1556" s="209"/>
      <c r="G1556" s="209"/>
      <c r="H1556" s="209"/>
      <c r="I1556" s="209"/>
      <c r="J1556" s="209"/>
      <c r="K1556" s="209"/>
      <c r="L1556" s="209"/>
      <c r="M1556" s="209"/>
      <c r="N1556" s="209"/>
      <c r="O1556" s="209"/>
      <c r="P1556" s="209"/>
      <c r="Q1556" s="209"/>
      <c r="R1556" s="209"/>
      <c r="S1556" s="209"/>
      <c r="T1556" s="209"/>
      <c r="U1556" s="209"/>
      <c r="V1556" s="209"/>
      <c r="W1556" s="209"/>
      <c r="X1556" s="209"/>
      <c r="Y1556" s="209"/>
      <c r="Z1556" s="209"/>
      <c r="AA1556" s="209"/>
      <c r="AB1556" s="209"/>
      <c r="AC1556" s="209"/>
      <c r="AD1556" s="209"/>
      <c r="AE1556" s="209"/>
      <c r="AF1556" s="209"/>
      <c r="AG1556" s="209"/>
      <c r="AH1556" s="209"/>
      <c r="AI1556" s="209"/>
      <c r="AJ1556" s="209"/>
    </row>
    <row r="1557">
      <c r="A1557" s="209"/>
      <c r="B1557" s="209"/>
      <c r="C1557" s="209"/>
      <c r="D1557" s="209"/>
      <c r="E1557" s="209"/>
      <c r="F1557" s="209"/>
      <c r="G1557" s="209"/>
      <c r="H1557" s="209"/>
      <c r="I1557" s="209"/>
      <c r="J1557" s="209"/>
      <c r="K1557" s="209"/>
      <c r="L1557" s="209"/>
      <c r="M1557" s="209"/>
      <c r="N1557" s="209"/>
      <c r="O1557" s="209"/>
      <c r="P1557" s="209"/>
      <c r="Q1557" s="209"/>
      <c r="R1557" s="209"/>
      <c r="S1557" s="209"/>
      <c r="T1557" s="209"/>
      <c r="U1557" s="209"/>
      <c r="V1557" s="209"/>
      <c r="W1557" s="209"/>
      <c r="X1557" s="209"/>
      <c r="Y1557" s="209"/>
      <c r="Z1557" s="209"/>
      <c r="AA1557" s="209"/>
      <c r="AB1557" s="209"/>
      <c r="AC1557" s="209"/>
      <c r="AD1557" s="209"/>
      <c r="AE1557" s="209"/>
      <c r="AF1557" s="209"/>
      <c r="AG1557" s="209"/>
      <c r="AH1557" s="209"/>
      <c r="AI1557" s="209"/>
      <c r="AJ1557" s="209"/>
    </row>
    <row r="1558">
      <c r="A1558" s="209"/>
      <c r="B1558" s="209"/>
      <c r="C1558" s="209"/>
      <c r="D1558" s="209"/>
      <c r="E1558" s="209"/>
      <c r="F1558" s="209"/>
      <c r="G1558" s="209"/>
      <c r="H1558" s="209"/>
      <c r="I1558" s="209"/>
      <c r="J1558" s="209"/>
      <c r="K1558" s="209"/>
      <c r="L1558" s="209"/>
      <c r="M1558" s="209"/>
      <c r="N1558" s="209"/>
      <c r="O1558" s="209"/>
      <c r="P1558" s="209"/>
      <c r="Q1558" s="209"/>
      <c r="R1558" s="209"/>
      <c r="S1558" s="209"/>
      <c r="T1558" s="209"/>
      <c r="U1558" s="209"/>
      <c r="V1558" s="209"/>
      <c r="W1558" s="209"/>
      <c r="X1558" s="209"/>
      <c r="Y1558" s="209"/>
      <c r="Z1558" s="209"/>
      <c r="AA1558" s="209"/>
      <c r="AB1558" s="209"/>
      <c r="AC1558" s="209"/>
      <c r="AD1558" s="209"/>
      <c r="AE1558" s="209"/>
      <c r="AF1558" s="209"/>
      <c r="AG1558" s="209"/>
      <c r="AH1558" s="209"/>
      <c r="AI1558" s="209"/>
      <c r="AJ1558" s="209"/>
    </row>
    <row r="1559">
      <c r="A1559" s="209"/>
      <c r="B1559" s="209"/>
      <c r="C1559" s="209"/>
      <c r="D1559" s="209"/>
      <c r="E1559" s="209"/>
      <c r="F1559" s="209"/>
      <c r="G1559" s="209"/>
      <c r="H1559" s="209"/>
      <c r="I1559" s="209"/>
      <c r="J1559" s="209"/>
      <c r="K1559" s="209"/>
      <c r="L1559" s="209"/>
      <c r="M1559" s="209"/>
      <c r="N1559" s="209"/>
      <c r="O1559" s="209"/>
      <c r="P1559" s="209"/>
      <c r="Q1559" s="209"/>
      <c r="R1559" s="209"/>
      <c r="S1559" s="209"/>
      <c r="T1559" s="209"/>
      <c r="U1559" s="209"/>
      <c r="V1559" s="209"/>
      <c r="W1559" s="209"/>
      <c r="X1559" s="209"/>
      <c r="Y1559" s="209"/>
      <c r="Z1559" s="209"/>
      <c r="AA1559" s="209"/>
      <c r="AB1559" s="209"/>
      <c r="AC1559" s="209"/>
      <c r="AD1559" s="209"/>
      <c r="AE1559" s="209"/>
      <c r="AF1559" s="209"/>
      <c r="AG1559" s="209"/>
      <c r="AH1559" s="209"/>
      <c r="AI1559" s="209"/>
      <c r="AJ1559" s="209"/>
    </row>
    <row r="1560">
      <c r="A1560" s="209"/>
      <c r="B1560" s="209"/>
      <c r="C1560" s="209"/>
      <c r="D1560" s="209"/>
      <c r="E1560" s="209"/>
      <c r="F1560" s="209"/>
      <c r="G1560" s="209"/>
      <c r="H1560" s="209"/>
      <c r="I1560" s="209"/>
      <c r="J1560" s="209"/>
      <c r="K1560" s="209"/>
      <c r="L1560" s="209"/>
      <c r="M1560" s="209"/>
      <c r="N1560" s="209"/>
      <c r="O1560" s="209"/>
      <c r="P1560" s="209"/>
      <c r="Q1560" s="209"/>
      <c r="R1560" s="209"/>
      <c r="S1560" s="209"/>
      <c r="T1560" s="209"/>
      <c r="U1560" s="209"/>
      <c r="V1560" s="209"/>
      <c r="W1560" s="209"/>
      <c r="X1560" s="209"/>
      <c r="Y1560" s="209"/>
      <c r="Z1560" s="209"/>
      <c r="AA1560" s="209"/>
      <c r="AB1560" s="209"/>
      <c r="AC1560" s="209"/>
      <c r="AD1560" s="209"/>
      <c r="AE1560" s="209"/>
      <c r="AF1560" s="209"/>
      <c r="AG1560" s="209"/>
      <c r="AH1560" s="209"/>
      <c r="AI1560" s="209"/>
      <c r="AJ1560" s="209"/>
    </row>
    <row r="1561">
      <c r="A1561" s="209"/>
      <c r="B1561" s="209"/>
      <c r="C1561" s="209"/>
      <c r="D1561" s="209"/>
      <c r="E1561" s="209"/>
      <c r="F1561" s="209"/>
      <c r="G1561" s="209"/>
      <c r="H1561" s="209"/>
      <c r="I1561" s="209"/>
      <c r="J1561" s="209"/>
      <c r="K1561" s="209"/>
      <c r="L1561" s="209"/>
      <c r="M1561" s="209"/>
      <c r="N1561" s="209"/>
      <c r="O1561" s="209"/>
      <c r="P1561" s="209"/>
      <c r="Q1561" s="209"/>
      <c r="R1561" s="209"/>
      <c r="S1561" s="209"/>
      <c r="T1561" s="209"/>
      <c r="U1561" s="209"/>
      <c r="V1561" s="209"/>
      <c r="W1561" s="209"/>
      <c r="X1561" s="209"/>
      <c r="Y1561" s="209"/>
      <c r="Z1561" s="209"/>
      <c r="AA1561" s="209"/>
      <c r="AB1561" s="209"/>
      <c r="AC1561" s="209"/>
      <c r="AD1561" s="209"/>
      <c r="AE1561" s="209"/>
      <c r="AF1561" s="209"/>
      <c r="AG1561" s="209"/>
      <c r="AH1561" s="209"/>
      <c r="AI1561" s="209"/>
      <c r="AJ1561" s="209"/>
    </row>
    <row r="1562">
      <c r="A1562" s="209"/>
      <c r="B1562" s="209"/>
      <c r="C1562" s="209"/>
      <c r="D1562" s="209"/>
      <c r="E1562" s="209"/>
      <c r="F1562" s="209"/>
      <c r="G1562" s="209"/>
      <c r="H1562" s="209"/>
      <c r="I1562" s="209"/>
      <c r="J1562" s="209"/>
      <c r="K1562" s="209"/>
      <c r="L1562" s="209"/>
      <c r="M1562" s="209"/>
      <c r="N1562" s="209"/>
      <c r="O1562" s="209"/>
      <c r="P1562" s="209"/>
      <c r="Q1562" s="209"/>
      <c r="R1562" s="209"/>
      <c r="S1562" s="209"/>
      <c r="T1562" s="209"/>
      <c r="U1562" s="209"/>
      <c r="V1562" s="209"/>
      <c r="W1562" s="209"/>
      <c r="X1562" s="209"/>
      <c r="Y1562" s="209"/>
      <c r="Z1562" s="209"/>
      <c r="AA1562" s="209"/>
      <c r="AB1562" s="209"/>
      <c r="AC1562" s="209"/>
      <c r="AD1562" s="209"/>
      <c r="AE1562" s="209"/>
      <c r="AF1562" s="209"/>
      <c r="AG1562" s="209"/>
      <c r="AH1562" s="209"/>
      <c r="AI1562" s="209"/>
      <c r="AJ1562" s="209"/>
    </row>
    <row r="1563">
      <c r="A1563" s="209"/>
      <c r="B1563" s="209"/>
      <c r="C1563" s="209"/>
      <c r="D1563" s="209"/>
      <c r="E1563" s="209"/>
      <c r="F1563" s="209"/>
      <c r="G1563" s="209"/>
      <c r="H1563" s="209"/>
      <c r="I1563" s="209"/>
      <c r="J1563" s="209"/>
      <c r="K1563" s="209"/>
      <c r="L1563" s="209"/>
      <c r="M1563" s="209"/>
      <c r="N1563" s="209"/>
      <c r="O1563" s="209"/>
      <c r="P1563" s="209"/>
      <c r="Q1563" s="209"/>
      <c r="R1563" s="209"/>
      <c r="S1563" s="209"/>
      <c r="T1563" s="209"/>
      <c r="U1563" s="209"/>
      <c r="V1563" s="209"/>
      <c r="W1563" s="209"/>
      <c r="X1563" s="209"/>
      <c r="Y1563" s="209"/>
      <c r="Z1563" s="209"/>
      <c r="AA1563" s="209"/>
      <c r="AB1563" s="209"/>
      <c r="AC1563" s="209"/>
      <c r="AD1563" s="209"/>
      <c r="AE1563" s="209"/>
      <c r="AF1563" s="209"/>
      <c r="AG1563" s="209"/>
      <c r="AH1563" s="209"/>
      <c r="AI1563" s="209"/>
      <c r="AJ1563" s="209"/>
    </row>
    <row r="1564">
      <c r="A1564" s="209"/>
      <c r="B1564" s="209"/>
      <c r="C1564" s="209"/>
      <c r="D1564" s="209"/>
      <c r="E1564" s="209"/>
      <c r="F1564" s="209"/>
      <c r="G1564" s="209"/>
      <c r="H1564" s="209"/>
      <c r="I1564" s="209"/>
      <c r="J1564" s="209"/>
      <c r="K1564" s="209"/>
      <c r="L1564" s="209"/>
      <c r="M1564" s="209"/>
      <c r="N1564" s="209"/>
      <c r="O1564" s="209"/>
      <c r="P1564" s="209"/>
      <c r="Q1564" s="209"/>
      <c r="R1564" s="209"/>
      <c r="S1564" s="209"/>
      <c r="T1564" s="209"/>
      <c r="U1564" s="209"/>
      <c r="V1564" s="209"/>
      <c r="W1564" s="209"/>
      <c r="X1564" s="209"/>
      <c r="Y1564" s="209"/>
      <c r="Z1564" s="209"/>
      <c r="AA1564" s="209"/>
      <c r="AB1564" s="209"/>
      <c r="AC1564" s="209"/>
      <c r="AD1564" s="209"/>
      <c r="AE1564" s="209"/>
      <c r="AF1564" s="209"/>
      <c r="AG1564" s="209"/>
      <c r="AH1564" s="209"/>
      <c r="AI1564" s="209"/>
      <c r="AJ1564" s="209"/>
    </row>
    <row r="1565">
      <c r="A1565" s="209"/>
      <c r="B1565" s="209"/>
      <c r="C1565" s="209"/>
      <c r="D1565" s="209"/>
      <c r="E1565" s="209"/>
      <c r="F1565" s="209"/>
      <c r="G1565" s="209"/>
      <c r="H1565" s="209"/>
      <c r="I1565" s="209"/>
      <c r="J1565" s="209"/>
      <c r="K1565" s="209"/>
      <c r="L1565" s="209"/>
      <c r="M1565" s="209"/>
      <c r="N1565" s="209"/>
      <c r="O1565" s="209"/>
      <c r="P1565" s="209"/>
      <c r="Q1565" s="209"/>
      <c r="R1565" s="209"/>
      <c r="S1565" s="209"/>
      <c r="T1565" s="209"/>
      <c r="U1565" s="209"/>
      <c r="V1565" s="209"/>
      <c r="W1565" s="209"/>
      <c r="X1565" s="209"/>
      <c r="Y1565" s="209"/>
      <c r="Z1565" s="209"/>
      <c r="AA1565" s="209"/>
      <c r="AB1565" s="209"/>
      <c r="AC1565" s="209"/>
      <c r="AD1565" s="209"/>
      <c r="AE1565" s="209"/>
      <c r="AF1565" s="209"/>
      <c r="AG1565" s="209"/>
      <c r="AH1565" s="209"/>
      <c r="AI1565" s="209"/>
      <c r="AJ1565" s="209"/>
    </row>
    <row r="1566">
      <c r="A1566" s="209"/>
      <c r="B1566" s="209"/>
      <c r="C1566" s="209"/>
      <c r="D1566" s="209"/>
      <c r="E1566" s="209"/>
      <c r="F1566" s="209"/>
      <c r="G1566" s="209"/>
      <c r="H1566" s="209"/>
      <c r="I1566" s="209"/>
      <c r="J1566" s="209"/>
      <c r="K1566" s="209"/>
      <c r="L1566" s="209"/>
      <c r="M1566" s="209"/>
      <c r="N1566" s="209"/>
      <c r="O1566" s="209"/>
      <c r="P1566" s="209"/>
      <c r="Q1566" s="209"/>
      <c r="R1566" s="209"/>
      <c r="S1566" s="209"/>
      <c r="T1566" s="209"/>
      <c r="U1566" s="209"/>
      <c r="V1566" s="209"/>
      <c r="W1566" s="209"/>
      <c r="X1566" s="209"/>
      <c r="Y1566" s="209"/>
      <c r="Z1566" s="209"/>
      <c r="AA1566" s="209"/>
      <c r="AB1566" s="209"/>
      <c r="AC1566" s="209"/>
      <c r="AD1566" s="209"/>
      <c r="AE1566" s="209"/>
      <c r="AF1566" s="209"/>
      <c r="AG1566" s="209"/>
      <c r="AH1566" s="209"/>
      <c r="AI1566" s="209"/>
      <c r="AJ1566" s="209"/>
    </row>
    <row r="1567">
      <c r="A1567" s="209"/>
      <c r="B1567" s="209"/>
      <c r="C1567" s="209"/>
      <c r="D1567" s="209"/>
      <c r="E1567" s="209"/>
      <c r="F1567" s="209"/>
      <c r="G1567" s="209"/>
      <c r="H1567" s="209"/>
      <c r="I1567" s="209"/>
      <c r="J1567" s="209"/>
      <c r="K1567" s="209"/>
      <c r="L1567" s="209"/>
      <c r="M1567" s="209"/>
      <c r="N1567" s="209"/>
      <c r="O1567" s="209"/>
      <c r="P1567" s="209"/>
      <c r="Q1567" s="209"/>
      <c r="R1567" s="209"/>
      <c r="S1567" s="209"/>
      <c r="T1567" s="209"/>
      <c r="U1567" s="209"/>
      <c r="V1567" s="209"/>
      <c r="W1567" s="209"/>
      <c r="X1567" s="209"/>
      <c r="Y1567" s="209"/>
      <c r="Z1567" s="209"/>
      <c r="AA1567" s="209"/>
      <c r="AB1567" s="209"/>
      <c r="AC1567" s="209"/>
      <c r="AD1567" s="209"/>
      <c r="AE1567" s="209"/>
      <c r="AF1567" s="209"/>
      <c r="AG1567" s="209"/>
      <c r="AH1567" s="209"/>
      <c r="AI1567" s="209"/>
      <c r="AJ1567" s="209"/>
    </row>
    <row r="1568">
      <c r="A1568" s="209"/>
      <c r="B1568" s="209"/>
      <c r="C1568" s="209"/>
      <c r="D1568" s="209"/>
      <c r="E1568" s="209"/>
      <c r="F1568" s="209"/>
      <c r="G1568" s="209"/>
      <c r="H1568" s="209"/>
      <c r="I1568" s="209"/>
      <c r="J1568" s="209"/>
      <c r="K1568" s="209"/>
      <c r="L1568" s="209"/>
      <c r="M1568" s="209"/>
      <c r="N1568" s="209"/>
      <c r="O1568" s="209"/>
      <c r="P1568" s="209"/>
      <c r="Q1568" s="209"/>
      <c r="R1568" s="209"/>
      <c r="S1568" s="209"/>
      <c r="T1568" s="209"/>
      <c r="U1568" s="209"/>
      <c r="V1568" s="209"/>
      <c r="W1568" s="209"/>
      <c r="X1568" s="209"/>
      <c r="Y1568" s="209"/>
      <c r="Z1568" s="209"/>
      <c r="AA1568" s="209"/>
      <c r="AB1568" s="209"/>
      <c r="AC1568" s="209"/>
      <c r="AD1568" s="209"/>
      <c r="AE1568" s="209"/>
      <c r="AF1568" s="209"/>
      <c r="AG1568" s="209"/>
      <c r="AH1568" s="209"/>
      <c r="AI1568" s="209"/>
      <c r="AJ1568" s="209"/>
    </row>
    <row r="1569">
      <c r="A1569" s="209"/>
      <c r="B1569" s="209"/>
      <c r="C1569" s="209"/>
      <c r="D1569" s="209"/>
      <c r="E1569" s="209"/>
      <c r="F1569" s="209"/>
      <c r="G1569" s="209"/>
      <c r="H1569" s="209"/>
      <c r="I1569" s="209"/>
      <c r="J1569" s="209"/>
      <c r="K1569" s="209"/>
      <c r="L1569" s="209"/>
      <c r="M1569" s="209"/>
      <c r="N1569" s="209"/>
      <c r="O1569" s="209"/>
      <c r="P1569" s="209"/>
      <c r="Q1569" s="209"/>
      <c r="R1569" s="209"/>
      <c r="S1569" s="209"/>
      <c r="T1569" s="209"/>
      <c r="U1569" s="209"/>
      <c r="V1569" s="209"/>
      <c r="W1569" s="209"/>
      <c r="X1569" s="209"/>
      <c r="Y1569" s="209"/>
      <c r="Z1569" s="209"/>
      <c r="AA1569" s="209"/>
      <c r="AB1569" s="209"/>
      <c r="AC1569" s="209"/>
      <c r="AD1569" s="209"/>
      <c r="AE1569" s="209"/>
      <c r="AF1569" s="209"/>
      <c r="AG1569" s="209"/>
      <c r="AH1569" s="209"/>
      <c r="AI1569" s="209"/>
      <c r="AJ1569" s="209"/>
    </row>
    <row r="1570">
      <c r="A1570" s="209"/>
      <c r="B1570" s="209"/>
      <c r="C1570" s="209"/>
      <c r="D1570" s="209"/>
      <c r="E1570" s="209"/>
      <c r="F1570" s="209"/>
      <c r="G1570" s="209"/>
      <c r="H1570" s="209"/>
      <c r="I1570" s="209"/>
      <c r="J1570" s="209"/>
      <c r="K1570" s="209"/>
      <c r="L1570" s="209"/>
      <c r="M1570" s="209"/>
      <c r="N1570" s="209"/>
      <c r="O1570" s="209"/>
      <c r="P1570" s="209"/>
      <c r="Q1570" s="209"/>
      <c r="R1570" s="209"/>
      <c r="S1570" s="209"/>
      <c r="T1570" s="209"/>
      <c r="U1570" s="209"/>
      <c r="V1570" s="209"/>
      <c r="W1570" s="209"/>
      <c r="X1570" s="209"/>
      <c r="Y1570" s="209"/>
      <c r="Z1570" s="209"/>
      <c r="AA1570" s="209"/>
      <c r="AB1570" s="209"/>
      <c r="AC1570" s="209"/>
      <c r="AD1570" s="209"/>
      <c r="AE1570" s="209"/>
      <c r="AF1570" s="209"/>
      <c r="AG1570" s="209"/>
      <c r="AH1570" s="209"/>
      <c r="AI1570" s="209"/>
      <c r="AJ1570" s="209"/>
    </row>
    <row r="1571">
      <c r="A1571" s="209"/>
      <c r="B1571" s="209"/>
      <c r="C1571" s="209"/>
      <c r="D1571" s="209"/>
      <c r="E1571" s="209"/>
      <c r="F1571" s="209"/>
      <c r="G1571" s="209"/>
      <c r="H1571" s="209"/>
      <c r="I1571" s="209"/>
      <c r="J1571" s="209"/>
      <c r="K1571" s="209"/>
      <c r="L1571" s="209"/>
      <c r="M1571" s="209"/>
      <c r="N1571" s="209"/>
      <c r="O1571" s="209"/>
      <c r="P1571" s="209"/>
      <c r="Q1571" s="209"/>
      <c r="R1571" s="209"/>
      <c r="S1571" s="209"/>
      <c r="T1571" s="209"/>
      <c r="U1571" s="209"/>
      <c r="V1571" s="209"/>
      <c r="W1571" s="209"/>
      <c r="X1571" s="209"/>
      <c r="Y1571" s="209"/>
      <c r="Z1571" s="209"/>
      <c r="AA1571" s="209"/>
      <c r="AB1571" s="209"/>
      <c r="AC1571" s="209"/>
      <c r="AD1571" s="209"/>
      <c r="AE1571" s="209"/>
      <c r="AF1571" s="209"/>
      <c r="AG1571" s="209"/>
      <c r="AH1571" s="209"/>
      <c r="AI1571" s="209"/>
      <c r="AJ1571" s="209"/>
    </row>
    <row r="1572">
      <c r="A1572" s="209"/>
      <c r="B1572" s="209"/>
      <c r="C1572" s="209"/>
      <c r="D1572" s="209"/>
      <c r="E1572" s="209"/>
      <c r="F1572" s="209"/>
      <c r="G1572" s="209"/>
      <c r="H1572" s="209"/>
      <c r="I1572" s="209"/>
      <c r="J1572" s="209"/>
      <c r="K1572" s="209"/>
      <c r="L1572" s="209"/>
      <c r="M1572" s="209"/>
      <c r="N1572" s="209"/>
      <c r="O1572" s="209"/>
      <c r="P1572" s="209"/>
      <c r="Q1572" s="209"/>
      <c r="R1572" s="209"/>
      <c r="S1572" s="209"/>
      <c r="T1572" s="209"/>
      <c r="U1572" s="209"/>
      <c r="V1572" s="209"/>
      <c r="W1572" s="209"/>
      <c r="X1572" s="209"/>
      <c r="Y1572" s="209"/>
      <c r="Z1572" s="209"/>
      <c r="AA1572" s="209"/>
      <c r="AB1572" s="209"/>
      <c r="AC1572" s="209"/>
      <c r="AD1572" s="209"/>
      <c r="AE1572" s="209"/>
      <c r="AF1572" s="209"/>
      <c r="AG1572" s="209"/>
      <c r="AH1572" s="209"/>
      <c r="AI1572" s="209"/>
      <c r="AJ1572" s="209"/>
    </row>
    <row r="1573">
      <c r="A1573" s="209"/>
      <c r="B1573" s="209"/>
      <c r="C1573" s="209"/>
      <c r="D1573" s="209"/>
      <c r="E1573" s="209"/>
      <c r="F1573" s="209"/>
      <c r="G1573" s="209"/>
      <c r="H1573" s="209"/>
      <c r="I1573" s="209"/>
      <c r="J1573" s="209"/>
      <c r="K1573" s="209"/>
      <c r="L1573" s="209"/>
      <c r="M1573" s="209"/>
      <c r="N1573" s="209"/>
      <c r="O1573" s="209"/>
      <c r="P1573" s="209"/>
      <c r="Q1573" s="209"/>
      <c r="R1573" s="209"/>
      <c r="S1573" s="209"/>
      <c r="T1573" s="209"/>
      <c r="U1573" s="209"/>
      <c r="V1573" s="209"/>
      <c r="W1573" s="209"/>
      <c r="X1573" s="209"/>
      <c r="Y1573" s="209"/>
      <c r="Z1573" s="209"/>
      <c r="AA1573" s="209"/>
      <c r="AB1573" s="209"/>
      <c r="AC1573" s="209"/>
      <c r="AD1573" s="209"/>
      <c r="AE1573" s="209"/>
      <c r="AF1573" s="209"/>
      <c r="AG1573" s="209"/>
      <c r="AH1573" s="209"/>
      <c r="AI1573" s="209"/>
      <c r="AJ1573" s="209"/>
    </row>
    <row r="1574">
      <c r="A1574" s="209"/>
      <c r="B1574" s="209"/>
      <c r="C1574" s="209"/>
      <c r="D1574" s="209"/>
      <c r="E1574" s="209"/>
      <c r="F1574" s="209"/>
      <c r="G1574" s="209"/>
      <c r="H1574" s="209"/>
      <c r="I1574" s="209"/>
      <c r="J1574" s="209"/>
      <c r="K1574" s="209"/>
      <c r="L1574" s="209"/>
      <c r="M1574" s="209"/>
      <c r="N1574" s="209"/>
      <c r="O1574" s="209"/>
      <c r="P1574" s="209"/>
      <c r="Q1574" s="209"/>
      <c r="R1574" s="209"/>
      <c r="S1574" s="209"/>
      <c r="T1574" s="209"/>
      <c r="U1574" s="209"/>
      <c r="V1574" s="209"/>
      <c r="W1574" s="209"/>
      <c r="X1574" s="209"/>
      <c r="Y1574" s="209"/>
      <c r="Z1574" s="209"/>
      <c r="AA1574" s="209"/>
      <c r="AB1574" s="209"/>
      <c r="AC1574" s="209"/>
      <c r="AD1574" s="209"/>
      <c r="AE1574" s="209"/>
      <c r="AF1574" s="209"/>
      <c r="AG1574" s="209"/>
      <c r="AH1574" s="209"/>
      <c r="AI1574" s="209"/>
      <c r="AJ1574" s="209"/>
    </row>
    <row r="1575">
      <c r="A1575" s="209"/>
      <c r="B1575" s="209"/>
      <c r="C1575" s="209"/>
      <c r="D1575" s="209"/>
      <c r="E1575" s="209"/>
      <c r="F1575" s="209"/>
      <c r="G1575" s="209"/>
      <c r="H1575" s="209"/>
      <c r="I1575" s="209"/>
      <c r="J1575" s="209"/>
      <c r="K1575" s="209"/>
      <c r="L1575" s="209"/>
      <c r="M1575" s="209"/>
      <c r="N1575" s="209"/>
      <c r="O1575" s="209"/>
      <c r="P1575" s="209"/>
      <c r="Q1575" s="209"/>
      <c r="R1575" s="209"/>
      <c r="S1575" s="209"/>
      <c r="T1575" s="209"/>
      <c r="U1575" s="209"/>
      <c r="V1575" s="209"/>
      <c r="W1575" s="209"/>
      <c r="X1575" s="209"/>
      <c r="Y1575" s="209"/>
      <c r="Z1575" s="209"/>
      <c r="AA1575" s="209"/>
      <c r="AB1575" s="209"/>
      <c r="AC1575" s="209"/>
      <c r="AD1575" s="209"/>
      <c r="AE1575" s="209"/>
      <c r="AF1575" s="209"/>
      <c r="AG1575" s="209"/>
      <c r="AH1575" s="209"/>
      <c r="AI1575" s="209"/>
      <c r="AJ1575" s="209"/>
    </row>
    <row r="1576">
      <c r="A1576" s="209"/>
      <c r="B1576" s="209"/>
      <c r="C1576" s="209"/>
      <c r="D1576" s="209"/>
      <c r="E1576" s="209"/>
      <c r="F1576" s="209"/>
      <c r="G1576" s="209"/>
      <c r="H1576" s="209"/>
      <c r="I1576" s="209"/>
      <c r="J1576" s="209"/>
      <c r="K1576" s="209"/>
      <c r="L1576" s="209"/>
      <c r="M1576" s="209"/>
      <c r="N1576" s="209"/>
      <c r="O1576" s="209"/>
      <c r="P1576" s="209"/>
      <c r="Q1576" s="209"/>
      <c r="R1576" s="209"/>
      <c r="S1576" s="209"/>
      <c r="T1576" s="209"/>
      <c r="U1576" s="209"/>
      <c r="V1576" s="209"/>
      <c r="W1576" s="209"/>
      <c r="X1576" s="209"/>
      <c r="Y1576" s="209"/>
      <c r="Z1576" s="209"/>
      <c r="AA1576" s="209"/>
      <c r="AB1576" s="209"/>
      <c r="AC1576" s="209"/>
      <c r="AD1576" s="209"/>
      <c r="AE1576" s="209"/>
      <c r="AF1576" s="209"/>
      <c r="AG1576" s="209"/>
      <c r="AH1576" s="209"/>
      <c r="AI1576" s="209"/>
      <c r="AJ1576" s="209"/>
    </row>
    <row r="1577">
      <c r="A1577" s="209"/>
      <c r="B1577" s="209"/>
      <c r="C1577" s="209"/>
      <c r="D1577" s="209"/>
      <c r="E1577" s="209"/>
      <c r="F1577" s="209"/>
      <c r="G1577" s="209"/>
      <c r="H1577" s="209"/>
      <c r="I1577" s="209"/>
      <c r="J1577" s="209"/>
      <c r="K1577" s="209"/>
      <c r="L1577" s="209"/>
      <c r="M1577" s="209"/>
      <c r="N1577" s="209"/>
      <c r="O1577" s="209"/>
      <c r="P1577" s="209"/>
      <c r="Q1577" s="209"/>
      <c r="R1577" s="209"/>
      <c r="S1577" s="209"/>
      <c r="T1577" s="209"/>
      <c r="U1577" s="209"/>
      <c r="V1577" s="209"/>
      <c r="W1577" s="209"/>
      <c r="X1577" s="209"/>
      <c r="Y1577" s="209"/>
      <c r="Z1577" s="209"/>
      <c r="AA1577" s="209"/>
      <c r="AB1577" s="209"/>
      <c r="AC1577" s="209"/>
      <c r="AD1577" s="209"/>
      <c r="AE1577" s="209"/>
      <c r="AF1577" s="209"/>
      <c r="AG1577" s="209"/>
      <c r="AH1577" s="209"/>
      <c r="AI1577" s="209"/>
      <c r="AJ1577" s="209"/>
    </row>
    <row r="1578">
      <c r="A1578" s="209"/>
      <c r="B1578" s="209"/>
      <c r="C1578" s="209"/>
      <c r="D1578" s="209"/>
      <c r="E1578" s="209"/>
      <c r="F1578" s="209"/>
      <c r="G1578" s="209"/>
      <c r="H1578" s="209"/>
      <c r="I1578" s="209"/>
      <c r="J1578" s="209"/>
      <c r="K1578" s="209"/>
      <c r="L1578" s="209"/>
      <c r="M1578" s="209"/>
      <c r="N1578" s="209"/>
      <c r="O1578" s="209"/>
      <c r="P1578" s="209"/>
      <c r="Q1578" s="209"/>
      <c r="R1578" s="209"/>
      <c r="S1578" s="209"/>
      <c r="T1578" s="209"/>
      <c r="U1578" s="209"/>
      <c r="V1578" s="209"/>
      <c r="W1578" s="209"/>
      <c r="X1578" s="209"/>
      <c r="Y1578" s="209"/>
      <c r="Z1578" s="209"/>
      <c r="AA1578" s="209"/>
      <c r="AB1578" s="209"/>
      <c r="AC1578" s="209"/>
      <c r="AD1578" s="209"/>
      <c r="AE1578" s="209"/>
      <c r="AF1578" s="209"/>
      <c r="AG1578" s="209"/>
      <c r="AH1578" s="209"/>
      <c r="AI1578" s="209"/>
      <c r="AJ1578" s="209"/>
    </row>
    <row r="1579">
      <c r="A1579" s="209"/>
      <c r="B1579" s="209"/>
      <c r="C1579" s="209"/>
      <c r="D1579" s="209"/>
      <c r="E1579" s="209"/>
      <c r="F1579" s="209"/>
      <c r="G1579" s="209"/>
      <c r="H1579" s="209"/>
      <c r="I1579" s="209"/>
      <c r="J1579" s="209"/>
      <c r="K1579" s="209"/>
      <c r="L1579" s="209"/>
      <c r="M1579" s="209"/>
      <c r="N1579" s="209"/>
      <c r="O1579" s="209"/>
      <c r="P1579" s="209"/>
      <c r="Q1579" s="209"/>
      <c r="R1579" s="209"/>
      <c r="S1579" s="209"/>
      <c r="T1579" s="209"/>
      <c r="U1579" s="209"/>
      <c r="V1579" s="209"/>
      <c r="W1579" s="209"/>
      <c r="X1579" s="209"/>
      <c r="Y1579" s="209"/>
      <c r="Z1579" s="209"/>
      <c r="AA1579" s="209"/>
      <c r="AB1579" s="209"/>
      <c r="AC1579" s="209"/>
      <c r="AD1579" s="209"/>
      <c r="AE1579" s="209"/>
      <c r="AF1579" s="209"/>
      <c r="AG1579" s="209"/>
      <c r="AH1579" s="209"/>
      <c r="AI1579" s="209"/>
      <c r="AJ1579" s="209"/>
    </row>
    <row r="1580">
      <c r="A1580" s="209"/>
      <c r="B1580" s="209"/>
      <c r="C1580" s="209"/>
      <c r="D1580" s="209"/>
      <c r="E1580" s="209"/>
      <c r="F1580" s="209"/>
      <c r="G1580" s="209"/>
      <c r="H1580" s="209"/>
      <c r="I1580" s="209"/>
      <c r="J1580" s="209"/>
      <c r="K1580" s="209"/>
      <c r="L1580" s="209"/>
      <c r="M1580" s="209"/>
      <c r="N1580" s="209"/>
      <c r="O1580" s="209"/>
      <c r="P1580" s="209"/>
      <c r="Q1580" s="209"/>
      <c r="R1580" s="209"/>
      <c r="S1580" s="209"/>
      <c r="T1580" s="209"/>
      <c r="U1580" s="209"/>
      <c r="V1580" s="209"/>
      <c r="W1580" s="209"/>
      <c r="X1580" s="209"/>
      <c r="Y1580" s="209"/>
      <c r="Z1580" s="209"/>
      <c r="AA1580" s="209"/>
      <c r="AB1580" s="209"/>
      <c r="AC1580" s="209"/>
      <c r="AD1580" s="209"/>
      <c r="AE1580" s="209"/>
      <c r="AF1580" s="209"/>
      <c r="AG1580" s="209"/>
      <c r="AH1580" s="209"/>
      <c r="AI1580" s="209"/>
      <c r="AJ1580" s="209"/>
    </row>
    <row r="1581">
      <c r="A1581" s="209"/>
      <c r="B1581" s="209"/>
      <c r="C1581" s="209"/>
      <c r="D1581" s="209"/>
      <c r="E1581" s="209"/>
      <c r="F1581" s="209"/>
      <c r="G1581" s="209"/>
      <c r="H1581" s="209"/>
      <c r="I1581" s="209"/>
      <c r="J1581" s="209"/>
      <c r="K1581" s="209"/>
      <c r="L1581" s="209"/>
      <c r="M1581" s="209"/>
      <c r="N1581" s="209"/>
      <c r="O1581" s="209"/>
      <c r="P1581" s="209"/>
      <c r="Q1581" s="209"/>
      <c r="R1581" s="209"/>
      <c r="S1581" s="209"/>
      <c r="T1581" s="209"/>
      <c r="U1581" s="209"/>
      <c r="V1581" s="209"/>
      <c r="W1581" s="209"/>
      <c r="X1581" s="209"/>
      <c r="Y1581" s="209"/>
      <c r="Z1581" s="209"/>
      <c r="AA1581" s="209"/>
      <c r="AB1581" s="209"/>
      <c r="AC1581" s="209"/>
      <c r="AD1581" s="209"/>
      <c r="AE1581" s="209"/>
      <c r="AF1581" s="209"/>
      <c r="AG1581" s="209"/>
      <c r="AH1581" s="209"/>
      <c r="AI1581" s="209"/>
      <c r="AJ1581" s="209"/>
    </row>
    <row r="1582">
      <c r="A1582" s="209"/>
      <c r="B1582" s="209"/>
      <c r="C1582" s="209"/>
      <c r="D1582" s="209"/>
      <c r="E1582" s="209"/>
      <c r="F1582" s="209"/>
      <c r="G1582" s="209"/>
      <c r="H1582" s="209"/>
      <c r="I1582" s="209"/>
      <c r="J1582" s="209"/>
      <c r="K1582" s="209"/>
      <c r="L1582" s="209"/>
      <c r="M1582" s="209"/>
      <c r="N1582" s="209"/>
      <c r="O1582" s="209"/>
      <c r="P1582" s="209"/>
      <c r="Q1582" s="209"/>
      <c r="R1582" s="209"/>
      <c r="S1582" s="209"/>
      <c r="T1582" s="209"/>
      <c r="U1582" s="209"/>
      <c r="V1582" s="209"/>
      <c r="W1582" s="209"/>
      <c r="X1582" s="209"/>
      <c r="Y1582" s="209"/>
      <c r="Z1582" s="209"/>
      <c r="AA1582" s="209"/>
      <c r="AB1582" s="209"/>
      <c r="AC1582" s="209"/>
      <c r="AD1582" s="209"/>
      <c r="AE1582" s="209"/>
      <c r="AF1582" s="209"/>
      <c r="AG1582" s="209"/>
      <c r="AH1582" s="209"/>
      <c r="AI1582" s="209"/>
      <c r="AJ1582" s="209"/>
    </row>
    <row r="1583">
      <c r="A1583" s="209"/>
      <c r="B1583" s="209"/>
      <c r="C1583" s="209"/>
      <c r="D1583" s="209"/>
      <c r="E1583" s="209"/>
      <c r="F1583" s="209"/>
      <c r="G1583" s="209"/>
      <c r="H1583" s="209"/>
      <c r="I1583" s="209"/>
      <c r="J1583" s="209"/>
      <c r="K1583" s="209"/>
      <c r="L1583" s="209"/>
      <c r="M1583" s="209"/>
      <c r="N1583" s="209"/>
      <c r="O1583" s="209"/>
      <c r="P1583" s="209"/>
      <c r="Q1583" s="209"/>
      <c r="R1583" s="209"/>
      <c r="S1583" s="209"/>
      <c r="T1583" s="209"/>
      <c r="U1583" s="209"/>
      <c r="V1583" s="209"/>
      <c r="W1583" s="209"/>
      <c r="X1583" s="209"/>
      <c r="Y1583" s="209"/>
      <c r="Z1583" s="209"/>
      <c r="AA1583" s="209"/>
      <c r="AB1583" s="209"/>
      <c r="AC1583" s="209"/>
      <c r="AD1583" s="209"/>
      <c r="AE1583" s="209"/>
      <c r="AF1583" s="209"/>
      <c r="AG1583" s="209"/>
      <c r="AH1583" s="209"/>
      <c r="AI1583" s="209"/>
      <c r="AJ1583" s="209"/>
    </row>
    <row r="1584">
      <c r="A1584" s="209"/>
      <c r="B1584" s="209"/>
      <c r="C1584" s="209"/>
      <c r="D1584" s="209"/>
      <c r="E1584" s="209"/>
      <c r="F1584" s="209"/>
      <c r="G1584" s="209"/>
      <c r="H1584" s="209"/>
      <c r="I1584" s="209"/>
      <c r="J1584" s="209"/>
      <c r="K1584" s="209"/>
      <c r="L1584" s="209"/>
      <c r="M1584" s="209"/>
      <c r="N1584" s="209"/>
      <c r="O1584" s="209"/>
      <c r="P1584" s="209"/>
      <c r="Q1584" s="209"/>
      <c r="R1584" s="209"/>
      <c r="S1584" s="209"/>
      <c r="T1584" s="209"/>
      <c r="U1584" s="209"/>
      <c r="V1584" s="209"/>
      <c r="W1584" s="209"/>
      <c r="X1584" s="209"/>
      <c r="Y1584" s="209"/>
      <c r="Z1584" s="209"/>
      <c r="AA1584" s="209"/>
      <c r="AB1584" s="209"/>
      <c r="AC1584" s="209"/>
      <c r="AD1584" s="209"/>
      <c r="AE1584" s="209"/>
      <c r="AF1584" s="209"/>
      <c r="AG1584" s="209"/>
      <c r="AH1584" s="209"/>
      <c r="AI1584" s="209"/>
      <c r="AJ1584" s="209"/>
    </row>
    <row r="1585">
      <c r="A1585" s="209"/>
      <c r="B1585" s="209"/>
      <c r="C1585" s="209"/>
      <c r="D1585" s="209"/>
      <c r="E1585" s="209"/>
      <c r="F1585" s="209"/>
      <c r="G1585" s="209"/>
      <c r="H1585" s="209"/>
      <c r="I1585" s="209"/>
      <c r="J1585" s="209"/>
      <c r="K1585" s="209"/>
      <c r="L1585" s="209"/>
      <c r="M1585" s="209"/>
      <c r="N1585" s="209"/>
      <c r="O1585" s="209"/>
      <c r="P1585" s="209"/>
      <c r="Q1585" s="209"/>
      <c r="R1585" s="209"/>
      <c r="S1585" s="209"/>
      <c r="T1585" s="209"/>
      <c r="U1585" s="209"/>
      <c r="V1585" s="209"/>
      <c r="W1585" s="209"/>
      <c r="X1585" s="209"/>
      <c r="Y1585" s="209"/>
      <c r="Z1585" s="209"/>
      <c r="AA1585" s="209"/>
      <c r="AB1585" s="209"/>
      <c r="AC1585" s="209"/>
      <c r="AD1585" s="209"/>
      <c r="AE1585" s="209"/>
      <c r="AF1585" s="209"/>
      <c r="AG1585" s="209"/>
      <c r="AH1585" s="209"/>
      <c r="AI1585" s="209"/>
      <c r="AJ1585" s="209"/>
    </row>
    <row r="1586">
      <c r="A1586" s="209"/>
      <c r="B1586" s="209"/>
      <c r="C1586" s="209"/>
      <c r="D1586" s="209"/>
      <c r="E1586" s="209"/>
      <c r="F1586" s="209"/>
      <c r="G1586" s="209"/>
      <c r="H1586" s="209"/>
      <c r="I1586" s="209"/>
      <c r="J1586" s="209"/>
      <c r="K1586" s="209"/>
      <c r="L1586" s="209"/>
      <c r="M1586" s="209"/>
      <c r="N1586" s="209"/>
      <c r="O1586" s="209"/>
      <c r="P1586" s="209"/>
      <c r="Q1586" s="209"/>
      <c r="R1586" s="209"/>
      <c r="S1586" s="209"/>
      <c r="T1586" s="209"/>
      <c r="U1586" s="209"/>
      <c r="V1586" s="209"/>
      <c r="W1586" s="209"/>
      <c r="X1586" s="209"/>
      <c r="Y1586" s="209"/>
      <c r="Z1586" s="209"/>
      <c r="AA1586" s="209"/>
      <c r="AB1586" s="209"/>
      <c r="AC1586" s="209"/>
      <c r="AD1586" s="209"/>
      <c r="AE1586" s="209"/>
      <c r="AF1586" s="209"/>
      <c r="AG1586" s="209"/>
      <c r="AH1586" s="209"/>
      <c r="AI1586" s="209"/>
      <c r="AJ1586" s="209"/>
    </row>
    <row r="1587">
      <c r="A1587" s="209"/>
      <c r="B1587" s="209"/>
      <c r="C1587" s="209"/>
      <c r="D1587" s="209"/>
      <c r="E1587" s="209"/>
      <c r="F1587" s="209"/>
      <c r="G1587" s="209"/>
      <c r="H1587" s="209"/>
      <c r="I1587" s="209"/>
      <c r="J1587" s="209"/>
      <c r="K1587" s="209"/>
      <c r="L1587" s="209"/>
      <c r="M1587" s="209"/>
      <c r="N1587" s="209"/>
      <c r="O1587" s="209"/>
      <c r="P1587" s="209"/>
      <c r="Q1587" s="209"/>
      <c r="R1587" s="209"/>
      <c r="S1587" s="209"/>
      <c r="T1587" s="209"/>
      <c r="U1587" s="209"/>
      <c r="V1587" s="209"/>
      <c r="W1587" s="209"/>
      <c r="X1587" s="209"/>
      <c r="Y1587" s="209"/>
      <c r="Z1587" s="209"/>
      <c r="AA1587" s="209"/>
      <c r="AB1587" s="209"/>
      <c r="AC1587" s="209"/>
      <c r="AD1587" s="209"/>
      <c r="AE1587" s="209"/>
      <c r="AF1587" s="209"/>
      <c r="AG1587" s="209"/>
      <c r="AH1587" s="209"/>
      <c r="AI1587" s="209"/>
      <c r="AJ1587" s="209"/>
    </row>
    <row r="1588">
      <c r="A1588" s="209"/>
      <c r="B1588" s="209"/>
      <c r="C1588" s="209"/>
      <c r="D1588" s="209"/>
      <c r="E1588" s="209"/>
      <c r="F1588" s="209"/>
      <c r="G1588" s="209"/>
      <c r="H1588" s="209"/>
      <c r="I1588" s="209"/>
      <c r="J1588" s="209"/>
      <c r="K1588" s="209"/>
      <c r="L1588" s="209"/>
      <c r="M1588" s="209"/>
      <c r="N1588" s="209"/>
      <c r="O1588" s="209"/>
      <c r="P1588" s="209"/>
      <c r="Q1588" s="209"/>
      <c r="R1588" s="209"/>
      <c r="S1588" s="209"/>
      <c r="T1588" s="209"/>
      <c r="U1588" s="209"/>
      <c r="V1588" s="209"/>
      <c r="W1588" s="209"/>
      <c r="X1588" s="209"/>
      <c r="Y1588" s="209"/>
      <c r="Z1588" s="209"/>
      <c r="AA1588" s="209"/>
      <c r="AB1588" s="209"/>
      <c r="AC1588" s="209"/>
      <c r="AD1588" s="209"/>
      <c r="AE1588" s="209"/>
      <c r="AF1588" s="209"/>
      <c r="AG1588" s="209"/>
      <c r="AH1588" s="209"/>
      <c r="AI1588" s="209"/>
      <c r="AJ1588" s="209"/>
    </row>
    <row r="1589">
      <c r="A1589" s="209"/>
      <c r="B1589" s="209"/>
      <c r="C1589" s="209"/>
      <c r="D1589" s="209"/>
      <c r="E1589" s="209"/>
      <c r="F1589" s="209"/>
      <c r="G1589" s="209"/>
      <c r="H1589" s="209"/>
      <c r="I1589" s="209"/>
      <c r="J1589" s="209"/>
      <c r="K1589" s="209"/>
      <c r="L1589" s="209"/>
      <c r="M1589" s="209"/>
      <c r="N1589" s="209"/>
      <c r="O1589" s="209"/>
      <c r="P1589" s="209"/>
      <c r="Q1589" s="209"/>
      <c r="R1589" s="209"/>
      <c r="S1589" s="209"/>
      <c r="T1589" s="209"/>
      <c r="U1589" s="209"/>
      <c r="V1589" s="209"/>
      <c r="W1589" s="209"/>
      <c r="X1589" s="209"/>
      <c r="Y1589" s="209"/>
      <c r="Z1589" s="209"/>
      <c r="AA1589" s="209"/>
      <c r="AB1589" s="209"/>
      <c r="AC1589" s="209"/>
      <c r="AD1589" s="209"/>
      <c r="AE1589" s="209"/>
      <c r="AF1589" s="209"/>
      <c r="AG1589" s="209"/>
      <c r="AH1589" s="209"/>
      <c r="AI1589" s="209"/>
      <c r="AJ1589" s="209"/>
    </row>
    <row r="1590">
      <c r="A1590" s="209"/>
      <c r="B1590" s="209"/>
      <c r="C1590" s="209"/>
      <c r="D1590" s="209"/>
      <c r="E1590" s="209"/>
      <c r="F1590" s="209"/>
      <c r="G1590" s="209"/>
      <c r="H1590" s="209"/>
      <c r="I1590" s="209"/>
      <c r="J1590" s="209"/>
      <c r="K1590" s="209"/>
      <c r="L1590" s="209"/>
      <c r="M1590" s="209"/>
      <c r="N1590" s="209"/>
      <c r="O1590" s="209"/>
      <c r="P1590" s="209"/>
      <c r="Q1590" s="209"/>
      <c r="R1590" s="209"/>
      <c r="S1590" s="209"/>
      <c r="T1590" s="209"/>
      <c r="U1590" s="209"/>
      <c r="V1590" s="209"/>
      <c r="W1590" s="209"/>
      <c r="X1590" s="209"/>
      <c r="Y1590" s="209"/>
      <c r="Z1590" s="209"/>
      <c r="AA1590" s="209"/>
      <c r="AB1590" s="209"/>
      <c r="AC1590" s="209"/>
      <c r="AD1590" s="209"/>
      <c r="AE1590" s="209"/>
      <c r="AF1590" s="209"/>
      <c r="AG1590" s="209"/>
      <c r="AH1590" s="209"/>
      <c r="AI1590" s="209"/>
      <c r="AJ1590" s="209"/>
    </row>
    <row r="1591">
      <c r="A1591" s="209"/>
      <c r="B1591" s="209"/>
      <c r="C1591" s="209"/>
      <c r="D1591" s="209"/>
      <c r="E1591" s="209"/>
      <c r="F1591" s="209"/>
      <c r="G1591" s="209"/>
      <c r="H1591" s="209"/>
      <c r="I1591" s="209"/>
      <c r="J1591" s="209"/>
      <c r="K1591" s="209"/>
      <c r="L1591" s="209"/>
      <c r="M1591" s="209"/>
      <c r="N1591" s="209"/>
      <c r="O1591" s="209"/>
      <c r="P1591" s="209"/>
      <c r="Q1591" s="209"/>
      <c r="R1591" s="209"/>
      <c r="S1591" s="209"/>
      <c r="T1591" s="209"/>
      <c r="U1591" s="209"/>
      <c r="V1591" s="209"/>
      <c r="W1591" s="209"/>
      <c r="X1591" s="209"/>
      <c r="Y1591" s="209"/>
      <c r="Z1591" s="209"/>
      <c r="AA1591" s="209"/>
      <c r="AB1591" s="209"/>
      <c r="AC1591" s="209"/>
      <c r="AD1591" s="209"/>
      <c r="AE1591" s="209"/>
      <c r="AF1591" s="209"/>
      <c r="AG1591" s="209"/>
      <c r="AH1591" s="209"/>
      <c r="AI1591" s="209"/>
      <c r="AJ1591" s="209"/>
    </row>
    <row r="1592">
      <c r="A1592" s="209"/>
      <c r="B1592" s="209"/>
      <c r="C1592" s="209"/>
      <c r="D1592" s="209"/>
      <c r="E1592" s="209"/>
      <c r="F1592" s="209"/>
      <c r="G1592" s="209"/>
      <c r="H1592" s="209"/>
      <c r="I1592" s="209"/>
      <c r="J1592" s="209"/>
      <c r="K1592" s="209"/>
      <c r="L1592" s="209"/>
      <c r="M1592" s="209"/>
      <c r="N1592" s="209"/>
      <c r="O1592" s="209"/>
      <c r="P1592" s="209"/>
      <c r="Q1592" s="209"/>
      <c r="R1592" s="209"/>
      <c r="S1592" s="209"/>
      <c r="T1592" s="209"/>
      <c r="U1592" s="209"/>
      <c r="V1592" s="209"/>
      <c r="W1592" s="209"/>
      <c r="X1592" s="209"/>
      <c r="Y1592" s="209"/>
      <c r="Z1592" s="209"/>
      <c r="AA1592" s="209"/>
      <c r="AB1592" s="209"/>
      <c r="AC1592" s="209"/>
      <c r="AD1592" s="209"/>
      <c r="AE1592" s="209"/>
      <c r="AF1592" s="209"/>
      <c r="AG1592" s="209"/>
      <c r="AH1592" s="209"/>
      <c r="AI1592" s="209"/>
      <c r="AJ1592" s="209"/>
    </row>
    <row r="1593">
      <c r="A1593" s="209"/>
      <c r="B1593" s="209"/>
      <c r="C1593" s="209"/>
      <c r="D1593" s="209"/>
      <c r="E1593" s="209"/>
      <c r="F1593" s="209"/>
      <c r="G1593" s="209"/>
      <c r="H1593" s="209"/>
      <c r="I1593" s="209"/>
      <c r="J1593" s="209"/>
      <c r="K1593" s="209"/>
      <c r="L1593" s="209"/>
      <c r="M1593" s="209"/>
      <c r="N1593" s="209"/>
      <c r="O1593" s="209"/>
      <c r="P1593" s="209"/>
      <c r="Q1593" s="209"/>
      <c r="R1593" s="209"/>
      <c r="S1593" s="209"/>
      <c r="T1593" s="209"/>
      <c r="U1593" s="209"/>
      <c r="V1593" s="209"/>
      <c r="W1593" s="209"/>
      <c r="X1593" s="209"/>
      <c r="Y1593" s="209"/>
      <c r="Z1593" s="209"/>
      <c r="AA1593" s="209"/>
      <c r="AB1593" s="209"/>
      <c r="AC1593" s="209"/>
      <c r="AD1593" s="209"/>
      <c r="AE1593" s="209"/>
      <c r="AF1593" s="209"/>
      <c r="AG1593" s="209"/>
      <c r="AH1593" s="209"/>
      <c r="AI1593" s="209"/>
      <c r="AJ1593" s="209"/>
    </row>
    <row r="1594">
      <c r="A1594" s="209"/>
      <c r="B1594" s="209"/>
      <c r="C1594" s="209"/>
      <c r="D1594" s="209"/>
      <c r="E1594" s="209"/>
      <c r="F1594" s="209"/>
      <c r="G1594" s="209"/>
      <c r="H1594" s="209"/>
      <c r="I1594" s="209"/>
      <c r="J1594" s="209"/>
      <c r="K1594" s="209"/>
      <c r="L1594" s="209"/>
      <c r="M1594" s="209"/>
      <c r="N1594" s="209"/>
      <c r="O1594" s="209"/>
      <c r="P1594" s="209"/>
      <c r="Q1594" s="209"/>
      <c r="R1594" s="209"/>
      <c r="S1594" s="209"/>
      <c r="T1594" s="209"/>
      <c r="U1594" s="209"/>
      <c r="V1594" s="209"/>
      <c r="W1594" s="209"/>
      <c r="X1594" s="209"/>
      <c r="Y1594" s="209"/>
      <c r="Z1594" s="209"/>
      <c r="AA1594" s="209"/>
      <c r="AB1594" s="209"/>
      <c r="AC1594" s="209"/>
      <c r="AD1594" s="209"/>
      <c r="AE1594" s="209"/>
      <c r="AF1594" s="209"/>
      <c r="AG1594" s="209"/>
      <c r="AH1594" s="209"/>
      <c r="AI1594" s="209"/>
      <c r="AJ1594" s="209"/>
    </row>
    <row r="1595">
      <c r="A1595" s="209"/>
      <c r="B1595" s="209"/>
      <c r="C1595" s="209"/>
      <c r="D1595" s="209"/>
      <c r="E1595" s="209"/>
      <c r="F1595" s="209"/>
      <c r="G1595" s="209"/>
      <c r="H1595" s="209"/>
      <c r="I1595" s="209"/>
      <c r="J1595" s="209"/>
      <c r="K1595" s="209"/>
      <c r="L1595" s="209"/>
      <c r="M1595" s="209"/>
      <c r="N1595" s="209"/>
      <c r="O1595" s="209"/>
      <c r="P1595" s="209"/>
      <c r="Q1595" s="209"/>
      <c r="R1595" s="209"/>
      <c r="S1595" s="209"/>
      <c r="T1595" s="209"/>
      <c r="U1595" s="209"/>
      <c r="V1595" s="209"/>
      <c r="W1595" s="209"/>
      <c r="X1595" s="209"/>
      <c r="Y1595" s="209"/>
      <c r="Z1595" s="209"/>
      <c r="AA1595" s="209"/>
      <c r="AB1595" s="209"/>
      <c r="AC1595" s="209"/>
      <c r="AD1595" s="209"/>
      <c r="AE1595" s="209"/>
      <c r="AF1595" s="209"/>
      <c r="AG1595" s="209"/>
      <c r="AH1595" s="209"/>
      <c r="AI1595" s="209"/>
      <c r="AJ1595" s="209"/>
    </row>
    <row r="1596">
      <c r="A1596" s="209"/>
      <c r="B1596" s="209"/>
      <c r="C1596" s="209"/>
      <c r="D1596" s="209"/>
      <c r="E1596" s="209"/>
      <c r="F1596" s="209"/>
      <c r="G1596" s="209"/>
      <c r="H1596" s="209"/>
      <c r="I1596" s="209"/>
      <c r="J1596" s="209"/>
      <c r="K1596" s="209"/>
      <c r="L1596" s="209"/>
      <c r="M1596" s="209"/>
      <c r="N1596" s="209"/>
      <c r="O1596" s="209"/>
      <c r="P1596" s="209"/>
      <c r="Q1596" s="209"/>
      <c r="R1596" s="209"/>
      <c r="S1596" s="209"/>
      <c r="T1596" s="209"/>
      <c r="U1596" s="209"/>
      <c r="V1596" s="209"/>
      <c r="W1596" s="209"/>
      <c r="X1596" s="209"/>
      <c r="Y1596" s="209"/>
      <c r="Z1596" s="209"/>
      <c r="AA1596" s="209"/>
      <c r="AB1596" s="209"/>
      <c r="AC1596" s="209"/>
      <c r="AD1596" s="209"/>
      <c r="AE1596" s="209"/>
      <c r="AF1596" s="209"/>
      <c r="AG1596" s="209"/>
      <c r="AH1596" s="209"/>
      <c r="AI1596" s="209"/>
      <c r="AJ1596" s="209"/>
    </row>
    <row r="1597">
      <c r="A1597" s="209"/>
      <c r="B1597" s="209"/>
      <c r="C1597" s="209"/>
      <c r="D1597" s="209"/>
      <c r="E1597" s="209"/>
      <c r="F1597" s="209"/>
      <c r="G1597" s="209"/>
      <c r="H1597" s="209"/>
      <c r="I1597" s="209"/>
      <c r="J1597" s="209"/>
      <c r="K1597" s="209"/>
      <c r="L1597" s="209"/>
      <c r="M1597" s="209"/>
      <c r="N1597" s="209"/>
      <c r="O1597" s="209"/>
      <c r="P1597" s="209"/>
      <c r="Q1597" s="209"/>
      <c r="R1597" s="209"/>
      <c r="S1597" s="209"/>
      <c r="T1597" s="209"/>
      <c r="U1597" s="209"/>
      <c r="V1597" s="209"/>
      <c r="W1597" s="209"/>
      <c r="X1597" s="209"/>
      <c r="Y1597" s="209"/>
      <c r="Z1597" s="209"/>
      <c r="AA1597" s="209"/>
      <c r="AB1597" s="209"/>
      <c r="AC1597" s="209"/>
      <c r="AD1597" s="209"/>
      <c r="AE1597" s="209"/>
      <c r="AF1597" s="209"/>
      <c r="AG1597" s="209"/>
      <c r="AH1597" s="209"/>
      <c r="AI1597" s="209"/>
      <c r="AJ1597" s="209"/>
    </row>
    <row r="1598">
      <c r="A1598" s="209"/>
      <c r="B1598" s="209"/>
      <c r="C1598" s="209"/>
      <c r="D1598" s="209"/>
      <c r="E1598" s="209"/>
      <c r="F1598" s="209"/>
      <c r="G1598" s="209"/>
      <c r="H1598" s="209"/>
      <c r="I1598" s="209"/>
      <c r="J1598" s="209"/>
      <c r="K1598" s="209"/>
      <c r="L1598" s="209"/>
      <c r="M1598" s="209"/>
      <c r="N1598" s="209"/>
      <c r="O1598" s="209"/>
      <c r="P1598" s="209"/>
      <c r="Q1598" s="209"/>
      <c r="R1598" s="209"/>
      <c r="S1598" s="209"/>
      <c r="T1598" s="209"/>
      <c r="U1598" s="209"/>
      <c r="V1598" s="209"/>
      <c r="W1598" s="209"/>
      <c r="X1598" s="209"/>
      <c r="Y1598" s="209"/>
      <c r="Z1598" s="209"/>
      <c r="AA1598" s="209"/>
      <c r="AB1598" s="209"/>
      <c r="AC1598" s="209"/>
      <c r="AD1598" s="209"/>
      <c r="AE1598" s="209"/>
      <c r="AF1598" s="209"/>
      <c r="AG1598" s="209"/>
      <c r="AH1598" s="209"/>
      <c r="AI1598" s="209"/>
      <c r="AJ1598" s="209"/>
    </row>
    <row r="1599">
      <c r="A1599" s="209"/>
      <c r="B1599" s="209"/>
      <c r="C1599" s="209"/>
      <c r="D1599" s="209"/>
      <c r="E1599" s="209"/>
      <c r="F1599" s="209"/>
      <c r="G1599" s="209"/>
      <c r="H1599" s="209"/>
      <c r="I1599" s="209"/>
      <c r="J1599" s="209"/>
      <c r="K1599" s="209"/>
      <c r="L1599" s="209"/>
      <c r="M1599" s="209"/>
      <c r="N1599" s="209"/>
      <c r="O1599" s="209"/>
      <c r="P1599" s="209"/>
      <c r="Q1599" s="209"/>
      <c r="R1599" s="209"/>
      <c r="S1599" s="209"/>
      <c r="T1599" s="209"/>
      <c r="U1599" s="209"/>
      <c r="V1599" s="209"/>
      <c r="W1599" s="209"/>
      <c r="X1599" s="209"/>
      <c r="Y1599" s="209"/>
      <c r="Z1599" s="209"/>
      <c r="AA1599" s="209"/>
      <c r="AB1599" s="209"/>
      <c r="AC1599" s="209"/>
      <c r="AD1599" s="209"/>
      <c r="AE1599" s="209"/>
      <c r="AF1599" s="209"/>
      <c r="AG1599" s="209"/>
      <c r="AH1599" s="209"/>
      <c r="AI1599" s="209"/>
      <c r="AJ1599" s="209"/>
    </row>
    <row r="1600">
      <c r="A1600" s="209"/>
      <c r="B1600" s="209"/>
      <c r="C1600" s="209"/>
      <c r="D1600" s="209"/>
      <c r="E1600" s="209"/>
      <c r="F1600" s="209"/>
      <c r="G1600" s="209"/>
      <c r="H1600" s="209"/>
      <c r="I1600" s="209"/>
      <c r="J1600" s="209"/>
      <c r="K1600" s="209"/>
      <c r="L1600" s="209"/>
      <c r="M1600" s="209"/>
      <c r="N1600" s="209"/>
      <c r="O1600" s="209"/>
      <c r="P1600" s="209"/>
      <c r="Q1600" s="209"/>
      <c r="R1600" s="209"/>
      <c r="S1600" s="209"/>
      <c r="T1600" s="209"/>
      <c r="U1600" s="209"/>
      <c r="V1600" s="209"/>
      <c r="W1600" s="209"/>
      <c r="X1600" s="209"/>
      <c r="Y1600" s="209"/>
      <c r="Z1600" s="209"/>
      <c r="AA1600" s="209"/>
      <c r="AB1600" s="209"/>
      <c r="AC1600" s="209"/>
      <c r="AD1600" s="209"/>
      <c r="AE1600" s="209"/>
      <c r="AF1600" s="209"/>
      <c r="AG1600" s="209"/>
      <c r="AH1600" s="209"/>
      <c r="AI1600" s="209"/>
      <c r="AJ1600" s="209"/>
    </row>
    <row r="1601">
      <c r="A1601" s="209"/>
      <c r="B1601" s="209"/>
      <c r="C1601" s="209"/>
      <c r="D1601" s="209"/>
      <c r="E1601" s="209"/>
      <c r="F1601" s="209"/>
      <c r="G1601" s="209"/>
      <c r="H1601" s="209"/>
      <c r="I1601" s="209"/>
      <c r="J1601" s="209"/>
      <c r="K1601" s="209"/>
      <c r="L1601" s="209"/>
      <c r="M1601" s="209"/>
      <c r="N1601" s="209"/>
      <c r="O1601" s="209"/>
      <c r="P1601" s="209"/>
      <c r="Q1601" s="209"/>
      <c r="R1601" s="209"/>
      <c r="S1601" s="209"/>
      <c r="T1601" s="209"/>
      <c r="U1601" s="209"/>
      <c r="V1601" s="209"/>
      <c r="W1601" s="209"/>
      <c r="X1601" s="209"/>
      <c r="Y1601" s="209"/>
      <c r="Z1601" s="209"/>
      <c r="AA1601" s="209"/>
      <c r="AB1601" s="209"/>
      <c r="AC1601" s="209"/>
      <c r="AD1601" s="209"/>
      <c r="AE1601" s="209"/>
      <c r="AF1601" s="209"/>
      <c r="AG1601" s="209"/>
      <c r="AH1601" s="209"/>
      <c r="AI1601" s="209"/>
      <c r="AJ1601" s="209"/>
    </row>
    <row r="1602">
      <c r="A1602" s="209"/>
      <c r="B1602" s="209"/>
      <c r="C1602" s="209"/>
      <c r="D1602" s="209"/>
      <c r="E1602" s="209"/>
      <c r="F1602" s="209"/>
      <c r="G1602" s="209"/>
      <c r="H1602" s="209"/>
      <c r="I1602" s="209"/>
      <c r="J1602" s="209"/>
      <c r="K1602" s="209"/>
      <c r="L1602" s="209"/>
      <c r="M1602" s="209"/>
      <c r="N1602" s="209"/>
      <c r="O1602" s="209"/>
      <c r="P1602" s="209"/>
      <c r="Q1602" s="209"/>
      <c r="R1602" s="209"/>
      <c r="S1602" s="209"/>
      <c r="T1602" s="209"/>
      <c r="U1602" s="209"/>
      <c r="V1602" s="209"/>
      <c r="W1602" s="209"/>
      <c r="X1602" s="209"/>
      <c r="Y1602" s="209"/>
      <c r="Z1602" s="209"/>
      <c r="AA1602" s="209"/>
      <c r="AB1602" s="209"/>
      <c r="AC1602" s="209"/>
      <c r="AD1602" s="209"/>
      <c r="AE1602" s="209"/>
      <c r="AF1602" s="209"/>
      <c r="AG1602" s="209"/>
      <c r="AH1602" s="209"/>
      <c r="AI1602" s="209"/>
      <c r="AJ1602" s="209"/>
    </row>
    <row r="1603">
      <c r="A1603" s="209"/>
      <c r="B1603" s="209"/>
      <c r="C1603" s="209"/>
      <c r="D1603" s="209"/>
      <c r="E1603" s="209"/>
      <c r="F1603" s="209"/>
      <c r="G1603" s="209"/>
      <c r="H1603" s="209"/>
      <c r="I1603" s="209"/>
      <c r="J1603" s="209"/>
      <c r="K1603" s="209"/>
      <c r="L1603" s="209"/>
      <c r="M1603" s="209"/>
      <c r="N1603" s="209"/>
      <c r="O1603" s="209"/>
      <c r="P1603" s="209"/>
      <c r="Q1603" s="209"/>
      <c r="R1603" s="209"/>
      <c r="S1603" s="209"/>
      <c r="T1603" s="209"/>
      <c r="U1603" s="209"/>
      <c r="V1603" s="209"/>
      <c r="W1603" s="209"/>
      <c r="X1603" s="209"/>
      <c r="Y1603" s="209"/>
      <c r="Z1603" s="209"/>
      <c r="AA1603" s="209"/>
      <c r="AB1603" s="209"/>
      <c r="AC1603" s="209"/>
      <c r="AD1603" s="209"/>
      <c r="AE1603" s="209"/>
      <c r="AF1603" s="209"/>
      <c r="AG1603" s="209"/>
      <c r="AH1603" s="209"/>
      <c r="AI1603" s="209"/>
      <c r="AJ1603" s="209"/>
    </row>
    <row r="1604">
      <c r="A1604" s="209"/>
      <c r="B1604" s="209"/>
      <c r="C1604" s="209"/>
      <c r="D1604" s="209"/>
      <c r="E1604" s="209"/>
      <c r="F1604" s="209"/>
      <c r="G1604" s="209"/>
      <c r="H1604" s="209"/>
      <c r="I1604" s="209"/>
      <c r="J1604" s="209"/>
      <c r="K1604" s="209"/>
      <c r="L1604" s="209"/>
      <c r="M1604" s="209"/>
      <c r="N1604" s="209"/>
      <c r="O1604" s="209"/>
      <c r="P1604" s="209"/>
      <c r="Q1604" s="209"/>
      <c r="R1604" s="209"/>
      <c r="S1604" s="209"/>
      <c r="T1604" s="209"/>
      <c r="U1604" s="209"/>
      <c r="V1604" s="209"/>
      <c r="W1604" s="209"/>
      <c r="X1604" s="209"/>
      <c r="Y1604" s="209"/>
      <c r="Z1604" s="209"/>
      <c r="AA1604" s="209"/>
      <c r="AB1604" s="209"/>
      <c r="AC1604" s="209"/>
      <c r="AD1604" s="209"/>
      <c r="AE1604" s="209"/>
      <c r="AF1604" s="209"/>
      <c r="AG1604" s="209"/>
      <c r="AH1604" s="209"/>
      <c r="AI1604" s="209"/>
      <c r="AJ1604" s="209"/>
    </row>
    <row r="1605">
      <c r="A1605" s="209"/>
      <c r="B1605" s="209"/>
      <c r="C1605" s="209"/>
      <c r="D1605" s="209"/>
      <c r="E1605" s="209"/>
      <c r="F1605" s="209"/>
      <c r="G1605" s="209"/>
      <c r="H1605" s="209"/>
      <c r="I1605" s="209"/>
      <c r="J1605" s="209"/>
      <c r="K1605" s="209"/>
      <c r="L1605" s="209"/>
      <c r="M1605" s="209"/>
      <c r="N1605" s="209"/>
      <c r="O1605" s="209"/>
      <c r="P1605" s="209"/>
      <c r="Q1605" s="209"/>
      <c r="R1605" s="209"/>
      <c r="S1605" s="209"/>
      <c r="T1605" s="209"/>
      <c r="U1605" s="209"/>
      <c r="V1605" s="209"/>
      <c r="W1605" s="209"/>
      <c r="X1605" s="209"/>
      <c r="Y1605" s="209"/>
      <c r="Z1605" s="209"/>
      <c r="AA1605" s="209"/>
      <c r="AB1605" s="209"/>
      <c r="AC1605" s="209"/>
      <c r="AD1605" s="209"/>
      <c r="AE1605" s="209"/>
      <c r="AF1605" s="209"/>
      <c r="AG1605" s="209"/>
      <c r="AH1605" s="209"/>
      <c r="AI1605" s="209"/>
      <c r="AJ1605" s="209"/>
    </row>
    <row r="1606">
      <c r="A1606" s="209"/>
      <c r="B1606" s="209"/>
      <c r="C1606" s="209"/>
      <c r="D1606" s="209"/>
      <c r="E1606" s="209"/>
      <c r="F1606" s="209"/>
      <c r="G1606" s="209"/>
      <c r="H1606" s="209"/>
      <c r="I1606" s="209"/>
      <c r="J1606" s="209"/>
      <c r="K1606" s="209"/>
      <c r="L1606" s="209"/>
      <c r="M1606" s="209"/>
      <c r="N1606" s="209"/>
      <c r="O1606" s="209"/>
      <c r="P1606" s="209"/>
      <c r="Q1606" s="209"/>
      <c r="R1606" s="209"/>
      <c r="S1606" s="209"/>
      <c r="T1606" s="209"/>
      <c r="U1606" s="209"/>
      <c r="V1606" s="209"/>
      <c r="W1606" s="209"/>
      <c r="X1606" s="209"/>
      <c r="Y1606" s="209"/>
      <c r="Z1606" s="209"/>
      <c r="AA1606" s="209"/>
      <c r="AB1606" s="209"/>
      <c r="AC1606" s="209"/>
      <c r="AD1606" s="209"/>
      <c r="AE1606" s="209"/>
      <c r="AF1606" s="209"/>
      <c r="AG1606" s="209"/>
      <c r="AH1606" s="209"/>
      <c r="AI1606" s="209"/>
      <c r="AJ1606" s="209"/>
    </row>
    <row r="1607">
      <c r="A1607" s="209"/>
      <c r="B1607" s="209"/>
      <c r="C1607" s="209"/>
      <c r="D1607" s="209"/>
      <c r="E1607" s="209"/>
      <c r="F1607" s="209"/>
      <c r="G1607" s="209"/>
      <c r="H1607" s="209"/>
      <c r="I1607" s="209"/>
      <c r="J1607" s="209"/>
      <c r="K1607" s="209"/>
      <c r="L1607" s="209"/>
      <c r="M1607" s="209"/>
      <c r="N1607" s="209"/>
      <c r="O1607" s="209"/>
      <c r="P1607" s="209"/>
      <c r="Q1607" s="209"/>
      <c r="R1607" s="209"/>
      <c r="S1607" s="209"/>
      <c r="T1607" s="209"/>
      <c r="U1607" s="209"/>
      <c r="V1607" s="209"/>
      <c r="W1607" s="209"/>
      <c r="X1607" s="209"/>
      <c r="Y1607" s="209"/>
      <c r="Z1607" s="209"/>
      <c r="AA1607" s="209"/>
      <c r="AB1607" s="209"/>
      <c r="AC1607" s="209"/>
      <c r="AD1607" s="209"/>
      <c r="AE1607" s="209"/>
      <c r="AF1607" s="209"/>
      <c r="AG1607" s="209"/>
      <c r="AH1607" s="209"/>
      <c r="AI1607" s="209"/>
      <c r="AJ1607" s="209"/>
    </row>
    <row r="1608">
      <c r="A1608" s="209"/>
      <c r="B1608" s="209"/>
      <c r="C1608" s="209"/>
      <c r="D1608" s="209"/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209"/>
      <c r="P1608" s="209"/>
      <c r="Q1608" s="209"/>
      <c r="R1608" s="209"/>
      <c r="S1608" s="209"/>
      <c r="T1608" s="209"/>
      <c r="U1608" s="209"/>
      <c r="V1608" s="209"/>
      <c r="W1608" s="209"/>
      <c r="X1608" s="209"/>
      <c r="Y1608" s="209"/>
      <c r="Z1608" s="209"/>
      <c r="AA1608" s="209"/>
      <c r="AB1608" s="209"/>
      <c r="AC1608" s="209"/>
      <c r="AD1608" s="209"/>
      <c r="AE1608" s="209"/>
      <c r="AF1608" s="209"/>
      <c r="AG1608" s="209"/>
      <c r="AH1608" s="209"/>
      <c r="AI1608" s="209"/>
      <c r="AJ1608" s="209"/>
    </row>
    <row r="1609">
      <c r="A1609" s="209"/>
      <c r="B1609" s="209"/>
      <c r="C1609" s="209"/>
      <c r="D1609" s="209"/>
      <c r="E1609" s="209"/>
      <c r="F1609" s="209"/>
      <c r="G1609" s="209"/>
      <c r="H1609" s="209"/>
      <c r="I1609" s="209"/>
      <c r="J1609" s="209"/>
      <c r="K1609" s="209"/>
      <c r="L1609" s="209"/>
      <c r="M1609" s="209"/>
      <c r="N1609" s="209"/>
      <c r="O1609" s="209"/>
      <c r="P1609" s="209"/>
      <c r="Q1609" s="209"/>
      <c r="R1609" s="209"/>
      <c r="S1609" s="209"/>
      <c r="T1609" s="209"/>
      <c r="U1609" s="209"/>
      <c r="V1609" s="209"/>
      <c r="W1609" s="209"/>
      <c r="X1609" s="209"/>
      <c r="Y1609" s="209"/>
      <c r="Z1609" s="209"/>
      <c r="AA1609" s="209"/>
      <c r="AB1609" s="209"/>
      <c r="AC1609" s="209"/>
      <c r="AD1609" s="209"/>
      <c r="AE1609" s="209"/>
      <c r="AF1609" s="209"/>
      <c r="AG1609" s="209"/>
      <c r="AH1609" s="209"/>
      <c r="AI1609" s="209"/>
      <c r="AJ1609" s="209"/>
    </row>
    <row r="1610">
      <c r="A1610" s="209"/>
      <c r="B1610" s="209"/>
      <c r="C1610" s="209"/>
      <c r="D1610" s="209"/>
      <c r="E1610" s="209"/>
      <c r="F1610" s="209"/>
      <c r="G1610" s="209"/>
      <c r="H1610" s="209"/>
      <c r="I1610" s="209"/>
      <c r="J1610" s="209"/>
      <c r="K1610" s="209"/>
      <c r="L1610" s="209"/>
      <c r="M1610" s="209"/>
      <c r="N1610" s="209"/>
      <c r="O1610" s="209"/>
      <c r="P1610" s="209"/>
      <c r="Q1610" s="209"/>
      <c r="R1610" s="209"/>
      <c r="S1610" s="209"/>
      <c r="T1610" s="209"/>
      <c r="U1610" s="209"/>
      <c r="V1610" s="209"/>
      <c r="W1610" s="209"/>
      <c r="X1610" s="209"/>
      <c r="Y1610" s="209"/>
      <c r="Z1610" s="209"/>
      <c r="AA1610" s="209"/>
      <c r="AB1610" s="209"/>
      <c r="AC1610" s="209"/>
      <c r="AD1610" s="209"/>
      <c r="AE1610" s="209"/>
      <c r="AF1610" s="209"/>
      <c r="AG1610" s="209"/>
      <c r="AH1610" s="209"/>
      <c r="AI1610" s="209"/>
      <c r="AJ1610" s="209"/>
    </row>
    <row r="1611">
      <c r="A1611" s="209"/>
      <c r="B1611" s="209"/>
      <c r="C1611" s="209"/>
      <c r="D1611" s="209"/>
      <c r="E1611" s="209"/>
      <c r="F1611" s="209"/>
      <c r="G1611" s="209"/>
      <c r="H1611" s="209"/>
      <c r="I1611" s="209"/>
      <c r="J1611" s="209"/>
      <c r="K1611" s="209"/>
      <c r="L1611" s="209"/>
      <c r="M1611" s="209"/>
      <c r="N1611" s="209"/>
      <c r="O1611" s="209"/>
      <c r="P1611" s="209"/>
      <c r="Q1611" s="209"/>
      <c r="R1611" s="209"/>
      <c r="S1611" s="209"/>
      <c r="T1611" s="209"/>
      <c r="U1611" s="209"/>
      <c r="V1611" s="209"/>
      <c r="W1611" s="209"/>
      <c r="X1611" s="209"/>
      <c r="Y1611" s="209"/>
      <c r="Z1611" s="209"/>
      <c r="AA1611" s="209"/>
      <c r="AB1611" s="209"/>
      <c r="AC1611" s="209"/>
      <c r="AD1611" s="209"/>
      <c r="AE1611" s="209"/>
      <c r="AF1611" s="209"/>
      <c r="AG1611" s="209"/>
      <c r="AH1611" s="209"/>
      <c r="AI1611" s="209"/>
      <c r="AJ1611" s="209"/>
    </row>
    <row r="1612">
      <c r="A1612" s="209"/>
      <c r="B1612" s="209"/>
      <c r="C1612" s="209"/>
      <c r="D1612" s="209"/>
      <c r="E1612" s="209"/>
      <c r="F1612" s="209"/>
      <c r="G1612" s="209"/>
      <c r="H1612" s="209"/>
      <c r="I1612" s="209"/>
      <c r="J1612" s="209"/>
      <c r="K1612" s="209"/>
      <c r="L1612" s="209"/>
      <c r="M1612" s="209"/>
      <c r="N1612" s="209"/>
      <c r="O1612" s="209"/>
      <c r="P1612" s="209"/>
      <c r="Q1612" s="209"/>
      <c r="R1612" s="209"/>
      <c r="S1612" s="209"/>
      <c r="T1612" s="209"/>
      <c r="U1612" s="209"/>
      <c r="V1612" s="209"/>
      <c r="W1612" s="209"/>
      <c r="X1612" s="209"/>
      <c r="Y1612" s="209"/>
      <c r="Z1612" s="209"/>
      <c r="AA1612" s="209"/>
      <c r="AB1612" s="209"/>
      <c r="AC1612" s="209"/>
      <c r="AD1612" s="209"/>
      <c r="AE1612" s="209"/>
      <c r="AF1612" s="209"/>
      <c r="AG1612" s="209"/>
      <c r="AH1612" s="209"/>
      <c r="AI1612" s="209"/>
      <c r="AJ1612" s="209"/>
    </row>
    <row r="1613">
      <c r="A1613" s="209"/>
      <c r="B1613" s="209"/>
      <c r="C1613" s="209"/>
      <c r="D1613" s="209"/>
      <c r="E1613" s="209"/>
      <c r="F1613" s="209"/>
      <c r="G1613" s="209"/>
      <c r="H1613" s="209"/>
      <c r="I1613" s="209"/>
      <c r="J1613" s="209"/>
      <c r="K1613" s="209"/>
      <c r="L1613" s="209"/>
      <c r="M1613" s="209"/>
      <c r="N1613" s="209"/>
      <c r="O1613" s="209"/>
      <c r="P1613" s="209"/>
      <c r="Q1613" s="209"/>
      <c r="R1613" s="209"/>
      <c r="S1613" s="209"/>
      <c r="T1613" s="209"/>
      <c r="U1613" s="209"/>
      <c r="V1613" s="209"/>
      <c r="W1613" s="209"/>
      <c r="X1613" s="209"/>
      <c r="Y1613" s="209"/>
      <c r="Z1613" s="209"/>
      <c r="AA1613" s="209"/>
      <c r="AB1613" s="209"/>
      <c r="AC1613" s="209"/>
      <c r="AD1613" s="209"/>
      <c r="AE1613" s="209"/>
      <c r="AF1613" s="209"/>
      <c r="AG1613" s="209"/>
      <c r="AH1613" s="209"/>
      <c r="AI1613" s="209"/>
      <c r="AJ1613" s="209"/>
    </row>
    <row r="1614">
      <c r="A1614" s="209"/>
      <c r="B1614" s="209"/>
      <c r="C1614" s="209"/>
      <c r="D1614" s="209"/>
      <c r="E1614" s="209"/>
      <c r="F1614" s="209"/>
      <c r="G1614" s="209"/>
      <c r="H1614" s="209"/>
      <c r="I1614" s="209"/>
      <c r="J1614" s="209"/>
      <c r="K1614" s="209"/>
      <c r="L1614" s="209"/>
      <c r="M1614" s="209"/>
      <c r="N1614" s="209"/>
      <c r="O1614" s="209"/>
      <c r="P1614" s="209"/>
      <c r="Q1614" s="209"/>
      <c r="R1614" s="209"/>
      <c r="S1614" s="209"/>
      <c r="T1614" s="209"/>
      <c r="U1614" s="209"/>
      <c r="V1614" s="209"/>
      <c r="W1614" s="209"/>
      <c r="X1614" s="209"/>
      <c r="Y1614" s="209"/>
      <c r="Z1614" s="209"/>
      <c r="AA1614" s="209"/>
      <c r="AB1614" s="209"/>
      <c r="AC1614" s="209"/>
      <c r="AD1614" s="209"/>
      <c r="AE1614" s="209"/>
      <c r="AF1614" s="209"/>
      <c r="AG1614" s="209"/>
      <c r="AH1614" s="209"/>
      <c r="AI1614" s="209"/>
      <c r="AJ1614" s="209"/>
    </row>
    <row r="1615">
      <c r="A1615" s="209"/>
      <c r="B1615" s="209"/>
      <c r="C1615" s="209"/>
      <c r="D1615" s="209"/>
      <c r="E1615" s="209"/>
      <c r="F1615" s="209"/>
      <c r="G1615" s="209"/>
      <c r="H1615" s="209"/>
      <c r="I1615" s="209"/>
      <c r="J1615" s="209"/>
      <c r="K1615" s="209"/>
      <c r="L1615" s="209"/>
      <c r="M1615" s="209"/>
      <c r="N1615" s="209"/>
      <c r="O1615" s="209"/>
      <c r="P1615" s="209"/>
      <c r="Q1615" s="209"/>
      <c r="R1615" s="209"/>
      <c r="S1615" s="209"/>
      <c r="T1615" s="209"/>
      <c r="U1615" s="209"/>
      <c r="V1615" s="209"/>
      <c r="W1615" s="209"/>
      <c r="X1615" s="209"/>
      <c r="Y1615" s="209"/>
      <c r="Z1615" s="209"/>
      <c r="AA1615" s="209"/>
      <c r="AB1615" s="209"/>
      <c r="AC1615" s="209"/>
      <c r="AD1615" s="209"/>
      <c r="AE1615" s="209"/>
      <c r="AF1615" s="209"/>
      <c r="AG1615" s="209"/>
      <c r="AH1615" s="209"/>
      <c r="AI1615" s="209"/>
      <c r="AJ1615" s="209"/>
    </row>
    <row r="1616">
      <c r="A1616" s="209"/>
      <c r="B1616" s="209"/>
      <c r="C1616" s="209"/>
      <c r="D1616" s="209"/>
      <c r="E1616" s="209"/>
      <c r="F1616" s="209"/>
      <c r="G1616" s="209"/>
      <c r="H1616" s="209"/>
      <c r="I1616" s="209"/>
      <c r="J1616" s="209"/>
      <c r="K1616" s="209"/>
      <c r="L1616" s="209"/>
      <c r="M1616" s="209"/>
      <c r="N1616" s="209"/>
      <c r="O1616" s="209"/>
      <c r="P1616" s="209"/>
      <c r="Q1616" s="209"/>
      <c r="R1616" s="209"/>
      <c r="S1616" s="209"/>
      <c r="T1616" s="209"/>
      <c r="U1616" s="209"/>
      <c r="V1616" s="209"/>
      <c r="W1616" s="209"/>
      <c r="X1616" s="209"/>
      <c r="Y1616" s="209"/>
      <c r="Z1616" s="209"/>
      <c r="AA1616" s="209"/>
      <c r="AB1616" s="209"/>
      <c r="AC1616" s="209"/>
      <c r="AD1616" s="209"/>
      <c r="AE1616" s="209"/>
      <c r="AF1616" s="209"/>
      <c r="AG1616" s="209"/>
      <c r="AH1616" s="209"/>
      <c r="AI1616" s="209"/>
      <c r="AJ1616" s="209"/>
    </row>
    <row r="1617">
      <c r="A1617" s="209"/>
      <c r="B1617" s="209"/>
      <c r="C1617" s="209"/>
      <c r="D1617" s="209"/>
      <c r="E1617" s="209"/>
      <c r="F1617" s="209"/>
      <c r="G1617" s="209"/>
      <c r="H1617" s="209"/>
      <c r="I1617" s="209"/>
      <c r="J1617" s="209"/>
      <c r="K1617" s="209"/>
      <c r="L1617" s="209"/>
      <c r="M1617" s="209"/>
      <c r="N1617" s="209"/>
      <c r="O1617" s="209"/>
      <c r="P1617" s="209"/>
      <c r="Q1617" s="209"/>
      <c r="R1617" s="209"/>
      <c r="S1617" s="209"/>
      <c r="T1617" s="209"/>
      <c r="U1617" s="209"/>
      <c r="V1617" s="209"/>
      <c r="W1617" s="209"/>
      <c r="X1617" s="209"/>
      <c r="Y1617" s="209"/>
      <c r="Z1617" s="209"/>
      <c r="AA1617" s="209"/>
      <c r="AB1617" s="209"/>
      <c r="AC1617" s="209"/>
      <c r="AD1617" s="209"/>
      <c r="AE1617" s="209"/>
      <c r="AF1617" s="209"/>
      <c r="AG1617" s="209"/>
      <c r="AH1617" s="209"/>
      <c r="AI1617" s="209"/>
      <c r="AJ1617" s="209"/>
    </row>
    <row r="1618">
      <c r="A1618" s="209"/>
      <c r="B1618" s="209"/>
      <c r="C1618" s="209"/>
      <c r="D1618" s="209"/>
      <c r="E1618" s="209"/>
      <c r="F1618" s="209"/>
      <c r="G1618" s="209"/>
      <c r="H1618" s="209"/>
      <c r="I1618" s="209"/>
      <c r="J1618" s="209"/>
      <c r="K1618" s="209"/>
      <c r="L1618" s="209"/>
      <c r="M1618" s="209"/>
      <c r="N1618" s="209"/>
      <c r="O1618" s="209"/>
      <c r="P1618" s="209"/>
      <c r="Q1618" s="209"/>
      <c r="R1618" s="209"/>
      <c r="S1618" s="209"/>
      <c r="T1618" s="209"/>
      <c r="U1618" s="209"/>
      <c r="V1618" s="209"/>
      <c r="W1618" s="209"/>
      <c r="X1618" s="209"/>
      <c r="Y1618" s="209"/>
      <c r="Z1618" s="209"/>
      <c r="AA1618" s="209"/>
      <c r="AB1618" s="209"/>
      <c r="AC1618" s="209"/>
      <c r="AD1618" s="209"/>
      <c r="AE1618" s="209"/>
      <c r="AF1618" s="209"/>
      <c r="AG1618" s="209"/>
      <c r="AH1618" s="209"/>
      <c r="AI1618" s="209"/>
      <c r="AJ1618" s="209"/>
    </row>
    <row r="1619">
      <c r="A1619" s="209"/>
      <c r="B1619" s="209"/>
      <c r="C1619" s="209"/>
      <c r="D1619" s="209"/>
      <c r="E1619" s="209"/>
      <c r="F1619" s="209"/>
      <c r="G1619" s="209"/>
      <c r="H1619" s="209"/>
      <c r="I1619" s="209"/>
      <c r="J1619" s="209"/>
      <c r="K1619" s="209"/>
      <c r="L1619" s="209"/>
      <c r="M1619" s="209"/>
      <c r="N1619" s="209"/>
      <c r="O1619" s="209"/>
      <c r="P1619" s="209"/>
      <c r="Q1619" s="209"/>
      <c r="R1619" s="209"/>
      <c r="S1619" s="209"/>
      <c r="T1619" s="209"/>
      <c r="U1619" s="209"/>
      <c r="V1619" s="209"/>
      <c r="W1619" s="209"/>
      <c r="X1619" s="209"/>
      <c r="Y1619" s="209"/>
      <c r="Z1619" s="209"/>
      <c r="AA1619" s="209"/>
      <c r="AB1619" s="209"/>
      <c r="AC1619" s="209"/>
      <c r="AD1619" s="209"/>
      <c r="AE1619" s="209"/>
      <c r="AF1619" s="209"/>
      <c r="AG1619" s="209"/>
      <c r="AH1619" s="209"/>
      <c r="AI1619" s="209"/>
      <c r="AJ1619" s="209"/>
    </row>
    <row r="1620">
      <c r="A1620" s="209"/>
      <c r="B1620" s="209"/>
      <c r="C1620" s="209"/>
      <c r="D1620" s="209"/>
      <c r="E1620" s="209"/>
      <c r="F1620" s="209"/>
      <c r="G1620" s="209"/>
      <c r="H1620" s="209"/>
      <c r="I1620" s="209"/>
      <c r="J1620" s="209"/>
      <c r="K1620" s="209"/>
      <c r="L1620" s="209"/>
      <c r="M1620" s="209"/>
      <c r="N1620" s="209"/>
      <c r="O1620" s="209"/>
      <c r="P1620" s="209"/>
      <c r="Q1620" s="209"/>
      <c r="R1620" s="209"/>
      <c r="S1620" s="209"/>
      <c r="T1620" s="209"/>
      <c r="U1620" s="209"/>
      <c r="V1620" s="209"/>
      <c r="W1620" s="209"/>
      <c r="X1620" s="209"/>
      <c r="Y1620" s="209"/>
      <c r="Z1620" s="209"/>
      <c r="AA1620" s="209"/>
      <c r="AB1620" s="209"/>
      <c r="AC1620" s="209"/>
      <c r="AD1620" s="209"/>
      <c r="AE1620" s="209"/>
      <c r="AF1620" s="209"/>
      <c r="AG1620" s="209"/>
      <c r="AH1620" s="209"/>
      <c r="AI1620" s="209"/>
      <c r="AJ1620" s="209"/>
    </row>
    <row r="1621">
      <c r="A1621" s="209"/>
      <c r="B1621" s="209"/>
      <c r="C1621" s="209"/>
      <c r="D1621" s="209"/>
      <c r="E1621" s="209"/>
      <c r="F1621" s="209"/>
      <c r="G1621" s="209"/>
      <c r="H1621" s="209"/>
      <c r="I1621" s="209"/>
      <c r="J1621" s="209"/>
      <c r="K1621" s="209"/>
      <c r="L1621" s="209"/>
      <c r="M1621" s="209"/>
      <c r="N1621" s="209"/>
      <c r="O1621" s="209"/>
      <c r="P1621" s="209"/>
      <c r="Q1621" s="209"/>
      <c r="R1621" s="209"/>
      <c r="S1621" s="209"/>
      <c r="T1621" s="209"/>
      <c r="U1621" s="209"/>
      <c r="V1621" s="209"/>
      <c r="W1621" s="209"/>
      <c r="X1621" s="209"/>
      <c r="Y1621" s="209"/>
      <c r="Z1621" s="209"/>
      <c r="AA1621" s="209"/>
      <c r="AB1621" s="209"/>
      <c r="AC1621" s="209"/>
      <c r="AD1621" s="209"/>
      <c r="AE1621" s="209"/>
      <c r="AF1621" s="209"/>
      <c r="AG1621" s="209"/>
      <c r="AH1621" s="209"/>
      <c r="AI1621" s="209"/>
      <c r="AJ1621" s="209"/>
    </row>
    <row r="1622">
      <c r="A1622" s="209"/>
      <c r="B1622" s="209"/>
      <c r="C1622" s="209"/>
      <c r="D1622" s="209"/>
      <c r="E1622" s="209"/>
      <c r="F1622" s="209"/>
      <c r="G1622" s="209"/>
      <c r="H1622" s="209"/>
      <c r="I1622" s="209"/>
      <c r="J1622" s="209"/>
      <c r="K1622" s="209"/>
      <c r="L1622" s="209"/>
      <c r="M1622" s="209"/>
      <c r="N1622" s="209"/>
      <c r="O1622" s="209"/>
      <c r="P1622" s="209"/>
      <c r="Q1622" s="209"/>
      <c r="R1622" s="209"/>
      <c r="S1622" s="209"/>
      <c r="T1622" s="209"/>
      <c r="U1622" s="209"/>
      <c r="V1622" s="209"/>
      <c r="W1622" s="209"/>
      <c r="X1622" s="209"/>
      <c r="Y1622" s="209"/>
      <c r="Z1622" s="209"/>
      <c r="AA1622" s="209"/>
      <c r="AB1622" s="209"/>
      <c r="AC1622" s="209"/>
      <c r="AD1622" s="209"/>
      <c r="AE1622" s="209"/>
      <c r="AF1622" s="209"/>
      <c r="AG1622" s="209"/>
      <c r="AH1622" s="209"/>
      <c r="AI1622" s="209"/>
      <c r="AJ1622" s="209"/>
    </row>
    <row r="1623">
      <c r="A1623" s="209"/>
      <c r="B1623" s="209"/>
      <c r="C1623" s="209"/>
      <c r="D1623" s="209"/>
      <c r="E1623" s="209"/>
      <c r="F1623" s="209"/>
      <c r="G1623" s="209"/>
      <c r="H1623" s="209"/>
      <c r="I1623" s="209"/>
      <c r="J1623" s="209"/>
      <c r="K1623" s="209"/>
      <c r="L1623" s="209"/>
      <c r="M1623" s="209"/>
      <c r="N1623" s="209"/>
      <c r="O1623" s="209"/>
      <c r="P1623" s="209"/>
      <c r="Q1623" s="209"/>
      <c r="R1623" s="209"/>
      <c r="S1623" s="209"/>
      <c r="T1623" s="209"/>
      <c r="U1623" s="209"/>
      <c r="V1623" s="209"/>
      <c r="W1623" s="209"/>
      <c r="X1623" s="209"/>
      <c r="Y1623" s="209"/>
      <c r="Z1623" s="209"/>
      <c r="AA1623" s="209"/>
      <c r="AB1623" s="209"/>
      <c r="AC1623" s="209"/>
      <c r="AD1623" s="209"/>
      <c r="AE1623" s="209"/>
      <c r="AF1623" s="209"/>
      <c r="AG1623" s="209"/>
      <c r="AH1623" s="209"/>
      <c r="AI1623" s="209"/>
      <c r="AJ1623" s="209"/>
    </row>
    <row r="1624">
      <c r="A1624" s="209"/>
      <c r="B1624" s="209"/>
      <c r="C1624" s="209"/>
      <c r="D1624" s="209"/>
      <c r="E1624" s="209"/>
      <c r="F1624" s="209"/>
      <c r="G1624" s="209"/>
      <c r="H1624" s="209"/>
      <c r="I1624" s="209"/>
      <c r="J1624" s="209"/>
      <c r="K1624" s="209"/>
      <c r="L1624" s="209"/>
      <c r="M1624" s="209"/>
      <c r="N1624" s="209"/>
      <c r="O1624" s="209"/>
      <c r="P1624" s="209"/>
      <c r="Q1624" s="209"/>
      <c r="R1624" s="209"/>
      <c r="S1624" s="209"/>
      <c r="T1624" s="209"/>
      <c r="U1624" s="209"/>
      <c r="V1624" s="209"/>
      <c r="W1624" s="209"/>
      <c r="X1624" s="209"/>
      <c r="Y1624" s="209"/>
      <c r="Z1624" s="209"/>
      <c r="AA1624" s="209"/>
      <c r="AB1624" s="209"/>
      <c r="AC1624" s="209"/>
      <c r="AD1624" s="209"/>
      <c r="AE1624" s="209"/>
      <c r="AF1624" s="209"/>
      <c r="AG1624" s="209"/>
      <c r="AH1624" s="209"/>
      <c r="AI1624" s="209"/>
      <c r="AJ1624" s="209"/>
    </row>
    <row r="1625">
      <c r="A1625" s="209"/>
      <c r="B1625" s="209"/>
      <c r="C1625" s="209"/>
      <c r="D1625" s="209"/>
      <c r="E1625" s="209"/>
      <c r="F1625" s="209"/>
      <c r="G1625" s="209"/>
      <c r="H1625" s="209"/>
      <c r="I1625" s="209"/>
      <c r="J1625" s="209"/>
      <c r="K1625" s="209"/>
      <c r="L1625" s="209"/>
      <c r="M1625" s="209"/>
      <c r="N1625" s="209"/>
      <c r="O1625" s="209"/>
      <c r="P1625" s="209"/>
      <c r="Q1625" s="209"/>
      <c r="R1625" s="209"/>
      <c r="S1625" s="209"/>
      <c r="T1625" s="209"/>
      <c r="U1625" s="209"/>
      <c r="V1625" s="209"/>
      <c r="W1625" s="209"/>
      <c r="X1625" s="209"/>
      <c r="Y1625" s="209"/>
      <c r="Z1625" s="209"/>
      <c r="AA1625" s="209"/>
      <c r="AB1625" s="209"/>
      <c r="AC1625" s="209"/>
      <c r="AD1625" s="209"/>
      <c r="AE1625" s="209"/>
      <c r="AF1625" s="209"/>
      <c r="AG1625" s="209"/>
      <c r="AH1625" s="209"/>
      <c r="AI1625" s="209"/>
      <c r="AJ1625" s="209"/>
    </row>
    <row r="1626">
      <c r="A1626" s="209"/>
      <c r="B1626" s="209"/>
      <c r="C1626" s="209"/>
      <c r="D1626" s="209"/>
      <c r="E1626" s="209"/>
      <c r="F1626" s="209"/>
      <c r="G1626" s="209"/>
      <c r="H1626" s="209"/>
      <c r="I1626" s="209"/>
      <c r="J1626" s="209"/>
      <c r="K1626" s="209"/>
      <c r="L1626" s="209"/>
      <c r="M1626" s="209"/>
      <c r="N1626" s="209"/>
      <c r="O1626" s="209"/>
      <c r="P1626" s="209"/>
      <c r="Q1626" s="209"/>
      <c r="R1626" s="209"/>
      <c r="S1626" s="209"/>
      <c r="T1626" s="209"/>
      <c r="U1626" s="209"/>
      <c r="V1626" s="209"/>
      <c r="W1626" s="209"/>
      <c r="X1626" s="209"/>
      <c r="Y1626" s="209"/>
      <c r="Z1626" s="209"/>
      <c r="AA1626" s="209"/>
      <c r="AB1626" s="209"/>
      <c r="AC1626" s="209"/>
      <c r="AD1626" s="209"/>
      <c r="AE1626" s="209"/>
      <c r="AF1626" s="209"/>
      <c r="AG1626" s="209"/>
      <c r="AH1626" s="209"/>
      <c r="AI1626" s="209"/>
      <c r="AJ1626" s="209"/>
    </row>
    <row r="1627">
      <c r="A1627" s="209"/>
      <c r="B1627" s="209"/>
      <c r="C1627" s="209"/>
      <c r="D1627" s="209"/>
      <c r="E1627" s="209"/>
      <c r="F1627" s="209"/>
      <c r="G1627" s="209"/>
      <c r="H1627" s="209"/>
      <c r="I1627" s="209"/>
      <c r="J1627" s="209"/>
      <c r="K1627" s="209"/>
      <c r="L1627" s="209"/>
      <c r="M1627" s="209"/>
      <c r="N1627" s="209"/>
      <c r="O1627" s="209"/>
      <c r="P1627" s="209"/>
      <c r="Q1627" s="209"/>
      <c r="R1627" s="209"/>
      <c r="S1627" s="209"/>
      <c r="T1627" s="209"/>
      <c r="U1627" s="209"/>
      <c r="V1627" s="209"/>
      <c r="W1627" s="209"/>
      <c r="X1627" s="209"/>
      <c r="Y1627" s="209"/>
      <c r="Z1627" s="209"/>
      <c r="AA1627" s="209"/>
      <c r="AB1627" s="209"/>
      <c r="AC1627" s="209"/>
      <c r="AD1627" s="209"/>
      <c r="AE1627" s="209"/>
      <c r="AF1627" s="209"/>
      <c r="AG1627" s="209"/>
      <c r="AH1627" s="209"/>
      <c r="AI1627" s="209"/>
      <c r="AJ1627" s="209"/>
    </row>
    <row r="1628">
      <c r="A1628" s="209"/>
      <c r="B1628" s="209"/>
      <c r="C1628" s="209"/>
      <c r="D1628" s="209"/>
      <c r="E1628" s="209"/>
      <c r="F1628" s="209"/>
      <c r="G1628" s="209"/>
      <c r="H1628" s="209"/>
      <c r="I1628" s="209"/>
      <c r="J1628" s="209"/>
      <c r="K1628" s="209"/>
      <c r="L1628" s="209"/>
      <c r="M1628" s="209"/>
      <c r="N1628" s="209"/>
      <c r="O1628" s="209"/>
      <c r="P1628" s="209"/>
      <c r="Q1628" s="209"/>
      <c r="R1628" s="209"/>
      <c r="S1628" s="209"/>
      <c r="T1628" s="209"/>
      <c r="U1628" s="209"/>
      <c r="V1628" s="209"/>
      <c r="W1628" s="209"/>
      <c r="X1628" s="209"/>
      <c r="Y1628" s="209"/>
      <c r="Z1628" s="209"/>
      <c r="AA1628" s="209"/>
      <c r="AB1628" s="209"/>
      <c r="AC1628" s="209"/>
      <c r="AD1628" s="209"/>
      <c r="AE1628" s="209"/>
      <c r="AF1628" s="209"/>
      <c r="AG1628" s="209"/>
      <c r="AH1628" s="209"/>
      <c r="AI1628" s="209"/>
      <c r="AJ1628" s="209"/>
    </row>
    <row r="1629">
      <c r="A1629" s="209"/>
      <c r="B1629" s="209"/>
      <c r="C1629" s="209"/>
      <c r="D1629" s="209"/>
      <c r="E1629" s="209"/>
      <c r="F1629" s="209"/>
      <c r="G1629" s="209"/>
      <c r="H1629" s="209"/>
      <c r="I1629" s="209"/>
      <c r="J1629" s="209"/>
      <c r="K1629" s="209"/>
      <c r="L1629" s="209"/>
      <c r="M1629" s="209"/>
      <c r="N1629" s="209"/>
      <c r="O1629" s="209"/>
      <c r="P1629" s="209"/>
      <c r="Q1629" s="209"/>
      <c r="R1629" s="209"/>
      <c r="S1629" s="209"/>
      <c r="T1629" s="209"/>
      <c r="U1629" s="209"/>
      <c r="V1629" s="209"/>
      <c r="W1629" s="209"/>
      <c r="X1629" s="209"/>
      <c r="Y1629" s="209"/>
      <c r="Z1629" s="209"/>
      <c r="AA1629" s="209"/>
      <c r="AB1629" s="209"/>
      <c r="AC1629" s="209"/>
      <c r="AD1629" s="209"/>
      <c r="AE1629" s="209"/>
      <c r="AF1629" s="209"/>
      <c r="AG1629" s="209"/>
      <c r="AH1629" s="209"/>
      <c r="AI1629" s="209"/>
      <c r="AJ1629" s="209"/>
    </row>
    <row r="1630">
      <c r="A1630" s="209"/>
      <c r="B1630" s="209"/>
      <c r="C1630" s="209"/>
      <c r="D1630" s="209"/>
      <c r="E1630" s="209"/>
      <c r="F1630" s="209"/>
      <c r="G1630" s="209"/>
      <c r="H1630" s="209"/>
      <c r="I1630" s="209"/>
      <c r="J1630" s="209"/>
      <c r="K1630" s="209"/>
      <c r="L1630" s="209"/>
      <c r="M1630" s="209"/>
      <c r="N1630" s="209"/>
      <c r="O1630" s="209"/>
      <c r="P1630" s="209"/>
      <c r="Q1630" s="209"/>
      <c r="R1630" s="209"/>
      <c r="S1630" s="209"/>
      <c r="T1630" s="209"/>
      <c r="U1630" s="209"/>
      <c r="V1630" s="209"/>
      <c r="W1630" s="209"/>
      <c r="X1630" s="209"/>
      <c r="Y1630" s="209"/>
      <c r="Z1630" s="209"/>
      <c r="AA1630" s="209"/>
      <c r="AB1630" s="209"/>
      <c r="AC1630" s="209"/>
      <c r="AD1630" s="209"/>
      <c r="AE1630" s="209"/>
      <c r="AF1630" s="209"/>
      <c r="AG1630" s="209"/>
      <c r="AH1630" s="209"/>
      <c r="AI1630" s="209"/>
      <c r="AJ1630" s="209"/>
    </row>
    <row r="1631">
      <c r="A1631" s="209"/>
      <c r="B1631" s="209"/>
      <c r="C1631" s="209"/>
      <c r="D1631" s="209"/>
      <c r="E1631" s="209"/>
      <c r="F1631" s="209"/>
      <c r="G1631" s="209"/>
      <c r="H1631" s="209"/>
      <c r="I1631" s="209"/>
      <c r="J1631" s="209"/>
      <c r="K1631" s="209"/>
      <c r="L1631" s="209"/>
      <c r="M1631" s="209"/>
      <c r="N1631" s="209"/>
      <c r="O1631" s="209"/>
      <c r="P1631" s="209"/>
      <c r="Q1631" s="209"/>
      <c r="R1631" s="209"/>
      <c r="S1631" s="209"/>
      <c r="T1631" s="209"/>
      <c r="U1631" s="209"/>
      <c r="V1631" s="209"/>
      <c r="W1631" s="209"/>
      <c r="X1631" s="209"/>
      <c r="Y1631" s="209"/>
      <c r="Z1631" s="209"/>
      <c r="AA1631" s="209"/>
      <c r="AB1631" s="209"/>
      <c r="AC1631" s="209"/>
      <c r="AD1631" s="209"/>
      <c r="AE1631" s="209"/>
      <c r="AF1631" s="209"/>
      <c r="AG1631" s="209"/>
      <c r="AH1631" s="209"/>
      <c r="AI1631" s="209"/>
      <c r="AJ1631" s="209"/>
    </row>
    <row r="1632">
      <c r="A1632" s="209"/>
      <c r="B1632" s="209"/>
      <c r="C1632" s="209"/>
      <c r="D1632" s="209"/>
      <c r="E1632" s="209"/>
      <c r="F1632" s="209"/>
      <c r="G1632" s="209"/>
      <c r="H1632" s="209"/>
      <c r="I1632" s="209"/>
      <c r="J1632" s="209"/>
      <c r="K1632" s="209"/>
      <c r="L1632" s="209"/>
      <c r="M1632" s="209"/>
      <c r="N1632" s="209"/>
      <c r="O1632" s="209"/>
      <c r="P1632" s="209"/>
      <c r="Q1632" s="209"/>
      <c r="R1632" s="209"/>
      <c r="S1632" s="209"/>
      <c r="T1632" s="209"/>
      <c r="U1632" s="209"/>
      <c r="V1632" s="209"/>
      <c r="W1632" s="209"/>
      <c r="X1632" s="209"/>
      <c r="Y1632" s="209"/>
      <c r="Z1632" s="209"/>
      <c r="AA1632" s="209"/>
      <c r="AB1632" s="209"/>
      <c r="AC1632" s="209"/>
      <c r="AD1632" s="209"/>
      <c r="AE1632" s="209"/>
      <c r="AF1632" s="209"/>
      <c r="AG1632" s="209"/>
      <c r="AH1632" s="209"/>
      <c r="AI1632" s="209"/>
      <c r="AJ1632" s="209"/>
    </row>
    <row r="1633">
      <c r="A1633" s="209"/>
      <c r="B1633" s="209"/>
      <c r="C1633" s="209"/>
      <c r="D1633" s="209"/>
      <c r="E1633" s="209"/>
      <c r="F1633" s="209"/>
      <c r="G1633" s="209"/>
      <c r="H1633" s="209"/>
      <c r="I1633" s="209"/>
      <c r="J1633" s="209"/>
      <c r="K1633" s="209"/>
      <c r="L1633" s="209"/>
      <c r="M1633" s="209"/>
      <c r="N1633" s="209"/>
      <c r="O1633" s="209"/>
      <c r="P1633" s="209"/>
      <c r="Q1633" s="209"/>
      <c r="R1633" s="209"/>
      <c r="S1633" s="209"/>
      <c r="T1633" s="209"/>
      <c r="U1633" s="209"/>
      <c r="V1633" s="209"/>
      <c r="W1633" s="209"/>
      <c r="X1633" s="209"/>
      <c r="Y1633" s="209"/>
      <c r="Z1633" s="209"/>
      <c r="AA1633" s="209"/>
      <c r="AB1633" s="209"/>
      <c r="AC1633" s="209"/>
      <c r="AD1633" s="209"/>
      <c r="AE1633" s="209"/>
      <c r="AF1633" s="209"/>
      <c r="AG1633" s="209"/>
      <c r="AH1633" s="209"/>
      <c r="AI1633" s="209"/>
      <c r="AJ1633" s="209"/>
    </row>
    <row r="1634">
      <c r="A1634" s="209"/>
      <c r="B1634" s="209"/>
      <c r="C1634" s="209"/>
      <c r="D1634" s="209"/>
      <c r="E1634" s="209"/>
      <c r="F1634" s="209"/>
      <c r="G1634" s="209"/>
      <c r="H1634" s="209"/>
      <c r="I1634" s="209"/>
      <c r="J1634" s="209"/>
      <c r="K1634" s="209"/>
      <c r="L1634" s="209"/>
      <c r="M1634" s="209"/>
      <c r="N1634" s="209"/>
      <c r="O1634" s="209"/>
      <c r="P1634" s="209"/>
      <c r="Q1634" s="209"/>
      <c r="R1634" s="209"/>
      <c r="S1634" s="209"/>
      <c r="T1634" s="209"/>
      <c r="U1634" s="209"/>
      <c r="V1634" s="209"/>
      <c r="W1634" s="209"/>
      <c r="X1634" s="209"/>
      <c r="Y1634" s="209"/>
      <c r="Z1634" s="209"/>
      <c r="AA1634" s="209"/>
      <c r="AB1634" s="209"/>
      <c r="AC1634" s="209"/>
      <c r="AD1634" s="209"/>
      <c r="AE1634" s="209"/>
      <c r="AF1634" s="209"/>
      <c r="AG1634" s="209"/>
      <c r="AH1634" s="209"/>
      <c r="AI1634" s="209"/>
      <c r="AJ1634" s="209"/>
    </row>
    <row r="1635">
      <c r="A1635" s="209"/>
      <c r="B1635" s="209"/>
      <c r="C1635" s="209"/>
      <c r="D1635" s="209"/>
      <c r="E1635" s="209"/>
      <c r="F1635" s="209"/>
      <c r="G1635" s="209"/>
      <c r="H1635" s="209"/>
      <c r="I1635" s="209"/>
      <c r="J1635" s="209"/>
      <c r="K1635" s="209"/>
      <c r="L1635" s="209"/>
      <c r="M1635" s="209"/>
      <c r="N1635" s="209"/>
      <c r="O1635" s="209"/>
      <c r="P1635" s="209"/>
      <c r="Q1635" s="209"/>
      <c r="R1635" s="209"/>
      <c r="S1635" s="209"/>
      <c r="T1635" s="209"/>
      <c r="U1635" s="209"/>
      <c r="V1635" s="209"/>
      <c r="W1635" s="209"/>
      <c r="X1635" s="209"/>
      <c r="Y1635" s="209"/>
      <c r="Z1635" s="209"/>
      <c r="AA1635" s="209"/>
      <c r="AB1635" s="209"/>
      <c r="AC1635" s="209"/>
      <c r="AD1635" s="209"/>
      <c r="AE1635" s="209"/>
      <c r="AF1635" s="209"/>
      <c r="AG1635" s="209"/>
      <c r="AH1635" s="209"/>
      <c r="AI1635" s="209"/>
      <c r="AJ1635" s="209"/>
    </row>
    <row r="1636">
      <c r="A1636" s="209"/>
      <c r="B1636" s="209"/>
      <c r="C1636" s="209"/>
      <c r="D1636" s="209"/>
      <c r="E1636" s="209"/>
      <c r="F1636" s="209"/>
      <c r="G1636" s="209"/>
      <c r="H1636" s="209"/>
      <c r="I1636" s="209"/>
      <c r="J1636" s="209"/>
      <c r="K1636" s="209"/>
      <c r="L1636" s="209"/>
      <c r="M1636" s="209"/>
      <c r="N1636" s="209"/>
      <c r="O1636" s="209"/>
      <c r="P1636" s="209"/>
      <c r="Q1636" s="209"/>
      <c r="R1636" s="209"/>
      <c r="S1636" s="209"/>
      <c r="T1636" s="209"/>
      <c r="U1636" s="209"/>
      <c r="V1636" s="209"/>
      <c r="W1636" s="209"/>
      <c r="X1636" s="209"/>
      <c r="Y1636" s="209"/>
      <c r="Z1636" s="209"/>
      <c r="AA1636" s="209"/>
      <c r="AB1636" s="209"/>
      <c r="AC1636" s="209"/>
      <c r="AD1636" s="209"/>
      <c r="AE1636" s="209"/>
      <c r="AF1636" s="209"/>
      <c r="AG1636" s="209"/>
      <c r="AH1636" s="209"/>
      <c r="AI1636" s="209"/>
      <c r="AJ1636" s="209"/>
    </row>
    <row r="1637">
      <c r="A1637" s="209"/>
      <c r="B1637" s="209"/>
      <c r="C1637" s="209"/>
      <c r="D1637" s="209"/>
      <c r="E1637" s="209"/>
      <c r="F1637" s="209"/>
      <c r="G1637" s="209"/>
      <c r="H1637" s="209"/>
      <c r="I1637" s="209"/>
      <c r="J1637" s="209"/>
      <c r="K1637" s="209"/>
      <c r="L1637" s="209"/>
      <c r="M1637" s="209"/>
      <c r="N1637" s="209"/>
      <c r="O1637" s="209"/>
      <c r="P1637" s="209"/>
      <c r="Q1637" s="209"/>
      <c r="R1637" s="209"/>
      <c r="S1637" s="209"/>
      <c r="T1637" s="209"/>
      <c r="U1637" s="209"/>
      <c r="V1637" s="209"/>
      <c r="W1637" s="209"/>
      <c r="X1637" s="209"/>
      <c r="Y1637" s="209"/>
      <c r="Z1637" s="209"/>
      <c r="AA1637" s="209"/>
      <c r="AB1637" s="209"/>
      <c r="AC1637" s="209"/>
      <c r="AD1637" s="209"/>
      <c r="AE1637" s="209"/>
      <c r="AF1637" s="209"/>
      <c r="AG1637" s="209"/>
      <c r="AH1637" s="209"/>
      <c r="AI1637" s="209"/>
      <c r="AJ1637" s="209"/>
    </row>
    <row r="1638">
      <c r="A1638" s="209"/>
      <c r="B1638" s="209"/>
      <c r="C1638" s="209"/>
      <c r="D1638" s="209"/>
      <c r="E1638" s="209"/>
      <c r="F1638" s="209"/>
      <c r="G1638" s="209"/>
      <c r="H1638" s="209"/>
      <c r="I1638" s="209"/>
      <c r="J1638" s="209"/>
      <c r="K1638" s="209"/>
      <c r="L1638" s="209"/>
      <c r="M1638" s="209"/>
      <c r="N1638" s="209"/>
      <c r="O1638" s="209"/>
      <c r="P1638" s="209"/>
      <c r="Q1638" s="209"/>
      <c r="R1638" s="209"/>
      <c r="S1638" s="209"/>
      <c r="T1638" s="209"/>
      <c r="U1638" s="209"/>
      <c r="V1638" s="209"/>
      <c r="W1638" s="209"/>
      <c r="X1638" s="209"/>
      <c r="Y1638" s="209"/>
      <c r="Z1638" s="209"/>
      <c r="AA1638" s="209"/>
      <c r="AB1638" s="209"/>
      <c r="AC1638" s="209"/>
      <c r="AD1638" s="209"/>
      <c r="AE1638" s="209"/>
      <c r="AF1638" s="209"/>
      <c r="AG1638" s="209"/>
      <c r="AH1638" s="209"/>
      <c r="AI1638" s="209"/>
      <c r="AJ1638" s="209"/>
    </row>
    <row r="1639">
      <c r="A1639" s="209"/>
      <c r="B1639" s="209"/>
      <c r="C1639" s="209"/>
      <c r="D1639" s="209"/>
      <c r="E1639" s="209"/>
      <c r="F1639" s="209"/>
      <c r="G1639" s="209"/>
      <c r="H1639" s="209"/>
      <c r="I1639" s="209"/>
      <c r="J1639" s="209"/>
      <c r="K1639" s="209"/>
      <c r="L1639" s="209"/>
      <c r="M1639" s="209"/>
      <c r="N1639" s="209"/>
      <c r="O1639" s="209"/>
      <c r="P1639" s="209"/>
      <c r="Q1639" s="209"/>
      <c r="R1639" s="209"/>
      <c r="S1639" s="209"/>
      <c r="T1639" s="209"/>
      <c r="U1639" s="209"/>
      <c r="V1639" s="209"/>
      <c r="W1639" s="209"/>
      <c r="X1639" s="209"/>
      <c r="Y1639" s="209"/>
      <c r="Z1639" s="209"/>
      <c r="AA1639" s="209"/>
      <c r="AB1639" s="209"/>
      <c r="AC1639" s="209"/>
      <c r="AD1639" s="209"/>
      <c r="AE1639" s="209"/>
      <c r="AF1639" s="209"/>
      <c r="AG1639" s="209"/>
      <c r="AH1639" s="209"/>
      <c r="AI1639" s="209"/>
      <c r="AJ1639" s="209"/>
    </row>
  </sheetData>
  <mergeCells count="157">
    <mergeCell ref="M271:M275"/>
    <mergeCell ref="M277:M281"/>
    <mergeCell ref="M283:M287"/>
    <mergeCell ref="M211:M223"/>
    <mergeCell ref="M225:M236"/>
    <mergeCell ref="M238:M244"/>
    <mergeCell ref="M246:M251"/>
    <mergeCell ref="M253:M257"/>
    <mergeCell ref="M259:M263"/>
    <mergeCell ref="M265:M269"/>
    <mergeCell ref="A2:K3"/>
    <mergeCell ref="M2:W3"/>
    <mergeCell ref="Y2:AI3"/>
    <mergeCell ref="A5:A13"/>
    <mergeCell ref="M5:M16"/>
    <mergeCell ref="A15:A25"/>
    <mergeCell ref="A27:A38"/>
    <mergeCell ref="Y76:Y79"/>
    <mergeCell ref="Y81:Y82"/>
    <mergeCell ref="Y84:Y85"/>
    <mergeCell ref="Y87:Y90"/>
    <mergeCell ref="Y5:Y21"/>
    <mergeCell ref="Y23:Y33"/>
    <mergeCell ref="Y35:Y46"/>
    <mergeCell ref="Y48:Y52"/>
    <mergeCell ref="Y54:Y61"/>
    <mergeCell ref="Y63:Y69"/>
    <mergeCell ref="Y71:Y74"/>
    <mergeCell ref="M18:M26"/>
    <mergeCell ref="M28:M36"/>
    <mergeCell ref="M38:M46"/>
    <mergeCell ref="M48:M60"/>
    <mergeCell ref="M62:M71"/>
    <mergeCell ref="M73:M81"/>
    <mergeCell ref="M83:M88"/>
    <mergeCell ref="A40:A48"/>
    <mergeCell ref="A50:A58"/>
    <mergeCell ref="A60:A69"/>
    <mergeCell ref="A71:A79"/>
    <mergeCell ref="A81:A90"/>
    <mergeCell ref="A92:A102"/>
    <mergeCell ref="A104:A114"/>
    <mergeCell ref="M90:M95"/>
    <mergeCell ref="M97:M101"/>
    <mergeCell ref="M103:M107"/>
    <mergeCell ref="M109:M113"/>
    <mergeCell ref="M115:M121"/>
    <mergeCell ref="M123:M128"/>
    <mergeCell ref="M130:M137"/>
    <mergeCell ref="M139:M144"/>
    <mergeCell ref="M146:M152"/>
    <mergeCell ref="M154:M159"/>
    <mergeCell ref="M161:M167"/>
    <mergeCell ref="M169:M181"/>
    <mergeCell ref="M183:M195"/>
    <mergeCell ref="M197:M209"/>
    <mergeCell ref="A637:A645"/>
    <mergeCell ref="A647:A655"/>
    <mergeCell ref="A657:A665"/>
    <mergeCell ref="A667:A670"/>
    <mergeCell ref="A672:A679"/>
    <mergeCell ref="A681:A686"/>
    <mergeCell ref="A688:A693"/>
    <mergeCell ref="A695:A727"/>
    <mergeCell ref="A729:A761"/>
    <mergeCell ref="A763:A775"/>
    <mergeCell ref="A777:A781"/>
    <mergeCell ref="A783:A787"/>
    <mergeCell ref="A789:A793"/>
    <mergeCell ref="A795:A799"/>
    <mergeCell ref="A801:A805"/>
    <mergeCell ref="A807:A811"/>
    <mergeCell ref="A813:A817"/>
    <mergeCell ref="A819:A823"/>
    <mergeCell ref="A825:A829"/>
    <mergeCell ref="A831:A855"/>
    <mergeCell ref="A857:A861"/>
    <mergeCell ref="A863:A867"/>
    <mergeCell ref="A869:A873"/>
    <mergeCell ref="A875:A879"/>
    <mergeCell ref="A881:A885"/>
    <mergeCell ref="A887:A891"/>
    <mergeCell ref="A893:A897"/>
    <mergeCell ref="A899:A903"/>
    <mergeCell ref="A905:A909"/>
    <mergeCell ref="A911:A915"/>
    <mergeCell ref="A917:A921"/>
    <mergeCell ref="A923:A927"/>
    <mergeCell ref="A929:A933"/>
    <mergeCell ref="A935:A939"/>
    <mergeCell ref="A941:A945"/>
    <mergeCell ref="A947:A954"/>
    <mergeCell ref="A956:A961"/>
    <mergeCell ref="A963:A969"/>
    <mergeCell ref="A971:A977"/>
    <mergeCell ref="A979:A982"/>
    <mergeCell ref="A984:A1005"/>
    <mergeCell ref="A1007:A1021"/>
    <mergeCell ref="A1126:A1137"/>
    <mergeCell ref="A1139:A1144"/>
    <mergeCell ref="A1146:A1147"/>
    <mergeCell ref="A1023:A1024"/>
    <mergeCell ref="A1026:A1038"/>
    <mergeCell ref="A1040:A1058"/>
    <mergeCell ref="A1060:A1080"/>
    <mergeCell ref="A1082:A1102"/>
    <mergeCell ref="A1104:A1116"/>
    <mergeCell ref="A1118:A1124"/>
    <mergeCell ref="A116:A123"/>
    <mergeCell ref="A125:A134"/>
    <mergeCell ref="A136:A146"/>
    <mergeCell ref="A148:A158"/>
    <mergeCell ref="A160:A171"/>
    <mergeCell ref="A173:A182"/>
    <mergeCell ref="A184:A193"/>
    <mergeCell ref="A195:A204"/>
    <mergeCell ref="A206:A216"/>
    <mergeCell ref="A218:A229"/>
    <mergeCell ref="A231:A240"/>
    <mergeCell ref="A242:A249"/>
    <mergeCell ref="A253:A260"/>
    <mergeCell ref="A262:A278"/>
    <mergeCell ref="A280:A294"/>
    <mergeCell ref="A296:A304"/>
    <mergeCell ref="A306:A312"/>
    <mergeCell ref="A314:A322"/>
    <mergeCell ref="A324:A332"/>
    <mergeCell ref="A334:A342"/>
    <mergeCell ref="A344:A350"/>
    <mergeCell ref="A352:A362"/>
    <mergeCell ref="A364:A369"/>
    <mergeCell ref="A371:A381"/>
    <mergeCell ref="A383:A391"/>
    <mergeCell ref="A393:A411"/>
    <mergeCell ref="A413:A421"/>
    <mergeCell ref="A423:A429"/>
    <mergeCell ref="A431:A441"/>
    <mergeCell ref="A443:A452"/>
    <mergeCell ref="A454:A459"/>
    <mergeCell ref="A461:A468"/>
    <mergeCell ref="A470:A479"/>
    <mergeCell ref="A481:A488"/>
    <mergeCell ref="A490:A499"/>
    <mergeCell ref="A501:A509"/>
    <mergeCell ref="A511:A520"/>
    <mergeCell ref="A522:A528"/>
    <mergeCell ref="A530:A538"/>
    <mergeCell ref="A540:A548"/>
    <mergeCell ref="A550:A557"/>
    <mergeCell ref="A559:A565"/>
    <mergeCell ref="A567:A573"/>
    <mergeCell ref="A575:A581"/>
    <mergeCell ref="A583:A593"/>
    <mergeCell ref="A595:A605"/>
    <mergeCell ref="A607:A615"/>
    <mergeCell ref="A617:A623"/>
    <mergeCell ref="A625:A635"/>
  </mergeCells>
  <dataValidations>
    <dataValidation type="list" allowBlank="1" showErrorMessage="1" sqref="F6:H13 R6:T16 AD6:AF21 F16:H25 R19:T26 AD24:AF33 R29:T36 F28:H38 R39:T46 AD36:AF46 F41:H48 AD49:AF52 F51:H58 R49:T60 AD55:AF61 F61:H69 AD64:AF69 R63:T71 AD72:AF74 F72:H79 AD77:AF79 R74:T81 AD82:AF82 AD85:AF85 R84:T88 F82:H90 AD88:AF90 R91:T95 R98:T101 F93:H102 R104:T107 R110:T113 F105:H114 R116:T121 F117:H123 R124:T128 F126:H134 R131:T137 R140:T144 F137:H146 R147:T152 F149:H158 R155:T159 R162:T167 F161:H171 R170:T181 F174:H182 F185:H193 R184:T195 F196:H204 R198:T209 F207:H216 R212:T223 F219:H229 R226:T236 F232:H240 R239:T244 F243:H249 R247:T251 R254:T257 F254:H260 R260:T263 R266:T269 R272:T275 F263:H278 R278:T281 R284:T287 F281:H294 F297:H304 F307:H312 F315:H322 F325:H332 F335:H342 F345:H350 F352:G352 F353:H362 F365:H369 F372:H381 F384:H391 F394:H411 F414:H421 F424:H429 F431:H441 F444:H452 F455:H459 F462:H468 F471:H479 F482:H488 F491:H499 F502:H509 F512:H520 F523:H528 F531:H538 F541:H548 F551:H557 F560:H565 F568:H573 F576:H581 F584:H593 F596:H605 F608:H615 F618:H623 F626:H635 F638:H645 F648:H655 F658:H665 F668:H670 F673:H679 F682:H686 F689:H693 F696:H727 F730:H761 F764:H775 F778:H781 F784:H787 F790:H793 F796:H799 F802:H805 F808:H811 F814:H817 F820:H823 F826:H829 F832:H855 F858:H861 F864:H867 F870:H873 F876:H879 F882:H885 F888:H891 F894:H897 F900:H903 F906:H909 F912:H915 F918:H921 F924:H927 F930:H933 F936:H939 F942:H945 F948:H954 F957:H961 F964:H969 F972:H977 F980:H982 F985:H1005 F1008:H1021 F1024:H1024 F1027:H1038 F1041:H1058 F1061:H1080 F1083:H1102 F1105:H1116 F1119:H1124 F1127:H1137 F1140:H1144 F1147:H1147">
      <formula1>"Amazon Marketplace Issue,Non-Combined Reviews,Split Variation,Variation Names Incorrect,Listing Suppressed,Buy Box Issue/Unauthorized Seller,Copy Issue,Product Specs Issue,Title Issue,Incorrect Bullet Points,Missing Bullet Points,Image Issue,Incorrect Ima"&amp;"ges,Missing Images,Inactive,OOS,Discontinued,Other Sub-Issue,Pending Product Launch"</formula1>
    </dataValidation>
  </dataValidations>
  <hyperlinks>
    <hyperlink r:id="rId2" ref="B5"/>
    <hyperlink r:id="rId3" ref="N5"/>
    <hyperlink r:id="rId4" ref="Z5"/>
    <hyperlink r:id="rId5" ref="B15"/>
    <hyperlink r:id="rId6" ref="N18"/>
    <hyperlink r:id="rId7" ref="Z23"/>
    <hyperlink r:id="rId8" ref="B27"/>
    <hyperlink r:id="rId9" ref="N28"/>
    <hyperlink r:id="rId10" ref="Z35"/>
    <hyperlink r:id="rId11" ref="N38"/>
    <hyperlink r:id="rId12" ref="B40"/>
    <hyperlink r:id="rId13" ref="Z40"/>
    <hyperlink r:id="rId14" ref="N48"/>
    <hyperlink r:id="rId15" ref="Z48"/>
    <hyperlink r:id="rId16" ref="B50"/>
    <hyperlink r:id="rId17" ref="Z54"/>
    <hyperlink r:id="rId18" ref="B60"/>
    <hyperlink r:id="rId19" ref="N62"/>
    <hyperlink r:id="rId20" ref="Z63"/>
    <hyperlink r:id="rId21" ref="B71"/>
    <hyperlink r:id="rId22" ref="Z71"/>
    <hyperlink r:id="rId23" ref="N73"/>
    <hyperlink r:id="rId24" ref="Z76"/>
    <hyperlink r:id="rId25" ref="B81"/>
    <hyperlink r:id="rId26" ref="N81"/>
    <hyperlink r:id="rId27" ref="Z81"/>
    <hyperlink r:id="rId28" ref="N83"/>
    <hyperlink r:id="rId29" ref="Z84"/>
    <hyperlink r:id="rId30" ref="Z87"/>
    <hyperlink r:id="rId31" ref="N90"/>
    <hyperlink r:id="rId32" ref="B92"/>
    <hyperlink r:id="rId33" ref="N97"/>
    <hyperlink r:id="rId34" ref="N103"/>
    <hyperlink r:id="rId35" ref="B104"/>
    <hyperlink r:id="rId36" ref="N109"/>
    <hyperlink r:id="rId37" ref="N111"/>
    <hyperlink r:id="rId38" ref="N115"/>
    <hyperlink r:id="rId39" ref="B116"/>
    <hyperlink r:id="rId40" ref="N123"/>
    <hyperlink r:id="rId41" ref="B125"/>
    <hyperlink r:id="rId42" ref="N126"/>
    <hyperlink r:id="rId43" ref="B136"/>
    <hyperlink r:id="rId44" ref="N139"/>
    <hyperlink r:id="rId45" ref="N146"/>
    <hyperlink r:id="rId46" ref="B148"/>
    <hyperlink r:id="rId47" ref="N154"/>
    <hyperlink r:id="rId48" ref="B160"/>
    <hyperlink r:id="rId49" ref="N161"/>
    <hyperlink r:id="rId50" ref="N169"/>
    <hyperlink r:id="rId51" ref="B173"/>
    <hyperlink r:id="rId52" ref="N178"/>
    <hyperlink r:id="rId53" ref="N183"/>
    <hyperlink r:id="rId54" ref="B184"/>
    <hyperlink r:id="rId55" ref="N185"/>
    <hyperlink r:id="rId56" ref="B195"/>
    <hyperlink r:id="rId57" ref="N197"/>
    <hyperlink r:id="rId58" ref="N199"/>
    <hyperlink r:id="rId59" ref="B206"/>
    <hyperlink r:id="rId60" ref="N211"/>
    <hyperlink r:id="rId61" ref="N213"/>
    <hyperlink r:id="rId62" ref="B218"/>
    <hyperlink r:id="rId63" ref="N225"/>
    <hyperlink r:id="rId64" ref="N227"/>
    <hyperlink r:id="rId65" ref="B231"/>
    <hyperlink r:id="rId66" ref="N238"/>
    <hyperlink r:id="rId67" ref="B242"/>
    <hyperlink r:id="rId68" ref="N246"/>
    <hyperlink r:id="rId69" ref="B253"/>
    <hyperlink r:id="rId70" ref="N253"/>
    <hyperlink r:id="rId71" ref="N254"/>
    <hyperlink r:id="rId72" ref="N256"/>
    <hyperlink r:id="rId73" ref="N259"/>
    <hyperlink r:id="rId74" ref="N260"/>
    <hyperlink r:id="rId75" ref="B262"/>
    <hyperlink r:id="rId76" ref="N262"/>
    <hyperlink r:id="rId77" ref="N265"/>
    <hyperlink r:id="rId78" ref="N266"/>
    <hyperlink r:id="rId79" ref="N268"/>
    <hyperlink r:id="rId80" ref="N271"/>
    <hyperlink r:id="rId81" ref="N272"/>
    <hyperlink r:id="rId82" ref="N274"/>
    <hyperlink r:id="rId83" ref="N277"/>
    <hyperlink r:id="rId84" ref="N278"/>
    <hyperlink r:id="rId85" ref="B280"/>
    <hyperlink r:id="rId86" ref="N280"/>
    <hyperlink r:id="rId87" ref="N283"/>
    <hyperlink r:id="rId88" ref="N284"/>
    <hyperlink r:id="rId89" ref="B296"/>
    <hyperlink r:id="rId90" ref="B306"/>
    <hyperlink r:id="rId91" ref="B314"/>
    <hyperlink r:id="rId92" ref="B322"/>
    <hyperlink r:id="rId93" ref="B324"/>
    <hyperlink r:id="rId94" ref="B334"/>
    <hyperlink r:id="rId95" ref="B342"/>
    <hyperlink r:id="rId96" ref="B359"/>
    <hyperlink r:id="rId97" ref="B364"/>
    <hyperlink r:id="rId98" ref="B371"/>
    <hyperlink r:id="rId99" ref="B383"/>
    <hyperlink r:id="rId100" ref="B389"/>
    <hyperlink r:id="rId101" ref="B393"/>
    <hyperlink r:id="rId102" ref="B399"/>
    <hyperlink r:id="rId103" ref="B413"/>
    <hyperlink r:id="rId104" ref="B419"/>
    <hyperlink r:id="rId105" ref="B423"/>
    <hyperlink r:id="rId106" ref="B431"/>
    <hyperlink r:id="rId107" ref="B440"/>
    <hyperlink r:id="rId108" ref="B443"/>
    <hyperlink r:id="rId109" ref="B451"/>
    <hyperlink r:id="rId110" ref="B454"/>
    <hyperlink r:id="rId111" ref="B459"/>
    <hyperlink r:id="rId112" ref="B461"/>
    <hyperlink r:id="rId113" ref="B470"/>
    <hyperlink r:id="rId114" ref="B479"/>
    <hyperlink r:id="rId115" ref="B481"/>
    <hyperlink r:id="rId116" ref="B488"/>
    <hyperlink r:id="rId117" ref="B490"/>
    <hyperlink r:id="rId118" ref="B501"/>
    <hyperlink r:id="rId119" ref="B511"/>
    <hyperlink r:id="rId120" ref="B522"/>
    <hyperlink r:id="rId121" ref="B530"/>
    <hyperlink r:id="rId122" ref="B532"/>
    <hyperlink r:id="rId123" ref="B540"/>
    <hyperlink r:id="rId124" ref="B546"/>
    <hyperlink r:id="rId125" ref="B550"/>
    <hyperlink r:id="rId126" ref="B554"/>
    <hyperlink r:id="rId127" ref="B559"/>
    <hyperlink r:id="rId128" ref="B567"/>
    <hyperlink r:id="rId129" ref="B575"/>
    <hyperlink r:id="rId130" ref="B583"/>
    <hyperlink r:id="rId131" ref="B590"/>
    <hyperlink r:id="rId132" ref="B595"/>
    <hyperlink r:id="rId133" ref="B598"/>
    <hyperlink r:id="rId134" ref="B607"/>
    <hyperlink r:id="rId135" ref="B617"/>
    <hyperlink r:id="rId136" ref="B625"/>
    <hyperlink r:id="rId137" ref="B637"/>
    <hyperlink r:id="rId138" ref="B647"/>
    <hyperlink r:id="rId139" ref="B657"/>
    <hyperlink r:id="rId140" ref="B667"/>
    <hyperlink r:id="rId141" ref="B672"/>
    <hyperlink r:id="rId142" ref="B681"/>
    <hyperlink r:id="rId143" ref="B683"/>
    <hyperlink r:id="rId144" ref="B688"/>
    <hyperlink r:id="rId145" ref="B695"/>
    <hyperlink r:id="rId146" ref="B711"/>
    <hyperlink r:id="rId147" ref="B729"/>
    <hyperlink r:id="rId148" ref="B745"/>
    <hyperlink r:id="rId149" ref="B763"/>
    <hyperlink r:id="rId150" ref="B777"/>
    <hyperlink r:id="rId151" ref="B779"/>
    <hyperlink r:id="rId152" ref="B783"/>
    <hyperlink r:id="rId153" ref="B789"/>
    <hyperlink r:id="rId154" ref="B793"/>
    <hyperlink r:id="rId155" ref="B795"/>
    <hyperlink r:id="rId156" ref="B799"/>
    <hyperlink r:id="rId157" ref="B801"/>
    <hyperlink r:id="rId158" ref="B805"/>
    <hyperlink r:id="rId159" ref="B807"/>
    <hyperlink r:id="rId160" ref="B811"/>
    <hyperlink r:id="rId161" ref="B813"/>
    <hyperlink r:id="rId162" ref="B817"/>
    <hyperlink r:id="rId163" ref="B819"/>
    <hyperlink r:id="rId164" ref="B823"/>
    <hyperlink r:id="rId165" ref="B825"/>
    <hyperlink r:id="rId166" ref="B829"/>
    <hyperlink r:id="rId167" ref="B831"/>
    <hyperlink r:id="rId168" ref="B835"/>
    <hyperlink r:id="rId169" ref="B841"/>
    <hyperlink r:id="rId170" ref="B847"/>
    <hyperlink r:id="rId171" ref="B853"/>
    <hyperlink r:id="rId172" ref="B857"/>
    <hyperlink r:id="rId173" ref="B859"/>
    <hyperlink r:id="rId174" ref="B863"/>
    <hyperlink r:id="rId175" ref="B869"/>
    <hyperlink r:id="rId176" ref="B875"/>
    <hyperlink r:id="rId177" ref="B881"/>
    <hyperlink r:id="rId178" ref="B887"/>
    <hyperlink r:id="rId179" ref="B893"/>
    <hyperlink r:id="rId180" ref="B899"/>
    <hyperlink r:id="rId181" ref="B905"/>
    <hyperlink r:id="rId182" ref="B911"/>
    <hyperlink r:id="rId183" ref="B917"/>
    <hyperlink r:id="rId184" ref="B923"/>
    <hyperlink r:id="rId185" ref="B929"/>
    <hyperlink r:id="rId186" ref="B935"/>
    <hyperlink r:id="rId187" ref="B941"/>
    <hyperlink r:id="rId188" ref="B947"/>
    <hyperlink r:id="rId189" ref="B956"/>
    <hyperlink r:id="rId190" ref="B963"/>
    <hyperlink r:id="rId191" ref="B971"/>
    <hyperlink r:id="rId192" ref="B972"/>
    <hyperlink r:id="rId193" ref="B979"/>
    <hyperlink r:id="rId194" ref="B984"/>
    <hyperlink r:id="rId195" ref="B995"/>
    <hyperlink r:id="rId196" ref="B1000"/>
    <hyperlink r:id="rId197" ref="B1007"/>
    <hyperlink r:id="rId198" ref="B1023"/>
    <hyperlink r:id="rId199" ref="B1024"/>
    <hyperlink r:id="rId200" ref="B1026"/>
    <hyperlink r:id="rId201" ref="B1040"/>
    <hyperlink r:id="rId202" ref="B1042"/>
    <hyperlink r:id="rId203" ref="B1056"/>
    <hyperlink r:id="rId204" ref="B1060"/>
    <hyperlink r:id="rId205" ref="B1082"/>
    <hyperlink r:id="rId206" ref="B1104"/>
    <hyperlink r:id="rId207" ref="B1118"/>
    <hyperlink r:id="rId208" ref="B1126"/>
    <hyperlink r:id="rId209" ref="B1139"/>
  </hyperlinks>
  <drawing r:id="rId210"/>
  <legacyDrawing r:id="rId2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8"/>
      <c r="B1" s="445" t="s">
        <v>4204</v>
      </c>
      <c r="C1" s="248"/>
      <c r="D1" s="248"/>
      <c r="E1" s="248"/>
      <c r="F1" s="248"/>
      <c r="G1" s="248"/>
      <c r="H1" s="248"/>
      <c r="I1" s="248"/>
      <c r="J1" s="249"/>
      <c r="K1" s="446" t="s">
        <v>4205</v>
      </c>
      <c r="L1" s="447"/>
      <c r="M1" s="448"/>
      <c r="N1" s="209"/>
      <c r="O1" s="251"/>
      <c r="P1" s="449" t="s">
        <v>4206</v>
      </c>
      <c r="Q1" s="251"/>
      <c r="R1" s="251"/>
      <c r="S1" s="251"/>
      <c r="T1" s="251"/>
      <c r="U1" s="252"/>
      <c r="V1" s="253"/>
      <c r="W1" s="251"/>
      <c r="X1" s="251"/>
      <c r="Y1" s="450" t="s">
        <v>4207</v>
      </c>
      <c r="Z1" s="251"/>
      <c r="AB1" s="209"/>
      <c r="AC1" s="255"/>
      <c r="AD1" s="256" t="s">
        <v>4208</v>
      </c>
      <c r="AE1" s="255"/>
      <c r="AF1" s="255"/>
      <c r="AG1" s="255"/>
      <c r="AH1" s="255"/>
      <c r="AI1" s="255"/>
      <c r="AJ1" s="257"/>
      <c r="AK1" s="255"/>
      <c r="AL1" s="255"/>
      <c r="AM1" s="451" t="s">
        <v>4209</v>
      </c>
      <c r="AN1" s="255"/>
      <c r="AP1" s="209"/>
    </row>
    <row r="2">
      <c r="A2" s="452"/>
      <c r="N2" s="209"/>
      <c r="O2" s="260" t="s">
        <v>275</v>
      </c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09"/>
      <c r="AC2" s="261" t="s">
        <v>354</v>
      </c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453"/>
      <c r="AO2" s="454"/>
      <c r="AP2" s="209"/>
    </row>
    <row r="3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09"/>
      <c r="O3" s="262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09"/>
      <c r="AC3" s="262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455"/>
      <c r="AO3" s="456"/>
      <c r="AP3" s="209"/>
    </row>
    <row r="4">
      <c r="A4" s="264" t="s">
        <v>355</v>
      </c>
      <c r="B4" s="265" t="s">
        <v>356</v>
      </c>
      <c r="C4" s="265" t="s">
        <v>357</v>
      </c>
      <c r="D4" s="266" t="s">
        <v>358</v>
      </c>
      <c r="E4" s="268" t="s">
        <v>359</v>
      </c>
      <c r="F4" s="268" t="s">
        <v>360</v>
      </c>
      <c r="G4" s="268" t="s">
        <v>361</v>
      </c>
      <c r="H4" s="268" t="s">
        <v>362</v>
      </c>
      <c r="I4" s="268" t="s">
        <v>363</v>
      </c>
      <c r="J4" s="265" t="s">
        <v>364</v>
      </c>
      <c r="K4" s="269" t="s">
        <v>365</v>
      </c>
      <c r="L4" s="457" t="s">
        <v>4210</v>
      </c>
      <c r="M4" s="458" t="s">
        <v>4211</v>
      </c>
      <c r="N4" s="209"/>
      <c r="O4" s="264" t="s">
        <v>355</v>
      </c>
      <c r="P4" s="265" t="s">
        <v>356</v>
      </c>
      <c r="Q4" s="268" t="s">
        <v>357</v>
      </c>
      <c r="R4" s="265" t="s">
        <v>358</v>
      </c>
      <c r="S4" s="270" t="s">
        <v>359</v>
      </c>
      <c r="T4" s="268" t="s">
        <v>360</v>
      </c>
      <c r="U4" s="268" t="s">
        <v>361</v>
      </c>
      <c r="V4" s="268" t="s">
        <v>366</v>
      </c>
      <c r="W4" s="268" t="s">
        <v>363</v>
      </c>
      <c r="X4" s="265" t="s">
        <v>364</v>
      </c>
      <c r="Y4" s="269" t="s">
        <v>365</v>
      </c>
      <c r="Z4" s="459" t="s">
        <v>4210</v>
      </c>
      <c r="AA4" s="460" t="s">
        <v>4211</v>
      </c>
      <c r="AB4" s="209"/>
      <c r="AC4" s="264" t="s">
        <v>355</v>
      </c>
      <c r="AD4" s="265" t="s">
        <v>356</v>
      </c>
      <c r="AE4" s="265" t="s">
        <v>367</v>
      </c>
      <c r="AF4" s="265" t="s">
        <v>358</v>
      </c>
      <c r="AG4" s="265" t="s">
        <v>359</v>
      </c>
      <c r="AH4" s="268" t="s">
        <v>360</v>
      </c>
      <c r="AI4" s="268" t="s">
        <v>361</v>
      </c>
      <c r="AJ4" s="268" t="s">
        <v>366</v>
      </c>
      <c r="AK4" s="268" t="s">
        <v>363</v>
      </c>
      <c r="AL4" s="265" t="s">
        <v>364</v>
      </c>
      <c r="AM4" s="269" t="s">
        <v>365</v>
      </c>
      <c r="AN4" s="461" t="s">
        <v>4210</v>
      </c>
      <c r="AO4" s="462" t="s">
        <v>4211</v>
      </c>
      <c r="AP4" s="209"/>
    </row>
    <row r="5">
      <c r="A5" s="271" t="s">
        <v>368</v>
      </c>
      <c r="B5" s="272" t="s">
        <v>240</v>
      </c>
      <c r="C5" s="273"/>
      <c r="D5" s="274" t="s">
        <v>239</v>
      </c>
      <c r="E5" s="463" t="s">
        <v>369</v>
      </c>
      <c r="F5" s="273"/>
      <c r="G5" s="273"/>
      <c r="H5" s="276" t="s">
        <v>370</v>
      </c>
      <c r="I5" s="277" t="s">
        <v>4212</v>
      </c>
      <c r="J5" s="278" t="str">
        <f>IF(COUNTIF(J6:J13, TRUE) = COUNTA(J6:J13), "Complete!", IF(COUNTIF(J6:J13, TRUE) &gt; 0, "Partial", "Not Started"))</f>
        <v>Complete!</v>
      </c>
      <c r="K5" s="279"/>
      <c r="L5" s="464" t="s">
        <v>889</v>
      </c>
      <c r="M5" s="465" t="str">
        <f>IF(COUNTIF(M6:M12, TRUE) = COUNTA(M6:M12), "Complete!", IF(COUNTIF(M6:M12, TRUE) &gt; 0, "Partial", "Not Started"))</f>
        <v>Not Started</v>
      </c>
      <c r="N5" s="280">
        <v>8.0</v>
      </c>
      <c r="O5" s="281" t="s">
        <v>368</v>
      </c>
      <c r="P5" s="282" t="s">
        <v>372</v>
      </c>
      <c r="Q5" s="273"/>
      <c r="R5" s="283" t="s">
        <v>373</v>
      </c>
      <c r="S5" s="284" t="s">
        <v>374</v>
      </c>
      <c r="T5" s="273"/>
      <c r="U5" s="273"/>
      <c r="V5" s="276" t="s">
        <v>376</v>
      </c>
      <c r="W5" s="285" t="s">
        <v>4213</v>
      </c>
      <c r="X5" s="333" t="str">
        <f>IF(COUNTIF(X29:X61, TRUE) = COUNTA(X29:X61), "Complete!", IF(COUNTIF(X29:X61, TRUE) &gt; 0, "Partial", "Not Started"))</f>
        <v>Partial</v>
      </c>
      <c r="Y5" s="334"/>
      <c r="Z5" s="432" t="s">
        <v>889</v>
      </c>
      <c r="AA5" s="466" t="str">
        <f>IF(COUNTIF(AA5:AA42, TRUE) = COUNTA(AA5:AA42), "Complete!", IF(COUNTIF(AA5:AA42, TRUE) &gt; 0, "Partial", "Not Started"))</f>
        <v>#REF!</v>
      </c>
      <c r="AB5" s="280">
        <v>11.0</v>
      </c>
      <c r="AC5" s="286" t="s">
        <v>368</v>
      </c>
      <c r="AD5" s="287" t="s">
        <v>378</v>
      </c>
      <c r="AE5" s="288"/>
      <c r="AF5" s="274" t="s">
        <v>379</v>
      </c>
      <c r="AG5" s="289" t="s">
        <v>380</v>
      </c>
      <c r="AH5" s="288"/>
      <c r="AI5" s="288"/>
      <c r="AJ5" s="276" t="s">
        <v>572</v>
      </c>
      <c r="AK5" s="276" t="s">
        <v>4214</v>
      </c>
      <c r="AL5" s="278" t="str">
        <f>IF(COUNTIF(AL6:AL10, TRUE) = COUNTA(AL6:AL10), "Complete!", IF(COUNTIF(AL6:AL10, TRUE) &gt; 0, "Partial", "Not Started"))</f>
        <v>Complete!</v>
      </c>
      <c r="AM5" s="279"/>
      <c r="AN5" s="285" t="s">
        <v>889</v>
      </c>
      <c r="AO5" s="465" t="str">
        <f>IF(COUNTIF(AO6:AO22, TRUE) = COUNTA(AO6:AO22), "Complete!", IF(COUNTIF(AO6:AO22, TRUE) &gt; 0, "Partial", "Not Started"))</f>
        <v>Not Started</v>
      </c>
      <c r="AP5" s="280">
        <v>16.0</v>
      </c>
    </row>
    <row r="6">
      <c r="A6" s="291"/>
      <c r="B6" s="292" t="s">
        <v>383</v>
      </c>
      <c r="C6" s="293" t="s">
        <v>4215</v>
      </c>
      <c r="D6" s="293" t="s">
        <v>385</v>
      </c>
      <c r="E6" s="299">
        <v>8.10115971085E11</v>
      </c>
      <c r="F6" s="293" t="s">
        <v>1057</v>
      </c>
      <c r="G6" s="295"/>
      <c r="H6" s="295"/>
      <c r="I6" s="295"/>
      <c r="J6" s="296" t="b">
        <v>1</v>
      </c>
      <c r="K6" s="297" t="b">
        <v>1</v>
      </c>
      <c r="L6" s="209"/>
      <c r="M6" s="301" t="b">
        <v>0</v>
      </c>
      <c r="N6" s="209"/>
      <c r="O6" s="291"/>
      <c r="P6" s="292" t="s">
        <v>386</v>
      </c>
      <c r="Q6" s="298" t="s">
        <v>387</v>
      </c>
      <c r="R6" s="293" t="s">
        <v>388</v>
      </c>
      <c r="S6" s="299">
        <v>8.10115970873E11</v>
      </c>
      <c r="T6" s="295"/>
      <c r="U6" s="295"/>
      <c r="V6" s="295"/>
      <c r="W6" s="295"/>
      <c r="X6" s="300" t="b">
        <v>1</v>
      </c>
      <c r="Y6" s="301" t="b">
        <v>0</v>
      </c>
      <c r="Z6" s="209"/>
      <c r="AA6" s="301" t="b">
        <v>0</v>
      </c>
      <c r="AB6" s="209"/>
      <c r="AC6" s="291"/>
      <c r="AD6" s="292" t="s">
        <v>389</v>
      </c>
      <c r="AE6" s="293" t="s">
        <v>390</v>
      </c>
      <c r="AF6" s="293" t="s">
        <v>391</v>
      </c>
      <c r="AG6" s="302" t="s">
        <v>392</v>
      </c>
      <c r="AH6" s="295"/>
      <c r="AI6" s="295"/>
      <c r="AJ6" s="295"/>
      <c r="AK6" s="295"/>
      <c r="AL6" s="296" t="b">
        <v>1</v>
      </c>
      <c r="AM6" s="297" t="b">
        <v>0</v>
      </c>
      <c r="AN6" s="209"/>
      <c r="AO6" s="301" t="b">
        <v>0</v>
      </c>
      <c r="AP6" s="209"/>
    </row>
    <row r="7">
      <c r="A7" s="291"/>
      <c r="B7" s="303" t="s">
        <v>393</v>
      </c>
      <c r="C7" s="304" t="s">
        <v>4216</v>
      </c>
      <c r="D7" s="304" t="s">
        <v>395</v>
      </c>
      <c r="E7" s="307">
        <v>8.10115971313E11</v>
      </c>
      <c r="F7" s="209"/>
      <c r="G7" s="209"/>
      <c r="H7" s="209"/>
      <c r="I7" s="209"/>
      <c r="J7" s="296" t="b">
        <v>1</v>
      </c>
      <c r="K7" s="301" t="b">
        <v>0</v>
      </c>
      <c r="L7" s="209"/>
      <c r="M7" s="301" t="b">
        <v>0</v>
      </c>
      <c r="N7" s="209"/>
      <c r="O7" s="291"/>
      <c r="P7" s="303" t="s">
        <v>396</v>
      </c>
      <c r="Q7" s="306" t="s">
        <v>397</v>
      </c>
      <c r="R7" s="304" t="s">
        <v>398</v>
      </c>
      <c r="S7" s="307">
        <v>8.10115970132E11</v>
      </c>
      <c r="T7" s="209"/>
      <c r="U7" s="209"/>
      <c r="V7" s="209"/>
      <c r="W7" s="209"/>
      <c r="X7" s="300" t="b">
        <v>1</v>
      </c>
      <c r="Y7" s="301" t="b">
        <v>0</v>
      </c>
      <c r="Z7" s="209"/>
      <c r="AA7" s="209"/>
      <c r="AB7" s="209"/>
      <c r="AC7" s="291"/>
      <c r="AD7" s="303" t="s">
        <v>399</v>
      </c>
      <c r="AE7" s="304" t="s">
        <v>400</v>
      </c>
      <c r="AF7" s="304" t="s">
        <v>401</v>
      </c>
      <c r="AG7" s="308" t="s">
        <v>402</v>
      </c>
      <c r="AH7" s="209"/>
      <c r="AI7" s="209"/>
      <c r="AJ7" s="209"/>
      <c r="AK7" s="209"/>
      <c r="AL7" s="296" t="b">
        <v>1</v>
      </c>
      <c r="AM7" s="301" t="b">
        <v>0</v>
      </c>
      <c r="AN7" s="209"/>
      <c r="AO7" s="301" t="b">
        <v>0</v>
      </c>
      <c r="AP7" s="209"/>
    </row>
    <row r="8">
      <c r="A8" s="291"/>
      <c r="B8" s="303" t="s">
        <v>403</v>
      </c>
      <c r="C8" s="304" t="s">
        <v>4217</v>
      </c>
      <c r="D8" s="304" t="s">
        <v>405</v>
      </c>
      <c r="E8" s="307">
        <v>8.10115976578E11</v>
      </c>
      <c r="F8" s="209"/>
      <c r="G8" s="209"/>
      <c r="H8" s="209"/>
      <c r="I8" s="209"/>
      <c r="J8" s="296" t="b">
        <v>1</v>
      </c>
      <c r="K8" s="301" t="b">
        <v>0</v>
      </c>
      <c r="L8" s="209"/>
      <c r="M8" s="301" t="b">
        <v>0</v>
      </c>
      <c r="N8" s="209"/>
      <c r="O8" s="291"/>
      <c r="P8" s="303" t="s">
        <v>408</v>
      </c>
      <c r="Q8" s="306" t="s">
        <v>409</v>
      </c>
      <c r="R8" s="304" t="s">
        <v>410</v>
      </c>
      <c r="S8" s="307">
        <v>8.10115976066E11</v>
      </c>
      <c r="T8" s="209"/>
      <c r="U8" s="209"/>
      <c r="V8" s="209"/>
      <c r="W8" s="209"/>
      <c r="X8" s="300" t="b">
        <v>1</v>
      </c>
      <c r="Y8" s="301" t="b">
        <v>0</v>
      </c>
      <c r="Z8" s="209"/>
      <c r="AA8" s="301" t="b">
        <v>0</v>
      </c>
      <c r="AB8" s="209"/>
      <c r="AC8" s="291"/>
      <c r="AD8" s="303" t="s">
        <v>411</v>
      </c>
      <c r="AE8" s="304" t="s">
        <v>412</v>
      </c>
      <c r="AF8" s="304" t="s">
        <v>413</v>
      </c>
      <c r="AG8" s="308" t="s">
        <v>414</v>
      </c>
      <c r="AH8" s="209"/>
      <c r="AI8" s="209"/>
      <c r="AJ8" s="209"/>
      <c r="AK8" s="209"/>
      <c r="AL8" s="296" t="b">
        <v>1</v>
      </c>
      <c r="AM8" s="301" t="b">
        <v>0</v>
      </c>
      <c r="AN8" s="209"/>
      <c r="AO8" s="301" t="b">
        <v>0</v>
      </c>
      <c r="AP8" s="209"/>
    </row>
    <row r="9">
      <c r="A9" s="291"/>
      <c r="B9" s="303" t="s">
        <v>415</v>
      </c>
      <c r="C9" s="304" t="s">
        <v>4218</v>
      </c>
      <c r="D9" s="304" t="s">
        <v>416</v>
      </c>
      <c r="E9" s="307">
        <v>8.10115972921E11</v>
      </c>
      <c r="F9" s="209"/>
      <c r="G9" s="209"/>
      <c r="H9" s="209"/>
      <c r="I9" s="209"/>
      <c r="J9" s="296" t="b">
        <v>1</v>
      </c>
      <c r="K9" s="301" t="b">
        <v>0</v>
      </c>
      <c r="L9" s="209"/>
      <c r="M9" s="301" t="b">
        <v>0</v>
      </c>
      <c r="N9" s="209"/>
      <c r="O9" s="291"/>
      <c r="P9" s="303" t="s">
        <v>417</v>
      </c>
      <c r="Q9" s="306" t="s">
        <v>418</v>
      </c>
      <c r="R9" s="304" t="s">
        <v>419</v>
      </c>
      <c r="S9" s="307">
        <v>8.40472501588E11</v>
      </c>
      <c r="T9" s="209"/>
      <c r="U9" s="209"/>
      <c r="V9" s="209"/>
      <c r="W9" s="209"/>
      <c r="X9" s="300" t="b">
        <v>1</v>
      </c>
      <c r="Y9" s="301" t="b">
        <v>0</v>
      </c>
      <c r="Z9" s="209"/>
      <c r="AA9" s="301" t="b">
        <v>0</v>
      </c>
      <c r="AB9" s="209"/>
      <c r="AC9" s="291"/>
      <c r="AD9" s="303" t="s">
        <v>420</v>
      </c>
      <c r="AE9" s="304" t="s">
        <v>421</v>
      </c>
      <c r="AF9" s="304" t="s">
        <v>422</v>
      </c>
      <c r="AG9" s="308" t="s">
        <v>423</v>
      </c>
      <c r="AH9" s="209"/>
      <c r="AI9" s="209"/>
      <c r="AJ9" s="209"/>
      <c r="AK9" s="209"/>
      <c r="AL9" s="296" t="b">
        <v>1</v>
      </c>
      <c r="AM9" s="301" t="b">
        <v>0</v>
      </c>
      <c r="AN9" s="209"/>
      <c r="AO9" s="301" t="b">
        <v>0</v>
      </c>
      <c r="AP9" s="209"/>
    </row>
    <row r="10">
      <c r="A10" s="291"/>
      <c r="B10" s="303" t="s">
        <v>424</v>
      </c>
      <c r="C10" s="304" t="s">
        <v>4219</v>
      </c>
      <c r="D10" s="304" t="s">
        <v>425</v>
      </c>
      <c r="E10" s="307">
        <v>8.10115973027E11</v>
      </c>
      <c r="F10" s="209"/>
      <c r="G10" s="209"/>
      <c r="H10" s="209"/>
      <c r="I10" s="209"/>
      <c r="J10" s="296" t="b">
        <v>1</v>
      </c>
      <c r="K10" s="301" t="b">
        <v>0</v>
      </c>
      <c r="L10" s="209"/>
      <c r="M10" s="301" t="b">
        <v>0</v>
      </c>
      <c r="N10" s="209"/>
      <c r="O10" s="291"/>
      <c r="P10" s="303" t="s">
        <v>427</v>
      </c>
      <c r="Q10" s="306" t="s">
        <v>428</v>
      </c>
      <c r="R10" s="304" t="s">
        <v>429</v>
      </c>
      <c r="S10" s="307">
        <v>8.40472501632E11</v>
      </c>
      <c r="T10" s="209"/>
      <c r="U10" s="209"/>
      <c r="V10" s="209"/>
      <c r="W10" s="209"/>
      <c r="X10" s="300" t="b">
        <v>1</v>
      </c>
      <c r="Y10" s="301" t="b">
        <v>0</v>
      </c>
      <c r="Z10" s="209"/>
      <c r="AA10" s="301" t="b">
        <v>0</v>
      </c>
      <c r="AB10" s="209"/>
      <c r="AC10" s="291"/>
      <c r="AD10" s="303" t="s">
        <v>430</v>
      </c>
      <c r="AE10" s="304" t="s">
        <v>431</v>
      </c>
      <c r="AF10" s="304" t="s">
        <v>432</v>
      </c>
      <c r="AG10" s="308" t="s">
        <v>433</v>
      </c>
      <c r="AH10" s="209"/>
      <c r="AI10" s="209"/>
      <c r="AJ10" s="209"/>
      <c r="AK10" s="209"/>
      <c r="AL10" s="296" t="b">
        <v>1</v>
      </c>
      <c r="AM10" s="301" t="b">
        <v>0</v>
      </c>
      <c r="AN10" s="209"/>
      <c r="AO10" s="301" t="b">
        <v>0</v>
      </c>
      <c r="AP10" s="209"/>
    </row>
    <row r="11">
      <c r="A11" s="291"/>
      <c r="B11" s="303" t="s">
        <v>241</v>
      </c>
      <c r="C11" s="304" t="s">
        <v>4220</v>
      </c>
      <c r="D11" s="304" t="s">
        <v>435</v>
      </c>
      <c r="E11" s="307">
        <v>8.40472502554E11</v>
      </c>
      <c r="F11" s="304" t="s">
        <v>1062</v>
      </c>
      <c r="G11" s="304" t="s">
        <v>1057</v>
      </c>
      <c r="H11" s="209"/>
      <c r="I11" s="209"/>
      <c r="J11" s="296" t="b">
        <v>1</v>
      </c>
      <c r="K11" s="301" t="b">
        <v>1</v>
      </c>
      <c r="L11" s="209"/>
      <c r="M11" s="301" t="b">
        <v>0</v>
      </c>
      <c r="N11" s="209"/>
      <c r="O11" s="291"/>
      <c r="P11" s="303" t="s">
        <v>436</v>
      </c>
      <c r="Q11" s="306" t="s">
        <v>437</v>
      </c>
      <c r="R11" s="304" t="s">
        <v>438</v>
      </c>
      <c r="S11" s="307">
        <v>8.4047250167E11</v>
      </c>
      <c r="T11" s="209"/>
      <c r="U11" s="209"/>
      <c r="V11" s="209"/>
      <c r="W11" s="209"/>
      <c r="X11" s="300" t="b">
        <v>1</v>
      </c>
      <c r="Y11" s="301" t="b">
        <v>0</v>
      </c>
      <c r="Z11" s="209"/>
      <c r="AA11" s="301" t="b">
        <v>0</v>
      </c>
      <c r="AB11" s="209"/>
      <c r="AC11" s="291"/>
      <c r="AD11" s="303" t="s">
        <v>439</v>
      </c>
      <c r="AE11" s="304" t="s">
        <v>440</v>
      </c>
      <c r="AF11" s="304" t="s">
        <v>441</v>
      </c>
      <c r="AG11" s="308" t="s">
        <v>442</v>
      </c>
      <c r="AH11" s="209"/>
      <c r="AI11" s="209"/>
      <c r="AJ11" s="209"/>
      <c r="AK11" s="209"/>
      <c r="AL11" s="296" t="b">
        <v>1</v>
      </c>
      <c r="AM11" s="301" t="b">
        <v>0</v>
      </c>
      <c r="AN11" s="209"/>
      <c r="AO11" s="301" t="b">
        <v>0</v>
      </c>
      <c r="AP11" s="209"/>
    </row>
    <row r="12">
      <c r="A12" s="291"/>
      <c r="B12" s="303" t="s">
        <v>443</v>
      </c>
      <c r="C12" s="304" t="s">
        <v>4221</v>
      </c>
      <c r="D12" s="304" t="s">
        <v>444</v>
      </c>
      <c r="E12" s="307">
        <v>8.10115973034E11</v>
      </c>
      <c r="F12" s="209"/>
      <c r="G12" s="209"/>
      <c r="H12" s="209"/>
      <c r="I12" s="209"/>
      <c r="J12" s="296" t="b">
        <v>1</v>
      </c>
      <c r="K12" s="301" t="b">
        <v>0</v>
      </c>
      <c r="L12" s="313"/>
      <c r="M12" s="314" t="b">
        <v>0</v>
      </c>
      <c r="N12" s="209"/>
      <c r="O12" s="291"/>
      <c r="P12" s="303" t="s">
        <v>445</v>
      </c>
      <c r="Q12" s="306" t="s">
        <v>446</v>
      </c>
      <c r="R12" s="304" t="s">
        <v>447</v>
      </c>
      <c r="S12" s="307">
        <v>8.4047250174E10</v>
      </c>
      <c r="T12" s="209"/>
      <c r="U12" s="209"/>
      <c r="V12" s="209"/>
      <c r="W12" s="209"/>
      <c r="X12" s="300" t="b">
        <v>1</v>
      </c>
      <c r="Y12" s="301" t="b">
        <v>0</v>
      </c>
      <c r="Z12" s="209"/>
      <c r="AA12" s="209"/>
      <c r="AB12" s="209"/>
      <c r="AC12" s="291"/>
      <c r="AD12" s="303" t="s">
        <v>448</v>
      </c>
      <c r="AE12" s="304" t="s">
        <v>449</v>
      </c>
      <c r="AF12" s="304" t="s">
        <v>450</v>
      </c>
      <c r="AG12" s="308" t="s">
        <v>451</v>
      </c>
      <c r="AH12" s="209"/>
      <c r="AI12" s="209"/>
      <c r="AJ12" s="209"/>
      <c r="AK12" s="209"/>
      <c r="AL12" s="296" t="b">
        <v>1</v>
      </c>
      <c r="AM12" s="301" t="b">
        <v>0</v>
      </c>
      <c r="AN12" s="313"/>
      <c r="AO12" s="314" t="b">
        <v>0</v>
      </c>
      <c r="AP12" s="209"/>
    </row>
    <row r="13">
      <c r="A13" s="309"/>
      <c r="B13" s="310" t="s">
        <v>452</v>
      </c>
      <c r="C13" s="311" t="s">
        <v>4222</v>
      </c>
      <c r="D13" s="311" t="s">
        <v>453</v>
      </c>
      <c r="E13" s="318">
        <v>8.10115972938E11</v>
      </c>
      <c r="F13" s="313"/>
      <c r="G13" s="313"/>
      <c r="H13" s="313"/>
      <c r="I13" s="313"/>
      <c r="J13" s="371" t="b">
        <v>1</v>
      </c>
      <c r="K13" s="314" t="b">
        <v>0</v>
      </c>
      <c r="L13" s="209"/>
      <c r="M13" s="209"/>
      <c r="N13" s="209"/>
      <c r="O13" s="291"/>
      <c r="P13" s="303" t="s">
        <v>454</v>
      </c>
      <c r="Q13" s="306" t="s">
        <v>455</v>
      </c>
      <c r="R13" s="304" t="s">
        <v>456</v>
      </c>
      <c r="S13" s="307">
        <v>8.40472501687E11</v>
      </c>
      <c r="T13" s="209"/>
      <c r="U13" s="209"/>
      <c r="V13" s="209"/>
      <c r="W13" s="209"/>
      <c r="X13" s="300" t="b">
        <v>1</v>
      </c>
      <c r="Y13" s="301" t="b">
        <v>0</v>
      </c>
      <c r="Z13" s="209"/>
      <c r="AA13" s="301" t="b">
        <v>0</v>
      </c>
      <c r="AB13" s="209"/>
      <c r="AC13" s="291"/>
      <c r="AD13" s="303" t="s">
        <v>457</v>
      </c>
      <c r="AE13" s="304" t="s">
        <v>458</v>
      </c>
      <c r="AF13" s="304" t="s">
        <v>459</v>
      </c>
      <c r="AG13" s="308" t="s">
        <v>460</v>
      </c>
      <c r="AH13" s="209"/>
      <c r="AI13" s="209"/>
      <c r="AJ13" s="209"/>
      <c r="AK13" s="209"/>
      <c r="AL13" s="296" t="b">
        <v>1</v>
      </c>
      <c r="AM13" s="301" t="b">
        <v>0</v>
      </c>
      <c r="AN13" s="209"/>
      <c r="AO13" s="209"/>
      <c r="AP13" s="209"/>
    </row>
    <row r="14">
      <c r="A14" s="209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91"/>
      <c r="P14" s="303" t="s">
        <v>461</v>
      </c>
      <c r="Q14" s="306" t="s">
        <v>462</v>
      </c>
      <c r="R14" s="304" t="s">
        <v>463</v>
      </c>
      <c r="S14" s="307">
        <v>8.40472501618E11</v>
      </c>
      <c r="T14" s="209"/>
      <c r="U14" s="209"/>
      <c r="V14" s="209"/>
      <c r="W14" s="209"/>
      <c r="X14" s="300" t="b">
        <v>1</v>
      </c>
      <c r="Y14" s="301" t="b">
        <v>0</v>
      </c>
      <c r="Z14" s="331"/>
      <c r="AA14" s="467" t="b">
        <v>0</v>
      </c>
      <c r="AB14" s="209"/>
      <c r="AC14" s="291"/>
      <c r="AD14" s="303" t="s">
        <v>464</v>
      </c>
      <c r="AE14" s="304" t="s">
        <v>390</v>
      </c>
      <c r="AF14" s="304" t="s">
        <v>465</v>
      </c>
      <c r="AG14" s="308" t="s">
        <v>466</v>
      </c>
      <c r="AH14" s="209"/>
      <c r="AI14" s="209"/>
      <c r="AJ14" s="209"/>
      <c r="AK14" s="209"/>
      <c r="AL14" s="296" t="b">
        <v>1</v>
      </c>
      <c r="AM14" s="301" t="b">
        <v>0</v>
      </c>
      <c r="AN14" s="209"/>
      <c r="AO14" s="307" t="b">
        <v>0</v>
      </c>
      <c r="AP14" s="209"/>
    </row>
    <row r="15">
      <c r="A15" s="316" t="s">
        <v>467</v>
      </c>
      <c r="B15" s="272" t="s">
        <v>243</v>
      </c>
      <c r="C15" s="273"/>
      <c r="D15" s="274" t="s">
        <v>242</v>
      </c>
      <c r="E15" s="463" t="s">
        <v>369</v>
      </c>
      <c r="F15" s="273"/>
      <c r="G15" s="273"/>
      <c r="H15" s="276" t="s">
        <v>468</v>
      </c>
      <c r="I15" s="277" t="s">
        <v>1164</v>
      </c>
      <c r="J15" s="468" t="str">
        <f>IF(COUNTIF(J16:J24, TRUE) = COUNTA(J16:J24), "Complete!", IF(COUNTIF(J16:J24, TRUE) &gt; 0, "Partial", "Not Started"))</f>
        <v>Complete!</v>
      </c>
      <c r="K15" s="279"/>
      <c r="L15" s="464" t="s">
        <v>889</v>
      </c>
      <c r="M15" s="465" t="str">
        <f>IF(COUNTIF(M16:M22, TRUE) = COUNTA(M16:M22), "Complete!", IF(COUNTIF(M16:M22, TRUE) &gt; 0, "Partial", "Not Started"))</f>
        <v>Not Started</v>
      </c>
      <c r="N15" s="280">
        <v>10.0</v>
      </c>
      <c r="O15" s="291"/>
      <c r="P15" s="303" t="s">
        <v>470</v>
      </c>
      <c r="Q15" s="306" t="s">
        <v>471</v>
      </c>
      <c r="R15" s="304" t="s">
        <v>472</v>
      </c>
      <c r="S15" s="307">
        <v>8.40472501793E11</v>
      </c>
      <c r="T15" s="209"/>
      <c r="U15" s="209"/>
      <c r="V15" s="209"/>
      <c r="W15" s="209"/>
      <c r="X15" s="300" t="b">
        <v>1</v>
      </c>
      <c r="Y15" s="301" t="b">
        <v>0</v>
      </c>
      <c r="Z15" s="209"/>
      <c r="AA15" s="209"/>
      <c r="AB15" s="209"/>
      <c r="AC15" s="291"/>
      <c r="AD15" s="303" t="s">
        <v>473</v>
      </c>
      <c r="AE15" s="304" t="s">
        <v>431</v>
      </c>
      <c r="AF15" s="304" t="s">
        <v>474</v>
      </c>
      <c r="AG15" s="307">
        <v>8.101159702E11</v>
      </c>
      <c r="AH15" s="209"/>
      <c r="AI15" s="209"/>
      <c r="AJ15" s="209"/>
      <c r="AK15" s="209"/>
      <c r="AL15" s="296" t="b">
        <v>1</v>
      </c>
      <c r="AM15" s="301" t="b">
        <v>0</v>
      </c>
      <c r="AN15" s="209"/>
      <c r="AO15" s="209"/>
      <c r="AP15" s="209"/>
    </row>
    <row r="16">
      <c r="A16" s="291"/>
      <c r="B16" s="292" t="s">
        <v>475</v>
      </c>
      <c r="C16" s="293" t="s">
        <v>4223</v>
      </c>
      <c r="D16" s="293" t="s">
        <v>476</v>
      </c>
      <c r="E16" s="299">
        <v>8.10115973058E11</v>
      </c>
      <c r="F16" s="295"/>
      <c r="G16" s="295"/>
      <c r="H16" s="295"/>
      <c r="I16" s="295"/>
      <c r="J16" s="296" t="b">
        <v>1</v>
      </c>
      <c r="K16" s="297" t="b">
        <v>0</v>
      </c>
      <c r="L16" s="209"/>
      <c r="M16" s="301" t="b">
        <v>0</v>
      </c>
      <c r="N16" s="209"/>
      <c r="O16" s="309"/>
      <c r="P16" s="310" t="s">
        <v>477</v>
      </c>
      <c r="Q16" s="317" t="s">
        <v>478</v>
      </c>
      <c r="R16" s="311" t="s">
        <v>479</v>
      </c>
      <c r="S16" s="318">
        <v>8.40472501649E11</v>
      </c>
      <c r="T16" s="313"/>
      <c r="U16" s="313"/>
      <c r="V16" s="313"/>
      <c r="W16" s="313"/>
      <c r="X16" s="300" t="b">
        <v>1</v>
      </c>
      <c r="Y16" s="314" t="b">
        <v>0</v>
      </c>
      <c r="Z16" s="209"/>
      <c r="AA16" s="209"/>
      <c r="AB16" s="209"/>
      <c r="AC16" s="291"/>
      <c r="AD16" s="303" t="s">
        <v>480</v>
      </c>
      <c r="AE16" s="304" t="s">
        <v>400</v>
      </c>
      <c r="AF16" s="304" t="s">
        <v>481</v>
      </c>
      <c r="AG16" s="307">
        <v>8.10115970194E11</v>
      </c>
      <c r="AH16" s="209"/>
      <c r="AI16" s="209"/>
      <c r="AJ16" s="209"/>
      <c r="AK16" s="209"/>
      <c r="AL16" s="296" t="b">
        <v>1</v>
      </c>
      <c r="AM16" s="301" t="b">
        <v>0</v>
      </c>
      <c r="AN16" s="285" t="s">
        <v>889</v>
      </c>
      <c r="AO16" s="465" t="str">
        <f>IF(COUNTIF(AO17:AO48, TRUE) = COUNTA(AO17:AO48), "Complete!", IF(COUNTIF(AO17:AO48, TRUE) &gt; 0, "Partial", "Not Started"))</f>
        <v>Not Started</v>
      </c>
      <c r="AP16" s="209"/>
    </row>
    <row r="17">
      <c r="A17" s="291"/>
      <c r="B17" s="303" t="s">
        <v>482</v>
      </c>
      <c r="C17" s="304" t="s">
        <v>4224</v>
      </c>
      <c r="D17" s="304" t="s">
        <v>483</v>
      </c>
      <c r="E17" s="307">
        <v>8.10115973065E11</v>
      </c>
      <c r="F17" s="209"/>
      <c r="G17" s="209"/>
      <c r="H17" s="209"/>
      <c r="I17" s="209"/>
      <c r="J17" s="296" t="b">
        <v>1</v>
      </c>
      <c r="K17" s="301" t="b">
        <v>0</v>
      </c>
      <c r="L17" s="209"/>
      <c r="M17" s="301" t="b">
        <v>0</v>
      </c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91"/>
      <c r="AD17" s="303" t="s">
        <v>484</v>
      </c>
      <c r="AE17" s="304" t="s">
        <v>421</v>
      </c>
      <c r="AF17" s="304" t="s">
        <v>485</v>
      </c>
      <c r="AG17" s="307">
        <v>8.1011597116E11</v>
      </c>
      <c r="AH17" s="209"/>
      <c r="AI17" s="209"/>
      <c r="AJ17" s="209"/>
      <c r="AK17" s="209"/>
      <c r="AL17" s="296" t="b">
        <v>1</v>
      </c>
      <c r="AM17" s="301" t="b">
        <v>0</v>
      </c>
      <c r="AN17" s="209"/>
      <c r="AO17" s="301" t="b">
        <v>0</v>
      </c>
      <c r="AP17" s="209"/>
    </row>
    <row r="18">
      <c r="A18" s="291"/>
      <c r="B18" s="303" t="s">
        <v>486</v>
      </c>
      <c r="C18" s="304" t="s">
        <v>4225</v>
      </c>
      <c r="D18" s="304" t="s">
        <v>488</v>
      </c>
      <c r="E18" s="307">
        <v>8.10115972952E11</v>
      </c>
      <c r="F18" s="209"/>
      <c r="G18" s="209"/>
      <c r="H18" s="209"/>
      <c r="I18" s="209"/>
      <c r="J18" s="296" t="b">
        <v>1</v>
      </c>
      <c r="K18" s="301" t="b">
        <v>0</v>
      </c>
      <c r="L18" s="209"/>
      <c r="M18" s="301" t="b">
        <v>0</v>
      </c>
      <c r="N18" s="209"/>
      <c r="O18" s="281" t="s">
        <v>467</v>
      </c>
      <c r="P18" s="319" t="s">
        <v>490</v>
      </c>
      <c r="Q18" s="320"/>
      <c r="R18" s="283" t="s">
        <v>491</v>
      </c>
      <c r="S18" s="362" t="s">
        <v>4226</v>
      </c>
      <c r="T18" s="273"/>
      <c r="U18" s="273"/>
      <c r="V18" s="276" t="s">
        <v>468</v>
      </c>
      <c r="W18" s="276" t="s">
        <v>4227</v>
      </c>
      <c r="X18" s="333" t="str">
        <f>IF(COUNTIF(X42:X61, TRUE) = COUNTA(X42:X61), "Complete!", IF(COUNTIF(X42:X61, TRUE) &gt; 0, "Partial", "Not Started"))</f>
        <v>Partial</v>
      </c>
      <c r="Y18" s="279"/>
      <c r="Z18" s="209"/>
      <c r="AA18" s="209"/>
      <c r="AB18" s="280">
        <v>8.0</v>
      </c>
      <c r="AC18" s="291"/>
      <c r="AD18" s="303" t="s">
        <v>493</v>
      </c>
      <c r="AE18" s="304" t="s">
        <v>412</v>
      </c>
      <c r="AF18" s="304" t="s">
        <v>494</v>
      </c>
      <c r="AG18" s="308" t="s">
        <v>495</v>
      </c>
      <c r="AH18" s="209"/>
      <c r="AI18" s="209"/>
      <c r="AJ18" s="209"/>
      <c r="AK18" s="209"/>
      <c r="AL18" s="296" t="b">
        <v>1</v>
      </c>
      <c r="AM18" s="301" t="b">
        <v>0</v>
      </c>
      <c r="AN18" s="209"/>
      <c r="AO18" s="301" t="b">
        <v>0</v>
      </c>
      <c r="AP18" s="209"/>
    </row>
    <row r="19">
      <c r="A19" s="291"/>
      <c r="B19" s="303" t="s">
        <v>496</v>
      </c>
      <c r="C19" s="304" t="s">
        <v>4228</v>
      </c>
      <c r="D19" s="304" t="s">
        <v>497</v>
      </c>
      <c r="E19" s="307">
        <v>8.10115972709E11</v>
      </c>
      <c r="F19" s="209"/>
      <c r="G19" s="209"/>
      <c r="H19" s="209"/>
      <c r="I19" s="209"/>
      <c r="J19" s="296" t="b">
        <v>1</v>
      </c>
      <c r="K19" s="301" t="b">
        <v>0</v>
      </c>
      <c r="L19" s="209"/>
      <c r="M19" s="301" t="b">
        <v>0</v>
      </c>
      <c r="N19" s="209"/>
      <c r="O19" s="291"/>
      <c r="P19" s="304" t="s">
        <v>498</v>
      </c>
      <c r="Q19" s="306" t="s">
        <v>499</v>
      </c>
      <c r="R19" s="304" t="s">
        <v>500</v>
      </c>
      <c r="S19" s="307">
        <v>8.10115970958E11</v>
      </c>
      <c r="T19" s="295"/>
      <c r="U19" s="295"/>
      <c r="V19" s="295"/>
      <c r="W19" s="295"/>
      <c r="X19" s="296" t="b">
        <v>1</v>
      </c>
      <c r="Y19" s="297" t="b">
        <v>0</v>
      </c>
      <c r="Z19" s="209"/>
      <c r="AA19" s="209"/>
      <c r="AB19" s="209"/>
      <c r="AC19" s="291"/>
      <c r="AD19" s="303" t="s">
        <v>501</v>
      </c>
      <c r="AE19" s="304" t="s">
        <v>502</v>
      </c>
      <c r="AF19" s="304" t="s">
        <v>503</v>
      </c>
      <c r="AG19" s="209"/>
      <c r="AH19" s="209"/>
      <c r="AI19" s="209"/>
      <c r="AJ19" s="209"/>
      <c r="AK19" s="209"/>
      <c r="AL19" s="296" t="b">
        <v>1</v>
      </c>
      <c r="AM19" s="301" t="b">
        <v>0</v>
      </c>
      <c r="AN19" s="288"/>
      <c r="AO19" s="288"/>
      <c r="AP19" s="209"/>
    </row>
    <row r="20">
      <c r="A20" s="291"/>
      <c r="B20" s="303" t="s">
        <v>504</v>
      </c>
      <c r="C20" s="304" t="s">
        <v>4229</v>
      </c>
      <c r="D20" s="304" t="s">
        <v>506</v>
      </c>
      <c r="E20" s="307">
        <v>8.10115973256E11</v>
      </c>
      <c r="F20" s="209"/>
      <c r="G20" s="209"/>
      <c r="H20" s="209"/>
      <c r="I20" s="209"/>
      <c r="J20" s="296" t="b">
        <v>1</v>
      </c>
      <c r="K20" s="301" t="b">
        <v>0</v>
      </c>
      <c r="L20" s="209"/>
      <c r="M20" s="301" t="b">
        <v>0</v>
      </c>
      <c r="N20" s="209"/>
      <c r="O20" s="291"/>
      <c r="P20" s="304" t="s">
        <v>507</v>
      </c>
      <c r="Q20" s="306" t="s">
        <v>437</v>
      </c>
      <c r="R20" s="304" t="s">
        <v>508</v>
      </c>
      <c r="S20" s="307">
        <v>8.10115970125E11</v>
      </c>
      <c r="T20" s="209"/>
      <c r="U20" s="209"/>
      <c r="V20" s="209"/>
      <c r="W20" s="209"/>
      <c r="X20" s="300" t="b">
        <v>1</v>
      </c>
      <c r="Y20" s="301" t="b">
        <v>0</v>
      </c>
      <c r="Z20" s="209"/>
      <c r="AA20" s="209"/>
      <c r="AB20" s="209"/>
      <c r="AC20" s="291"/>
      <c r="AD20" s="303" t="s">
        <v>509</v>
      </c>
      <c r="AE20" s="304" t="s">
        <v>510</v>
      </c>
      <c r="AF20" s="304" t="s">
        <v>511</v>
      </c>
      <c r="AG20" s="209"/>
      <c r="AH20" s="209"/>
      <c r="AI20" s="209"/>
      <c r="AJ20" s="209"/>
      <c r="AK20" s="209"/>
      <c r="AL20" s="296" t="b">
        <v>1</v>
      </c>
      <c r="AM20" s="301" t="b">
        <v>0</v>
      </c>
      <c r="AN20" s="285" t="s">
        <v>889</v>
      </c>
      <c r="AO20" s="465" t="str">
        <f>IF(COUNTIF(AO21:AO89, TRUE) = COUNTA(AO21:AO89), "Complete!", IF(COUNTIF(AO21:AO89, TRUE) &gt; 0, "Partial", "Not Started"))</f>
        <v>Not Started</v>
      </c>
      <c r="AP20" s="209"/>
    </row>
    <row r="21">
      <c r="A21" s="291"/>
      <c r="B21" s="303" t="s">
        <v>512</v>
      </c>
      <c r="C21" s="304" t="s">
        <v>4230</v>
      </c>
      <c r="D21" s="304" t="s">
        <v>514</v>
      </c>
      <c r="E21" s="307">
        <v>8.40472502462E11</v>
      </c>
      <c r="F21" s="304" t="s">
        <v>1062</v>
      </c>
      <c r="G21" s="209"/>
      <c r="H21" s="209"/>
      <c r="I21" s="209"/>
      <c r="J21" s="296" t="b">
        <v>1</v>
      </c>
      <c r="K21" s="301" t="b">
        <v>0</v>
      </c>
      <c r="L21" s="209"/>
      <c r="M21" s="301" t="b">
        <v>0</v>
      </c>
      <c r="N21" s="209"/>
      <c r="O21" s="291"/>
      <c r="P21" s="304" t="s">
        <v>515</v>
      </c>
      <c r="Q21" s="306" t="s">
        <v>516</v>
      </c>
      <c r="R21" s="304" t="s">
        <v>517</v>
      </c>
      <c r="S21" s="307">
        <v>8.10115970941E11</v>
      </c>
      <c r="T21" s="209"/>
      <c r="U21" s="209"/>
      <c r="V21" s="209"/>
      <c r="W21" s="209"/>
      <c r="X21" s="300" t="b">
        <v>1</v>
      </c>
      <c r="Y21" s="301" t="b">
        <v>0</v>
      </c>
      <c r="Z21" s="209"/>
      <c r="AA21" s="209"/>
      <c r="AB21" s="209"/>
      <c r="AC21" s="309"/>
      <c r="AD21" s="310" t="s">
        <v>518</v>
      </c>
      <c r="AE21" s="311" t="s">
        <v>519</v>
      </c>
      <c r="AF21" s="311" t="s">
        <v>520</v>
      </c>
      <c r="AG21" s="318">
        <v>8.10115970231E11</v>
      </c>
      <c r="AH21" s="313"/>
      <c r="AI21" s="313"/>
      <c r="AJ21" s="313"/>
      <c r="AK21" s="313"/>
      <c r="AL21" s="296" t="b">
        <v>1</v>
      </c>
      <c r="AM21" s="314" t="b">
        <v>0</v>
      </c>
      <c r="AN21" s="209"/>
      <c r="AO21" s="301" t="b">
        <v>0</v>
      </c>
      <c r="AP21" s="209"/>
    </row>
    <row r="22">
      <c r="A22" s="291"/>
      <c r="B22" s="303" t="s">
        <v>521</v>
      </c>
      <c r="C22" s="304" t="s">
        <v>4231</v>
      </c>
      <c r="D22" s="304" t="s">
        <v>523</v>
      </c>
      <c r="E22" s="307">
        <v>8.40472502486E11</v>
      </c>
      <c r="F22" s="304" t="s">
        <v>1062</v>
      </c>
      <c r="G22" s="209"/>
      <c r="H22" s="209"/>
      <c r="I22" s="209"/>
      <c r="J22" s="296" t="b">
        <v>1</v>
      </c>
      <c r="K22" s="301" t="b">
        <v>0</v>
      </c>
      <c r="L22" s="313"/>
      <c r="M22" s="314" t="b">
        <v>0</v>
      </c>
      <c r="N22" s="209"/>
      <c r="O22" s="291"/>
      <c r="P22" s="304" t="s">
        <v>524</v>
      </c>
      <c r="Q22" s="306" t="s">
        <v>525</v>
      </c>
      <c r="R22" s="304" t="s">
        <v>526</v>
      </c>
      <c r="S22" s="307">
        <v>8.40472501731E11</v>
      </c>
      <c r="T22" s="209"/>
      <c r="U22" s="209"/>
      <c r="V22" s="209"/>
      <c r="W22" s="209"/>
      <c r="X22" s="300" t="b">
        <v>1</v>
      </c>
      <c r="Y22" s="301" t="b">
        <v>0</v>
      </c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</row>
    <row r="23">
      <c r="A23" s="291"/>
      <c r="B23" s="303" t="s">
        <v>528</v>
      </c>
      <c r="C23" s="304" t="s">
        <v>4232</v>
      </c>
      <c r="D23" s="304" t="s">
        <v>530</v>
      </c>
      <c r="E23" s="307">
        <v>8.10115973263E11</v>
      </c>
      <c r="F23" s="209"/>
      <c r="G23" s="209"/>
      <c r="H23" s="209"/>
      <c r="I23" s="209"/>
      <c r="J23" s="296" t="b">
        <v>1</v>
      </c>
      <c r="K23" s="301" t="b">
        <v>0</v>
      </c>
      <c r="L23" s="209"/>
      <c r="M23" s="209"/>
      <c r="N23" s="209"/>
      <c r="O23" s="291"/>
      <c r="P23" s="304" t="s">
        <v>532</v>
      </c>
      <c r="Q23" s="306" t="s">
        <v>533</v>
      </c>
      <c r="R23" s="304" t="s">
        <v>534</v>
      </c>
      <c r="S23" s="307">
        <v>8.40472501724E11</v>
      </c>
      <c r="T23" s="209"/>
      <c r="U23" s="209"/>
      <c r="V23" s="209"/>
      <c r="W23" s="209"/>
      <c r="X23" s="300" t="b">
        <v>1</v>
      </c>
      <c r="Y23" s="301" t="b">
        <v>0</v>
      </c>
      <c r="Z23" s="209"/>
      <c r="AA23" s="209"/>
      <c r="AB23" s="209"/>
      <c r="AC23" s="286" t="s">
        <v>467</v>
      </c>
      <c r="AD23" s="282" t="s">
        <v>535</v>
      </c>
      <c r="AE23" s="273"/>
      <c r="AF23" s="274" t="s">
        <v>536</v>
      </c>
      <c r="AG23" s="387" t="s">
        <v>4233</v>
      </c>
      <c r="AH23" s="273"/>
      <c r="AI23" s="273"/>
      <c r="AJ23" s="276" t="s">
        <v>2803</v>
      </c>
      <c r="AK23" s="276" t="s">
        <v>1895</v>
      </c>
      <c r="AL23" s="278" t="str">
        <f>IF(COUNTIF(AL24:AL28, TRUE) = COUNTA(AL24:AL28), "Complete!", IF(COUNTIF(AL24:AL28, TRUE) &gt; 0, "Partial", "Not Started"))</f>
        <v>Complete!</v>
      </c>
      <c r="AM23" s="279"/>
      <c r="AN23" s="285" t="s">
        <v>889</v>
      </c>
      <c r="AO23" s="465" t="str">
        <f>IF(COUNTIF(AO24:AO28, TRUE) = COUNTA(AO24:AO28), "Complete!", IF(COUNTIF(AO24:AO28, TRUE) &gt; 0, "Partial", "Not Started"))</f>
        <v>Not Started</v>
      </c>
      <c r="AP23" s="280">
        <v>10.0</v>
      </c>
    </row>
    <row r="24">
      <c r="A24" s="291"/>
      <c r="B24" s="303" t="s">
        <v>538</v>
      </c>
      <c r="C24" s="304" t="s">
        <v>4234</v>
      </c>
      <c r="D24" s="304" t="s">
        <v>540</v>
      </c>
      <c r="E24" s="307">
        <v>8.10115977094E11</v>
      </c>
      <c r="F24" s="209"/>
      <c r="G24" s="209"/>
      <c r="H24" s="209"/>
      <c r="I24" s="209"/>
      <c r="J24" s="296" t="b">
        <v>1</v>
      </c>
      <c r="K24" s="301" t="b">
        <v>0</v>
      </c>
      <c r="L24" s="209"/>
      <c r="M24" s="209"/>
      <c r="N24" s="209"/>
      <c r="O24" s="291"/>
      <c r="P24" s="304" t="s">
        <v>541</v>
      </c>
      <c r="Q24" s="306" t="s">
        <v>542</v>
      </c>
      <c r="R24" s="304" t="s">
        <v>543</v>
      </c>
      <c r="S24" s="307">
        <v>8.40472501694E11</v>
      </c>
      <c r="T24" s="209"/>
      <c r="U24" s="209"/>
      <c r="V24" s="209"/>
      <c r="W24" s="209"/>
      <c r="X24" s="300" t="b">
        <v>1</v>
      </c>
      <c r="Y24" s="301" t="b">
        <v>0</v>
      </c>
      <c r="Z24" s="209"/>
      <c r="AA24" s="209"/>
      <c r="AB24" s="209"/>
      <c r="AC24" s="291"/>
      <c r="AD24" s="292" t="s">
        <v>544</v>
      </c>
      <c r="AE24" s="293" t="s">
        <v>4235</v>
      </c>
      <c r="AF24" s="293" t="s">
        <v>545</v>
      </c>
      <c r="AG24" s="299">
        <v>8.101159764E11</v>
      </c>
      <c r="AH24" s="295"/>
      <c r="AI24" s="295"/>
      <c r="AJ24" s="295"/>
      <c r="AK24" s="295"/>
      <c r="AL24" s="299" t="b">
        <v>1</v>
      </c>
      <c r="AM24" s="297" t="b">
        <v>0</v>
      </c>
      <c r="AN24" s="209"/>
      <c r="AO24" s="301" t="b">
        <v>0</v>
      </c>
      <c r="AP24" s="209"/>
    </row>
    <row r="25">
      <c r="A25" s="309"/>
      <c r="B25" s="310" t="s">
        <v>546</v>
      </c>
      <c r="C25" s="304" t="s">
        <v>4236</v>
      </c>
      <c r="D25" s="311" t="s">
        <v>548</v>
      </c>
      <c r="E25" s="318">
        <v>8.40472502431E11</v>
      </c>
      <c r="F25" s="311" t="s">
        <v>1062</v>
      </c>
      <c r="G25" s="313"/>
      <c r="H25" s="313"/>
      <c r="I25" s="313"/>
      <c r="J25" s="371" t="b">
        <v>1</v>
      </c>
      <c r="K25" s="314" t="b">
        <v>0</v>
      </c>
      <c r="L25" s="209"/>
      <c r="M25" s="209"/>
      <c r="N25" s="209"/>
      <c r="O25" s="291"/>
      <c r="P25" s="304" t="s">
        <v>550</v>
      </c>
      <c r="Q25" s="306" t="s">
        <v>551</v>
      </c>
      <c r="R25" s="304" t="s">
        <v>552</v>
      </c>
      <c r="S25" s="307">
        <v>8.40472501717E11</v>
      </c>
      <c r="T25" s="209"/>
      <c r="U25" s="209"/>
      <c r="V25" s="209"/>
      <c r="W25" s="209"/>
      <c r="X25" s="300" t="b">
        <v>1</v>
      </c>
      <c r="Y25" s="301" t="b">
        <v>0</v>
      </c>
      <c r="Z25" s="209"/>
      <c r="AA25" s="209"/>
      <c r="AB25" s="209"/>
      <c r="AC25" s="291"/>
      <c r="AD25" s="303" t="s">
        <v>553</v>
      </c>
      <c r="AE25" s="304" t="s">
        <v>4237</v>
      </c>
      <c r="AF25" s="304" t="s">
        <v>555</v>
      </c>
      <c r="AG25" s="209"/>
      <c r="AH25" s="209"/>
      <c r="AI25" s="209"/>
      <c r="AJ25" s="209"/>
      <c r="AK25" s="209"/>
      <c r="AL25" s="299" t="b">
        <v>1</v>
      </c>
      <c r="AM25" s="301" t="b">
        <v>0</v>
      </c>
      <c r="AN25" s="209"/>
      <c r="AO25" s="301" t="b">
        <v>0</v>
      </c>
      <c r="AP25" s="209"/>
    </row>
    <row r="26">
      <c r="A26" s="209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91"/>
      <c r="P26" s="311" t="s">
        <v>556</v>
      </c>
      <c r="Q26" s="317" t="s">
        <v>557</v>
      </c>
      <c r="R26" s="311" t="s">
        <v>558</v>
      </c>
      <c r="S26" s="318">
        <v>8.404725017E11</v>
      </c>
      <c r="T26" s="313"/>
      <c r="U26" s="313"/>
      <c r="V26" s="313"/>
      <c r="W26" s="313"/>
      <c r="X26" s="300" t="b">
        <v>1</v>
      </c>
      <c r="Y26" s="314" t="b">
        <v>0</v>
      </c>
      <c r="Z26" s="209"/>
      <c r="AA26" s="209"/>
      <c r="AB26" s="209"/>
      <c r="AC26" s="291"/>
      <c r="AD26" s="303" t="s">
        <v>559</v>
      </c>
      <c r="AE26" s="304" t="s">
        <v>4238</v>
      </c>
      <c r="AF26" s="304" t="s">
        <v>561</v>
      </c>
      <c r="AG26" s="307">
        <v>8.10115976486E11</v>
      </c>
      <c r="AH26" s="209"/>
      <c r="AI26" s="209"/>
      <c r="AJ26" s="209"/>
      <c r="AK26" s="209"/>
      <c r="AL26" s="299" t="b">
        <v>1</v>
      </c>
      <c r="AM26" s="301" t="b">
        <v>0</v>
      </c>
      <c r="AN26" s="209"/>
      <c r="AO26" s="301" t="b">
        <v>0</v>
      </c>
      <c r="AP26" s="209"/>
    </row>
    <row r="27">
      <c r="A27" s="316" t="s">
        <v>562</v>
      </c>
      <c r="B27" s="319" t="s">
        <v>237</v>
      </c>
      <c r="C27" s="320"/>
      <c r="D27" s="283" t="s">
        <v>236</v>
      </c>
      <c r="E27" s="388" t="s">
        <v>369</v>
      </c>
      <c r="F27" s="320"/>
      <c r="G27" s="320"/>
      <c r="H27" s="323" t="s">
        <v>572</v>
      </c>
      <c r="I27" s="323" t="s">
        <v>4239</v>
      </c>
      <c r="J27" s="438" t="str">
        <f>IF(COUNTIF(J28:J36, TRUE) = COUNTA(J28:J36), "Complete!", IF(COUNTIF(J28:J36, TRUE) &gt; 0, "Partial", "Not Started"))</f>
        <v>Complete!</v>
      </c>
      <c r="K27" s="334"/>
      <c r="L27" s="464" t="s">
        <v>889</v>
      </c>
      <c r="M27" s="465" t="str">
        <f>IF(COUNTIF(M28:M35, TRUE) = COUNTA(M28:M35), "Complete!", IF(COUNTIF(M28:M35, TRUE) &gt; 0, "Partial", "Not Started"))</f>
        <v>Not Started</v>
      </c>
      <c r="N27" s="280">
        <v>11.0</v>
      </c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91"/>
      <c r="AD27" s="303" t="s">
        <v>565</v>
      </c>
      <c r="AE27" s="304" t="s">
        <v>4240</v>
      </c>
      <c r="AF27" s="304" t="s">
        <v>567</v>
      </c>
      <c r="AG27" s="209"/>
      <c r="AH27" s="209"/>
      <c r="AI27" s="209"/>
      <c r="AJ27" s="209"/>
      <c r="AK27" s="209"/>
      <c r="AL27" s="299" t="b">
        <v>1</v>
      </c>
      <c r="AM27" s="301" t="b">
        <v>0</v>
      </c>
      <c r="AN27" s="209"/>
      <c r="AO27" s="301" t="b">
        <v>0</v>
      </c>
      <c r="AP27" s="209"/>
    </row>
    <row r="28">
      <c r="A28" s="291"/>
      <c r="B28" s="292" t="s">
        <v>568</v>
      </c>
      <c r="C28" s="293" t="s">
        <v>4223</v>
      </c>
      <c r="D28" s="293" t="s">
        <v>569</v>
      </c>
      <c r="E28" s="299">
        <v>8.10115972976E11</v>
      </c>
      <c r="F28" s="295"/>
      <c r="G28" s="295"/>
      <c r="H28" s="295"/>
      <c r="I28" s="295"/>
      <c r="J28" s="296" t="b">
        <v>1</v>
      </c>
      <c r="K28" s="297" t="b">
        <v>0</v>
      </c>
      <c r="L28" s="419"/>
      <c r="M28" s="301" t="b">
        <v>0</v>
      </c>
      <c r="N28" s="209"/>
      <c r="O28" s="281" t="s">
        <v>562</v>
      </c>
      <c r="P28" s="282" t="s">
        <v>570</v>
      </c>
      <c r="Q28" s="273"/>
      <c r="R28" s="274" t="s">
        <v>571</v>
      </c>
      <c r="S28" s="284" t="s">
        <v>4226</v>
      </c>
      <c r="T28" s="273"/>
      <c r="U28" s="273"/>
      <c r="V28" s="276" t="s">
        <v>572</v>
      </c>
      <c r="W28" s="276" t="s">
        <v>4241</v>
      </c>
      <c r="X28" s="278" t="str">
        <f>IF(COUNTIF(X40:X61, TRUE) = COUNTA(X40:X61), "Complete!", IF(COUNTIF(X40:X61, TRUE) &gt; 0, "Partial", "Not Started"))</f>
        <v>Partial</v>
      </c>
      <c r="Y28" s="279"/>
      <c r="Z28" s="209"/>
      <c r="AA28" s="209"/>
      <c r="AB28" s="280">
        <v>8.0</v>
      </c>
      <c r="AC28" s="291"/>
      <c r="AD28" s="303" t="s">
        <v>574</v>
      </c>
      <c r="AE28" s="304" t="s">
        <v>4242</v>
      </c>
      <c r="AF28" s="304" t="s">
        <v>576</v>
      </c>
      <c r="AG28" s="307">
        <v>8.10115976424E11</v>
      </c>
      <c r="AH28" s="209"/>
      <c r="AI28" s="209"/>
      <c r="AJ28" s="209"/>
      <c r="AK28" s="209"/>
      <c r="AL28" s="299" t="b">
        <v>1</v>
      </c>
      <c r="AM28" s="324" t="b">
        <v>0</v>
      </c>
      <c r="AN28" s="209"/>
      <c r="AO28" s="301" t="b">
        <v>0</v>
      </c>
      <c r="AP28" s="209"/>
    </row>
    <row r="29">
      <c r="A29" s="291"/>
      <c r="B29" s="303" t="s">
        <v>577</v>
      </c>
      <c r="C29" s="304" t="s">
        <v>4224</v>
      </c>
      <c r="D29" s="304" t="s">
        <v>578</v>
      </c>
      <c r="E29" s="307">
        <v>8.10115972983E11</v>
      </c>
      <c r="F29" s="209"/>
      <c r="G29" s="209"/>
      <c r="H29" s="209"/>
      <c r="I29" s="209"/>
      <c r="J29" s="296" t="b">
        <v>1</v>
      </c>
      <c r="K29" s="301" t="b">
        <v>0</v>
      </c>
      <c r="L29" s="419"/>
      <c r="M29" s="301" t="b">
        <v>0</v>
      </c>
      <c r="N29" s="209"/>
      <c r="O29" s="291"/>
      <c r="P29" s="292" t="s">
        <v>579</v>
      </c>
      <c r="Q29" s="298" t="s">
        <v>580</v>
      </c>
      <c r="R29" s="293" t="s">
        <v>581</v>
      </c>
      <c r="S29" s="299">
        <v>8.10115970897E11</v>
      </c>
      <c r="T29" s="295"/>
      <c r="U29" s="295"/>
      <c r="V29" s="295"/>
      <c r="W29" s="295"/>
      <c r="X29" s="296" t="b">
        <v>1</v>
      </c>
      <c r="Y29" s="297" t="b">
        <v>0</v>
      </c>
      <c r="Z29" s="209"/>
      <c r="AA29" s="209"/>
      <c r="AB29" s="209"/>
      <c r="AC29" s="291"/>
      <c r="AD29" s="303" t="s">
        <v>582</v>
      </c>
      <c r="AE29" s="304" t="s">
        <v>4243</v>
      </c>
      <c r="AF29" s="304" t="s">
        <v>584</v>
      </c>
      <c r="AG29" s="307">
        <v>8.40472500048E11</v>
      </c>
      <c r="AH29" s="209"/>
      <c r="AI29" s="209"/>
      <c r="AJ29" s="209"/>
      <c r="AK29" s="209"/>
      <c r="AL29" s="299" t="b">
        <v>1</v>
      </c>
      <c r="AM29" s="301" t="b">
        <v>0</v>
      </c>
      <c r="AN29" s="432" t="s">
        <v>889</v>
      </c>
      <c r="AO29" s="466" t="str">
        <f>IF(COUNTIF(AO30:AO89, TRUE) = COUNTA(AO30:AO89), "Complete!", IF(COUNTIF(AO30:AO89, TRUE) &gt; 0, "Partial", "Not Started"))</f>
        <v>Not Started</v>
      </c>
      <c r="AP29" s="209"/>
    </row>
    <row r="30">
      <c r="A30" s="291"/>
      <c r="B30" s="303" t="s">
        <v>585</v>
      </c>
      <c r="C30" s="304" t="s">
        <v>4225</v>
      </c>
      <c r="D30" s="304" t="s">
        <v>586</v>
      </c>
      <c r="E30" s="307">
        <v>8.1011597299E11</v>
      </c>
      <c r="F30" s="209"/>
      <c r="G30" s="209"/>
      <c r="H30" s="209"/>
      <c r="I30" s="209"/>
      <c r="J30" s="296" t="b">
        <v>1</v>
      </c>
      <c r="K30" s="301" t="b">
        <v>0</v>
      </c>
      <c r="L30" s="419"/>
      <c r="M30" s="301" t="b">
        <v>0</v>
      </c>
      <c r="N30" s="209"/>
      <c r="O30" s="291"/>
      <c r="P30" s="303" t="s">
        <v>587</v>
      </c>
      <c r="Q30" s="306" t="s">
        <v>588</v>
      </c>
      <c r="R30" s="304" t="s">
        <v>589</v>
      </c>
      <c r="S30" s="307">
        <v>8.10115970927E11</v>
      </c>
      <c r="T30" s="209"/>
      <c r="U30" s="209"/>
      <c r="V30" s="209"/>
      <c r="W30" s="209"/>
      <c r="X30" s="300" t="b">
        <v>1</v>
      </c>
      <c r="Y30" s="301" t="b">
        <v>0</v>
      </c>
      <c r="Z30" s="209"/>
      <c r="AA30" s="209"/>
      <c r="AB30" s="209"/>
      <c r="AC30" s="291"/>
      <c r="AD30" s="303" t="s">
        <v>590</v>
      </c>
      <c r="AE30" s="304" t="s">
        <v>4221</v>
      </c>
      <c r="AF30" s="304" t="s">
        <v>591</v>
      </c>
      <c r="AG30" s="209"/>
      <c r="AH30" s="209"/>
      <c r="AI30" s="209"/>
      <c r="AJ30" s="209"/>
      <c r="AK30" s="209"/>
      <c r="AL30" s="299" t="b">
        <v>1</v>
      </c>
      <c r="AM30" s="301" t="b">
        <v>0</v>
      </c>
      <c r="AN30" s="209"/>
      <c r="AO30" s="301" t="b">
        <v>0</v>
      </c>
      <c r="AP30" s="209"/>
    </row>
    <row r="31">
      <c r="A31" s="291"/>
      <c r="B31" s="303" t="s">
        <v>592</v>
      </c>
      <c r="C31" s="304" t="s">
        <v>4228</v>
      </c>
      <c r="D31" s="304" t="s">
        <v>593</v>
      </c>
      <c r="E31" s="307">
        <v>8.10115973003E11</v>
      </c>
      <c r="F31" s="209"/>
      <c r="G31" s="209"/>
      <c r="H31" s="209"/>
      <c r="I31" s="209"/>
      <c r="J31" s="296" t="b">
        <v>1</v>
      </c>
      <c r="K31" s="301" t="b">
        <v>0</v>
      </c>
      <c r="L31" s="419"/>
      <c r="M31" s="301" t="b">
        <v>0</v>
      </c>
      <c r="N31" s="209"/>
      <c r="O31" s="291"/>
      <c r="P31" s="303" t="s">
        <v>594</v>
      </c>
      <c r="Q31" s="306" t="s">
        <v>595</v>
      </c>
      <c r="R31" s="304" t="s">
        <v>596</v>
      </c>
      <c r="S31" s="307">
        <v>8.1011597091E11</v>
      </c>
      <c r="T31" s="209"/>
      <c r="U31" s="209"/>
      <c r="V31" s="209"/>
      <c r="W31" s="325"/>
      <c r="X31" s="300" t="b">
        <v>1</v>
      </c>
      <c r="Y31" s="301" t="b">
        <v>0</v>
      </c>
      <c r="Z31" s="209"/>
      <c r="AA31" s="209"/>
      <c r="AB31" s="209"/>
      <c r="AC31" s="291"/>
      <c r="AD31" s="303" t="s">
        <v>597</v>
      </c>
      <c r="AE31" s="304" t="s">
        <v>575</v>
      </c>
      <c r="AF31" s="304" t="s">
        <v>598</v>
      </c>
      <c r="AG31" s="307">
        <v>8.10115976431E11</v>
      </c>
      <c r="AH31" s="209"/>
      <c r="AI31" s="209"/>
      <c r="AJ31" s="209"/>
      <c r="AK31" s="209"/>
      <c r="AL31" s="299" t="b">
        <v>1</v>
      </c>
      <c r="AM31" s="301" t="b">
        <v>0</v>
      </c>
      <c r="AN31" s="209"/>
      <c r="AO31" s="301" t="b">
        <v>0</v>
      </c>
      <c r="AP31" s="209"/>
    </row>
    <row r="32">
      <c r="A32" s="291"/>
      <c r="B32" s="303" t="s">
        <v>599</v>
      </c>
      <c r="C32" s="304" t="s">
        <v>4230</v>
      </c>
      <c r="D32" s="304" t="s">
        <v>600</v>
      </c>
      <c r="E32" s="307">
        <v>8.40472502455E11</v>
      </c>
      <c r="F32" s="304" t="s">
        <v>1062</v>
      </c>
      <c r="G32" s="209"/>
      <c r="H32" s="209"/>
      <c r="I32" s="209"/>
      <c r="J32" s="296" t="b">
        <v>1</v>
      </c>
      <c r="K32" s="301" t="b">
        <v>0</v>
      </c>
      <c r="L32" s="419"/>
      <c r="M32" s="301" t="b">
        <v>0</v>
      </c>
      <c r="N32" s="209"/>
      <c r="O32" s="291"/>
      <c r="P32" s="303" t="s">
        <v>601</v>
      </c>
      <c r="Q32" s="306" t="s">
        <v>602</v>
      </c>
      <c r="R32" s="304" t="s">
        <v>603</v>
      </c>
      <c r="S32" s="307">
        <v>8.10115970934E11</v>
      </c>
      <c r="T32" s="209"/>
      <c r="U32" s="209"/>
      <c r="V32" s="209"/>
      <c r="W32" s="209"/>
      <c r="X32" s="300" t="b">
        <v>1</v>
      </c>
      <c r="Y32" s="301" t="b">
        <v>0</v>
      </c>
      <c r="Z32" s="209"/>
      <c r="AA32" s="209"/>
      <c r="AB32" s="209"/>
      <c r="AC32" s="291"/>
      <c r="AD32" s="303" t="s">
        <v>604</v>
      </c>
      <c r="AE32" s="304" t="s">
        <v>4222</v>
      </c>
      <c r="AF32" s="304" t="s">
        <v>605</v>
      </c>
      <c r="AG32" s="209"/>
      <c r="AH32" s="209"/>
      <c r="AI32" s="209"/>
      <c r="AJ32" s="209"/>
      <c r="AK32" s="209"/>
      <c r="AL32" s="299" t="b">
        <v>1</v>
      </c>
      <c r="AM32" s="301" t="b">
        <v>0</v>
      </c>
      <c r="AN32" s="313"/>
      <c r="AO32" s="314" t="b">
        <v>0</v>
      </c>
      <c r="AP32" s="209"/>
    </row>
    <row r="33">
      <c r="A33" s="291"/>
      <c r="B33" s="303" t="s">
        <v>606</v>
      </c>
      <c r="C33" s="304" t="s">
        <v>4229</v>
      </c>
      <c r="D33" s="304" t="s">
        <v>607</v>
      </c>
      <c r="E33" s="307">
        <v>8.10115972877E11</v>
      </c>
      <c r="F33" s="209"/>
      <c r="G33" s="209"/>
      <c r="H33" s="209"/>
      <c r="I33" s="209"/>
      <c r="J33" s="296" t="b">
        <v>1</v>
      </c>
      <c r="K33" s="301" t="b">
        <v>0</v>
      </c>
      <c r="L33" s="419"/>
      <c r="M33" s="301" t="b">
        <v>0</v>
      </c>
      <c r="N33" s="209"/>
      <c r="O33" s="291"/>
      <c r="P33" s="303" t="s">
        <v>608</v>
      </c>
      <c r="Q33" s="306" t="s">
        <v>609</v>
      </c>
      <c r="R33" s="304" t="s">
        <v>610</v>
      </c>
      <c r="S33" s="307">
        <v>8.10115976042E11</v>
      </c>
      <c r="T33" s="209"/>
      <c r="U33" s="209"/>
      <c r="V33" s="209"/>
      <c r="W33" s="325"/>
      <c r="X33" s="300" t="b">
        <v>1</v>
      </c>
      <c r="Y33" s="301" t="b">
        <v>0</v>
      </c>
      <c r="Z33" s="209"/>
      <c r="AA33" s="209"/>
      <c r="AB33" s="209"/>
      <c r="AC33" s="291"/>
      <c r="AD33" s="310" t="s">
        <v>611</v>
      </c>
      <c r="AE33" s="311" t="s">
        <v>4244</v>
      </c>
      <c r="AF33" s="311" t="s">
        <v>613</v>
      </c>
      <c r="AG33" s="318">
        <v>8.10115976493E11</v>
      </c>
      <c r="AH33" s="313"/>
      <c r="AI33" s="313"/>
      <c r="AJ33" s="313"/>
      <c r="AK33" s="313"/>
      <c r="AL33" s="299" t="b">
        <v>1</v>
      </c>
      <c r="AM33" s="314" t="b">
        <v>0</v>
      </c>
      <c r="AN33" s="209"/>
      <c r="AO33" s="209"/>
      <c r="AP33" s="209"/>
    </row>
    <row r="34">
      <c r="A34" s="291"/>
      <c r="B34" s="303" t="s">
        <v>614</v>
      </c>
      <c r="C34" s="304" t="s">
        <v>4231</v>
      </c>
      <c r="D34" s="304" t="s">
        <v>615</v>
      </c>
      <c r="E34" s="307">
        <v>8.40472502479E11</v>
      </c>
      <c r="F34" s="304" t="s">
        <v>1062</v>
      </c>
      <c r="G34" s="209"/>
      <c r="H34" s="209"/>
      <c r="I34" s="209"/>
      <c r="J34" s="296" t="b">
        <v>1</v>
      </c>
      <c r="K34" s="301" t="b">
        <v>0</v>
      </c>
      <c r="L34" s="419"/>
      <c r="M34" s="301" t="b">
        <v>0</v>
      </c>
      <c r="N34" s="209"/>
      <c r="O34" s="291"/>
      <c r="P34" s="303" t="s">
        <v>616</v>
      </c>
      <c r="Q34" s="306" t="s">
        <v>617</v>
      </c>
      <c r="R34" s="304" t="s">
        <v>618</v>
      </c>
      <c r="S34" s="307">
        <v>8.10115970903E11</v>
      </c>
      <c r="T34" s="209"/>
      <c r="U34" s="209"/>
      <c r="V34" s="209"/>
      <c r="W34" s="209"/>
      <c r="X34" s="300" t="b">
        <v>1</v>
      </c>
      <c r="Y34" s="301" t="b">
        <v>0</v>
      </c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</row>
    <row r="35">
      <c r="A35" s="291"/>
      <c r="B35" s="303" t="s">
        <v>619</v>
      </c>
      <c r="C35" s="304" t="s">
        <v>4232</v>
      </c>
      <c r="D35" s="304" t="s">
        <v>620</v>
      </c>
      <c r="E35" s="307">
        <v>8.10115972884E11</v>
      </c>
      <c r="F35" s="209"/>
      <c r="G35" s="209"/>
      <c r="H35" s="209"/>
      <c r="I35" s="209"/>
      <c r="J35" s="296" t="b">
        <v>1</v>
      </c>
      <c r="K35" s="301" t="b">
        <v>0</v>
      </c>
      <c r="L35" s="313"/>
      <c r="M35" s="314" t="b">
        <v>0</v>
      </c>
      <c r="N35" s="209"/>
      <c r="O35" s="291"/>
      <c r="P35" s="303" t="s">
        <v>622</v>
      </c>
      <c r="Q35" s="306" t="s">
        <v>384</v>
      </c>
      <c r="R35" s="304" t="s">
        <v>623</v>
      </c>
      <c r="S35" s="307">
        <v>8.40472501656E11</v>
      </c>
      <c r="T35" s="209"/>
      <c r="U35" s="209"/>
      <c r="V35" s="209"/>
      <c r="W35" s="209"/>
      <c r="X35" s="300" t="b">
        <v>1</v>
      </c>
      <c r="Y35" s="301" t="b">
        <v>0</v>
      </c>
      <c r="Z35" s="209"/>
      <c r="AA35" s="209"/>
      <c r="AB35" s="209"/>
      <c r="AC35" s="326" t="s">
        <v>562</v>
      </c>
      <c r="AD35" s="282" t="s">
        <v>624</v>
      </c>
      <c r="AE35" s="273"/>
      <c r="AF35" s="274" t="s">
        <v>625</v>
      </c>
      <c r="AG35" s="321" t="s">
        <v>380</v>
      </c>
      <c r="AH35" s="273"/>
      <c r="AI35" s="273"/>
      <c r="AJ35" s="276" t="s">
        <v>370</v>
      </c>
      <c r="AK35" s="276" t="s">
        <v>4245</v>
      </c>
      <c r="AL35" s="278" t="str">
        <f>IF(COUNTIF(AL36:AL46, TRUE) = COUNTA(AL36:AL46), "Complete!", IF(COUNTIF(AL36:AL46, TRUE) &gt; 0, "Partial", "Not Started"))</f>
        <v>Complete!</v>
      </c>
      <c r="AM35" s="279"/>
      <c r="AN35" s="285" t="s">
        <v>889</v>
      </c>
      <c r="AO35" s="465" t="str">
        <f>IF(COUNTIF(#REF!, TRUE) = COUNTA(#REF!), "Complete!", IF(COUNTIF(#REF!, TRUE) &gt; 0, "Partial", "Not Started"))</f>
        <v>#REF!</v>
      </c>
      <c r="AP35" s="280">
        <v>11.0</v>
      </c>
    </row>
    <row r="36">
      <c r="A36" s="291"/>
      <c r="B36" s="303" t="s">
        <v>627</v>
      </c>
      <c r="C36" s="304" t="s">
        <v>4234</v>
      </c>
      <c r="D36" s="304" t="s">
        <v>628</v>
      </c>
      <c r="E36" s="307">
        <v>8.10115972891E11</v>
      </c>
      <c r="F36" s="209"/>
      <c r="G36" s="209"/>
      <c r="H36" s="209"/>
      <c r="I36" s="209"/>
      <c r="J36" s="296" t="b">
        <v>1</v>
      </c>
      <c r="K36" s="301" t="b">
        <v>0</v>
      </c>
      <c r="L36" s="209"/>
      <c r="M36" s="209"/>
      <c r="N36" s="209"/>
      <c r="O36" s="291"/>
      <c r="P36" s="310" t="s">
        <v>629</v>
      </c>
      <c r="Q36" s="317" t="s">
        <v>630</v>
      </c>
      <c r="R36" s="311" t="s">
        <v>631</v>
      </c>
      <c r="S36" s="318">
        <v>8.40472501663E11</v>
      </c>
      <c r="T36" s="313"/>
      <c r="U36" s="313"/>
      <c r="V36" s="313"/>
      <c r="W36" s="313"/>
      <c r="X36" s="300" t="b">
        <v>1</v>
      </c>
      <c r="Y36" s="314" t="b">
        <v>0</v>
      </c>
      <c r="Z36" s="209"/>
      <c r="AA36" s="209"/>
      <c r="AB36" s="209"/>
      <c r="AC36" s="291"/>
      <c r="AD36" s="292" t="s">
        <v>632</v>
      </c>
      <c r="AE36" s="293" t="s">
        <v>588</v>
      </c>
      <c r="AF36" s="293" t="s">
        <v>633</v>
      </c>
      <c r="AG36" s="302" t="s">
        <v>634</v>
      </c>
      <c r="AH36" s="295"/>
      <c r="AI36" s="295"/>
      <c r="AJ36" s="295"/>
      <c r="AK36" s="295"/>
      <c r="AL36" s="299" t="b">
        <v>1</v>
      </c>
      <c r="AM36" s="297" t="b">
        <v>0</v>
      </c>
      <c r="AN36" s="209"/>
      <c r="AO36" s="209"/>
      <c r="AP36" s="209"/>
    </row>
    <row r="37">
      <c r="A37" s="291"/>
      <c r="B37" s="303" t="s">
        <v>635</v>
      </c>
      <c r="C37" s="304" t="s">
        <v>4236</v>
      </c>
      <c r="D37" s="304" t="s">
        <v>636</v>
      </c>
      <c r="E37" s="307">
        <v>8.40472502424E11</v>
      </c>
      <c r="F37" s="304" t="s">
        <v>1062</v>
      </c>
      <c r="G37" s="209"/>
      <c r="H37" s="209"/>
      <c r="I37" s="209"/>
      <c r="J37" s="296" t="b">
        <v>1</v>
      </c>
      <c r="K37" s="301" t="b">
        <v>0</v>
      </c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91"/>
      <c r="AD37" s="303" t="s">
        <v>637</v>
      </c>
      <c r="AE37" s="304" t="s">
        <v>384</v>
      </c>
      <c r="AF37" s="304" t="s">
        <v>638</v>
      </c>
      <c r="AG37" s="308" t="s">
        <v>639</v>
      </c>
      <c r="AH37" s="209"/>
      <c r="AI37" s="209"/>
      <c r="AJ37" s="209"/>
      <c r="AK37" s="209"/>
      <c r="AL37" s="299" t="b">
        <v>1</v>
      </c>
      <c r="AM37" s="301" t="b">
        <v>0</v>
      </c>
      <c r="AN37" s="209"/>
      <c r="AO37" s="209"/>
      <c r="AP37" s="209"/>
    </row>
    <row r="38">
      <c r="A38" s="309"/>
      <c r="B38" s="310" t="s">
        <v>640</v>
      </c>
      <c r="C38" s="311" t="s">
        <v>4246</v>
      </c>
      <c r="D38" s="311" t="s">
        <v>642</v>
      </c>
      <c r="E38" s="318">
        <v>8.40472502448E11</v>
      </c>
      <c r="F38" s="311" t="s">
        <v>1062</v>
      </c>
      <c r="G38" s="311" t="s">
        <v>656</v>
      </c>
      <c r="H38" s="313"/>
      <c r="I38" s="311" t="s">
        <v>4247</v>
      </c>
      <c r="J38" s="371" t="b">
        <v>1</v>
      </c>
      <c r="K38" s="314" t="b">
        <v>1</v>
      </c>
      <c r="L38" s="209"/>
      <c r="M38" s="209"/>
      <c r="N38" s="209"/>
      <c r="O38" s="327" t="s">
        <v>643</v>
      </c>
      <c r="P38" s="282" t="s">
        <v>644</v>
      </c>
      <c r="Q38" s="273"/>
      <c r="R38" s="274" t="s">
        <v>645</v>
      </c>
      <c r="S38" s="284" t="s">
        <v>4226</v>
      </c>
      <c r="T38" s="273"/>
      <c r="U38" s="273"/>
      <c r="V38" s="276" t="s">
        <v>888</v>
      </c>
      <c r="W38" s="276" t="s">
        <v>1009</v>
      </c>
      <c r="X38" s="278" t="str">
        <f>IF(COUNTIF(X62:X69, TRUE) = COUNTA(X62:X69), "Complete!", IF(COUNTIF(X62:X69, TRUE) &gt; 0, "Partial", "Not Started"))</f>
        <v>Partial</v>
      </c>
      <c r="Y38" s="279"/>
      <c r="Z38" s="209"/>
      <c r="AA38" s="209"/>
      <c r="AB38" s="280">
        <v>8.0</v>
      </c>
      <c r="AC38" s="291"/>
      <c r="AD38" s="303" t="s">
        <v>647</v>
      </c>
      <c r="AE38" s="304" t="s">
        <v>394</v>
      </c>
      <c r="AF38" s="304" t="s">
        <v>648</v>
      </c>
      <c r="AG38" s="308" t="s">
        <v>649</v>
      </c>
      <c r="AH38" s="209"/>
      <c r="AI38" s="209"/>
      <c r="AJ38" s="209"/>
      <c r="AK38" s="209"/>
      <c r="AL38" s="299" t="b">
        <v>1</v>
      </c>
      <c r="AM38" s="301" t="b">
        <v>0</v>
      </c>
      <c r="AN38" s="209"/>
      <c r="AO38" s="209"/>
      <c r="AP38" s="209"/>
    </row>
    <row r="39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P39" s="292" t="s">
        <v>650</v>
      </c>
      <c r="Q39" s="298" t="s">
        <v>651</v>
      </c>
      <c r="R39" s="293" t="s">
        <v>652</v>
      </c>
      <c r="S39" s="299">
        <v>8.10115970118E11</v>
      </c>
      <c r="T39" s="295"/>
      <c r="U39" s="295"/>
      <c r="V39" s="295"/>
      <c r="W39" s="328"/>
      <c r="X39" s="296" t="b">
        <v>1</v>
      </c>
      <c r="Y39" s="297" t="b">
        <v>0</v>
      </c>
      <c r="Z39" s="432" t="s">
        <v>889</v>
      </c>
      <c r="AA39" s="466" t="str">
        <f>IF(COUNTIF(AA5:AA61, TRUE) = COUNTA(AA5:AA61), "Complete!", IF(COUNTIF(AA5:AA61, TRUE) &gt; 0, "Partial", "Not Started"))</f>
        <v>#REF!</v>
      </c>
      <c r="AB39" s="209"/>
      <c r="AC39" s="291"/>
      <c r="AD39" s="303" t="s">
        <v>653</v>
      </c>
      <c r="AE39" s="304" t="s">
        <v>404</v>
      </c>
      <c r="AF39" s="304" t="s">
        <v>654</v>
      </c>
      <c r="AG39" s="308" t="s">
        <v>655</v>
      </c>
      <c r="AH39" s="304" t="s">
        <v>656</v>
      </c>
      <c r="AI39" s="209"/>
      <c r="AJ39" s="209"/>
      <c r="AK39" s="304" t="s">
        <v>4248</v>
      </c>
      <c r="AL39" s="299" t="b">
        <v>1</v>
      </c>
      <c r="AM39" s="301" t="b">
        <v>0</v>
      </c>
      <c r="AN39" s="209"/>
      <c r="AO39" s="209"/>
      <c r="AP39" s="209"/>
    </row>
    <row r="40">
      <c r="A40" s="316" t="s">
        <v>643</v>
      </c>
      <c r="B40" s="329" t="s">
        <v>246</v>
      </c>
      <c r="C40" s="273"/>
      <c r="D40" s="274" t="s">
        <v>245</v>
      </c>
      <c r="E40" s="463" t="s">
        <v>369</v>
      </c>
      <c r="F40" s="330" t="s">
        <v>351</v>
      </c>
      <c r="G40" s="273"/>
      <c r="H40" s="277" t="s">
        <v>468</v>
      </c>
      <c r="I40" s="277" t="s">
        <v>1596</v>
      </c>
      <c r="J40" s="278" t="str">
        <f>IF(COUNTIF(J41:J42, TRUE) = COUNTA(J41:J42), "Complete!", IF(COUNTIF(J41:J42, TRUE) &gt; 0, "Partial", "Not Started"))</f>
        <v>Complete!</v>
      </c>
      <c r="K40" s="279"/>
      <c r="L40" s="464" t="s">
        <v>889</v>
      </c>
      <c r="M40" s="465" t="str">
        <f>IF(COUNTIF(M41:M49, TRUE) = COUNTA(M41:M49), "Complete!", IF(COUNTIF(M41:M49, TRUE) &gt; 0, "Partial", "Not Started"))</f>
        <v>Not Started</v>
      </c>
      <c r="N40" s="280">
        <v>8.0</v>
      </c>
      <c r="P40" s="303" t="s">
        <v>658</v>
      </c>
      <c r="Q40" s="306" t="s">
        <v>659</v>
      </c>
      <c r="R40" s="304" t="s">
        <v>660</v>
      </c>
      <c r="S40" s="307">
        <v>8.10115970842E11</v>
      </c>
      <c r="T40" s="209"/>
      <c r="U40" s="209"/>
      <c r="V40" s="209"/>
      <c r="W40" s="209"/>
      <c r="X40" s="300" t="b">
        <v>1</v>
      </c>
      <c r="Y40" s="301" t="b">
        <v>0</v>
      </c>
      <c r="Z40" s="325"/>
      <c r="AA40" s="469" t="b">
        <v>0</v>
      </c>
      <c r="AB40" s="209"/>
      <c r="AC40" s="291"/>
      <c r="AD40" s="354" t="s">
        <v>661</v>
      </c>
      <c r="AE40" s="304" t="s">
        <v>662</v>
      </c>
      <c r="AF40" s="304" t="s">
        <v>663</v>
      </c>
      <c r="AG40" s="308" t="s">
        <v>664</v>
      </c>
      <c r="AH40" s="209"/>
      <c r="AI40" s="209"/>
      <c r="AJ40" s="209"/>
      <c r="AK40" s="209"/>
      <c r="AL40" s="299" t="b">
        <v>1</v>
      </c>
      <c r="AM40" s="301" t="b">
        <v>0</v>
      </c>
      <c r="AN40" s="209"/>
      <c r="AO40" s="301" t="b">
        <v>0</v>
      </c>
      <c r="AP40" s="209"/>
    </row>
    <row r="41">
      <c r="A41" s="291"/>
      <c r="B41" s="292" t="s">
        <v>665</v>
      </c>
      <c r="C41" s="304" t="s">
        <v>4249</v>
      </c>
      <c r="D41" s="293" t="s">
        <v>666</v>
      </c>
      <c r="E41" s="296">
        <v>8.40472502493E11</v>
      </c>
      <c r="F41" s="351" t="s">
        <v>1062</v>
      </c>
      <c r="G41" s="328"/>
      <c r="H41" s="328"/>
      <c r="I41" s="328"/>
      <c r="J41" s="296" t="b">
        <v>1</v>
      </c>
      <c r="K41" s="297" t="b">
        <v>0</v>
      </c>
      <c r="L41" s="209"/>
      <c r="M41" s="301" t="b">
        <v>0</v>
      </c>
      <c r="N41" s="209"/>
      <c r="P41" s="303" t="s">
        <v>667</v>
      </c>
      <c r="Q41" s="306" t="s">
        <v>668</v>
      </c>
      <c r="R41" s="304" t="s">
        <v>669</v>
      </c>
      <c r="S41" s="307">
        <v>8.10115970866E11</v>
      </c>
      <c r="T41" s="209"/>
      <c r="U41" s="209"/>
      <c r="V41" s="209"/>
      <c r="W41" s="209"/>
      <c r="X41" s="300" t="b">
        <v>1</v>
      </c>
      <c r="Y41" s="301" t="b">
        <v>0</v>
      </c>
      <c r="Z41" s="313"/>
      <c r="AA41" s="314" t="b">
        <v>0</v>
      </c>
      <c r="AB41" s="209"/>
      <c r="AC41" s="291"/>
      <c r="AD41" s="303" t="s">
        <v>670</v>
      </c>
      <c r="AE41" s="304" t="s">
        <v>671</v>
      </c>
      <c r="AF41" s="304" t="s">
        <v>672</v>
      </c>
      <c r="AG41" s="307">
        <v>8.40472500086E11</v>
      </c>
      <c r="AH41" s="209"/>
      <c r="AI41" s="209"/>
      <c r="AJ41" s="209"/>
      <c r="AK41" s="209"/>
      <c r="AL41" s="299" t="b">
        <v>1</v>
      </c>
      <c r="AM41" s="301" t="b">
        <v>0</v>
      </c>
      <c r="AN41" s="209"/>
      <c r="AO41" s="301" t="b">
        <v>0</v>
      </c>
      <c r="AP41" s="209"/>
    </row>
    <row r="42">
      <c r="A42" s="291"/>
      <c r="B42" s="303" t="s">
        <v>673</v>
      </c>
      <c r="C42" s="304" t="s">
        <v>4250</v>
      </c>
      <c r="D42" s="304" t="s">
        <v>674</v>
      </c>
      <c r="E42" s="307">
        <v>8.40472502509E11</v>
      </c>
      <c r="F42" s="413" t="s">
        <v>1062</v>
      </c>
      <c r="G42" s="325"/>
      <c r="H42" s="325"/>
      <c r="I42" s="325"/>
      <c r="J42" s="296" t="b">
        <v>1</v>
      </c>
      <c r="K42" s="301" t="b">
        <v>0</v>
      </c>
      <c r="L42" s="209"/>
      <c r="M42" s="301" t="b">
        <v>0</v>
      </c>
      <c r="N42" s="209"/>
      <c r="P42" s="303" t="s">
        <v>675</v>
      </c>
      <c r="Q42" s="306" t="s">
        <v>676</v>
      </c>
      <c r="R42" s="304" t="s">
        <v>677</v>
      </c>
      <c r="S42" s="307">
        <v>8.1011597088E11</v>
      </c>
      <c r="T42" s="209"/>
      <c r="U42" s="209"/>
      <c r="V42" s="209"/>
      <c r="W42" s="209"/>
      <c r="X42" s="300" t="b">
        <v>1</v>
      </c>
      <c r="Y42" s="301" t="b">
        <v>0</v>
      </c>
      <c r="Z42" s="313"/>
      <c r="AA42" s="313"/>
      <c r="AB42" s="209"/>
      <c r="AC42" s="291"/>
      <c r="AD42" s="303" t="s">
        <v>678</v>
      </c>
      <c r="AE42" s="304" t="s">
        <v>679</v>
      </c>
      <c r="AF42" s="304" t="s">
        <v>680</v>
      </c>
      <c r="AG42" s="307">
        <v>8.40472500093E11</v>
      </c>
      <c r="AH42" s="209"/>
      <c r="AI42" s="209"/>
      <c r="AJ42" s="209"/>
      <c r="AK42" s="209"/>
      <c r="AL42" s="299" t="b">
        <v>1</v>
      </c>
      <c r="AM42" s="301" t="b">
        <v>0</v>
      </c>
      <c r="AN42" s="313"/>
      <c r="AO42" s="314" t="b">
        <v>0</v>
      </c>
      <c r="AP42" s="209"/>
    </row>
    <row r="43">
      <c r="A43" s="291"/>
      <c r="B43" s="303" t="s">
        <v>681</v>
      </c>
      <c r="C43" s="304" t="s">
        <v>4251</v>
      </c>
      <c r="D43" s="304" t="s">
        <v>683</v>
      </c>
      <c r="E43" s="307">
        <v>8.40472502561E11</v>
      </c>
      <c r="F43" s="413" t="s">
        <v>1062</v>
      </c>
      <c r="G43" s="325"/>
      <c r="H43" s="325"/>
      <c r="I43" s="325"/>
      <c r="J43" s="296" t="b">
        <v>1</v>
      </c>
      <c r="K43" s="301" t="b">
        <v>0</v>
      </c>
      <c r="L43" s="209"/>
      <c r="M43" s="301" t="b">
        <v>0</v>
      </c>
      <c r="N43" s="209"/>
      <c r="P43" s="303" t="s">
        <v>684</v>
      </c>
      <c r="Q43" s="306" t="s">
        <v>685</v>
      </c>
      <c r="R43" s="304" t="s">
        <v>686</v>
      </c>
      <c r="S43" s="307">
        <v>8.10115970859E11</v>
      </c>
      <c r="T43" s="209"/>
      <c r="U43" s="209"/>
      <c r="V43" s="209"/>
      <c r="W43" s="209"/>
      <c r="X43" s="300" t="b">
        <v>1</v>
      </c>
      <c r="Y43" s="301" t="b">
        <v>0</v>
      </c>
      <c r="Z43" s="209"/>
      <c r="AA43" s="209"/>
      <c r="AB43" s="209"/>
      <c r="AC43" s="291"/>
      <c r="AD43" s="303" t="s">
        <v>687</v>
      </c>
      <c r="AE43" s="304" t="s">
        <v>662</v>
      </c>
      <c r="AF43" s="304" t="s">
        <v>688</v>
      </c>
      <c r="AG43" s="307">
        <v>8.40472500055E11</v>
      </c>
      <c r="AH43" s="304" t="s">
        <v>1432</v>
      </c>
      <c r="AI43" s="209"/>
      <c r="AJ43" s="209"/>
      <c r="AK43" s="304" t="s">
        <v>4252</v>
      </c>
      <c r="AL43" s="299" t="b">
        <v>1</v>
      </c>
      <c r="AM43" s="301" t="b">
        <v>0</v>
      </c>
      <c r="AN43" s="209"/>
      <c r="AO43" s="209"/>
      <c r="AP43" s="209"/>
    </row>
    <row r="44">
      <c r="A44" s="291"/>
      <c r="B44" s="303" t="s">
        <v>689</v>
      </c>
      <c r="C44" s="304" t="s">
        <v>4253</v>
      </c>
      <c r="D44" s="304" t="s">
        <v>690</v>
      </c>
      <c r="E44" s="307">
        <v>8.10115979067E11</v>
      </c>
      <c r="F44" s="325"/>
      <c r="G44" s="325"/>
      <c r="H44" s="325"/>
      <c r="I44" s="325"/>
      <c r="J44" s="296" t="b">
        <v>1</v>
      </c>
      <c r="K44" s="301" t="b">
        <v>0</v>
      </c>
      <c r="L44" s="209"/>
      <c r="M44" s="301" t="b">
        <v>0</v>
      </c>
      <c r="N44" s="209"/>
      <c r="P44" s="303" t="s">
        <v>691</v>
      </c>
      <c r="Q44" s="306" t="s">
        <v>692</v>
      </c>
      <c r="R44" s="304" t="s">
        <v>693</v>
      </c>
      <c r="S44" s="307">
        <v>8.40472501595E11</v>
      </c>
      <c r="T44" s="209"/>
      <c r="U44" s="209"/>
      <c r="V44" s="209"/>
      <c r="W44" s="209"/>
      <c r="X44" s="300" t="b">
        <v>1</v>
      </c>
      <c r="Y44" s="301" t="b">
        <v>0</v>
      </c>
      <c r="Z44" s="209"/>
      <c r="AA44" s="209"/>
      <c r="AB44" s="209"/>
      <c r="AC44" s="291"/>
      <c r="AD44" s="303" t="s">
        <v>694</v>
      </c>
      <c r="AE44" s="304" t="s">
        <v>679</v>
      </c>
      <c r="AF44" s="304" t="s">
        <v>695</v>
      </c>
      <c r="AG44" s="307">
        <v>8.40472500079E11</v>
      </c>
      <c r="AH44" s="209"/>
      <c r="AI44" s="209"/>
      <c r="AJ44" s="209"/>
      <c r="AK44" s="209"/>
      <c r="AL44" s="299" t="b">
        <v>1</v>
      </c>
      <c r="AM44" s="301" t="b">
        <v>0</v>
      </c>
      <c r="AN44" s="209"/>
      <c r="AO44" s="209"/>
      <c r="AP44" s="209"/>
    </row>
    <row r="45">
      <c r="A45" s="291"/>
      <c r="B45" s="303" t="s">
        <v>696</v>
      </c>
      <c r="C45" s="304" t="s">
        <v>4254</v>
      </c>
      <c r="D45" s="304" t="s">
        <v>698</v>
      </c>
      <c r="E45" s="307">
        <v>8.40472502547E11</v>
      </c>
      <c r="F45" s="413" t="s">
        <v>1062</v>
      </c>
      <c r="G45" s="325"/>
      <c r="H45" s="325"/>
      <c r="I45" s="325"/>
      <c r="J45" s="296" t="b">
        <v>1</v>
      </c>
      <c r="K45" s="301" t="b">
        <v>0</v>
      </c>
      <c r="L45" s="209"/>
      <c r="M45" s="301" t="b">
        <v>0</v>
      </c>
      <c r="N45" s="209"/>
      <c r="P45" s="303" t="s">
        <v>699</v>
      </c>
      <c r="Q45" s="306" t="s">
        <v>700</v>
      </c>
      <c r="R45" s="304" t="s">
        <v>701</v>
      </c>
      <c r="S45" s="307">
        <v>8.40472501625E11</v>
      </c>
      <c r="T45" s="209"/>
      <c r="U45" s="209"/>
      <c r="V45" s="209"/>
      <c r="W45" s="209"/>
      <c r="X45" s="300" t="b">
        <v>1</v>
      </c>
      <c r="Y45" s="301" t="b">
        <v>0</v>
      </c>
      <c r="Z45" s="209"/>
      <c r="AA45" s="301" t="b">
        <v>0</v>
      </c>
      <c r="AB45" s="209"/>
      <c r="AC45" s="291"/>
      <c r="AD45" s="303" t="s">
        <v>702</v>
      </c>
      <c r="AE45" s="304" t="s">
        <v>671</v>
      </c>
      <c r="AF45" s="304" t="s">
        <v>703</v>
      </c>
      <c r="AG45" s="307">
        <v>8.40472500062E11</v>
      </c>
      <c r="AH45" s="209"/>
      <c r="AI45" s="209"/>
      <c r="AJ45" s="209"/>
      <c r="AK45" s="209"/>
      <c r="AL45" s="299" t="b">
        <v>1</v>
      </c>
      <c r="AM45" s="301" t="b">
        <v>0</v>
      </c>
      <c r="AN45" s="209"/>
      <c r="AO45" s="209"/>
      <c r="AP45" s="209"/>
    </row>
    <row r="46">
      <c r="A46" s="291"/>
      <c r="B46" s="303" t="s">
        <v>704</v>
      </c>
      <c r="C46" s="304" t="s">
        <v>4255</v>
      </c>
      <c r="D46" s="304" t="s">
        <v>706</v>
      </c>
      <c r="E46" s="307">
        <v>8.10115979074E11</v>
      </c>
      <c r="F46" s="325"/>
      <c r="G46" s="325"/>
      <c r="H46" s="325"/>
      <c r="I46" s="325"/>
      <c r="J46" s="296" t="b">
        <v>1</v>
      </c>
      <c r="K46" s="301" t="b">
        <v>0</v>
      </c>
      <c r="L46" s="209"/>
      <c r="M46" s="301" t="b">
        <v>0</v>
      </c>
      <c r="N46" s="209"/>
      <c r="P46" s="310" t="s">
        <v>707</v>
      </c>
      <c r="Q46" s="317" t="s">
        <v>708</v>
      </c>
      <c r="R46" s="311" t="s">
        <v>709</v>
      </c>
      <c r="S46" s="318">
        <v>8.40472501601E11</v>
      </c>
      <c r="T46" s="313"/>
      <c r="U46" s="313"/>
      <c r="V46" s="313"/>
      <c r="W46" s="313"/>
      <c r="X46" s="300" t="b">
        <v>1</v>
      </c>
      <c r="Y46" s="314" t="b">
        <v>0</v>
      </c>
      <c r="Z46" s="209"/>
      <c r="AA46" s="301" t="b">
        <v>0</v>
      </c>
      <c r="AB46" s="209"/>
      <c r="AC46" s="309"/>
      <c r="AD46" s="310" t="s">
        <v>710</v>
      </c>
      <c r="AE46" s="311" t="s">
        <v>394</v>
      </c>
      <c r="AF46" s="311" t="s">
        <v>711</v>
      </c>
      <c r="AG46" s="318">
        <v>8.40472500031E11</v>
      </c>
      <c r="AH46" s="313"/>
      <c r="AI46" s="313"/>
      <c r="AJ46" s="313"/>
      <c r="AK46" s="313"/>
      <c r="AL46" s="299" t="b">
        <v>1</v>
      </c>
      <c r="AM46" s="314" t="b">
        <v>0</v>
      </c>
      <c r="AN46" s="209"/>
      <c r="AO46" s="209"/>
      <c r="AP46" s="209"/>
    </row>
    <row r="47">
      <c r="A47" s="291"/>
      <c r="B47" s="303" t="s">
        <v>712</v>
      </c>
      <c r="C47" s="304" t="s">
        <v>4256</v>
      </c>
      <c r="D47" s="304" t="s">
        <v>713</v>
      </c>
      <c r="E47" s="307">
        <v>8.1011597905E11</v>
      </c>
      <c r="F47" s="325"/>
      <c r="G47" s="325"/>
      <c r="H47" s="325"/>
      <c r="I47" s="325"/>
      <c r="J47" s="296" t="b">
        <v>1</v>
      </c>
      <c r="K47" s="301" t="b">
        <v>0</v>
      </c>
      <c r="L47" s="209"/>
      <c r="M47" s="301" t="b">
        <v>0</v>
      </c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325"/>
      <c r="AA47" s="469" t="b">
        <v>0</v>
      </c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</row>
    <row r="48">
      <c r="A48" s="291"/>
      <c r="B48" s="310" t="s">
        <v>714</v>
      </c>
      <c r="C48" s="304" t="s">
        <v>4257</v>
      </c>
      <c r="D48" s="311" t="s">
        <v>716</v>
      </c>
      <c r="E48" s="318">
        <v>8.40472502578E11</v>
      </c>
      <c r="F48" s="352" t="s">
        <v>1062</v>
      </c>
      <c r="G48" s="331"/>
      <c r="H48" s="331"/>
      <c r="I48" s="331"/>
      <c r="J48" s="371" t="b">
        <v>1</v>
      </c>
      <c r="K48" s="314" t="b">
        <v>0</v>
      </c>
      <c r="L48" s="209"/>
      <c r="M48" s="301" t="b">
        <v>0</v>
      </c>
      <c r="N48" s="209"/>
      <c r="O48" s="327" t="s">
        <v>717</v>
      </c>
      <c r="P48" s="282" t="s">
        <v>718</v>
      </c>
      <c r="Q48" s="273"/>
      <c r="R48" s="274" t="s">
        <v>719</v>
      </c>
      <c r="S48" s="284" t="s">
        <v>4226</v>
      </c>
      <c r="T48" s="273"/>
      <c r="U48" s="273"/>
      <c r="V48" s="276" t="s">
        <v>563</v>
      </c>
      <c r="W48" s="276" t="s">
        <v>4258</v>
      </c>
      <c r="X48" s="278" t="str">
        <f>IF(COUNTIF(X61, TRUE) = COUNTA(X61), "Complete!", IF(COUNTIF(X61, TRUE) &gt; 0, "Partial", "Not Started"))</f>
        <v>Complete!</v>
      </c>
      <c r="Y48" s="279"/>
      <c r="Z48" s="209"/>
      <c r="AA48" s="301" t="b">
        <v>0</v>
      </c>
      <c r="AB48" s="280">
        <v>12.0</v>
      </c>
      <c r="AC48" s="326" t="s">
        <v>717</v>
      </c>
      <c r="AD48" s="319" t="s">
        <v>721</v>
      </c>
      <c r="AE48" s="320"/>
      <c r="AF48" s="283" t="s">
        <v>722</v>
      </c>
      <c r="AG48" s="332" t="s">
        <v>723</v>
      </c>
      <c r="AH48" s="320"/>
      <c r="AI48" s="320"/>
      <c r="AJ48" s="285" t="s">
        <v>370</v>
      </c>
      <c r="AK48" s="285" t="s">
        <v>3104</v>
      </c>
      <c r="AL48" s="333" t="str">
        <f>IF(COUNTIF(AL49:AL52, TRUE) = COUNTA(AL49:AL52), "Complete!", IF(COUNTIF(AL49:AL52, TRUE) &gt; 0, "Partial", "Not Started"))</f>
        <v>Complete!</v>
      </c>
      <c r="AM48" s="334"/>
      <c r="AN48" s="209"/>
      <c r="AO48" s="301" t="b">
        <v>0</v>
      </c>
      <c r="AP48" s="280">
        <v>4.0</v>
      </c>
    </row>
    <row r="49">
      <c r="A49" s="209"/>
      <c r="B49" s="209"/>
      <c r="C49" s="209"/>
      <c r="D49" s="209"/>
      <c r="E49" s="209"/>
      <c r="F49" s="325"/>
      <c r="G49" s="325"/>
      <c r="H49" s="325"/>
      <c r="I49" s="325"/>
      <c r="J49" s="209"/>
      <c r="K49" s="209"/>
      <c r="L49" s="209"/>
      <c r="M49" s="301" t="b">
        <v>0</v>
      </c>
      <c r="N49" s="209"/>
      <c r="P49" s="292" t="s">
        <v>725</v>
      </c>
      <c r="Q49" s="298" t="s">
        <v>726</v>
      </c>
      <c r="R49" s="293" t="s">
        <v>727</v>
      </c>
      <c r="S49" s="299">
        <v>8.10115970163E11</v>
      </c>
      <c r="T49" s="295"/>
      <c r="U49" s="295"/>
      <c r="V49" s="295"/>
      <c r="W49" s="295"/>
      <c r="X49" s="296" t="b">
        <v>1</v>
      </c>
      <c r="Y49" s="297" t="b">
        <v>0</v>
      </c>
      <c r="Z49" s="209"/>
      <c r="AA49" s="209"/>
      <c r="AB49" s="209"/>
      <c r="AC49" s="291"/>
      <c r="AD49" s="303" t="s">
        <v>728</v>
      </c>
      <c r="AE49" s="293" t="s">
        <v>729</v>
      </c>
      <c r="AF49" s="293" t="s">
        <v>730</v>
      </c>
      <c r="AG49" s="302" t="s">
        <v>731</v>
      </c>
      <c r="AH49" s="209"/>
      <c r="AI49" s="209"/>
      <c r="AJ49" s="209"/>
      <c r="AK49" s="209"/>
      <c r="AL49" s="307" t="b">
        <v>1</v>
      </c>
      <c r="AM49" s="301" t="b">
        <v>0</v>
      </c>
      <c r="AN49" s="313"/>
      <c r="AO49" s="314" t="b">
        <v>0</v>
      </c>
      <c r="AP49" s="209"/>
    </row>
    <row r="50">
      <c r="A50" s="316" t="s">
        <v>717</v>
      </c>
      <c r="B50" s="282" t="s">
        <v>249</v>
      </c>
      <c r="C50" s="273"/>
      <c r="D50" s="274" t="s">
        <v>248</v>
      </c>
      <c r="E50" s="463" t="s">
        <v>369</v>
      </c>
      <c r="F50" s="320"/>
      <c r="G50" s="320"/>
      <c r="H50" s="285" t="s">
        <v>370</v>
      </c>
      <c r="I50" s="323" t="s">
        <v>4259</v>
      </c>
      <c r="J50" s="333" t="str">
        <f>IF(COUNTIF(J52:J58, TRUE) = COUNTA(J52:J58), "Complete!", IF(COUNTIF(J52:J58, TRUE) &gt; 0, "Partial", "Not Started"))</f>
        <v>Complete!</v>
      </c>
      <c r="K50" s="334"/>
      <c r="L50" s="464" t="s">
        <v>889</v>
      </c>
      <c r="M50" s="465" t="str">
        <f>IF(COUNTIF(M52:M58, TRUE) = COUNTA(M52:M58), "Complete!", IF(COUNTIF(M52:M58, TRUE) &gt; 0, "Partial", "Not Started"))</f>
        <v>Not Started</v>
      </c>
      <c r="N50" s="280">
        <v>8.0</v>
      </c>
      <c r="P50" s="303" t="s">
        <v>735</v>
      </c>
      <c r="Q50" s="306" t="s">
        <v>736</v>
      </c>
      <c r="R50" s="304" t="s">
        <v>737</v>
      </c>
      <c r="S50" s="307">
        <v>8.10115970187E11</v>
      </c>
      <c r="T50" s="209"/>
      <c r="U50" s="209"/>
      <c r="V50" s="209"/>
      <c r="W50" s="209"/>
      <c r="X50" s="300" t="b">
        <v>1</v>
      </c>
      <c r="Y50" s="301" t="b">
        <v>0</v>
      </c>
      <c r="Z50" s="209"/>
      <c r="AA50" s="209"/>
      <c r="AB50" s="209"/>
      <c r="AC50" s="291"/>
      <c r="AD50" s="303" t="s">
        <v>738</v>
      </c>
      <c r="AE50" s="304" t="s">
        <v>739</v>
      </c>
      <c r="AF50" s="304" t="s">
        <v>740</v>
      </c>
      <c r="AG50" s="308" t="s">
        <v>741</v>
      </c>
      <c r="AH50" s="304" t="s">
        <v>732</v>
      </c>
      <c r="AI50" s="209"/>
      <c r="AJ50" s="209"/>
      <c r="AK50" s="304" t="s">
        <v>733</v>
      </c>
      <c r="AL50" s="307" t="b">
        <v>1</v>
      </c>
      <c r="AM50" s="301" t="b">
        <v>0</v>
      </c>
      <c r="AN50" s="209"/>
      <c r="AO50" s="209"/>
      <c r="AP50" s="209"/>
    </row>
    <row r="51">
      <c r="A51" s="291"/>
      <c r="B51" s="292" t="s">
        <v>742</v>
      </c>
      <c r="C51" s="293" t="s">
        <v>4216</v>
      </c>
      <c r="D51" s="293" t="s">
        <v>743</v>
      </c>
      <c r="E51" s="296">
        <v>8.40472502516E11</v>
      </c>
      <c r="F51" s="293" t="s">
        <v>1062</v>
      </c>
      <c r="G51" s="295"/>
      <c r="H51" s="295"/>
      <c r="I51" s="295"/>
      <c r="J51" s="296" t="b">
        <v>1</v>
      </c>
      <c r="K51" s="297" t="b">
        <v>0</v>
      </c>
      <c r="L51" s="419"/>
      <c r="M51" s="301" t="b">
        <v>0</v>
      </c>
      <c r="N51" s="209"/>
      <c r="P51" s="303" t="s">
        <v>744</v>
      </c>
      <c r="Q51" s="306" t="s">
        <v>745</v>
      </c>
      <c r="R51" s="304" t="s">
        <v>746</v>
      </c>
      <c r="S51" s="307">
        <v>8.10115970149E11</v>
      </c>
      <c r="T51" s="209"/>
      <c r="U51" s="209"/>
      <c r="V51" s="209"/>
      <c r="W51" s="209"/>
      <c r="X51" s="300" t="b">
        <v>1</v>
      </c>
      <c r="Y51" s="301" t="b">
        <v>0</v>
      </c>
      <c r="Z51" s="209"/>
      <c r="AA51" s="390"/>
      <c r="AB51" s="209"/>
      <c r="AC51" s="291"/>
      <c r="AD51" s="303" t="s">
        <v>747</v>
      </c>
      <c r="AE51" s="304" t="s">
        <v>575</v>
      </c>
      <c r="AF51" s="304" t="s">
        <v>748</v>
      </c>
      <c r="AG51" s="308" t="s">
        <v>749</v>
      </c>
      <c r="AH51" s="209"/>
      <c r="AI51" s="209"/>
      <c r="AJ51" s="209"/>
      <c r="AK51" s="209"/>
      <c r="AL51" s="307" t="b">
        <v>1</v>
      </c>
      <c r="AM51" s="301" t="b">
        <v>0</v>
      </c>
      <c r="AN51" s="285" t="s">
        <v>889</v>
      </c>
      <c r="AO51" s="465" t="str">
        <f>IF(COUNTIF(AO52:AO102, TRUE) = COUNTA(AO52:AO102), "Complete!", IF(COUNTIF(AO52:AO102, TRUE) &gt; 0, "Partial", "Not Started"))</f>
        <v>Not Started</v>
      </c>
      <c r="AP51" s="209"/>
    </row>
    <row r="52">
      <c r="A52" s="291"/>
      <c r="B52" s="303" t="s">
        <v>751</v>
      </c>
      <c r="C52" s="304" t="s">
        <v>4217</v>
      </c>
      <c r="D52" s="304" t="s">
        <v>752</v>
      </c>
      <c r="E52" s="307">
        <v>8.10115972693E11</v>
      </c>
      <c r="F52" s="304" t="s">
        <v>656</v>
      </c>
      <c r="G52" s="209"/>
      <c r="H52" s="209"/>
      <c r="I52" s="311" t="s">
        <v>4247</v>
      </c>
      <c r="J52" s="296" t="b">
        <v>1</v>
      </c>
      <c r="K52" s="301" t="b">
        <v>1</v>
      </c>
      <c r="L52" s="419"/>
      <c r="M52" s="301" t="b">
        <v>0</v>
      </c>
      <c r="N52" s="209"/>
      <c r="P52" s="303" t="s">
        <v>753</v>
      </c>
      <c r="Q52" s="306" t="s">
        <v>754</v>
      </c>
      <c r="R52" s="304" t="s">
        <v>755</v>
      </c>
      <c r="S52" s="307">
        <v>8.10115970156E11</v>
      </c>
      <c r="T52" s="209"/>
      <c r="U52" s="209"/>
      <c r="V52" s="209"/>
      <c r="W52" s="209"/>
      <c r="X52" s="300" t="b">
        <v>1</v>
      </c>
      <c r="Y52" s="301" t="b">
        <v>0</v>
      </c>
      <c r="Z52" s="209"/>
      <c r="AA52" s="390"/>
      <c r="AB52" s="209"/>
      <c r="AC52" s="309"/>
      <c r="AD52" s="310" t="s">
        <v>756</v>
      </c>
      <c r="AE52" s="311" t="s">
        <v>554</v>
      </c>
      <c r="AF52" s="311" t="s">
        <v>757</v>
      </c>
      <c r="AG52" s="335" t="s">
        <v>758</v>
      </c>
      <c r="AH52" s="313"/>
      <c r="AI52" s="313"/>
      <c r="AJ52" s="313"/>
      <c r="AK52" s="313"/>
      <c r="AL52" s="318" t="b">
        <v>1</v>
      </c>
      <c r="AM52" s="314" t="b">
        <v>0</v>
      </c>
      <c r="AN52" s="209"/>
      <c r="AO52" s="301" t="b">
        <v>0</v>
      </c>
      <c r="AP52" s="209"/>
    </row>
    <row r="53">
      <c r="A53" s="291"/>
      <c r="B53" s="303" t="s">
        <v>760</v>
      </c>
      <c r="C53" s="304" t="s">
        <v>4218</v>
      </c>
      <c r="D53" s="304" t="s">
        <v>761</v>
      </c>
      <c r="E53" s="307">
        <v>8.10115972716E11</v>
      </c>
      <c r="F53" s="209"/>
      <c r="G53" s="209"/>
      <c r="H53" s="209"/>
      <c r="I53" s="209"/>
      <c r="J53" s="296" t="b">
        <v>1</v>
      </c>
      <c r="K53" s="301" t="b">
        <v>0</v>
      </c>
      <c r="L53" s="419"/>
      <c r="M53" s="301" t="b">
        <v>0</v>
      </c>
      <c r="N53" s="209"/>
      <c r="P53" s="303" t="s">
        <v>762</v>
      </c>
      <c r="Q53" s="306" t="s">
        <v>662</v>
      </c>
      <c r="R53" s="304" t="s">
        <v>763</v>
      </c>
      <c r="S53" s="307">
        <v>8.10115976035E11</v>
      </c>
      <c r="T53" s="209"/>
      <c r="U53" s="209"/>
      <c r="V53" s="209"/>
      <c r="W53" s="325"/>
      <c r="X53" s="300" t="b">
        <v>1</v>
      </c>
      <c r="Y53" s="301" t="b">
        <v>0</v>
      </c>
      <c r="Z53" s="209"/>
      <c r="AA53" s="390"/>
      <c r="AB53" s="209"/>
      <c r="AC53" s="209"/>
      <c r="AD53" s="209"/>
      <c r="AE53" s="209"/>
      <c r="AF53" s="313"/>
      <c r="AG53" s="209"/>
      <c r="AH53" s="209"/>
      <c r="AI53" s="209"/>
      <c r="AJ53" s="209"/>
      <c r="AK53" s="209"/>
      <c r="AL53" s="209"/>
      <c r="AM53" s="209"/>
      <c r="AN53" s="209"/>
      <c r="AO53" s="301" t="b">
        <v>0</v>
      </c>
      <c r="AP53" s="209"/>
    </row>
    <row r="54">
      <c r="A54" s="291"/>
      <c r="B54" s="303" t="s">
        <v>764</v>
      </c>
      <c r="C54" s="304" t="s">
        <v>4253</v>
      </c>
      <c r="D54" s="304" t="s">
        <v>765</v>
      </c>
      <c r="E54" s="307">
        <v>8.40472502523E11</v>
      </c>
      <c r="F54" s="304" t="s">
        <v>1062</v>
      </c>
      <c r="G54" s="209"/>
      <c r="H54" s="209"/>
      <c r="I54" s="209"/>
      <c r="J54" s="296" t="b">
        <v>1</v>
      </c>
      <c r="K54" s="301" t="b">
        <v>0</v>
      </c>
      <c r="L54" s="419"/>
      <c r="M54" s="301" t="b">
        <v>0</v>
      </c>
      <c r="N54" s="209"/>
      <c r="P54" s="303" t="s">
        <v>766</v>
      </c>
      <c r="Q54" s="306" t="s">
        <v>434</v>
      </c>
      <c r="R54" s="304" t="s">
        <v>767</v>
      </c>
      <c r="S54" s="307">
        <v>8.10115976059E11</v>
      </c>
      <c r="T54" s="209"/>
      <c r="U54" s="209"/>
      <c r="V54" s="209"/>
      <c r="W54" s="325"/>
      <c r="X54" s="300" t="b">
        <v>1</v>
      </c>
      <c r="Y54" s="301" t="b">
        <v>0</v>
      </c>
      <c r="Z54" s="209"/>
      <c r="AA54" s="390"/>
      <c r="AB54" s="209"/>
      <c r="AC54" s="326" t="s">
        <v>768</v>
      </c>
      <c r="AD54" s="319" t="s">
        <v>769</v>
      </c>
      <c r="AE54" s="320"/>
      <c r="AF54" s="283" t="s">
        <v>770</v>
      </c>
      <c r="AG54" s="336" t="s">
        <v>723</v>
      </c>
      <c r="AH54" s="320"/>
      <c r="AI54" s="320"/>
      <c r="AJ54" s="285" t="s">
        <v>376</v>
      </c>
      <c r="AK54" s="285" t="s">
        <v>832</v>
      </c>
      <c r="AL54" s="333" t="str">
        <f>IF(COUNTIF(AL55:AL61, TRUE) = COUNTA(AL55:AL61), "Complete!", IF(COUNTIF(AL55:AL61, TRUE) &gt; 0, "Partial", "Not Started"))</f>
        <v>Complete!</v>
      </c>
      <c r="AM54" s="334"/>
      <c r="AN54" s="209"/>
      <c r="AO54" s="301" t="b">
        <v>0</v>
      </c>
      <c r="AP54" s="280">
        <v>7.0</v>
      </c>
    </row>
    <row r="55">
      <c r="A55" s="291"/>
      <c r="B55" s="303" t="s">
        <v>772</v>
      </c>
      <c r="C55" s="304" t="s">
        <v>4219</v>
      </c>
      <c r="D55" s="304" t="s">
        <v>773</v>
      </c>
      <c r="E55" s="307">
        <v>8.10115972679E11</v>
      </c>
      <c r="F55" s="209"/>
      <c r="G55" s="209"/>
      <c r="H55" s="209"/>
      <c r="I55" s="209"/>
      <c r="J55" s="296" t="b">
        <v>1</v>
      </c>
      <c r="K55" s="301" t="b">
        <v>0</v>
      </c>
      <c r="L55" s="419"/>
      <c r="M55" s="301" t="b">
        <v>0</v>
      </c>
      <c r="N55" s="209"/>
      <c r="P55" s="303" t="s">
        <v>774</v>
      </c>
      <c r="Q55" s="306" t="s">
        <v>775</v>
      </c>
      <c r="R55" s="304" t="s">
        <v>776</v>
      </c>
      <c r="S55" s="307">
        <v>8.40472501816E11</v>
      </c>
      <c r="T55" s="209"/>
      <c r="U55" s="209"/>
      <c r="V55" s="209"/>
      <c r="W55" s="209"/>
      <c r="X55" s="300" t="b">
        <v>1</v>
      </c>
      <c r="Y55" s="301" t="b">
        <v>0</v>
      </c>
      <c r="Z55" s="209"/>
      <c r="AA55" s="390"/>
      <c r="AB55" s="209"/>
      <c r="AC55" s="291"/>
      <c r="AD55" s="303" t="s">
        <v>777</v>
      </c>
      <c r="AE55" s="304" t="s">
        <v>729</v>
      </c>
      <c r="AF55" s="304" t="s">
        <v>778</v>
      </c>
      <c r="AG55" s="307">
        <v>8.10115979746E11</v>
      </c>
      <c r="AH55" s="304" t="s">
        <v>732</v>
      </c>
      <c r="AI55" s="209"/>
      <c r="AJ55" s="209"/>
      <c r="AK55" s="304" t="s">
        <v>733</v>
      </c>
      <c r="AL55" s="307" t="b">
        <v>1</v>
      </c>
      <c r="AM55" s="301" t="b">
        <v>0</v>
      </c>
      <c r="AN55" s="209"/>
      <c r="AO55" s="301" t="b">
        <v>0</v>
      </c>
      <c r="AP55" s="209"/>
    </row>
    <row r="56">
      <c r="A56" s="291"/>
      <c r="B56" s="303" t="s">
        <v>779</v>
      </c>
      <c r="C56" s="304" t="s">
        <v>4221</v>
      </c>
      <c r="D56" s="304" t="s">
        <v>780</v>
      </c>
      <c r="E56" s="307">
        <v>8.10115972662E11</v>
      </c>
      <c r="F56" s="209"/>
      <c r="G56" s="209"/>
      <c r="H56" s="209"/>
      <c r="I56" s="209"/>
      <c r="J56" s="296" t="b">
        <v>1</v>
      </c>
      <c r="K56" s="301" t="b">
        <v>0</v>
      </c>
      <c r="L56" s="419"/>
      <c r="M56" s="301" t="b">
        <v>0</v>
      </c>
      <c r="N56" s="209"/>
      <c r="P56" s="303" t="s">
        <v>781</v>
      </c>
      <c r="Q56" s="306" t="s">
        <v>782</v>
      </c>
      <c r="R56" s="304" t="s">
        <v>783</v>
      </c>
      <c r="S56" s="307">
        <v>8.40472501809E11</v>
      </c>
      <c r="T56" s="209"/>
      <c r="U56" s="209"/>
      <c r="V56" s="209"/>
      <c r="W56" s="209"/>
      <c r="X56" s="300" t="b">
        <v>1</v>
      </c>
      <c r="Y56" s="301" t="b">
        <v>0</v>
      </c>
      <c r="Z56" s="209"/>
      <c r="AA56" s="390"/>
      <c r="AB56" s="209"/>
      <c r="AC56" s="291"/>
      <c r="AD56" s="303" t="s">
        <v>784</v>
      </c>
      <c r="AE56" s="304" t="s">
        <v>739</v>
      </c>
      <c r="AF56" s="304" t="s">
        <v>785</v>
      </c>
      <c r="AG56" s="307">
        <v>8.10115979708E11</v>
      </c>
      <c r="AH56" s="304" t="s">
        <v>732</v>
      </c>
      <c r="AI56" s="209"/>
      <c r="AJ56" s="209"/>
      <c r="AK56" s="304" t="s">
        <v>733</v>
      </c>
      <c r="AL56" s="307" t="b">
        <v>1</v>
      </c>
      <c r="AM56" s="301" t="b">
        <v>0</v>
      </c>
      <c r="AN56" s="209"/>
      <c r="AO56" s="301" t="b">
        <v>0</v>
      </c>
      <c r="AP56" s="209"/>
    </row>
    <row r="57">
      <c r="A57" s="291"/>
      <c r="B57" s="303" t="s">
        <v>786</v>
      </c>
      <c r="C57" s="304" t="s">
        <v>4256</v>
      </c>
      <c r="D57" s="304" t="s">
        <v>787</v>
      </c>
      <c r="E57" s="307">
        <v>8.4047250253E11</v>
      </c>
      <c r="F57" s="304" t="s">
        <v>1062</v>
      </c>
      <c r="G57" s="209"/>
      <c r="H57" s="209"/>
      <c r="I57" s="209"/>
      <c r="J57" s="296" t="b">
        <v>1</v>
      </c>
      <c r="K57" s="301" t="b">
        <v>0</v>
      </c>
      <c r="L57" s="419"/>
      <c r="M57" s="301" t="b">
        <v>0</v>
      </c>
      <c r="N57" s="209"/>
      <c r="P57" s="303" t="s">
        <v>788</v>
      </c>
      <c r="Q57" s="306" t="s">
        <v>789</v>
      </c>
      <c r="R57" s="304" t="s">
        <v>790</v>
      </c>
      <c r="S57" s="307">
        <v>8.4047250183E11</v>
      </c>
      <c r="T57" s="209"/>
      <c r="U57" s="209"/>
      <c r="V57" s="209"/>
      <c r="W57" s="209"/>
      <c r="X57" s="300" t="b">
        <v>1</v>
      </c>
      <c r="Y57" s="301" t="b">
        <v>0</v>
      </c>
      <c r="Z57" s="331"/>
      <c r="AA57" s="467" t="b">
        <v>0</v>
      </c>
      <c r="AB57" s="209"/>
      <c r="AC57" s="291"/>
      <c r="AD57" s="303" t="s">
        <v>791</v>
      </c>
      <c r="AE57" s="304" t="s">
        <v>575</v>
      </c>
      <c r="AF57" s="304" t="s">
        <v>792</v>
      </c>
      <c r="AG57" s="307">
        <v>8.1011597976E11</v>
      </c>
      <c r="AH57" s="304" t="s">
        <v>732</v>
      </c>
      <c r="AI57" s="209"/>
      <c r="AJ57" s="209"/>
      <c r="AK57" s="304" t="s">
        <v>733</v>
      </c>
      <c r="AL57" s="307" t="b">
        <v>1</v>
      </c>
      <c r="AM57" s="301" t="b">
        <v>0</v>
      </c>
      <c r="AN57" s="209"/>
      <c r="AO57" s="301" t="b">
        <v>0</v>
      </c>
      <c r="AP57" s="209"/>
    </row>
    <row r="58">
      <c r="A58" s="309"/>
      <c r="B58" s="310" t="s">
        <v>793</v>
      </c>
      <c r="C58" s="311" t="s">
        <v>4222</v>
      </c>
      <c r="D58" s="311" t="s">
        <v>794</v>
      </c>
      <c r="E58" s="318">
        <v>8.10115972686E11</v>
      </c>
      <c r="F58" s="313"/>
      <c r="G58" s="311" t="s">
        <v>656</v>
      </c>
      <c r="H58" s="313"/>
      <c r="I58" s="311" t="s">
        <v>4247</v>
      </c>
      <c r="J58" s="371" t="b">
        <v>1</v>
      </c>
      <c r="K58" s="314" t="b">
        <v>1</v>
      </c>
      <c r="L58" s="365"/>
      <c r="M58" s="314" t="b">
        <v>0</v>
      </c>
      <c r="N58" s="209"/>
      <c r="P58" s="303" t="s">
        <v>795</v>
      </c>
      <c r="Q58" s="306" t="s">
        <v>796</v>
      </c>
      <c r="R58" s="304" t="s">
        <v>797</v>
      </c>
      <c r="S58" s="307">
        <v>8.40472501847E11</v>
      </c>
      <c r="T58" s="209"/>
      <c r="U58" s="209"/>
      <c r="V58" s="209"/>
      <c r="W58" s="209"/>
      <c r="X58" s="300" t="b">
        <v>1</v>
      </c>
      <c r="Y58" s="301" t="b">
        <v>0</v>
      </c>
      <c r="Z58" s="209"/>
      <c r="AA58" s="301" t="b">
        <v>0</v>
      </c>
      <c r="AB58" s="209"/>
      <c r="AC58" s="291"/>
      <c r="AD58" s="303" t="s">
        <v>798</v>
      </c>
      <c r="AE58" s="304" t="s">
        <v>575</v>
      </c>
      <c r="AF58" s="304" t="s">
        <v>799</v>
      </c>
      <c r="AG58" s="307">
        <v>8.10115979715E11</v>
      </c>
      <c r="AH58" s="304" t="s">
        <v>732</v>
      </c>
      <c r="AI58" s="209"/>
      <c r="AJ58" s="209"/>
      <c r="AK58" s="304" t="s">
        <v>733</v>
      </c>
      <c r="AL58" s="307" t="b">
        <v>1</v>
      </c>
      <c r="AM58" s="301" t="b">
        <v>0</v>
      </c>
      <c r="AN58" s="209"/>
      <c r="AO58" s="301" t="b">
        <v>0</v>
      </c>
      <c r="AP58" s="209"/>
    </row>
    <row r="59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P59" s="303" t="s">
        <v>800</v>
      </c>
      <c r="Q59" s="306" t="s">
        <v>400</v>
      </c>
      <c r="R59" s="304" t="s">
        <v>801</v>
      </c>
      <c r="S59" s="307">
        <v>8.40472501823E11</v>
      </c>
      <c r="T59" s="209"/>
      <c r="U59" s="209"/>
      <c r="V59" s="209"/>
      <c r="W59" s="209"/>
      <c r="X59" s="300" t="b">
        <v>1</v>
      </c>
      <c r="Y59" s="301" t="b">
        <v>0</v>
      </c>
      <c r="Z59" s="209"/>
      <c r="AA59" s="301" t="b">
        <v>0</v>
      </c>
      <c r="AB59" s="209"/>
      <c r="AC59" s="291"/>
      <c r="AD59" s="303" t="s">
        <v>802</v>
      </c>
      <c r="AE59" s="304" t="s">
        <v>803</v>
      </c>
      <c r="AF59" s="304" t="s">
        <v>804</v>
      </c>
      <c r="AG59" s="307">
        <v>8.10115979777E11</v>
      </c>
      <c r="AH59" s="304" t="s">
        <v>732</v>
      </c>
      <c r="AI59" s="209"/>
      <c r="AJ59" s="209"/>
      <c r="AK59" s="304" t="s">
        <v>733</v>
      </c>
      <c r="AL59" s="307" t="b">
        <v>1</v>
      </c>
      <c r="AM59" s="301" t="b">
        <v>0</v>
      </c>
      <c r="AN59" s="209"/>
      <c r="AO59" s="301" t="b">
        <v>0</v>
      </c>
      <c r="AP59" s="209"/>
    </row>
    <row r="60">
      <c r="A60" s="337" t="s">
        <v>768</v>
      </c>
      <c r="B60" s="282" t="s">
        <v>234</v>
      </c>
      <c r="C60" s="273"/>
      <c r="D60" s="274" t="s">
        <v>233</v>
      </c>
      <c r="E60" s="463" t="s">
        <v>805</v>
      </c>
      <c r="F60" s="273"/>
      <c r="G60" s="273"/>
      <c r="H60" s="276" t="s">
        <v>468</v>
      </c>
      <c r="I60" s="277" t="s">
        <v>4260</v>
      </c>
      <c r="J60" s="470" t="str">
        <f>IF(COUNTIF(J63:J116, TRUE) = COUNTA(J63:J116), "Complete!", IF(COUNTIF(J63:J116, TRUE) &gt; 0, "Partial", "Not Started"))</f>
        <v>Partial</v>
      </c>
      <c r="K60" s="279"/>
      <c r="L60" s="209"/>
      <c r="M60" s="209"/>
      <c r="N60" s="280">
        <v>9.0</v>
      </c>
      <c r="P60" s="310" t="s">
        <v>807</v>
      </c>
      <c r="Q60" s="317" t="s">
        <v>808</v>
      </c>
      <c r="R60" s="311" t="s">
        <v>809</v>
      </c>
      <c r="S60" s="318">
        <v>8.40472501854E11</v>
      </c>
      <c r="T60" s="313"/>
      <c r="U60" s="313"/>
      <c r="V60" s="313"/>
      <c r="W60" s="313"/>
      <c r="X60" s="350" t="b">
        <v>1</v>
      </c>
      <c r="Y60" s="314" t="b">
        <v>0</v>
      </c>
      <c r="Z60" s="209"/>
      <c r="AA60" s="301" t="b">
        <v>0</v>
      </c>
      <c r="AB60" s="209"/>
      <c r="AC60" s="291"/>
      <c r="AD60" s="303" t="s">
        <v>810</v>
      </c>
      <c r="AE60" s="304" t="s">
        <v>554</v>
      </c>
      <c r="AF60" s="304" t="s">
        <v>811</v>
      </c>
      <c r="AG60" s="307">
        <v>8.10115979722E11</v>
      </c>
      <c r="AH60" s="304" t="s">
        <v>732</v>
      </c>
      <c r="AI60" s="209"/>
      <c r="AJ60" s="209"/>
      <c r="AK60" s="304" t="s">
        <v>733</v>
      </c>
      <c r="AL60" s="307" t="b">
        <v>1</v>
      </c>
      <c r="AM60" s="301" t="b">
        <v>0</v>
      </c>
      <c r="AN60" s="209"/>
      <c r="AO60" s="209"/>
      <c r="AP60" s="209"/>
    </row>
    <row r="61">
      <c r="A61" s="338"/>
      <c r="B61" s="292" t="s">
        <v>812</v>
      </c>
      <c r="C61" s="304" t="s">
        <v>4261</v>
      </c>
      <c r="D61" s="293" t="s">
        <v>814</v>
      </c>
      <c r="E61" s="296">
        <v>8.40472503025E11</v>
      </c>
      <c r="F61" s="293" t="s">
        <v>1062</v>
      </c>
      <c r="G61" s="295"/>
      <c r="H61" s="295"/>
      <c r="I61" s="293" t="s">
        <v>4262</v>
      </c>
      <c r="J61" s="296" t="b">
        <v>1</v>
      </c>
      <c r="K61" s="297" t="b">
        <v>0</v>
      </c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313"/>
      <c r="AA61" s="314" t="b">
        <v>0</v>
      </c>
      <c r="AB61" s="209"/>
      <c r="AC61" s="309"/>
      <c r="AD61" s="310" t="s">
        <v>815</v>
      </c>
      <c r="AE61" s="311" t="s">
        <v>816</v>
      </c>
      <c r="AF61" s="311" t="s">
        <v>817</v>
      </c>
      <c r="AG61" s="318">
        <v>8.10115979739E11</v>
      </c>
      <c r="AH61" s="313"/>
      <c r="AI61" s="313"/>
      <c r="AJ61" s="313"/>
      <c r="AK61" s="313"/>
      <c r="AL61" s="307" t="b">
        <v>1</v>
      </c>
      <c r="AM61" s="314" t="b">
        <v>0</v>
      </c>
      <c r="AN61" s="209"/>
      <c r="AO61" s="209"/>
      <c r="AP61" s="209"/>
    </row>
    <row r="62">
      <c r="A62" s="338"/>
      <c r="B62" s="303" t="s">
        <v>818</v>
      </c>
      <c r="C62" s="304" t="s">
        <v>4263</v>
      </c>
      <c r="D62" s="304" t="s">
        <v>819</v>
      </c>
      <c r="E62" s="307">
        <v>8.40472503018E11</v>
      </c>
      <c r="F62" s="304" t="s">
        <v>1062</v>
      </c>
      <c r="G62" s="295"/>
      <c r="H62" s="209"/>
      <c r="I62" s="293" t="s">
        <v>4262</v>
      </c>
      <c r="J62" s="296" t="b">
        <v>1</v>
      </c>
      <c r="K62" s="301" t="b">
        <v>0</v>
      </c>
      <c r="L62" s="209"/>
      <c r="M62" s="209"/>
      <c r="N62" s="209"/>
      <c r="O62" s="327" t="s">
        <v>768</v>
      </c>
      <c r="P62" s="282" t="s">
        <v>820</v>
      </c>
      <c r="Q62" s="273"/>
      <c r="R62" s="274" t="s">
        <v>821</v>
      </c>
      <c r="S62" s="284" t="s">
        <v>4226</v>
      </c>
      <c r="T62" s="273"/>
      <c r="U62" s="273"/>
      <c r="V62" s="276" t="s">
        <v>888</v>
      </c>
      <c r="W62" s="276" t="s">
        <v>1009</v>
      </c>
      <c r="X62" s="278" t="str">
        <f>IF(COUNTIF(#REF!, TRUE) = COUNTA(#REF!), "Complete!", IF(COUNTIF(#REF!, TRUE) &gt; 0, "Partial", "Not Started"))</f>
        <v>#REF!</v>
      </c>
      <c r="Y62" s="279"/>
      <c r="Z62" s="209"/>
      <c r="AA62" s="209"/>
      <c r="AB62" s="280">
        <v>9.0</v>
      </c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</row>
    <row r="63">
      <c r="A63" s="338"/>
      <c r="B63" s="303" t="s">
        <v>823</v>
      </c>
      <c r="C63" s="304" t="s">
        <v>4264</v>
      </c>
      <c r="D63" s="304" t="s">
        <v>824</v>
      </c>
      <c r="E63" s="307">
        <v>8.10115970347E11</v>
      </c>
      <c r="F63" s="209"/>
      <c r="G63" s="295"/>
      <c r="H63" s="209"/>
      <c r="I63" s="209"/>
      <c r="J63" s="296" t="b">
        <v>1</v>
      </c>
      <c r="K63" s="301" t="b">
        <v>0</v>
      </c>
      <c r="L63" s="285" t="s">
        <v>889</v>
      </c>
      <c r="M63" s="465" t="str">
        <f>IF(COUNTIF(M64:M81, TRUE) = COUNTA(M64:M81), "Complete!", IF(COUNTIF(M64:M81, TRUE) &gt; 0, "Partial", "Not Started"))</f>
        <v>Not Started</v>
      </c>
      <c r="N63" s="209"/>
      <c r="P63" s="292" t="s">
        <v>825</v>
      </c>
      <c r="Q63" s="298" t="s">
        <v>826</v>
      </c>
      <c r="R63" s="293" t="s">
        <v>827</v>
      </c>
      <c r="S63" s="299">
        <v>8.10115970965E11</v>
      </c>
      <c r="T63" s="295"/>
      <c r="U63" s="295"/>
      <c r="V63" s="295"/>
      <c r="W63" s="295"/>
      <c r="X63" s="296" t="b">
        <v>1</v>
      </c>
      <c r="Y63" s="297" t="b">
        <v>0</v>
      </c>
      <c r="Z63" s="209"/>
      <c r="AA63" s="209"/>
      <c r="AB63" s="209"/>
      <c r="AC63" s="326" t="s">
        <v>828</v>
      </c>
      <c r="AD63" s="319" t="s">
        <v>829</v>
      </c>
      <c r="AE63" s="320"/>
      <c r="AF63" s="283" t="s">
        <v>830</v>
      </c>
      <c r="AG63" s="336" t="s">
        <v>831</v>
      </c>
      <c r="AH63" s="320"/>
      <c r="AI63" s="320"/>
      <c r="AJ63" s="285" t="s">
        <v>572</v>
      </c>
      <c r="AK63" s="285" t="s">
        <v>2105</v>
      </c>
      <c r="AL63" s="333" t="str">
        <f>IF(COUNTIF(AL64:AL69, TRUE) = COUNTA(AL64:AL69), "Complete!", IF(COUNTIF(AL64:AL69, TRUE) &gt; 0, "Partial", "Not Started"))</f>
        <v>Complete!</v>
      </c>
      <c r="AM63" s="334"/>
      <c r="AN63" s="313"/>
      <c r="AO63" s="314" t="b">
        <v>0</v>
      </c>
      <c r="AP63" s="280">
        <v>6.0</v>
      </c>
    </row>
    <row r="64">
      <c r="A64" s="338"/>
      <c r="B64" s="303" t="s">
        <v>833</v>
      </c>
      <c r="C64" s="304" t="s">
        <v>4216</v>
      </c>
      <c r="D64" s="304" t="s">
        <v>834</v>
      </c>
      <c r="E64" s="307">
        <v>8.10115970255E11</v>
      </c>
      <c r="F64" s="209"/>
      <c r="G64" s="209"/>
      <c r="H64" s="209"/>
      <c r="I64" s="209"/>
      <c r="J64" s="296" t="b">
        <v>1</v>
      </c>
      <c r="K64" s="301" t="b">
        <v>0</v>
      </c>
      <c r="L64" s="295"/>
      <c r="M64" s="301" t="b">
        <v>0</v>
      </c>
      <c r="N64" s="209"/>
      <c r="P64" s="303" t="s">
        <v>835</v>
      </c>
      <c r="Q64" s="306" t="s">
        <v>836</v>
      </c>
      <c r="R64" s="304" t="s">
        <v>837</v>
      </c>
      <c r="S64" s="307">
        <v>8.10115970989E11</v>
      </c>
      <c r="T64" s="209"/>
      <c r="U64" s="209"/>
      <c r="V64" s="209"/>
      <c r="W64" s="209"/>
      <c r="X64" s="300" t="b">
        <v>1</v>
      </c>
      <c r="Y64" s="301" t="b">
        <v>0</v>
      </c>
      <c r="Z64" s="209"/>
      <c r="AA64" s="209"/>
      <c r="AB64" s="209"/>
      <c r="AC64" s="291"/>
      <c r="AD64" s="304" t="s">
        <v>838</v>
      </c>
      <c r="AE64" s="304" t="s">
        <v>739</v>
      </c>
      <c r="AF64" s="293" t="s">
        <v>839</v>
      </c>
      <c r="AG64" s="307">
        <v>8.10115979791E11</v>
      </c>
      <c r="AH64" s="304" t="s">
        <v>732</v>
      </c>
      <c r="AI64" s="209"/>
      <c r="AJ64" s="209"/>
      <c r="AK64" s="209"/>
      <c r="AL64" s="307" t="b">
        <v>1</v>
      </c>
      <c r="AM64" s="301" t="b">
        <v>0</v>
      </c>
      <c r="AN64" s="313"/>
      <c r="AO64" s="313"/>
      <c r="AP64" s="209"/>
    </row>
    <row r="65">
      <c r="A65" s="338"/>
      <c r="B65" s="303" t="s">
        <v>840</v>
      </c>
      <c r="C65" s="304" t="s">
        <v>4265</v>
      </c>
      <c r="D65" s="304" t="s">
        <v>842</v>
      </c>
      <c r="E65" s="307">
        <v>8.40472503001E11</v>
      </c>
      <c r="F65" s="304" t="s">
        <v>1062</v>
      </c>
      <c r="G65" s="209"/>
      <c r="H65" s="209"/>
      <c r="I65" s="293" t="s">
        <v>4262</v>
      </c>
      <c r="J65" s="296" t="b">
        <v>1</v>
      </c>
      <c r="K65" s="301" t="b">
        <v>0</v>
      </c>
      <c r="L65" s="209"/>
      <c r="M65" s="301" t="b">
        <v>0</v>
      </c>
      <c r="N65" s="209"/>
      <c r="P65" s="303" t="s">
        <v>843</v>
      </c>
      <c r="Q65" s="306" t="s">
        <v>394</v>
      </c>
      <c r="R65" s="304" t="s">
        <v>844</v>
      </c>
      <c r="S65" s="307">
        <v>8.10115976011E11</v>
      </c>
      <c r="T65" s="209"/>
      <c r="U65" s="209"/>
      <c r="V65" s="209"/>
      <c r="W65" s="209"/>
      <c r="X65" s="300" t="b">
        <v>1</v>
      </c>
      <c r="Y65" s="301" t="b">
        <v>0</v>
      </c>
      <c r="Z65" s="209"/>
      <c r="AA65" s="209"/>
      <c r="AB65" s="209"/>
      <c r="AC65" s="291"/>
      <c r="AD65" s="304" t="s">
        <v>845</v>
      </c>
      <c r="AE65" s="304" t="s">
        <v>4219</v>
      </c>
      <c r="AF65" s="304" t="s">
        <v>846</v>
      </c>
      <c r="AG65" s="307">
        <v>8.10115979814E11</v>
      </c>
      <c r="AH65" s="209"/>
      <c r="AI65" s="209"/>
      <c r="AJ65" s="209"/>
      <c r="AK65" s="209"/>
      <c r="AL65" s="307" t="b">
        <v>1</v>
      </c>
      <c r="AM65" s="301" t="b">
        <v>0</v>
      </c>
      <c r="AN65" s="432" t="s">
        <v>889</v>
      </c>
      <c r="AO65" s="466" t="str">
        <f>IF(COUNTIF(AO62:AO74, TRUE) = COUNTA(AO62:AO74), "Complete!", IF(COUNTIF(AO62:AO74, TRUE) &gt; 0, "Partial", "Not Started"))</f>
        <v>#REF!</v>
      </c>
      <c r="AP65" s="209"/>
    </row>
    <row r="66">
      <c r="A66" s="338"/>
      <c r="B66" s="303" t="s">
        <v>847</v>
      </c>
      <c r="C66" s="304" t="s">
        <v>4266</v>
      </c>
      <c r="D66" s="304" t="s">
        <v>849</v>
      </c>
      <c r="E66" s="307">
        <v>8.1011597187E11</v>
      </c>
      <c r="F66" s="209"/>
      <c r="G66" s="209"/>
      <c r="H66" s="209"/>
      <c r="I66" s="209"/>
      <c r="J66" s="296" t="b">
        <v>1</v>
      </c>
      <c r="K66" s="301" t="b">
        <v>0</v>
      </c>
      <c r="L66" s="209"/>
      <c r="M66" s="301" t="b">
        <v>0</v>
      </c>
      <c r="N66" s="209"/>
      <c r="P66" s="303" t="s">
        <v>850</v>
      </c>
      <c r="Q66" s="306" t="s">
        <v>390</v>
      </c>
      <c r="R66" s="304" t="s">
        <v>851</v>
      </c>
      <c r="S66" s="307">
        <v>8.10115976028E11</v>
      </c>
      <c r="T66" s="209"/>
      <c r="U66" s="209"/>
      <c r="V66" s="209"/>
      <c r="W66" s="209"/>
      <c r="X66" s="300" t="b">
        <v>1</v>
      </c>
      <c r="Y66" s="301" t="b">
        <v>0</v>
      </c>
      <c r="Z66" s="209"/>
      <c r="AA66" s="209"/>
      <c r="AB66" s="209"/>
      <c r="AC66" s="291"/>
      <c r="AD66" s="304" t="s">
        <v>852</v>
      </c>
      <c r="AE66" s="304" t="s">
        <v>4219</v>
      </c>
      <c r="AF66" s="304" t="s">
        <v>853</v>
      </c>
      <c r="AG66" s="307">
        <v>8.10115979821E11</v>
      </c>
      <c r="AH66" s="304" t="s">
        <v>732</v>
      </c>
      <c r="AI66" s="209"/>
      <c r="AJ66" s="209"/>
      <c r="AK66" s="304" t="s">
        <v>733</v>
      </c>
      <c r="AL66" s="307" t="b">
        <v>1</v>
      </c>
      <c r="AM66" s="301" t="b">
        <v>0</v>
      </c>
      <c r="AN66" s="209"/>
      <c r="AO66" s="301" t="b">
        <v>0</v>
      </c>
      <c r="AP66" s="209"/>
    </row>
    <row r="67">
      <c r="A67" s="338"/>
      <c r="B67" s="303" t="s">
        <v>854</v>
      </c>
      <c r="C67" s="304" t="s">
        <v>4267</v>
      </c>
      <c r="D67" s="304" t="s">
        <v>856</v>
      </c>
      <c r="E67" s="307">
        <v>8.10115970453E11</v>
      </c>
      <c r="F67" s="209"/>
      <c r="G67" s="209"/>
      <c r="H67" s="209"/>
      <c r="I67" s="209"/>
      <c r="J67" s="296" t="b">
        <v>1</v>
      </c>
      <c r="K67" s="301" t="b">
        <v>0</v>
      </c>
      <c r="L67" s="209"/>
      <c r="M67" s="301" t="b">
        <v>0</v>
      </c>
      <c r="N67" s="209"/>
      <c r="P67" s="303" t="s">
        <v>857</v>
      </c>
      <c r="Q67" s="306" t="s">
        <v>858</v>
      </c>
      <c r="R67" s="304" t="s">
        <v>859</v>
      </c>
      <c r="S67" s="307">
        <v>8.10115970972E11</v>
      </c>
      <c r="T67" s="209"/>
      <c r="U67" s="209"/>
      <c r="V67" s="209"/>
      <c r="W67" s="209"/>
      <c r="X67" s="300" t="b">
        <v>1</v>
      </c>
      <c r="Y67" s="301" t="b">
        <v>0</v>
      </c>
      <c r="Z67" s="209"/>
      <c r="AA67" s="209"/>
      <c r="AB67" s="209"/>
      <c r="AC67" s="291"/>
      <c r="AD67" s="304" t="s">
        <v>860</v>
      </c>
      <c r="AE67" s="304" t="s">
        <v>554</v>
      </c>
      <c r="AF67" s="304" t="s">
        <v>861</v>
      </c>
      <c r="AG67" s="307">
        <v>8.10115979838E11</v>
      </c>
      <c r="AH67" s="209"/>
      <c r="AI67" s="209"/>
      <c r="AJ67" s="209"/>
      <c r="AK67" s="209"/>
      <c r="AL67" s="307" t="b">
        <v>1</v>
      </c>
      <c r="AM67" s="301" t="b">
        <v>0</v>
      </c>
      <c r="AN67" s="209"/>
      <c r="AO67" s="301" t="b">
        <v>0</v>
      </c>
      <c r="AP67" s="209"/>
    </row>
    <row r="68">
      <c r="A68" s="338"/>
      <c r="B68" s="303" t="s">
        <v>862</v>
      </c>
      <c r="C68" s="304" t="s">
        <v>4268</v>
      </c>
      <c r="D68" s="304" t="s">
        <v>864</v>
      </c>
      <c r="E68" s="307">
        <v>8.40472503032E11</v>
      </c>
      <c r="F68" s="304" t="s">
        <v>1062</v>
      </c>
      <c r="G68" s="209"/>
      <c r="H68" s="209"/>
      <c r="I68" s="293" t="s">
        <v>4262</v>
      </c>
      <c r="J68" s="296" t="b">
        <v>1</v>
      </c>
      <c r="K68" s="301" t="b">
        <v>0</v>
      </c>
      <c r="L68" s="209"/>
      <c r="M68" s="301" t="b">
        <v>0</v>
      </c>
      <c r="N68" s="209"/>
      <c r="P68" s="303" t="s">
        <v>865</v>
      </c>
      <c r="Q68" s="306" t="s">
        <v>404</v>
      </c>
      <c r="R68" s="304" t="s">
        <v>866</v>
      </c>
      <c r="S68" s="307">
        <v>8.40472501779E11</v>
      </c>
      <c r="T68" s="209"/>
      <c r="U68" s="209"/>
      <c r="V68" s="209"/>
      <c r="W68" s="209"/>
      <c r="X68" s="300" t="b">
        <v>1</v>
      </c>
      <c r="Y68" s="301" t="b">
        <v>0</v>
      </c>
      <c r="Z68" s="209"/>
      <c r="AA68" s="209"/>
      <c r="AB68" s="209"/>
      <c r="AC68" s="291"/>
      <c r="AD68" s="304" t="s">
        <v>867</v>
      </c>
      <c r="AE68" s="304" t="s">
        <v>554</v>
      </c>
      <c r="AF68" s="304" t="s">
        <v>868</v>
      </c>
      <c r="AG68" s="307">
        <v>8.10115979845E11</v>
      </c>
      <c r="AH68" s="209"/>
      <c r="AI68" s="209"/>
      <c r="AJ68" s="209"/>
      <c r="AK68" s="209"/>
      <c r="AL68" s="307" t="b">
        <v>1</v>
      </c>
      <c r="AM68" s="301" t="b">
        <v>0</v>
      </c>
      <c r="AN68" s="209"/>
      <c r="AO68" s="301" t="b">
        <v>0</v>
      </c>
      <c r="AP68" s="209"/>
    </row>
    <row r="69">
      <c r="A69" s="338"/>
      <c r="B69" s="310" t="s">
        <v>869</v>
      </c>
      <c r="C69" s="311" t="s">
        <v>4269</v>
      </c>
      <c r="D69" s="311" t="s">
        <v>871</v>
      </c>
      <c r="E69" s="318">
        <v>8.40472503049E11</v>
      </c>
      <c r="F69" s="311" t="s">
        <v>1062</v>
      </c>
      <c r="G69" s="209"/>
      <c r="H69" s="313"/>
      <c r="I69" s="293" t="s">
        <v>4262</v>
      </c>
      <c r="J69" s="371" t="b">
        <v>1</v>
      </c>
      <c r="K69" s="314" t="b">
        <v>0</v>
      </c>
      <c r="L69" s="209"/>
      <c r="M69" s="301" t="b">
        <v>0</v>
      </c>
      <c r="N69" s="209"/>
      <c r="P69" s="303" t="s">
        <v>872</v>
      </c>
      <c r="Q69" s="306" t="s">
        <v>873</v>
      </c>
      <c r="R69" s="304" t="s">
        <v>874</v>
      </c>
      <c r="S69" s="307">
        <v>8.40472501762E11</v>
      </c>
      <c r="T69" s="209"/>
      <c r="U69" s="209"/>
      <c r="V69" s="209"/>
      <c r="W69" s="209"/>
      <c r="X69" s="300" t="b">
        <v>1</v>
      </c>
      <c r="Y69" s="301" t="b">
        <v>0</v>
      </c>
      <c r="Z69" s="209"/>
      <c r="AA69" s="209"/>
      <c r="AB69" s="209"/>
      <c r="AC69" s="309"/>
      <c r="AD69" s="311" t="s">
        <v>875</v>
      </c>
      <c r="AE69" s="311" t="s">
        <v>876</v>
      </c>
      <c r="AF69" s="311" t="s">
        <v>877</v>
      </c>
      <c r="AG69" s="318">
        <v>8.10115979852E11</v>
      </c>
      <c r="AH69" s="311" t="s">
        <v>732</v>
      </c>
      <c r="AI69" s="313"/>
      <c r="AJ69" s="313"/>
      <c r="AK69" s="311" t="s">
        <v>733</v>
      </c>
      <c r="AL69" s="318" t="b">
        <v>1</v>
      </c>
      <c r="AM69" s="314" t="b">
        <v>0</v>
      </c>
      <c r="AN69" s="209"/>
      <c r="AO69" s="301" t="b">
        <v>0</v>
      </c>
      <c r="AP69" s="209"/>
    </row>
    <row r="70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301" t="b">
        <v>0</v>
      </c>
      <c r="N70" s="209"/>
      <c r="P70" s="303" t="s">
        <v>878</v>
      </c>
      <c r="Q70" s="306" t="s">
        <v>682</v>
      </c>
      <c r="R70" s="304" t="s">
        <v>879</v>
      </c>
      <c r="S70" s="307">
        <v>8.40472501786E11</v>
      </c>
      <c r="T70" s="209"/>
      <c r="U70" s="209"/>
      <c r="V70" s="209"/>
      <c r="W70" s="209"/>
      <c r="X70" s="300" t="b">
        <v>1</v>
      </c>
      <c r="Y70" s="301" t="b">
        <v>0</v>
      </c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  <c r="AP70" s="209"/>
    </row>
    <row r="71">
      <c r="A71" s="337" t="s">
        <v>828</v>
      </c>
      <c r="B71" s="282" t="s">
        <v>215</v>
      </c>
      <c r="C71" s="273"/>
      <c r="D71" s="274" t="s">
        <v>214</v>
      </c>
      <c r="E71" s="463" t="s">
        <v>805</v>
      </c>
      <c r="F71" s="273"/>
      <c r="G71" s="273"/>
      <c r="H71" s="274" t="s">
        <v>376</v>
      </c>
      <c r="I71" s="274" t="s">
        <v>2851</v>
      </c>
      <c r="J71" s="471" t="str">
        <f>IF(COUNTIF(J77:J84, TRUE) = COUNTA(J77:J84), "Complete!", IF(COUNTIF(J77:J84, TRUE) &gt; 0, "Partial", "Not Started"))</f>
        <v>Partial</v>
      </c>
      <c r="K71" s="279"/>
      <c r="L71" s="209"/>
      <c r="M71" s="301" t="b">
        <v>0</v>
      </c>
      <c r="N71" s="280">
        <v>8.0</v>
      </c>
      <c r="P71" s="310" t="s">
        <v>881</v>
      </c>
      <c r="Q71" s="317" t="s">
        <v>882</v>
      </c>
      <c r="R71" s="311" t="s">
        <v>883</v>
      </c>
      <c r="S71" s="318">
        <v>8.40472501755E11</v>
      </c>
      <c r="T71" s="313"/>
      <c r="U71" s="313"/>
      <c r="V71" s="313"/>
      <c r="W71" s="313"/>
      <c r="X71" s="300" t="b">
        <v>1</v>
      </c>
      <c r="Y71" s="314" t="b">
        <v>0</v>
      </c>
      <c r="Z71" s="209"/>
      <c r="AA71" s="209"/>
      <c r="AB71" s="209"/>
      <c r="AC71" s="326" t="s">
        <v>884</v>
      </c>
      <c r="AD71" s="339" t="s">
        <v>885</v>
      </c>
      <c r="AE71" s="320"/>
      <c r="AF71" s="320"/>
      <c r="AG71" s="336" t="s">
        <v>887</v>
      </c>
      <c r="AH71" s="320"/>
      <c r="AI71" s="320"/>
      <c r="AJ71" s="285" t="s">
        <v>888</v>
      </c>
      <c r="AK71" s="285" t="s">
        <v>889</v>
      </c>
      <c r="AL71" s="333" t="str">
        <f>IF(COUNTIF(AL72:AL74, TRUE) = COUNTA(AL72:AL74), "Complete!", IF(COUNTIF(AL72:AL74, TRUE) &gt; 0, "Partial", "Not Started"))</f>
        <v>Complete!</v>
      </c>
      <c r="AM71" s="334"/>
      <c r="AN71" s="209"/>
      <c r="AO71" s="301" t="b">
        <v>0</v>
      </c>
      <c r="AP71" s="280">
        <v>3.0</v>
      </c>
    </row>
    <row r="72">
      <c r="A72" s="338"/>
      <c r="B72" s="292" t="s">
        <v>890</v>
      </c>
      <c r="C72" s="293" t="s">
        <v>4270</v>
      </c>
      <c r="D72" s="293" t="s">
        <v>891</v>
      </c>
      <c r="E72" s="299">
        <v>8.40472505906E11</v>
      </c>
      <c r="F72" s="293" t="s">
        <v>1062</v>
      </c>
      <c r="G72" s="295"/>
      <c r="H72" s="295"/>
      <c r="I72" s="295"/>
      <c r="J72" s="296" t="b">
        <v>1</v>
      </c>
      <c r="K72" s="297" t="b">
        <v>0</v>
      </c>
      <c r="L72" s="209"/>
      <c r="M72" s="301" t="b">
        <v>0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91"/>
      <c r="AD72" s="304" t="s">
        <v>892</v>
      </c>
      <c r="AE72" s="304" t="s">
        <v>893</v>
      </c>
      <c r="AF72" s="293" t="s">
        <v>894</v>
      </c>
      <c r="AG72" s="307">
        <v>8.10115970491E11</v>
      </c>
      <c r="AH72" s="304" t="s">
        <v>732</v>
      </c>
      <c r="AI72" s="209"/>
      <c r="AJ72" s="209"/>
      <c r="AK72" s="209"/>
      <c r="AL72" s="307" t="b">
        <v>1</v>
      </c>
      <c r="AM72" s="301" t="b">
        <v>0</v>
      </c>
      <c r="AN72" s="209"/>
      <c r="AO72" s="301" t="b">
        <v>0</v>
      </c>
      <c r="AP72" s="209"/>
    </row>
    <row r="73">
      <c r="A73" s="338"/>
      <c r="B73" s="303" t="s">
        <v>895</v>
      </c>
      <c r="C73" s="304" t="s">
        <v>4271</v>
      </c>
      <c r="D73" s="304" t="s">
        <v>897</v>
      </c>
      <c r="E73" s="307">
        <v>8.4047250592E11</v>
      </c>
      <c r="F73" s="304" t="s">
        <v>1062</v>
      </c>
      <c r="G73" s="209"/>
      <c r="H73" s="209"/>
      <c r="I73" s="209"/>
      <c r="J73" s="296" t="b">
        <v>1</v>
      </c>
      <c r="K73" s="301" t="b">
        <v>0</v>
      </c>
      <c r="L73" s="209"/>
      <c r="M73" s="301" t="b">
        <v>0</v>
      </c>
      <c r="N73" s="209"/>
      <c r="O73" s="327" t="s">
        <v>828</v>
      </c>
      <c r="P73" s="319" t="s">
        <v>1116</v>
      </c>
      <c r="Q73" s="320"/>
      <c r="R73" s="283" t="s">
        <v>4272</v>
      </c>
      <c r="S73" s="362" t="s">
        <v>1118</v>
      </c>
      <c r="T73" s="320"/>
      <c r="U73" s="320"/>
      <c r="V73" s="285" t="s">
        <v>888</v>
      </c>
      <c r="W73" s="285" t="s">
        <v>889</v>
      </c>
      <c r="X73" s="333" t="str">
        <f>IF(COUNTIF(X71:X72, TRUE) = COUNTA(X71:X72), "Complete!", IF(COUNTIF(X71:X72, TRUE) &gt; 0, "Partial", "Not Started"))</f>
        <v>Complete!</v>
      </c>
      <c r="Y73" s="334"/>
      <c r="Z73" s="209"/>
      <c r="AA73" s="209"/>
      <c r="AB73" s="472">
        <v>4.0</v>
      </c>
      <c r="AC73" s="291"/>
      <c r="AD73" s="304" t="s">
        <v>902</v>
      </c>
      <c r="AE73" s="304" t="s">
        <v>903</v>
      </c>
      <c r="AF73" s="304" t="s">
        <v>904</v>
      </c>
      <c r="AG73" s="307">
        <v>8.10115971382E11</v>
      </c>
      <c r="AH73" s="304" t="s">
        <v>732</v>
      </c>
      <c r="AI73" s="209"/>
      <c r="AJ73" s="209"/>
      <c r="AK73" s="209"/>
      <c r="AL73" s="307" t="b">
        <v>1</v>
      </c>
      <c r="AM73" s="301" t="b">
        <v>0</v>
      </c>
      <c r="AN73" s="209"/>
      <c r="AO73" s="301" t="b">
        <v>0</v>
      </c>
      <c r="AP73" s="209"/>
    </row>
    <row r="74">
      <c r="A74" s="338"/>
      <c r="B74" s="303" t="s">
        <v>905</v>
      </c>
      <c r="C74" s="304" t="s">
        <v>4273</v>
      </c>
      <c r="D74" s="304" t="s">
        <v>906</v>
      </c>
      <c r="E74" s="307">
        <v>8.10115971689E11</v>
      </c>
      <c r="F74" s="209"/>
      <c r="G74" s="209"/>
      <c r="H74" s="209"/>
      <c r="I74" s="209"/>
      <c r="J74" s="296" t="b">
        <v>1</v>
      </c>
      <c r="K74" s="301" t="b">
        <v>0</v>
      </c>
      <c r="L74" s="209"/>
      <c r="M74" s="301" t="b">
        <v>0</v>
      </c>
      <c r="N74" s="209"/>
      <c r="P74" s="292" t="s">
        <v>1123</v>
      </c>
      <c r="Q74" s="298" t="s">
        <v>1124</v>
      </c>
      <c r="R74" s="293" t="s">
        <v>1125</v>
      </c>
      <c r="S74" s="357">
        <v>8.10115970767E11</v>
      </c>
      <c r="T74" s="295"/>
      <c r="U74" s="295"/>
      <c r="V74" s="295"/>
      <c r="W74" s="295"/>
      <c r="X74" s="296" t="b">
        <v>1</v>
      </c>
      <c r="Y74" s="297" t="b">
        <v>0</v>
      </c>
      <c r="Z74" s="209"/>
      <c r="AA74" s="209"/>
      <c r="AB74" s="209"/>
      <c r="AC74" s="309"/>
      <c r="AD74" s="311" t="s">
        <v>909</v>
      </c>
      <c r="AE74" s="311" t="s">
        <v>910</v>
      </c>
      <c r="AF74" s="311" t="s">
        <v>911</v>
      </c>
      <c r="AG74" s="318">
        <v>8.10115971399E11</v>
      </c>
      <c r="AH74" s="311" t="s">
        <v>732</v>
      </c>
      <c r="AI74" s="313"/>
      <c r="AJ74" s="313"/>
      <c r="AK74" s="313"/>
      <c r="AL74" s="318" t="b">
        <v>1</v>
      </c>
      <c r="AM74" s="314" t="b">
        <v>0</v>
      </c>
      <c r="AN74" s="313"/>
      <c r="AO74" s="314" t="b">
        <v>0</v>
      </c>
      <c r="AP74" s="209"/>
    </row>
    <row r="75">
      <c r="A75" s="338"/>
      <c r="B75" s="303" t="s">
        <v>912</v>
      </c>
      <c r="C75" s="304" t="s">
        <v>4274</v>
      </c>
      <c r="D75" s="304" t="s">
        <v>914</v>
      </c>
      <c r="E75" s="307">
        <v>8.40472505944E11</v>
      </c>
      <c r="F75" s="304" t="s">
        <v>1062</v>
      </c>
      <c r="G75" s="209"/>
      <c r="H75" s="209"/>
      <c r="I75" s="209"/>
      <c r="J75" s="296" t="b">
        <v>1</v>
      </c>
      <c r="K75" s="301" t="b">
        <v>0</v>
      </c>
      <c r="L75" s="209"/>
      <c r="M75" s="301" t="b">
        <v>0</v>
      </c>
      <c r="N75" s="209"/>
      <c r="P75" s="303" t="s">
        <v>1128</v>
      </c>
      <c r="Q75" s="306" t="s">
        <v>1129</v>
      </c>
      <c r="R75" s="304" t="s">
        <v>1130</v>
      </c>
      <c r="S75" s="358">
        <v>8.10115970781E11</v>
      </c>
      <c r="T75" s="209"/>
      <c r="U75" s="209"/>
      <c r="V75" s="209"/>
      <c r="W75" s="209"/>
      <c r="X75" s="300" t="b">
        <v>1</v>
      </c>
      <c r="Y75" s="301" t="b">
        <v>0</v>
      </c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313"/>
      <c r="AO75" s="313"/>
      <c r="AP75" s="209"/>
    </row>
    <row r="76">
      <c r="A76" s="338"/>
      <c r="B76" s="303" t="s">
        <v>917</v>
      </c>
      <c r="C76" s="304" t="s">
        <v>4249</v>
      </c>
      <c r="D76" s="304" t="s">
        <v>918</v>
      </c>
      <c r="E76" s="307">
        <v>8.10115971733E11</v>
      </c>
      <c r="F76" s="304" t="s">
        <v>1057</v>
      </c>
      <c r="G76" s="209"/>
      <c r="H76" s="209"/>
      <c r="I76" s="304" t="s">
        <v>4275</v>
      </c>
      <c r="J76" s="296" t="b">
        <v>1</v>
      </c>
      <c r="K76" s="301" t="b">
        <v>1</v>
      </c>
      <c r="L76" s="209"/>
      <c r="M76" s="301" t="b">
        <v>0</v>
      </c>
      <c r="N76" s="209"/>
      <c r="P76" s="303" t="s">
        <v>1133</v>
      </c>
      <c r="Q76" s="306" t="s">
        <v>1134</v>
      </c>
      <c r="R76" s="304" t="s">
        <v>1135</v>
      </c>
      <c r="S76" s="358">
        <v>8.10115970774E11</v>
      </c>
      <c r="T76" s="209"/>
      <c r="U76" s="209"/>
      <c r="V76" s="209"/>
      <c r="W76" s="209"/>
      <c r="X76" s="300" t="b">
        <v>1</v>
      </c>
      <c r="Y76" s="301" t="b">
        <v>0</v>
      </c>
      <c r="Z76" s="209"/>
      <c r="AA76" s="209"/>
      <c r="AB76" s="209"/>
      <c r="AC76" s="286" t="s">
        <v>921</v>
      </c>
      <c r="AD76" s="339" t="s">
        <v>922</v>
      </c>
      <c r="AE76" s="320"/>
      <c r="AF76" s="320"/>
      <c r="AG76" s="336" t="s">
        <v>887</v>
      </c>
      <c r="AH76" s="320"/>
      <c r="AI76" s="320"/>
      <c r="AJ76" s="285" t="s">
        <v>888</v>
      </c>
      <c r="AK76" s="285" t="s">
        <v>889</v>
      </c>
      <c r="AL76" s="333" t="str">
        <f>IF(COUNTIF(AL77:AL78, TRUE) = COUNTA(AL77:AL78), "Complete!", IF(COUNTIF(AL77:AL78, TRUE) &gt; 0, "Partial", "Not Started"))</f>
        <v>Complete!</v>
      </c>
      <c r="AM76" s="334"/>
      <c r="AN76" s="209"/>
      <c r="AO76" s="301" t="b">
        <v>0</v>
      </c>
      <c r="AP76" s="280">
        <v>2.0</v>
      </c>
    </row>
    <row r="77">
      <c r="A77" s="338"/>
      <c r="B77" s="303" t="s">
        <v>924</v>
      </c>
      <c r="C77" s="304" t="s">
        <v>4215</v>
      </c>
      <c r="D77" s="304" t="s">
        <v>925</v>
      </c>
      <c r="E77" s="307">
        <v>8.10115971825E11</v>
      </c>
      <c r="F77" s="304" t="s">
        <v>1057</v>
      </c>
      <c r="G77" s="209"/>
      <c r="H77" s="209"/>
      <c r="I77" s="304" t="s">
        <v>4110</v>
      </c>
      <c r="J77" s="296" t="b">
        <v>1</v>
      </c>
      <c r="K77" s="301" t="b">
        <v>1</v>
      </c>
      <c r="L77" s="209"/>
      <c r="M77" s="301" t="b">
        <v>0</v>
      </c>
      <c r="N77" s="209"/>
      <c r="P77" s="310" t="s">
        <v>1196</v>
      </c>
      <c r="Q77" s="317" t="s">
        <v>1197</v>
      </c>
      <c r="R77" s="311" t="s">
        <v>1198</v>
      </c>
      <c r="S77" s="364">
        <v>8.10115970088E11</v>
      </c>
      <c r="T77" s="313"/>
      <c r="U77" s="313"/>
      <c r="V77" s="313"/>
      <c r="W77" s="313"/>
      <c r="X77" s="350" t="b">
        <v>1</v>
      </c>
      <c r="Y77" s="314" t="b">
        <v>0</v>
      </c>
      <c r="Z77" s="209"/>
      <c r="AA77" s="209"/>
      <c r="AB77" s="209"/>
      <c r="AC77" s="291"/>
      <c r="AD77" s="304" t="s">
        <v>933</v>
      </c>
      <c r="AE77" s="304" t="s">
        <v>934</v>
      </c>
      <c r="AF77" s="304" t="s">
        <v>935</v>
      </c>
      <c r="AG77" s="307">
        <v>8.10115970507E11</v>
      </c>
      <c r="AH77" s="304" t="s">
        <v>732</v>
      </c>
      <c r="AI77" s="209"/>
      <c r="AJ77" s="209"/>
      <c r="AK77" s="209"/>
      <c r="AL77" s="307" t="b">
        <v>1</v>
      </c>
      <c r="AM77" s="301" t="b">
        <v>0</v>
      </c>
      <c r="AN77" s="209"/>
      <c r="AO77" s="301" t="b">
        <v>0</v>
      </c>
      <c r="AP77" s="209"/>
    </row>
    <row r="78">
      <c r="A78" s="338"/>
      <c r="B78" s="303" t="s">
        <v>928</v>
      </c>
      <c r="C78" s="304" t="s">
        <v>4276</v>
      </c>
      <c r="D78" s="304" t="s">
        <v>930</v>
      </c>
      <c r="E78" s="307">
        <v>8.40472502998E11</v>
      </c>
      <c r="F78" s="304" t="s">
        <v>1062</v>
      </c>
      <c r="G78" s="209"/>
      <c r="H78" s="209"/>
      <c r="I78" s="209"/>
      <c r="J78" s="296" t="b">
        <v>1</v>
      </c>
      <c r="K78" s="301" t="b">
        <v>0</v>
      </c>
      <c r="L78" s="209"/>
      <c r="M78" s="301" t="b">
        <v>0</v>
      </c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313"/>
      <c r="AA78" s="313"/>
      <c r="AB78" s="209"/>
      <c r="AC78" s="309"/>
      <c r="AD78" s="311" t="s">
        <v>940</v>
      </c>
      <c r="AE78" s="311" t="s">
        <v>941</v>
      </c>
      <c r="AF78" s="311" t="s">
        <v>942</v>
      </c>
      <c r="AG78" s="318">
        <v>8.10115971375E11</v>
      </c>
      <c r="AH78" s="311" t="s">
        <v>732</v>
      </c>
      <c r="AI78" s="313"/>
      <c r="AJ78" s="313"/>
      <c r="AK78" s="313"/>
      <c r="AL78" s="318" t="b">
        <v>1</v>
      </c>
      <c r="AM78" s="314" t="b">
        <v>0</v>
      </c>
      <c r="AN78" s="209"/>
      <c r="AO78" s="301" t="b">
        <v>0</v>
      </c>
      <c r="AP78" s="209"/>
    </row>
    <row r="79">
      <c r="A79" s="338"/>
      <c r="B79" s="310" t="s">
        <v>936</v>
      </c>
      <c r="C79" s="311" t="s">
        <v>4250</v>
      </c>
      <c r="D79" s="311" t="s">
        <v>937</v>
      </c>
      <c r="E79" s="318">
        <v>8.10115972594E11</v>
      </c>
      <c r="F79" s="311" t="s">
        <v>1057</v>
      </c>
      <c r="G79" s="313"/>
      <c r="H79" s="313"/>
      <c r="I79" s="311" t="s">
        <v>4275</v>
      </c>
      <c r="J79" s="371" t="b">
        <v>1</v>
      </c>
      <c r="K79" s="314" t="b">
        <v>1</v>
      </c>
      <c r="L79" s="209"/>
      <c r="M79" s="301" t="b">
        <v>0</v>
      </c>
      <c r="N79" s="209"/>
      <c r="O79" s="281" t="s">
        <v>884</v>
      </c>
      <c r="P79" s="282" t="s">
        <v>4277</v>
      </c>
      <c r="Q79" s="273"/>
      <c r="R79" s="283" t="s">
        <v>4278</v>
      </c>
      <c r="S79" s="284" t="s">
        <v>1118</v>
      </c>
      <c r="T79" s="273"/>
      <c r="U79" s="273"/>
      <c r="V79" s="276" t="s">
        <v>888</v>
      </c>
      <c r="W79" s="276" t="s">
        <v>889</v>
      </c>
      <c r="X79" s="278" t="str">
        <f>IF(COUNTIF(#REF!, TRUE) = COUNTA(#REF!), "Complete!", IF(COUNTIF(#REF!, TRUE) &gt; 0, "Partial", "Not Started"))</f>
        <v>#REF!</v>
      </c>
      <c r="Y79" s="279"/>
      <c r="Z79" s="432" t="s">
        <v>889</v>
      </c>
      <c r="AA79" s="466" t="str">
        <f>IF(COUNTIF(#REF!, TRUE) = COUNTA(#REF!), "Complete!", IF(COUNTIF(#REF!, TRUE) &gt; 0, "Partial", "Not Started"))</f>
        <v>#REF!</v>
      </c>
      <c r="AB79" s="280">
        <v>4.0</v>
      </c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313"/>
      <c r="AO79" s="314" t="b">
        <v>0</v>
      </c>
      <c r="AP79" s="209"/>
    </row>
    <row r="80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301" t="b">
        <v>0</v>
      </c>
      <c r="N80" s="209"/>
      <c r="O80" s="291"/>
      <c r="P80" s="292" t="s">
        <v>1148</v>
      </c>
      <c r="Q80" s="298" t="s">
        <v>1149</v>
      </c>
      <c r="R80" s="293" t="s">
        <v>1150</v>
      </c>
      <c r="S80" s="357">
        <v>8.10115970712E11</v>
      </c>
      <c r="T80" s="295"/>
      <c r="U80" s="295"/>
      <c r="V80" s="295"/>
      <c r="W80" s="295"/>
      <c r="X80" s="296" t="b">
        <v>1</v>
      </c>
      <c r="Y80" s="297" t="b">
        <v>0</v>
      </c>
      <c r="Z80" s="209"/>
      <c r="AA80" s="301" t="b">
        <v>0</v>
      </c>
      <c r="AB80" s="209"/>
      <c r="AC80" s="286">
        <v>10.0</v>
      </c>
      <c r="AD80" s="319" t="s">
        <v>949</v>
      </c>
      <c r="AE80" s="320"/>
      <c r="AF80" s="320"/>
      <c r="AG80" s="336" t="s">
        <v>887</v>
      </c>
      <c r="AH80" s="320"/>
      <c r="AI80" s="320"/>
      <c r="AJ80" s="285" t="s">
        <v>888</v>
      </c>
      <c r="AK80" s="285" t="s">
        <v>889</v>
      </c>
      <c r="AL80" s="333" t="str">
        <f>IF(COUNTIF(AL81:AL89, TRUE) = COUNTA(AL81:AL89), "Complete!", IF(COUNTIF(AL81:AL89, TRUE) &gt; 0, "Partial", "Not Started"))</f>
        <v>Partial</v>
      </c>
      <c r="AM80" s="334"/>
      <c r="AN80" s="209"/>
      <c r="AO80" s="209"/>
      <c r="AP80" s="280">
        <v>1.0</v>
      </c>
    </row>
    <row r="81">
      <c r="A81" s="337" t="s">
        <v>884</v>
      </c>
      <c r="B81" s="319" t="s">
        <v>231</v>
      </c>
      <c r="C81" s="320"/>
      <c r="D81" s="283" t="s">
        <v>4067</v>
      </c>
      <c r="E81" s="463" t="s">
        <v>805</v>
      </c>
      <c r="F81" s="320"/>
      <c r="G81" s="320"/>
      <c r="H81" s="283" t="s">
        <v>370</v>
      </c>
      <c r="I81" s="283" t="s">
        <v>4279</v>
      </c>
      <c r="J81" s="470" t="str">
        <f>IF(COUNTIF(J84:J91, TRUE) = COUNTA(J84:J91), "Complete!", IF(COUNTIF(J84:J91, TRUE) &gt; 0, "Partial", "Not Started"))</f>
        <v>Complete!</v>
      </c>
      <c r="K81" s="334"/>
      <c r="L81" s="313"/>
      <c r="M81" s="314" t="b">
        <v>0</v>
      </c>
      <c r="N81" s="280">
        <v>10.0</v>
      </c>
      <c r="O81" s="291"/>
      <c r="P81" s="303" t="s">
        <v>1201</v>
      </c>
      <c r="Q81" s="306" t="s">
        <v>1202</v>
      </c>
      <c r="R81" s="304" t="s">
        <v>1203</v>
      </c>
      <c r="S81" s="358">
        <v>8.10115970101E11</v>
      </c>
      <c r="T81" s="209"/>
      <c r="U81" s="209"/>
      <c r="V81" s="209"/>
      <c r="W81" s="209"/>
      <c r="X81" s="300" t="b">
        <v>1</v>
      </c>
      <c r="Y81" s="301" t="b">
        <v>0</v>
      </c>
      <c r="Z81" s="209"/>
      <c r="AA81" s="301" t="b">
        <v>0</v>
      </c>
      <c r="AB81" s="209"/>
      <c r="AC81" s="309"/>
      <c r="AD81" s="310" t="s">
        <v>954</v>
      </c>
      <c r="AE81" s="311" t="s">
        <v>955</v>
      </c>
      <c r="AF81" s="311" t="s">
        <v>956</v>
      </c>
      <c r="AG81" s="318">
        <v>8.10115970514E11</v>
      </c>
      <c r="AH81" s="311" t="s">
        <v>732</v>
      </c>
      <c r="AI81" s="313"/>
      <c r="AJ81" s="313"/>
      <c r="AK81" s="313"/>
      <c r="AL81" s="318" t="b">
        <v>1</v>
      </c>
      <c r="AM81" s="314" t="b">
        <v>0</v>
      </c>
      <c r="AN81" s="285" t="s">
        <v>889</v>
      </c>
      <c r="AO81" s="465" t="str">
        <f>IF(COUNTIF(AO82:AO110, TRUE) = COUNTA(AO82:AO110), "Complete!", IF(COUNTIF(AO82:AO110, TRUE) &gt; 0, "Partial", "Not Started"))</f>
        <v>Not Started</v>
      </c>
      <c r="AP81" s="209"/>
    </row>
    <row r="82">
      <c r="A82" s="338"/>
      <c r="B82" s="292" t="s">
        <v>951</v>
      </c>
      <c r="C82" s="293" t="s">
        <v>4280</v>
      </c>
      <c r="D82" s="293" t="s">
        <v>953</v>
      </c>
      <c r="E82" s="299">
        <v>8.10115972761E11</v>
      </c>
      <c r="F82" s="295"/>
      <c r="G82" s="295"/>
      <c r="H82" s="295"/>
      <c r="I82" s="295"/>
      <c r="J82" s="296" t="b">
        <v>1</v>
      </c>
      <c r="K82" s="297" t="b">
        <v>0</v>
      </c>
      <c r="L82" s="209"/>
      <c r="M82" s="209"/>
      <c r="N82" s="209"/>
      <c r="O82" s="291"/>
      <c r="P82" s="303" t="s">
        <v>1138</v>
      </c>
      <c r="Q82" s="306" t="s">
        <v>1139</v>
      </c>
      <c r="R82" s="304" t="s">
        <v>1140</v>
      </c>
      <c r="S82" s="358">
        <v>8.10115970996E11</v>
      </c>
      <c r="T82" s="209"/>
      <c r="U82" s="209"/>
      <c r="V82" s="209"/>
      <c r="W82" s="209"/>
      <c r="X82" s="300" t="b">
        <v>1</v>
      </c>
      <c r="Y82" s="301" t="b">
        <v>0</v>
      </c>
      <c r="Z82" s="313"/>
      <c r="AA82" s="314" t="b">
        <v>0</v>
      </c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301" t="b">
        <v>0</v>
      </c>
      <c r="AP82" s="209"/>
    </row>
    <row r="83">
      <c r="A83" s="338"/>
      <c r="B83" s="303" t="s">
        <v>1153</v>
      </c>
      <c r="C83" s="347" t="s">
        <v>4224</v>
      </c>
      <c r="D83" s="347" t="s">
        <v>1154</v>
      </c>
      <c r="E83" s="307">
        <v>8.1011597046E11</v>
      </c>
      <c r="F83" s="209"/>
      <c r="G83" s="209"/>
      <c r="H83" s="209"/>
      <c r="I83" s="209"/>
      <c r="J83" s="296" t="b">
        <v>1</v>
      </c>
      <c r="K83" s="301" t="b">
        <v>0</v>
      </c>
      <c r="L83" s="209"/>
      <c r="M83" s="209"/>
      <c r="N83" s="209"/>
      <c r="O83" s="291"/>
      <c r="P83" s="310" t="s">
        <v>1143</v>
      </c>
      <c r="Q83" s="313"/>
      <c r="R83" s="311" t="s">
        <v>1145</v>
      </c>
      <c r="S83" s="318">
        <v>8.40472503513E11</v>
      </c>
      <c r="T83" s="311" t="s">
        <v>1062</v>
      </c>
      <c r="U83" s="313"/>
      <c r="V83" s="313"/>
      <c r="W83" s="313"/>
      <c r="X83" s="350" t="b">
        <v>1</v>
      </c>
      <c r="Y83" s="314" t="b">
        <v>0</v>
      </c>
      <c r="Z83" s="209"/>
      <c r="AA83" s="301" t="b">
        <v>0</v>
      </c>
      <c r="AB83" s="209"/>
      <c r="AC83" s="286">
        <v>11.0</v>
      </c>
      <c r="AD83" s="339" t="s">
        <v>967</v>
      </c>
      <c r="AE83" s="320"/>
      <c r="AF83" s="320"/>
      <c r="AG83" s="336" t="s">
        <v>887</v>
      </c>
      <c r="AH83" s="320"/>
      <c r="AI83" s="320"/>
      <c r="AJ83" s="285" t="s">
        <v>888</v>
      </c>
      <c r="AK83" s="285" t="s">
        <v>889</v>
      </c>
      <c r="AL83" s="333" t="str">
        <f>IF(COUNTIF(AL84, TRUE) = COUNTA(AL84), "Complete!", IF(COUNTIF(AL84, TRUE) &gt; 0, "Partial", "Not Started"))</f>
        <v>Complete!</v>
      </c>
      <c r="AM83" s="334"/>
      <c r="AN83" s="209"/>
      <c r="AO83" s="301" t="b">
        <v>0</v>
      </c>
      <c r="AP83" s="280">
        <v>1.0</v>
      </c>
    </row>
    <row r="84">
      <c r="A84" s="338"/>
      <c r="B84" s="303" t="s">
        <v>957</v>
      </c>
      <c r="C84" s="304" t="s">
        <v>4281</v>
      </c>
      <c r="D84" s="304" t="s">
        <v>959</v>
      </c>
      <c r="E84" s="307">
        <v>8.10115972785E11</v>
      </c>
      <c r="F84" s="209"/>
      <c r="G84" s="209"/>
      <c r="H84" s="209"/>
      <c r="I84" s="209"/>
      <c r="J84" s="296" t="b">
        <v>1</v>
      </c>
      <c r="K84" s="301" t="b">
        <v>0</v>
      </c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309"/>
      <c r="AD84" s="311" t="s">
        <v>974</v>
      </c>
      <c r="AE84" s="311" t="s">
        <v>975</v>
      </c>
      <c r="AF84" s="348" t="s">
        <v>976</v>
      </c>
      <c r="AG84" s="318">
        <v>8.10115971467E11</v>
      </c>
      <c r="AH84" s="311" t="s">
        <v>732</v>
      </c>
      <c r="AI84" s="313"/>
      <c r="AJ84" s="313"/>
      <c r="AK84" s="313"/>
      <c r="AL84" s="318" t="b">
        <v>1</v>
      </c>
      <c r="AM84" s="314" t="b">
        <v>0</v>
      </c>
      <c r="AN84" s="209"/>
      <c r="AO84" s="301" t="b">
        <v>0</v>
      </c>
      <c r="AP84" s="209"/>
    </row>
    <row r="85">
      <c r="A85" s="338"/>
      <c r="B85" s="303" t="s">
        <v>963</v>
      </c>
      <c r="C85" s="304" t="s">
        <v>4225</v>
      </c>
      <c r="D85" s="304" t="s">
        <v>964</v>
      </c>
      <c r="E85" s="307">
        <v>8.10115972143E11</v>
      </c>
      <c r="F85" s="209"/>
      <c r="G85" s="209"/>
      <c r="H85" s="209"/>
      <c r="I85" s="209"/>
      <c r="J85" s="296" t="b">
        <v>1</v>
      </c>
      <c r="K85" s="301" t="b">
        <v>0</v>
      </c>
      <c r="L85" s="285" t="s">
        <v>889</v>
      </c>
      <c r="M85" s="465" t="str">
        <f>IF(COUNTIF(M86:M97, TRUE) = COUNTA(M86:M97), "Complete!", IF(COUNTIF(M86:M97, TRUE) &gt; 0, "Partial", "Not Started"))</f>
        <v>Not Started</v>
      </c>
      <c r="N85" s="209"/>
      <c r="O85" s="281" t="s">
        <v>1005</v>
      </c>
      <c r="P85" s="319" t="s">
        <v>1156</v>
      </c>
      <c r="Q85" s="320"/>
      <c r="R85" s="283" t="s">
        <v>1157</v>
      </c>
      <c r="S85" s="362" t="s">
        <v>1118</v>
      </c>
      <c r="T85" s="320"/>
      <c r="U85" s="320"/>
      <c r="V85" s="285" t="s">
        <v>370</v>
      </c>
      <c r="W85" s="285" t="s">
        <v>1158</v>
      </c>
      <c r="X85" s="333" t="str">
        <f>IF(COUNTIF(X86:X89, TRUE) = COUNTA(X86:X89), "Complete!", IF(COUNTIF(X86:X89, TRUE) &gt; 0, "Partial", "Not Started"))</f>
        <v>Complete!</v>
      </c>
      <c r="Y85" s="334"/>
      <c r="Z85" s="432" t="s">
        <v>889</v>
      </c>
      <c r="AA85" s="466" t="str">
        <f>IF(COUNTIF(AA86:AA89, TRUE) = COUNTA(AA86:AA89), "Complete!", IF(COUNTIF(AA86:AA89, TRUE) &gt; 0, "Partial", "Not Started"))</f>
        <v>Not Started</v>
      </c>
      <c r="AB85" s="280">
        <v>5.0</v>
      </c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313"/>
      <c r="AO85" s="314" t="b">
        <v>0</v>
      </c>
      <c r="AP85" s="209"/>
    </row>
    <row r="86">
      <c r="A86" s="338"/>
      <c r="B86" s="303" t="s">
        <v>969</v>
      </c>
      <c r="C86" s="347" t="s">
        <v>4228</v>
      </c>
      <c r="D86" s="304" t="s">
        <v>970</v>
      </c>
      <c r="E86" s="307">
        <v>8.10115972112E11</v>
      </c>
      <c r="F86" s="209"/>
      <c r="G86" s="209"/>
      <c r="H86" s="209"/>
      <c r="I86" s="209"/>
      <c r="J86" s="296" t="b">
        <v>1</v>
      </c>
      <c r="K86" s="301" t="b">
        <v>0</v>
      </c>
      <c r="L86" s="295"/>
      <c r="M86" s="301" t="b">
        <v>0</v>
      </c>
      <c r="N86" s="209"/>
      <c r="O86" s="291"/>
      <c r="P86" s="292" t="s">
        <v>1159</v>
      </c>
      <c r="Q86" s="298" t="s">
        <v>1160</v>
      </c>
      <c r="R86" s="293" t="s">
        <v>1161</v>
      </c>
      <c r="S86" s="357">
        <v>8.10115970743E11</v>
      </c>
      <c r="T86" s="295"/>
      <c r="U86" s="295"/>
      <c r="V86" s="295"/>
      <c r="W86" s="295"/>
      <c r="X86" s="296" t="b">
        <v>1</v>
      </c>
      <c r="Y86" s="297" t="b">
        <v>0</v>
      </c>
      <c r="Z86" s="209"/>
      <c r="AA86" s="301" t="b">
        <v>0</v>
      </c>
      <c r="AB86" s="209"/>
      <c r="AC86" s="286" t="s">
        <v>985</v>
      </c>
      <c r="AD86" s="329" t="s">
        <v>986</v>
      </c>
      <c r="AE86" s="273"/>
      <c r="AF86" s="273"/>
      <c r="AG86" s="336" t="s">
        <v>887</v>
      </c>
      <c r="AH86" s="273"/>
      <c r="AI86" s="273"/>
      <c r="AJ86" s="276" t="s">
        <v>888</v>
      </c>
      <c r="AK86" s="276" t="s">
        <v>889</v>
      </c>
      <c r="AL86" s="333" t="str">
        <f>IF(COUNTIF(AL87:AL89, TRUE) = COUNTA(AL87:AL89), "Complete!", IF(COUNTIF(AL87:AL89, TRUE) &gt; 0, "Partial", "Not Started"))</f>
        <v>Complete!</v>
      </c>
      <c r="AM86" s="279"/>
      <c r="AN86" s="209"/>
      <c r="AO86" s="209"/>
      <c r="AP86" s="280">
        <v>3.0</v>
      </c>
    </row>
    <row r="87">
      <c r="A87" s="338"/>
      <c r="B87" s="303" t="s">
        <v>977</v>
      </c>
      <c r="C87" s="304" t="s">
        <v>4282</v>
      </c>
      <c r="D87" s="304" t="s">
        <v>978</v>
      </c>
      <c r="E87" s="307">
        <v>8.10115972969E11</v>
      </c>
      <c r="F87" s="209"/>
      <c r="G87" s="209"/>
      <c r="H87" s="209"/>
      <c r="I87" s="209"/>
      <c r="J87" s="296" t="b">
        <v>1</v>
      </c>
      <c r="K87" s="301" t="b">
        <v>0</v>
      </c>
      <c r="L87" s="209"/>
      <c r="M87" s="301" t="b">
        <v>0</v>
      </c>
      <c r="N87" s="209"/>
      <c r="O87" s="291"/>
      <c r="P87" s="303" t="s">
        <v>1165</v>
      </c>
      <c r="Q87" s="306" t="s">
        <v>1166</v>
      </c>
      <c r="R87" s="304" t="s">
        <v>1167</v>
      </c>
      <c r="S87" s="358">
        <v>8.10115970064E11</v>
      </c>
      <c r="T87" s="209"/>
      <c r="U87" s="209"/>
      <c r="V87" s="209"/>
      <c r="W87" s="209"/>
      <c r="X87" s="300" t="b">
        <v>1</v>
      </c>
      <c r="Y87" s="301" t="b">
        <v>0</v>
      </c>
      <c r="Z87" s="209"/>
      <c r="AA87" s="301" t="b">
        <v>0</v>
      </c>
      <c r="AB87" s="209"/>
      <c r="AC87" s="291"/>
      <c r="AD87" s="292" t="s">
        <v>993</v>
      </c>
      <c r="AE87" s="293" t="s">
        <v>994</v>
      </c>
      <c r="AF87" s="293" t="s">
        <v>995</v>
      </c>
      <c r="AG87" s="299">
        <v>8.10115971344E11</v>
      </c>
      <c r="AH87" s="293" t="s">
        <v>732</v>
      </c>
      <c r="AI87" s="295"/>
      <c r="AJ87" s="295"/>
      <c r="AK87" s="295"/>
      <c r="AL87" s="300" t="b">
        <v>1</v>
      </c>
      <c r="AM87" s="297" t="b">
        <v>0</v>
      </c>
      <c r="AN87" s="285" t="s">
        <v>889</v>
      </c>
      <c r="AO87" s="465" t="str">
        <f>IF(COUNTIF(AO82:AO89, TRUE) = COUNTA(AO82:AO89), "Complete!", IF(COUNTIF(AO82:AO89, TRUE) &gt; 0, "Partial", "Not Started"))</f>
        <v>#REF!</v>
      </c>
      <c r="AP87" s="209"/>
    </row>
    <row r="88">
      <c r="A88" s="338"/>
      <c r="B88" s="303" t="s">
        <v>981</v>
      </c>
      <c r="C88" s="304" t="s">
        <v>4230</v>
      </c>
      <c r="D88" s="304" t="s">
        <v>982</v>
      </c>
      <c r="E88" s="307">
        <v>8.10115972099E11</v>
      </c>
      <c r="F88" s="209"/>
      <c r="G88" s="209"/>
      <c r="H88" s="209"/>
      <c r="I88" s="209"/>
      <c r="J88" s="296" t="b">
        <v>1</v>
      </c>
      <c r="K88" s="301" t="b">
        <v>0</v>
      </c>
      <c r="L88" s="209"/>
      <c r="M88" s="301" t="b">
        <v>0</v>
      </c>
      <c r="N88" s="209"/>
      <c r="O88" s="291"/>
      <c r="P88" s="303" t="s">
        <v>1171</v>
      </c>
      <c r="Q88" s="306" t="s">
        <v>1172</v>
      </c>
      <c r="R88" s="304" t="s">
        <v>1173</v>
      </c>
      <c r="S88" s="358">
        <v>8.10115970804E11</v>
      </c>
      <c r="T88" s="209"/>
      <c r="U88" s="209"/>
      <c r="V88" s="209"/>
      <c r="W88" s="209"/>
      <c r="X88" s="300" t="b">
        <v>1</v>
      </c>
      <c r="Y88" s="301" t="b">
        <v>0</v>
      </c>
      <c r="Z88" s="209"/>
      <c r="AA88" s="301" t="b">
        <v>0</v>
      </c>
      <c r="AB88" s="209"/>
      <c r="AC88" s="291"/>
      <c r="AD88" s="303" t="s">
        <v>999</v>
      </c>
      <c r="AE88" s="304" t="s">
        <v>1000</v>
      </c>
      <c r="AF88" s="304" t="s">
        <v>1001</v>
      </c>
      <c r="AG88" s="307">
        <v>8.10115971368E11</v>
      </c>
      <c r="AH88" s="304" t="s">
        <v>732</v>
      </c>
      <c r="AI88" s="209"/>
      <c r="AJ88" s="209"/>
      <c r="AK88" s="304" t="s">
        <v>733</v>
      </c>
      <c r="AL88" s="300" t="b">
        <v>1</v>
      </c>
      <c r="AM88" s="301" t="b">
        <v>0</v>
      </c>
      <c r="AN88" s="209"/>
      <c r="AO88" s="301" t="b">
        <v>0</v>
      </c>
      <c r="AP88" s="209"/>
    </row>
    <row r="89">
      <c r="A89" s="338"/>
      <c r="B89" s="303" t="s">
        <v>988</v>
      </c>
      <c r="C89" s="304" t="s">
        <v>4283</v>
      </c>
      <c r="D89" s="304" t="s">
        <v>990</v>
      </c>
      <c r="E89" s="307">
        <v>8.40472502639E11</v>
      </c>
      <c r="F89" s="304" t="s">
        <v>1062</v>
      </c>
      <c r="G89" s="209"/>
      <c r="H89" s="209"/>
      <c r="I89" s="209"/>
      <c r="J89" s="296" t="b">
        <v>1</v>
      </c>
      <c r="K89" s="301" t="b">
        <v>0</v>
      </c>
      <c r="L89" s="209"/>
      <c r="M89" s="301" t="b">
        <v>0</v>
      </c>
      <c r="N89" s="209"/>
      <c r="O89" s="291"/>
      <c r="P89" s="303" t="s">
        <v>1177</v>
      </c>
      <c r="Q89" s="306" t="s">
        <v>1178</v>
      </c>
      <c r="R89" s="304" t="s">
        <v>1179</v>
      </c>
      <c r="S89" s="358">
        <v>8.10115970828E11</v>
      </c>
      <c r="T89" s="209"/>
      <c r="U89" s="209"/>
      <c r="V89" s="209"/>
      <c r="W89" s="209"/>
      <c r="X89" s="300" t="b">
        <v>1</v>
      </c>
      <c r="Y89" s="301" t="b">
        <v>0</v>
      </c>
      <c r="Z89" s="313"/>
      <c r="AA89" s="314" t="b">
        <v>0</v>
      </c>
      <c r="AB89" s="209"/>
      <c r="AC89" s="309"/>
      <c r="AD89" s="310" t="s">
        <v>1010</v>
      </c>
      <c r="AE89" s="311" t="s">
        <v>1011</v>
      </c>
      <c r="AF89" s="311" t="s">
        <v>1012</v>
      </c>
      <c r="AG89" s="318">
        <v>8.10115971429E11</v>
      </c>
      <c r="AH89" s="311" t="s">
        <v>732</v>
      </c>
      <c r="AI89" s="313"/>
      <c r="AJ89" s="313"/>
      <c r="AK89" s="311" t="s">
        <v>733</v>
      </c>
      <c r="AL89" s="350" t="b">
        <v>1</v>
      </c>
      <c r="AM89" s="314" t="b">
        <v>0</v>
      </c>
      <c r="AN89" s="209"/>
      <c r="AO89" s="301" t="b">
        <v>0</v>
      </c>
      <c r="AP89" s="209"/>
    </row>
    <row r="90">
      <c r="A90" s="338"/>
      <c r="B90" s="303" t="s">
        <v>996</v>
      </c>
      <c r="C90" s="304" t="s">
        <v>4284</v>
      </c>
      <c r="D90" s="304" t="s">
        <v>998</v>
      </c>
      <c r="E90" s="307">
        <v>8.40472502592E11</v>
      </c>
      <c r="F90" s="304" t="s">
        <v>1062</v>
      </c>
      <c r="G90" s="209"/>
      <c r="H90" s="209"/>
      <c r="I90" s="209"/>
      <c r="J90" s="296" t="b">
        <v>1</v>
      </c>
      <c r="K90" s="301" t="b">
        <v>0</v>
      </c>
      <c r="L90" s="209"/>
      <c r="M90" s="301" t="b">
        <v>0</v>
      </c>
      <c r="N90" s="209"/>
      <c r="O90" s="309"/>
      <c r="P90" s="310" t="s">
        <v>4088</v>
      </c>
      <c r="Q90" s="317" t="s">
        <v>400</v>
      </c>
      <c r="R90" s="311" t="s">
        <v>4089</v>
      </c>
      <c r="S90" s="318">
        <v>8.40472503476E11</v>
      </c>
      <c r="T90" s="311" t="s">
        <v>1062</v>
      </c>
      <c r="U90" s="313"/>
      <c r="V90" s="313"/>
      <c r="W90" s="313"/>
      <c r="X90" s="350" t="b">
        <v>1</v>
      </c>
      <c r="Y90" s="314" t="b">
        <v>0</v>
      </c>
      <c r="Z90" s="313"/>
      <c r="AA90" s="314" t="b">
        <v>0</v>
      </c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09"/>
      <c r="AP90" s="209"/>
    </row>
    <row r="91">
      <c r="A91" s="338"/>
      <c r="B91" s="310" t="s">
        <v>1002</v>
      </c>
      <c r="C91" s="311" t="s">
        <v>4285</v>
      </c>
      <c r="D91" s="311" t="s">
        <v>1004</v>
      </c>
      <c r="E91" s="318">
        <v>8.40472503063E11</v>
      </c>
      <c r="F91" s="311" t="s">
        <v>1062</v>
      </c>
      <c r="G91" s="313"/>
      <c r="H91" s="313"/>
      <c r="I91" s="311" t="s">
        <v>4262</v>
      </c>
      <c r="J91" s="371" t="b">
        <v>1</v>
      </c>
      <c r="K91" s="314" t="b">
        <v>0</v>
      </c>
      <c r="L91" s="209"/>
      <c r="M91" s="301" t="b">
        <v>0</v>
      </c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313"/>
      <c r="AA91" s="313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</row>
    <row r="92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419"/>
      <c r="M92" s="301" t="b">
        <v>0</v>
      </c>
      <c r="N92" s="209"/>
      <c r="O92" s="281" t="s">
        <v>1034</v>
      </c>
      <c r="P92" s="319" t="s">
        <v>1191</v>
      </c>
      <c r="Q92" s="320"/>
      <c r="R92" s="283" t="s">
        <v>1192</v>
      </c>
      <c r="S92" s="362" t="s">
        <v>1118</v>
      </c>
      <c r="T92" s="320"/>
      <c r="U92" s="320"/>
      <c r="V92" s="285" t="s">
        <v>370</v>
      </c>
      <c r="W92" s="285" t="s">
        <v>4286</v>
      </c>
      <c r="X92" s="333" t="str">
        <f>IF(COUNTIF(X93:X96, TRUE) = COUNTA(X93:X96), "Complete!", IF(COUNTIF(X93:X96, TRUE) &gt; 0, "Partial", "Not Started"))</f>
        <v>Complete!</v>
      </c>
      <c r="Y92" s="334"/>
      <c r="Z92" s="209"/>
      <c r="AA92" s="301" t="b">
        <v>0</v>
      </c>
      <c r="AB92" s="472">
        <v>4.0</v>
      </c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09"/>
      <c r="AP92" s="209"/>
    </row>
    <row r="93">
      <c r="A93" s="337" t="s">
        <v>1005</v>
      </c>
      <c r="B93" s="282" t="s">
        <v>228</v>
      </c>
      <c r="C93" s="273"/>
      <c r="D93" s="274" t="s">
        <v>227</v>
      </c>
      <c r="E93" s="463" t="s">
        <v>805</v>
      </c>
      <c r="F93" s="273"/>
      <c r="G93" s="273"/>
      <c r="H93" s="277" t="s">
        <v>370</v>
      </c>
      <c r="I93" s="277" t="s">
        <v>4075</v>
      </c>
      <c r="J93" s="470" t="str">
        <f>IF(COUNTIF(J96:J103, TRUE) = COUNTA(J96:J103), "Complete!", IF(COUNTIF(J96:J103, TRUE) &gt; 0, "Partial", "Not Started"))</f>
        <v>Complete!</v>
      </c>
      <c r="K93" s="279"/>
      <c r="L93" s="419"/>
      <c r="M93" s="301" t="b">
        <v>0</v>
      </c>
      <c r="N93" s="280">
        <v>10.0</v>
      </c>
      <c r="O93" s="291"/>
      <c r="P93" s="292" t="s">
        <v>1206</v>
      </c>
      <c r="Q93" s="298" t="s">
        <v>1207</v>
      </c>
      <c r="R93" s="293" t="s">
        <v>1208</v>
      </c>
      <c r="S93" s="357">
        <v>8.10115970095E11</v>
      </c>
      <c r="T93" s="295"/>
      <c r="U93" s="295"/>
      <c r="V93" s="295"/>
      <c r="W93" s="295"/>
      <c r="X93" s="296" t="b">
        <v>1</v>
      </c>
      <c r="Y93" s="297" t="b">
        <v>0</v>
      </c>
      <c r="Z93" s="209"/>
      <c r="AA93" s="301" t="b">
        <v>0</v>
      </c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09"/>
      <c r="AP93" s="209"/>
    </row>
    <row r="94">
      <c r="A94" s="338"/>
      <c r="B94" s="292" t="s">
        <v>1018</v>
      </c>
      <c r="C94" s="293" t="s">
        <v>4229</v>
      </c>
      <c r="D94" s="293" t="s">
        <v>1019</v>
      </c>
      <c r="E94" s="299">
        <v>8.10115972068E11</v>
      </c>
      <c r="F94" s="295"/>
      <c r="G94" s="295"/>
      <c r="H94" s="295"/>
      <c r="I94" s="295"/>
      <c r="J94" s="296" t="b">
        <v>1</v>
      </c>
      <c r="K94" s="297" t="b">
        <v>0</v>
      </c>
      <c r="L94" s="209"/>
      <c r="M94" s="301" t="b">
        <v>0</v>
      </c>
      <c r="N94" s="209"/>
      <c r="O94" s="291"/>
      <c r="P94" s="303" t="s">
        <v>1211</v>
      </c>
      <c r="Q94" s="306" t="s">
        <v>1212</v>
      </c>
      <c r="R94" s="304" t="s">
        <v>1213</v>
      </c>
      <c r="S94" s="358">
        <v>8.10115970835E11</v>
      </c>
      <c r="T94" s="209"/>
      <c r="U94" s="209"/>
      <c r="V94" s="209"/>
      <c r="W94" s="209"/>
      <c r="X94" s="300" t="b">
        <v>1</v>
      </c>
      <c r="Y94" s="301" t="b">
        <v>0</v>
      </c>
      <c r="Z94" s="313"/>
      <c r="AA94" s="314" t="b">
        <v>0</v>
      </c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09"/>
      <c r="AP94" s="209"/>
    </row>
    <row r="95">
      <c r="A95" s="338"/>
      <c r="B95" s="303" t="s">
        <v>1022</v>
      </c>
      <c r="C95" s="304" t="s">
        <v>4231</v>
      </c>
      <c r="D95" s="304" t="s">
        <v>1023</v>
      </c>
      <c r="E95" s="307">
        <v>8.10115972044E11</v>
      </c>
      <c r="F95" s="209"/>
      <c r="G95" s="209"/>
      <c r="H95" s="209"/>
      <c r="I95" s="209"/>
      <c r="J95" s="296" t="b">
        <v>1</v>
      </c>
      <c r="K95" s="301" t="b">
        <v>0</v>
      </c>
      <c r="L95" s="209"/>
      <c r="M95" s="301" t="b">
        <v>0</v>
      </c>
      <c r="N95" s="209"/>
      <c r="O95" s="291"/>
      <c r="P95" s="303" t="s">
        <v>1214</v>
      </c>
      <c r="Q95" s="306" t="s">
        <v>400</v>
      </c>
      <c r="R95" s="304" t="s">
        <v>1215</v>
      </c>
      <c r="S95" s="307">
        <v>8.40472503452E11</v>
      </c>
      <c r="T95" s="304" t="s">
        <v>4287</v>
      </c>
      <c r="U95" s="209"/>
      <c r="V95" s="209"/>
      <c r="W95" s="209"/>
      <c r="X95" s="300" t="b">
        <v>1</v>
      </c>
      <c r="Y95" s="301" t="b">
        <v>0</v>
      </c>
      <c r="Z95" s="209"/>
      <c r="AA95" s="301" t="b">
        <v>0</v>
      </c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</row>
    <row r="96">
      <c r="A96" s="338"/>
      <c r="B96" s="303" t="s">
        <v>229</v>
      </c>
      <c r="C96" s="304" t="s">
        <v>4288</v>
      </c>
      <c r="D96" s="304" t="s">
        <v>1027</v>
      </c>
      <c r="E96" s="307">
        <v>8.40472503056E11</v>
      </c>
      <c r="F96" s="304" t="s">
        <v>1062</v>
      </c>
      <c r="G96" s="209"/>
      <c r="H96" s="209"/>
      <c r="I96" s="304" t="s">
        <v>4262</v>
      </c>
      <c r="J96" s="296" t="b">
        <v>1</v>
      </c>
      <c r="K96" s="301" t="b">
        <v>0</v>
      </c>
      <c r="L96" s="209"/>
      <c r="M96" s="301" t="b">
        <v>0</v>
      </c>
      <c r="N96" s="209"/>
      <c r="O96" s="309"/>
      <c r="P96" s="310" t="s">
        <v>1217</v>
      </c>
      <c r="Q96" s="317" t="s">
        <v>400</v>
      </c>
      <c r="R96" s="311" t="s">
        <v>1218</v>
      </c>
      <c r="S96" s="318">
        <v>8.40472503506E11</v>
      </c>
      <c r="T96" s="311" t="s">
        <v>4287</v>
      </c>
      <c r="U96" s="313"/>
      <c r="V96" s="313"/>
      <c r="W96" s="313"/>
      <c r="X96" s="350" t="b">
        <v>1</v>
      </c>
      <c r="Y96" s="314" t="b">
        <v>0</v>
      </c>
      <c r="Z96" s="209"/>
      <c r="AA96" s="301" t="b">
        <v>0</v>
      </c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09"/>
      <c r="AP96" s="209"/>
    </row>
    <row r="97">
      <c r="A97" s="338"/>
      <c r="B97" s="303" t="s">
        <v>1030</v>
      </c>
      <c r="C97" s="304" t="s">
        <v>4232</v>
      </c>
      <c r="D97" s="304" t="s">
        <v>1031</v>
      </c>
      <c r="E97" s="307">
        <v>8.10115972013E11</v>
      </c>
      <c r="F97" s="209"/>
      <c r="G97" s="209"/>
      <c r="H97" s="209"/>
      <c r="I97" s="209"/>
      <c r="J97" s="296" t="b">
        <v>1</v>
      </c>
      <c r="K97" s="301" t="b">
        <v>0</v>
      </c>
      <c r="L97" s="313"/>
      <c r="M97" s="314" t="b">
        <v>0</v>
      </c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313"/>
      <c r="AA97" s="314" t="b">
        <v>0</v>
      </c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</row>
    <row r="98">
      <c r="A98" s="338"/>
      <c r="B98" s="303" t="s">
        <v>1032</v>
      </c>
      <c r="C98" s="304" t="s">
        <v>4234</v>
      </c>
      <c r="D98" s="304" t="s">
        <v>1033</v>
      </c>
      <c r="E98" s="307">
        <v>8.10115970484E11</v>
      </c>
      <c r="F98" s="209"/>
      <c r="G98" s="209"/>
      <c r="H98" s="209"/>
      <c r="I98" s="209"/>
      <c r="J98" s="296" t="b">
        <v>1</v>
      </c>
      <c r="K98" s="301" t="b">
        <v>0</v>
      </c>
      <c r="L98" s="209"/>
      <c r="M98" s="209"/>
      <c r="N98" s="209"/>
      <c r="O98" s="281" t="s">
        <v>1064</v>
      </c>
      <c r="P98" s="319" t="s">
        <v>1227</v>
      </c>
      <c r="Q98" s="320"/>
      <c r="R98" s="283" t="s">
        <v>1228</v>
      </c>
      <c r="S98" s="284" t="s">
        <v>1118</v>
      </c>
      <c r="T98" s="320"/>
      <c r="U98" s="320"/>
      <c r="V98" s="285" t="s">
        <v>370</v>
      </c>
      <c r="W98" s="285" t="s">
        <v>4097</v>
      </c>
      <c r="X98" s="333" t="str">
        <f>IF(COUNTIF(X104:X106, TRUE) = COUNTA(X104:X106), "Complete!", IF(COUNTIF(X104:X106, TRUE) &gt; 0, "Partial", "Not Started"))</f>
        <v>Partial</v>
      </c>
      <c r="Y98" s="334"/>
      <c r="Z98" s="209"/>
      <c r="AA98" s="209"/>
      <c r="AB98" s="472">
        <v>5.0</v>
      </c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</row>
    <row r="99">
      <c r="A99" s="338"/>
      <c r="B99" s="303" t="s">
        <v>1038</v>
      </c>
      <c r="C99" s="304" t="s">
        <v>4236</v>
      </c>
      <c r="D99" s="304" t="s">
        <v>1039</v>
      </c>
      <c r="E99" s="307">
        <v>8.10115971986E11</v>
      </c>
      <c r="F99" s="209"/>
      <c r="G99" s="209"/>
      <c r="H99" s="209"/>
      <c r="I99" s="209"/>
      <c r="J99" s="296" t="b">
        <v>1</v>
      </c>
      <c r="K99" s="301" t="b">
        <v>0</v>
      </c>
      <c r="L99" s="285" t="s">
        <v>889</v>
      </c>
      <c r="M99" s="465" t="str">
        <f>IF(COUNTIF(M100:M104, TRUE) = COUNTA(M100:M104), "Complete!", IF(COUNTIF(M100:M104, TRUE) &gt; 0, "Partial", "Not Started"))</f>
        <v>Not Started</v>
      </c>
      <c r="N99" s="209"/>
      <c r="O99" s="291"/>
      <c r="P99" s="292" t="s">
        <v>1232</v>
      </c>
      <c r="Q99" s="298" t="s">
        <v>400</v>
      </c>
      <c r="R99" s="293" t="s">
        <v>1233</v>
      </c>
      <c r="S99" s="357">
        <v>8.10115970729E11</v>
      </c>
      <c r="T99" s="295"/>
      <c r="U99" s="295"/>
      <c r="V99" s="295"/>
      <c r="W99" s="295"/>
      <c r="X99" s="296" t="b">
        <v>1</v>
      </c>
      <c r="Y99" s="297" t="b">
        <v>0</v>
      </c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</row>
    <row r="100">
      <c r="A100" s="338"/>
      <c r="B100" s="303" t="s">
        <v>1043</v>
      </c>
      <c r="C100" s="304" t="s">
        <v>4289</v>
      </c>
      <c r="D100" s="304" t="s">
        <v>1045</v>
      </c>
      <c r="E100" s="307">
        <v>8.10115972792E11</v>
      </c>
      <c r="F100" s="209"/>
      <c r="G100" s="209"/>
      <c r="H100" s="209"/>
      <c r="I100" s="209"/>
      <c r="J100" s="296" t="b">
        <v>1</v>
      </c>
      <c r="K100" s="301" t="b">
        <v>0</v>
      </c>
      <c r="L100" s="209"/>
      <c r="M100" s="301" t="b">
        <v>0</v>
      </c>
      <c r="N100" s="209"/>
      <c r="O100" s="291"/>
      <c r="P100" s="303" t="s">
        <v>1237</v>
      </c>
      <c r="Q100" s="306" t="s">
        <v>400</v>
      </c>
      <c r="R100" s="304" t="s">
        <v>1238</v>
      </c>
      <c r="S100" s="307">
        <v>8.40472506941E11</v>
      </c>
      <c r="T100" s="304" t="s">
        <v>1062</v>
      </c>
      <c r="U100" s="209"/>
      <c r="V100" s="209"/>
      <c r="W100" s="209"/>
      <c r="X100" s="300" t="b">
        <v>1</v>
      </c>
      <c r="Y100" s="301" t="b">
        <v>0</v>
      </c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</row>
    <row r="101">
      <c r="A101" s="338"/>
      <c r="B101" s="303" t="s">
        <v>1048</v>
      </c>
      <c r="C101" s="304" t="s">
        <v>4290</v>
      </c>
      <c r="D101" s="304" t="s">
        <v>1050</v>
      </c>
      <c r="E101" s="307">
        <v>8.10115972778E11</v>
      </c>
      <c r="F101" s="209"/>
      <c r="G101" s="209"/>
      <c r="H101" s="209"/>
      <c r="I101" s="209"/>
      <c r="J101" s="296" t="b">
        <v>1</v>
      </c>
      <c r="K101" s="301" t="b">
        <v>0</v>
      </c>
      <c r="L101" s="209"/>
      <c r="M101" s="301" t="b">
        <v>0</v>
      </c>
      <c r="N101" s="209"/>
      <c r="O101" s="291"/>
      <c r="P101" s="303" t="s">
        <v>1241</v>
      </c>
      <c r="Q101" s="306" t="s">
        <v>400</v>
      </c>
      <c r="R101" s="304" t="s">
        <v>1242</v>
      </c>
      <c r="S101" s="358">
        <v>8.10115970736E11</v>
      </c>
      <c r="T101" s="209"/>
      <c r="U101" s="209"/>
      <c r="V101" s="209"/>
      <c r="W101" s="209"/>
      <c r="X101" s="300" t="b">
        <v>1</v>
      </c>
      <c r="Y101" s="301" t="b">
        <v>0</v>
      </c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</row>
    <row r="102">
      <c r="A102" s="338"/>
      <c r="B102" s="303" t="s">
        <v>1053</v>
      </c>
      <c r="C102" s="304" t="s">
        <v>4246</v>
      </c>
      <c r="D102" s="304" t="s">
        <v>1054</v>
      </c>
      <c r="E102" s="307">
        <v>8.10115971979E11</v>
      </c>
      <c r="F102" s="209"/>
      <c r="G102" s="209"/>
      <c r="H102" s="209"/>
      <c r="I102" s="209"/>
      <c r="J102" s="296" t="b">
        <v>1</v>
      </c>
      <c r="K102" s="301" t="b">
        <v>0</v>
      </c>
      <c r="L102" s="209"/>
      <c r="M102" s="301" t="b">
        <v>0</v>
      </c>
      <c r="N102" s="209"/>
      <c r="O102" s="291"/>
      <c r="P102" s="303" t="s">
        <v>4098</v>
      </c>
      <c r="Q102" s="306" t="s">
        <v>400</v>
      </c>
      <c r="R102" s="304" t="s">
        <v>4099</v>
      </c>
      <c r="S102" s="307">
        <v>8.40472503469E11</v>
      </c>
      <c r="T102" s="304" t="s">
        <v>1062</v>
      </c>
      <c r="U102" s="209"/>
      <c r="V102" s="209"/>
      <c r="W102" s="209"/>
      <c r="X102" s="300" t="b">
        <v>1</v>
      </c>
      <c r="Y102" s="301" t="b">
        <v>0</v>
      </c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301" t="b">
        <v>0</v>
      </c>
      <c r="AP102" s="209"/>
    </row>
    <row r="103">
      <c r="A103" s="338"/>
      <c r="B103" s="310" t="s">
        <v>4291</v>
      </c>
      <c r="C103" s="311" t="s">
        <v>4292</v>
      </c>
      <c r="D103" s="311" t="s">
        <v>1061</v>
      </c>
      <c r="E103" s="318">
        <v>8.40472507559E11</v>
      </c>
      <c r="F103" s="311" t="s">
        <v>1062</v>
      </c>
      <c r="G103" s="313"/>
      <c r="H103" s="313"/>
      <c r="I103" s="311" t="s">
        <v>1063</v>
      </c>
      <c r="J103" s="371" t="b">
        <v>1</v>
      </c>
      <c r="K103" s="314" t="b">
        <v>0</v>
      </c>
      <c r="L103" s="209"/>
      <c r="M103" s="301" t="b">
        <v>0</v>
      </c>
      <c r="N103" s="209"/>
      <c r="O103" s="309"/>
      <c r="P103" s="310" t="s">
        <v>4100</v>
      </c>
      <c r="Q103" s="317" t="s">
        <v>400</v>
      </c>
      <c r="R103" s="311" t="s">
        <v>4101</v>
      </c>
      <c r="S103" s="318">
        <v>8.40472503483E11</v>
      </c>
      <c r="T103" s="311" t="s">
        <v>4287</v>
      </c>
      <c r="U103" s="313"/>
      <c r="V103" s="313"/>
      <c r="W103" s="313"/>
      <c r="X103" s="350" t="b">
        <v>1</v>
      </c>
      <c r="Y103" s="314" t="b">
        <v>0</v>
      </c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</row>
    <row r="104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419"/>
      <c r="M104" s="301" t="b">
        <v>0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/>
    </row>
    <row r="105">
      <c r="A105" s="337" t="s">
        <v>1034</v>
      </c>
      <c r="B105" s="282" t="s">
        <v>1068</v>
      </c>
      <c r="C105" s="273"/>
      <c r="D105" s="274" t="s">
        <v>1069</v>
      </c>
      <c r="E105" s="463" t="s">
        <v>805</v>
      </c>
      <c r="F105" s="273"/>
      <c r="G105" s="273"/>
      <c r="H105" s="277" t="s">
        <v>370</v>
      </c>
      <c r="I105" s="277" t="s">
        <v>4293</v>
      </c>
      <c r="J105" s="470" t="str">
        <f>IF(COUNTIF(J108:J115, TRUE) = COUNTA(J108:J115), "Complete!", IF(COUNTIF(J108:J115, TRUE) &gt; 0, "Partial", "Not Started"))</f>
        <v>Complete!</v>
      </c>
      <c r="K105" s="279"/>
      <c r="L105" s="464" t="s">
        <v>889</v>
      </c>
      <c r="M105" s="465" t="str">
        <f>IF(COUNTIF(M106:M115, TRUE) = COUNTA(M106:M115), "Complete!", IF(COUNTIF(M106:M115, TRUE) &gt; 0, "Partial", "Not Started"))</f>
        <v>Not Started</v>
      </c>
      <c r="N105" s="280">
        <v>10.0</v>
      </c>
      <c r="O105" s="281" t="s">
        <v>985</v>
      </c>
      <c r="P105" s="282" t="s">
        <v>1256</v>
      </c>
      <c r="Q105" s="273"/>
      <c r="R105" s="274" t="s">
        <v>1257</v>
      </c>
      <c r="S105" s="284" t="s">
        <v>1118</v>
      </c>
      <c r="T105" s="273"/>
      <c r="U105" s="273"/>
      <c r="V105" s="276" t="s">
        <v>370</v>
      </c>
      <c r="W105" s="276" t="s">
        <v>4102</v>
      </c>
      <c r="X105" s="278" t="str">
        <f>IF(COUNTIF(X106:X110, TRUE) = COUNTA(X106:X110), "Complete!", IF(COUNTIF(X106:X110, TRUE) &gt; 0, "Partial", "Not Started"))</f>
        <v>Complete!</v>
      </c>
      <c r="Y105" s="473"/>
      <c r="Z105" s="432" t="s">
        <v>889</v>
      </c>
      <c r="AA105" s="466" t="str">
        <f>IF(COUNTIF(AA84, TRUE) = COUNTA(AA84), "Complete!", IF(COUNTIF(AA84, TRUE) &gt; 0, "Partial", "Not Started"))</f>
        <v>Complete!</v>
      </c>
      <c r="AB105" s="280">
        <v>6.0</v>
      </c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</row>
    <row r="106">
      <c r="A106" s="338"/>
      <c r="B106" s="292" t="s">
        <v>1073</v>
      </c>
      <c r="C106" s="293" t="s">
        <v>4222</v>
      </c>
      <c r="D106" s="293" t="s">
        <v>1074</v>
      </c>
      <c r="E106" s="299">
        <v>8.10115972259E11</v>
      </c>
      <c r="F106" s="293" t="s">
        <v>1057</v>
      </c>
      <c r="G106" s="295"/>
      <c r="H106" s="295"/>
      <c r="I106" s="295"/>
      <c r="J106" s="296" t="b">
        <v>1</v>
      </c>
      <c r="K106" s="297" t="b">
        <v>1</v>
      </c>
      <c r="L106" s="209"/>
      <c r="M106" s="301" t="b">
        <v>0</v>
      </c>
      <c r="N106" s="209"/>
      <c r="O106" s="291"/>
      <c r="P106" s="292" t="s">
        <v>1258</v>
      </c>
      <c r="Q106" s="298" t="s">
        <v>1160</v>
      </c>
      <c r="R106" s="293" t="s">
        <v>1259</v>
      </c>
      <c r="S106" s="302" t="s">
        <v>1260</v>
      </c>
      <c r="T106" s="295"/>
      <c r="U106" s="295"/>
      <c r="V106" s="295"/>
      <c r="W106" s="295"/>
      <c r="X106" s="296" t="b">
        <v>1</v>
      </c>
      <c r="Y106" s="297" t="b">
        <v>0</v>
      </c>
      <c r="Z106" s="209"/>
      <c r="AA106" s="301" t="b">
        <v>0</v>
      </c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</row>
    <row r="107">
      <c r="A107" s="338"/>
      <c r="B107" s="303" t="s">
        <v>1077</v>
      </c>
      <c r="C107" s="304" t="s">
        <v>4244</v>
      </c>
      <c r="D107" s="304" t="s">
        <v>1078</v>
      </c>
      <c r="E107" s="307">
        <v>8.10115972198E11</v>
      </c>
      <c r="F107" s="293" t="s">
        <v>1057</v>
      </c>
      <c r="G107" s="209"/>
      <c r="H107" s="209"/>
      <c r="I107" s="209"/>
      <c r="J107" s="296" t="b">
        <v>1</v>
      </c>
      <c r="K107" s="301" t="b">
        <v>1</v>
      </c>
      <c r="L107" s="209"/>
      <c r="M107" s="301" t="b">
        <v>0</v>
      </c>
      <c r="N107" s="209"/>
      <c r="O107" s="291"/>
      <c r="P107" s="303" t="s">
        <v>1262</v>
      </c>
      <c r="Q107" s="306" t="s">
        <v>1166</v>
      </c>
      <c r="R107" s="304" t="s">
        <v>1263</v>
      </c>
      <c r="S107" s="308" t="s">
        <v>1264</v>
      </c>
      <c r="T107" s="209"/>
      <c r="U107" s="209"/>
      <c r="V107" s="209"/>
      <c r="W107" s="209"/>
      <c r="X107" s="300" t="b">
        <v>1</v>
      </c>
      <c r="Y107" s="301" t="b">
        <v>0</v>
      </c>
      <c r="Z107" s="209"/>
      <c r="AA107" s="301" t="b">
        <v>0</v>
      </c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</row>
    <row r="108">
      <c r="A108" s="338"/>
      <c r="B108" s="303" t="s">
        <v>1082</v>
      </c>
      <c r="C108" s="304" t="s">
        <v>4224</v>
      </c>
      <c r="D108" s="304" t="s">
        <v>1083</v>
      </c>
      <c r="E108" s="307">
        <v>8.10115972174E11</v>
      </c>
      <c r="F108" s="209"/>
      <c r="G108" s="209"/>
      <c r="H108" s="209"/>
      <c r="I108" s="209"/>
      <c r="J108" s="296" t="b">
        <v>1</v>
      </c>
      <c r="K108" s="301" t="b">
        <v>0</v>
      </c>
      <c r="L108" s="209"/>
      <c r="M108" s="301" t="b">
        <v>0</v>
      </c>
      <c r="N108" s="209"/>
      <c r="O108" s="291"/>
      <c r="P108" s="303" t="s">
        <v>1267</v>
      </c>
      <c r="Q108" s="306" t="s">
        <v>1268</v>
      </c>
      <c r="R108" s="304" t="s">
        <v>1269</v>
      </c>
      <c r="S108" s="308" t="s">
        <v>1270</v>
      </c>
      <c r="T108" s="209"/>
      <c r="U108" s="209"/>
      <c r="V108" s="209"/>
      <c r="W108" s="209"/>
      <c r="X108" s="300" t="b">
        <v>1</v>
      </c>
      <c r="Y108" s="301" t="b">
        <v>0</v>
      </c>
      <c r="Z108" s="209"/>
      <c r="AA108" s="301" t="b">
        <v>0</v>
      </c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</row>
    <row r="109">
      <c r="A109" s="338"/>
      <c r="B109" s="303" t="s">
        <v>1087</v>
      </c>
      <c r="C109" s="304" t="s">
        <v>4225</v>
      </c>
      <c r="D109" s="304" t="s">
        <v>1088</v>
      </c>
      <c r="E109" s="307">
        <v>8.1011597215E11</v>
      </c>
      <c r="F109" s="209"/>
      <c r="G109" s="209"/>
      <c r="H109" s="209"/>
      <c r="I109" s="209"/>
      <c r="J109" s="296" t="b">
        <v>1</v>
      </c>
      <c r="K109" s="301" t="b">
        <v>0</v>
      </c>
      <c r="L109" s="209"/>
      <c r="M109" s="301" t="b">
        <v>0</v>
      </c>
      <c r="N109" s="209"/>
      <c r="O109" s="291"/>
      <c r="P109" s="303" t="s">
        <v>1273</v>
      </c>
      <c r="Q109" s="306" t="s">
        <v>1172</v>
      </c>
      <c r="R109" s="304" t="s">
        <v>1274</v>
      </c>
      <c r="S109" s="308" t="s">
        <v>1275</v>
      </c>
      <c r="T109" s="209"/>
      <c r="U109" s="209"/>
      <c r="V109" s="209"/>
      <c r="W109" s="209"/>
      <c r="X109" s="300" t="b">
        <v>1</v>
      </c>
      <c r="Y109" s="301" t="b">
        <v>0</v>
      </c>
      <c r="Z109" s="313"/>
      <c r="AA109" s="314" t="b">
        <v>0</v>
      </c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</row>
    <row r="110">
      <c r="A110" s="338"/>
      <c r="B110" s="303" t="s">
        <v>1089</v>
      </c>
      <c r="C110" s="304" t="s">
        <v>4228</v>
      </c>
      <c r="D110" s="304" t="s">
        <v>1090</v>
      </c>
      <c r="E110" s="307">
        <v>8.10115972136E11</v>
      </c>
      <c r="F110" s="209"/>
      <c r="G110" s="209"/>
      <c r="H110" s="209"/>
      <c r="I110" s="209"/>
      <c r="J110" s="296" t="b">
        <v>1</v>
      </c>
      <c r="K110" s="301" t="b">
        <v>0</v>
      </c>
      <c r="L110" s="209"/>
      <c r="M110" s="301" t="b">
        <v>0</v>
      </c>
      <c r="N110" s="209"/>
      <c r="O110" s="291"/>
      <c r="P110" s="303" t="s">
        <v>1278</v>
      </c>
      <c r="Q110" s="306" t="s">
        <v>1178</v>
      </c>
      <c r="R110" s="304" t="s">
        <v>1279</v>
      </c>
      <c r="S110" s="308" t="s">
        <v>1280</v>
      </c>
      <c r="T110" s="209"/>
      <c r="U110" s="209"/>
      <c r="V110" s="209"/>
      <c r="W110" s="209"/>
      <c r="X110" s="300" t="b">
        <v>1</v>
      </c>
      <c r="Y110" s="301" t="b">
        <v>0</v>
      </c>
      <c r="Z110" s="209"/>
      <c r="AA110" s="301" t="b">
        <v>0</v>
      </c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</row>
    <row r="111">
      <c r="A111" s="338"/>
      <c r="B111" s="303" t="s">
        <v>1095</v>
      </c>
      <c r="C111" s="304" t="s">
        <v>4229</v>
      </c>
      <c r="D111" s="304" t="s">
        <v>1096</v>
      </c>
      <c r="E111" s="307">
        <v>8.10115972075E11</v>
      </c>
      <c r="F111" s="209"/>
      <c r="G111" s="209"/>
      <c r="H111" s="209"/>
      <c r="I111" s="209"/>
      <c r="J111" s="296" t="b">
        <v>1</v>
      </c>
      <c r="K111" s="301" t="b">
        <v>0</v>
      </c>
      <c r="L111" s="209"/>
      <c r="M111" s="301" t="b">
        <v>0</v>
      </c>
      <c r="N111" s="209"/>
      <c r="O111" s="291"/>
      <c r="P111" s="310" t="s">
        <v>1283</v>
      </c>
      <c r="Q111" s="317" t="s">
        <v>400</v>
      </c>
      <c r="R111" s="311" t="s">
        <v>1284</v>
      </c>
      <c r="S111" s="318">
        <v>8.40472503445E11</v>
      </c>
      <c r="T111" s="311" t="s">
        <v>1062</v>
      </c>
      <c r="U111" s="313"/>
      <c r="V111" s="313"/>
      <c r="W111" s="313"/>
      <c r="X111" s="350" t="b">
        <v>1</v>
      </c>
      <c r="Y111" s="314" t="b">
        <v>0</v>
      </c>
      <c r="Z111" s="313"/>
      <c r="AA111" s="314" t="b">
        <v>0</v>
      </c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</row>
    <row r="112">
      <c r="A112" s="338"/>
      <c r="B112" s="303" t="s">
        <v>1099</v>
      </c>
      <c r="C112" s="304" t="s">
        <v>4232</v>
      </c>
      <c r="D112" s="304" t="s">
        <v>1100</v>
      </c>
      <c r="E112" s="307">
        <v>8.10115972037E11</v>
      </c>
      <c r="F112" s="209"/>
      <c r="G112" s="209"/>
      <c r="H112" s="209"/>
      <c r="I112" s="209"/>
      <c r="J112" s="296" t="b">
        <v>1</v>
      </c>
      <c r="K112" s="301" t="b">
        <v>0</v>
      </c>
      <c r="L112" s="209"/>
      <c r="M112" s="301" t="b">
        <v>0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</row>
    <row r="113">
      <c r="A113" s="338"/>
      <c r="B113" s="303" t="s">
        <v>1103</v>
      </c>
      <c r="C113" s="304" t="s">
        <v>4234</v>
      </c>
      <c r="D113" s="304" t="s">
        <v>1104</v>
      </c>
      <c r="E113" s="307">
        <v>8.10115971993E11</v>
      </c>
      <c r="F113" s="209"/>
      <c r="G113" s="209"/>
      <c r="H113" s="209"/>
      <c r="I113" s="209"/>
      <c r="J113" s="296" t="b">
        <v>1</v>
      </c>
      <c r="K113" s="301" t="b">
        <v>0</v>
      </c>
      <c r="L113" s="209"/>
      <c r="M113" s="301" t="b">
        <v>0</v>
      </c>
      <c r="N113" s="209"/>
      <c r="O113" s="281" t="s">
        <v>1115</v>
      </c>
      <c r="P113" s="319" t="s">
        <v>1290</v>
      </c>
      <c r="Q113" s="320"/>
      <c r="R113" s="283" t="s">
        <v>1291</v>
      </c>
      <c r="S113" s="362" t="s">
        <v>1292</v>
      </c>
      <c r="T113" s="320"/>
      <c r="U113" s="320"/>
      <c r="V113" s="285" t="s">
        <v>376</v>
      </c>
      <c r="W113" s="285" t="s">
        <v>4104</v>
      </c>
      <c r="X113" s="333" t="str">
        <f>IF(COUNTIF(X116:X123, TRUE) = COUNTA(X116:X123), "Complete!", IF(COUNTIF(X116:X123, TRUE) &gt; 0, "Partial", "Not Started"))</f>
        <v>Partial</v>
      </c>
      <c r="Y113" s="334"/>
      <c r="Z113" s="209"/>
      <c r="AA113" s="209"/>
      <c r="AB113" s="280">
        <v>5.0</v>
      </c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</row>
    <row r="114">
      <c r="A114" s="338"/>
      <c r="B114" s="303" t="s">
        <v>1107</v>
      </c>
      <c r="C114" s="304" t="s">
        <v>4292</v>
      </c>
      <c r="D114" s="304" t="s">
        <v>1108</v>
      </c>
      <c r="E114" s="307">
        <v>8.40472507542E11</v>
      </c>
      <c r="F114" s="209" t="s">
        <v>1062</v>
      </c>
      <c r="G114" s="209"/>
      <c r="H114" s="209"/>
      <c r="I114" s="209" t="s">
        <v>1063</v>
      </c>
      <c r="J114" s="296" t="b">
        <v>1</v>
      </c>
      <c r="K114" s="301" t="b">
        <v>0</v>
      </c>
      <c r="L114" s="209"/>
      <c r="M114" s="301" t="b">
        <v>0</v>
      </c>
      <c r="N114" s="209"/>
      <c r="O114" s="291"/>
      <c r="P114" s="292" t="s">
        <v>1296</v>
      </c>
      <c r="Q114" s="298" t="s">
        <v>1297</v>
      </c>
      <c r="R114" s="293" t="s">
        <v>1298</v>
      </c>
      <c r="S114" s="302" t="s">
        <v>1299</v>
      </c>
      <c r="T114" s="295"/>
      <c r="U114" s="295"/>
      <c r="V114" s="295"/>
      <c r="W114" s="295"/>
      <c r="X114" s="296" t="b">
        <v>1</v>
      </c>
      <c r="Y114" s="297" t="b">
        <v>0</v>
      </c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</row>
    <row r="115">
      <c r="A115" s="338"/>
      <c r="B115" s="310" t="s">
        <v>1112</v>
      </c>
      <c r="C115" s="311" t="s">
        <v>4294</v>
      </c>
      <c r="D115" s="311" t="s">
        <v>1114</v>
      </c>
      <c r="E115" s="318">
        <v>8.40472507573E11</v>
      </c>
      <c r="F115" s="313" t="s">
        <v>1062</v>
      </c>
      <c r="G115" s="313"/>
      <c r="H115" s="313"/>
      <c r="I115" s="313" t="s">
        <v>1063</v>
      </c>
      <c r="J115" s="371" t="b">
        <v>1</v>
      </c>
      <c r="K115" s="314" t="b">
        <v>0</v>
      </c>
      <c r="L115" s="313"/>
      <c r="M115" s="314" t="b">
        <v>0</v>
      </c>
      <c r="N115" s="209"/>
      <c r="O115" s="291"/>
      <c r="P115" s="303" t="s">
        <v>1302</v>
      </c>
      <c r="Q115" s="306" t="s">
        <v>1303</v>
      </c>
      <c r="R115" s="304" t="s">
        <v>1304</v>
      </c>
      <c r="S115" s="308" t="s">
        <v>1305</v>
      </c>
      <c r="T115" s="209"/>
      <c r="U115" s="209"/>
      <c r="V115" s="209"/>
      <c r="W115" s="209"/>
      <c r="X115" s="300" t="b">
        <v>1</v>
      </c>
      <c r="Y115" s="301" t="b">
        <v>0</v>
      </c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09"/>
      <c r="AP115" s="209"/>
    </row>
    <row r="116">
      <c r="A116" s="209"/>
      <c r="B116" s="209"/>
      <c r="C116" s="209"/>
      <c r="D116" s="209"/>
      <c r="E116" s="209"/>
      <c r="F116" s="209"/>
      <c r="G116" s="209"/>
      <c r="H116" s="209"/>
      <c r="I116" s="209"/>
      <c r="J116" s="315"/>
      <c r="K116" s="209"/>
      <c r="L116" s="209"/>
      <c r="M116" s="209"/>
      <c r="N116" s="209"/>
      <c r="O116" s="291"/>
      <c r="P116" s="303" t="s">
        <v>1308</v>
      </c>
      <c r="Q116" s="306" t="s">
        <v>1309</v>
      </c>
      <c r="R116" s="304" t="s">
        <v>1310</v>
      </c>
      <c r="S116" s="308" t="s">
        <v>1311</v>
      </c>
      <c r="T116" s="209"/>
      <c r="U116" s="209"/>
      <c r="V116" s="209"/>
      <c r="W116" s="209"/>
      <c r="X116" s="300" t="b">
        <v>1</v>
      </c>
      <c r="Y116" s="301" t="b">
        <v>0</v>
      </c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</row>
    <row r="117">
      <c r="A117" s="337" t="s">
        <v>1064</v>
      </c>
      <c r="B117" s="282" t="s">
        <v>1120</v>
      </c>
      <c r="C117" s="273"/>
      <c r="D117" s="274" t="s">
        <v>1121</v>
      </c>
      <c r="E117" s="463" t="s">
        <v>805</v>
      </c>
      <c r="F117" s="273"/>
      <c r="G117" s="273"/>
      <c r="H117" s="274" t="s">
        <v>572</v>
      </c>
      <c r="I117" s="274" t="s">
        <v>4295</v>
      </c>
      <c r="J117" s="470" t="str">
        <f>IF(COUNTIF(J120:J127, TRUE) = COUNTA(J120:J127), "Complete!", IF(COUNTIF(J120:J127, TRUE) &gt; 0, "Partial", "Not Started"))</f>
        <v>Partial</v>
      </c>
      <c r="K117" s="279"/>
      <c r="L117" s="285" t="s">
        <v>889</v>
      </c>
      <c r="M117" s="465" t="str">
        <f>IF(COUNTIF(M118:M127, TRUE) = COUNTA(M118:M127), "Complete!", IF(COUNTIF(M118:M127, TRUE) &gt; 0, "Partial", "Not Started"))</f>
        <v>Not Started</v>
      </c>
      <c r="N117" s="280">
        <v>6.0</v>
      </c>
      <c r="O117" s="291"/>
      <c r="P117" s="303" t="s">
        <v>1314</v>
      </c>
      <c r="Q117" s="306" t="s">
        <v>2846</v>
      </c>
      <c r="R117" s="304" t="s">
        <v>1316</v>
      </c>
      <c r="S117" s="300">
        <v>8.40472503438E11</v>
      </c>
      <c r="T117" s="304" t="s">
        <v>1062</v>
      </c>
      <c r="U117" s="209"/>
      <c r="V117" s="209"/>
      <c r="W117" s="209"/>
      <c r="X117" s="300" t="b">
        <v>1</v>
      </c>
      <c r="Y117" s="301" t="b">
        <v>0</v>
      </c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</row>
    <row r="118">
      <c r="A118" s="338"/>
      <c r="B118" s="292" t="s">
        <v>1126</v>
      </c>
      <c r="C118" s="293" t="s">
        <v>4217</v>
      </c>
      <c r="D118" s="293" t="s">
        <v>1127</v>
      </c>
      <c r="E118" s="299">
        <v>8.10115970262E11</v>
      </c>
      <c r="F118" s="295"/>
      <c r="G118" s="295"/>
      <c r="H118" s="295"/>
      <c r="I118" s="295"/>
      <c r="J118" s="296" t="b">
        <v>1</v>
      </c>
      <c r="K118" s="297" t="b">
        <v>0</v>
      </c>
      <c r="L118" s="295"/>
      <c r="M118" s="301" t="b">
        <v>0</v>
      </c>
      <c r="N118" s="209"/>
      <c r="O118" s="291"/>
      <c r="P118" s="310" t="s">
        <v>1317</v>
      </c>
      <c r="Q118" s="306" t="s">
        <v>2846</v>
      </c>
      <c r="R118" s="311" t="s">
        <v>1318</v>
      </c>
      <c r="S118" s="350">
        <v>8.40472503421E11</v>
      </c>
      <c r="T118" s="311" t="s">
        <v>1062</v>
      </c>
      <c r="U118" s="313"/>
      <c r="V118" s="313"/>
      <c r="W118" s="313"/>
      <c r="X118" s="350" t="b">
        <v>1</v>
      </c>
      <c r="Y118" s="314" t="b">
        <v>0</v>
      </c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9"/>
      <c r="AO118" s="209"/>
      <c r="AP118" s="209"/>
    </row>
    <row r="119">
      <c r="A119" s="338"/>
      <c r="B119" s="303" t="s">
        <v>1131</v>
      </c>
      <c r="C119" s="304" t="s">
        <v>4218</v>
      </c>
      <c r="D119" s="304" t="s">
        <v>1132</v>
      </c>
      <c r="E119" s="307">
        <v>8.10115970279E11</v>
      </c>
      <c r="F119" s="209"/>
      <c r="G119" s="209"/>
      <c r="H119" s="209"/>
      <c r="I119" s="209"/>
      <c r="J119" s="296" t="b">
        <v>1</v>
      </c>
      <c r="K119" s="301" t="b">
        <v>0</v>
      </c>
      <c r="L119" s="209"/>
      <c r="M119" s="301" t="b">
        <v>0</v>
      </c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09"/>
      <c r="AP119" s="209"/>
    </row>
    <row r="120">
      <c r="A120" s="338"/>
      <c r="B120" s="303" t="s">
        <v>1136</v>
      </c>
      <c r="C120" s="304" t="s">
        <v>4219</v>
      </c>
      <c r="D120" s="304" t="s">
        <v>1137</v>
      </c>
      <c r="E120" s="307">
        <v>8.10115970309E11</v>
      </c>
      <c r="F120" s="209"/>
      <c r="G120" s="209"/>
      <c r="H120" s="209"/>
      <c r="I120" s="209"/>
      <c r="J120" s="296" t="b">
        <v>1</v>
      </c>
      <c r="K120" s="301" t="b">
        <v>0</v>
      </c>
      <c r="L120" s="209"/>
      <c r="M120" s="301" t="b">
        <v>0</v>
      </c>
      <c r="N120" s="209"/>
      <c r="O120" s="281" t="s">
        <v>1155</v>
      </c>
      <c r="P120" s="319" t="s">
        <v>1323</v>
      </c>
      <c r="Q120" s="320"/>
      <c r="R120" s="283" t="s">
        <v>1324</v>
      </c>
      <c r="S120" s="362" t="s">
        <v>1292</v>
      </c>
      <c r="T120" s="320"/>
      <c r="U120" s="320"/>
      <c r="V120" s="285" t="s">
        <v>370</v>
      </c>
      <c r="W120" s="285" t="s">
        <v>4296</v>
      </c>
      <c r="X120" s="333" t="str">
        <f>IF(COUNTIF(#REF!, TRUE) = COUNTA(#REF!), "Complete!", IF(COUNTIF(#REF!, TRUE) &gt; 0, "Partial", "Not Started"))</f>
        <v>#REF!</v>
      </c>
      <c r="Y120" s="334"/>
      <c r="Z120" s="209"/>
      <c r="AA120" s="209"/>
      <c r="AB120" s="280">
        <v>6.0</v>
      </c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09"/>
      <c r="AP120" s="209"/>
    </row>
    <row r="121">
      <c r="A121" s="338"/>
      <c r="B121" s="303" t="s">
        <v>1141</v>
      </c>
      <c r="C121" s="304" t="s">
        <v>4221</v>
      </c>
      <c r="D121" s="304" t="s">
        <v>1142</v>
      </c>
      <c r="E121" s="307">
        <v>8.10115970316E11</v>
      </c>
      <c r="F121" s="209"/>
      <c r="G121" s="209"/>
      <c r="H121" s="209"/>
      <c r="I121" s="209"/>
      <c r="J121" s="296" t="b">
        <v>1</v>
      </c>
      <c r="K121" s="301" t="b">
        <v>0</v>
      </c>
      <c r="L121" s="209"/>
      <c r="M121" s="301" t="b">
        <v>0</v>
      </c>
      <c r="N121" s="209"/>
      <c r="O121" s="291"/>
      <c r="P121" s="292" t="s">
        <v>1328</v>
      </c>
      <c r="Q121" s="298" t="s">
        <v>1315</v>
      </c>
      <c r="R121" s="293" t="s">
        <v>1329</v>
      </c>
      <c r="S121" s="302" t="s">
        <v>1330</v>
      </c>
      <c r="T121" s="295"/>
      <c r="U121" s="295"/>
      <c r="V121" s="295"/>
      <c r="W121" s="295"/>
      <c r="X121" s="296" t="b">
        <v>1</v>
      </c>
      <c r="Y121" s="297" t="b">
        <v>0</v>
      </c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09"/>
    </row>
    <row r="122">
      <c r="A122" s="338"/>
      <c r="B122" s="303" t="s">
        <v>1146</v>
      </c>
      <c r="C122" s="304" t="s">
        <v>4222</v>
      </c>
      <c r="D122" s="304" t="s">
        <v>1147</v>
      </c>
      <c r="E122" s="307">
        <v>8.10115972228E11</v>
      </c>
      <c r="F122" s="209"/>
      <c r="G122" s="209"/>
      <c r="H122" s="209"/>
      <c r="I122" s="209"/>
      <c r="J122" s="296" t="b">
        <v>1</v>
      </c>
      <c r="K122" s="301" t="b">
        <v>0</v>
      </c>
      <c r="L122" s="209"/>
      <c r="M122" s="301" t="b">
        <v>0</v>
      </c>
      <c r="N122" s="209"/>
      <c r="O122" s="291"/>
      <c r="P122" s="303" t="s">
        <v>1333</v>
      </c>
      <c r="Q122" s="306" t="s">
        <v>1334</v>
      </c>
      <c r="R122" s="304" t="s">
        <v>1335</v>
      </c>
      <c r="S122" s="308" t="s">
        <v>1336</v>
      </c>
      <c r="T122" s="209"/>
      <c r="U122" s="209"/>
      <c r="V122" s="209"/>
      <c r="W122" s="209"/>
      <c r="X122" s="300" t="b">
        <v>1</v>
      </c>
      <c r="Y122" s="301" t="b">
        <v>0</v>
      </c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9"/>
      <c r="AO122" s="209"/>
      <c r="AP122" s="209"/>
    </row>
    <row r="123">
      <c r="A123" s="338"/>
      <c r="B123" s="310" t="s">
        <v>1151</v>
      </c>
      <c r="C123" s="311" t="s">
        <v>4223</v>
      </c>
      <c r="D123" s="311" t="s">
        <v>1152</v>
      </c>
      <c r="E123" s="318">
        <v>8.10115970323E11</v>
      </c>
      <c r="F123" s="313"/>
      <c r="G123" s="313"/>
      <c r="H123" s="313"/>
      <c r="I123" s="313"/>
      <c r="J123" s="296" t="b">
        <v>1</v>
      </c>
      <c r="K123" s="314" t="b">
        <v>0</v>
      </c>
      <c r="L123" s="209"/>
      <c r="M123" s="301" t="b">
        <v>0</v>
      </c>
      <c r="N123" s="209"/>
      <c r="O123" s="291"/>
      <c r="P123" s="303" t="s">
        <v>1339</v>
      </c>
      <c r="Q123" s="306" t="s">
        <v>1340</v>
      </c>
      <c r="R123" s="304" t="s">
        <v>1341</v>
      </c>
      <c r="S123" s="308" t="s">
        <v>1342</v>
      </c>
      <c r="T123" s="209"/>
      <c r="U123" s="209"/>
      <c r="V123" s="209"/>
      <c r="W123" s="209"/>
      <c r="X123" s="300" t="b">
        <v>1</v>
      </c>
      <c r="Y123" s="301" t="b">
        <v>0</v>
      </c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</row>
    <row r="124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419"/>
      <c r="M124" s="301" t="b">
        <v>0</v>
      </c>
      <c r="N124" s="209"/>
      <c r="O124" s="291"/>
      <c r="P124" s="303" t="s">
        <v>1345</v>
      </c>
      <c r="Q124" s="306" t="s">
        <v>1297</v>
      </c>
      <c r="R124" s="304" t="s">
        <v>1346</v>
      </c>
      <c r="S124" s="307">
        <v>8.40472503391E11</v>
      </c>
      <c r="T124" s="304" t="s">
        <v>1062</v>
      </c>
      <c r="U124" s="209"/>
      <c r="V124" s="209"/>
      <c r="W124" s="209"/>
      <c r="X124" s="300" t="b">
        <v>1</v>
      </c>
      <c r="Y124" s="301" t="b">
        <v>0</v>
      </c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</row>
    <row r="125">
      <c r="A125" s="337" t="s">
        <v>985</v>
      </c>
      <c r="B125" s="282" t="s">
        <v>1162</v>
      </c>
      <c r="C125" s="273"/>
      <c r="D125" s="274" t="s">
        <v>1163</v>
      </c>
      <c r="E125" s="463" t="s">
        <v>805</v>
      </c>
      <c r="F125" s="273"/>
      <c r="G125" s="273"/>
      <c r="H125" s="274" t="s">
        <v>468</v>
      </c>
      <c r="I125" s="274" t="s">
        <v>1164</v>
      </c>
      <c r="J125" s="470" t="str">
        <f>IF(COUNTIF(J128:J135, TRUE) = COUNTA(J128:J135), "Complete!", IF(COUNTIF(J128:J135, TRUE) &gt; 0, "Partial", "Not Started"))</f>
        <v>Complete!</v>
      </c>
      <c r="K125" s="279"/>
      <c r="L125" s="419"/>
      <c r="M125" s="301" t="b">
        <v>0</v>
      </c>
      <c r="N125" s="280">
        <v>9.0</v>
      </c>
      <c r="O125" s="291"/>
      <c r="P125" s="303" t="s">
        <v>1349</v>
      </c>
      <c r="Q125" s="306" t="s">
        <v>1303</v>
      </c>
      <c r="R125" s="304" t="s">
        <v>1350</v>
      </c>
      <c r="S125" s="307">
        <v>8.40472503407E11</v>
      </c>
      <c r="T125" s="304" t="s">
        <v>1062</v>
      </c>
      <c r="U125" s="209"/>
      <c r="V125" s="209"/>
      <c r="W125" s="209"/>
      <c r="X125" s="300" t="b">
        <v>1</v>
      </c>
      <c r="Y125" s="301" t="b">
        <v>0</v>
      </c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9"/>
      <c r="AO125" s="209"/>
      <c r="AP125" s="209"/>
    </row>
    <row r="126">
      <c r="A126" s="338"/>
      <c r="B126" s="292" t="s">
        <v>1168</v>
      </c>
      <c r="C126" s="293" t="s">
        <v>4297</v>
      </c>
      <c r="D126" s="293" t="s">
        <v>1170</v>
      </c>
      <c r="E126" s="299">
        <v>8.10115972914E11</v>
      </c>
      <c r="F126" s="295"/>
      <c r="G126" s="295"/>
      <c r="H126" s="295"/>
      <c r="I126" s="295"/>
      <c r="J126" s="296" t="b">
        <v>1</v>
      </c>
      <c r="K126" s="297" t="b">
        <v>0</v>
      </c>
      <c r="L126" s="209"/>
      <c r="M126" s="301" t="b">
        <v>0</v>
      </c>
      <c r="N126" s="209"/>
      <c r="O126" s="291"/>
      <c r="P126" s="310" t="s">
        <v>1353</v>
      </c>
      <c r="Q126" s="474" t="s">
        <v>1309</v>
      </c>
      <c r="R126" s="311" t="s">
        <v>1354</v>
      </c>
      <c r="S126" s="318">
        <v>8.40472503414E11</v>
      </c>
      <c r="T126" s="311" t="s">
        <v>1062</v>
      </c>
      <c r="U126" s="313"/>
      <c r="V126" s="313"/>
      <c r="W126" s="313"/>
      <c r="X126" s="350" t="b">
        <v>1</v>
      </c>
      <c r="Y126" s="314" t="b">
        <v>0</v>
      </c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</row>
    <row r="127">
      <c r="A127" s="338"/>
      <c r="B127" s="303" t="s">
        <v>1174</v>
      </c>
      <c r="C127" s="304" t="s">
        <v>4298</v>
      </c>
      <c r="D127" s="304" t="s">
        <v>1176</v>
      </c>
      <c r="E127" s="307">
        <v>8.1011597228E11</v>
      </c>
      <c r="F127" s="209"/>
      <c r="G127" s="295"/>
      <c r="H127" s="209"/>
      <c r="I127" s="209"/>
      <c r="J127" s="296" t="b">
        <v>1</v>
      </c>
      <c r="K127" s="301" t="b">
        <v>0</v>
      </c>
      <c r="L127" s="313"/>
      <c r="M127" s="314" t="b">
        <v>0</v>
      </c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09"/>
      <c r="AP127" s="209"/>
    </row>
    <row r="128">
      <c r="A128" s="338"/>
      <c r="B128" s="303" t="s">
        <v>1180</v>
      </c>
      <c r="C128" s="304" t="s">
        <v>4299</v>
      </c>
      <c r="D128" s="304" t="s">
        <v>1182</v>
      </c>
      <c r="E128" s="307">
        <v>8.10115972266E11</v>
      </c>
      <c r="F128" s="209"/>
      <c r="G128" s="295"/>
      <c r="H128" s="209"/>
      <c r="I128" s="209"/>
      <c r="J128" s="296" t="b">
        <v>1</v>
      </c>
      <c r="K128" s="301" t="b">
        <v>0</v>
      </c>
      <c r="L128" s="209"/>
      <c r="M128" s="209"/>
      <c r="N128" s="209"/>
      <c r="O128" s="281" t="s">
        <v>1190</v>
      </c>
      <c r="P128" s="319" t="s">
        <v>1360</v>
      </c>
      <c r="Q128" s="320"/>
      <c r="R128" s="283" t="s">
        <v>1361</v>
      </c>
      <c r="S128" s="362" t="s">
        <v>122</v>
      </c>
      <c r="T128" s="320"/>
      <c r="U128" s="320"/>
      <c r="V128" s="285" t="s">
        <v>468</v>
      </c>
      <c r="W128" s="285" t="s">
        <v>4300</v>
      </c>
      <c r="X128" s="333" t="str">
        <f>IF(COUNTIF(X129:X135, TRUE) = COUNTA(X129:X135), "Complete!", IF(COUNTIF(X129:X135, TRUE) &gt; 0, "Partial", "Not Started"))</f>
        <v>Complete!</v>
      </c>
      <c r="Y128" s="334"/>
      <c r="Z128" s="285" t="s">
        <v>889</v>
      </c>
      <c r="AA128" s="465" t="str">
        <f>IF(COUNTIF(AA129:AA136, TRUE) = COUNTA(AA129:AA136), "Complete!", IF(COUNTIF(AA129:AA136, TRUE) &gt; 0, "Partial", "Not Started"))</f>
        <v>Not Started</v>
      </c>
      <c r="AB128" s="280">
        <v>7.0</v>
      </c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09"/>
      <c r="AP128" s="209"/>
    </row>
    <row r="129">
      <c r="A129" s="338"/>
      <c r="B129" s="303" t="s">
        <v>1185</v>
      </c>
      <c r="C129" s="304" t="s">
        <v>4301</v>
      </c>
      <c r="D129" s="304" t="s">
        <v>1187</v>
      </c>
      <c r="E129" s="307">
        <v>8.1011597273E11</v>
      </c>
      <c r="F129" s="209"/>
      <c r="G129" s="295"/>
      <c r="H129" s="209"/>
      <c r="I129" s="209"/>
      <c r="J129" s="296" t="b">
        <v>1</v>
      </c>
      <c r="K129" s="301" t="b">
        <v>0</v>
      </c>
      <c r="L129" s="285" t="s">
        <v>889</v>
      </c>
      <c r="M129" s="465" t="str">
        <f>IF(COUNTIF(M135:M138, TRUE) = COUNTA(M135:M138), "Complete!", IF(COUNTIF(M135:M138, TRUE) &gt; 0, "Partial", "Not Started"))</f>
        <v>Not Started</v>
      </c>
      <c r="N129" s="209"/>
      <c r="O129" s="291"/>
      <c r="P129" s="303" t="s">
        <v>1365</v>
      </c>
      <c r="Q129" s="306" t="s">
        <v>1366</v>
      </c>
      <c r="R129" s="304" t="s">
        <v>1367</v>
      </c>
      <c r="S129" s="358">
        <v>8.1011597624E11</v>
      </c>
      <c r="T129" s="209"/>
      <c r="U129" s="209"/>
      <c r="V129" s="209"/>
      <c r="W129" s="325"/>
      <c r="X129" s="300" t="b">
        <v>1</v>
      </c>
      <c r="Y129" s="301" t="b">
        <v>0</v>
      </c>
      <c r="Z129" s="325"/>
      <c r="AA129" s="469" t="b">
        <v>0</v>
      </c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9"/>
      <c r="AO129" s="209"/>
      <c r="AP129" s="209"/>
    </row>
    <row r="130">
      <c r="A130" s="338"/>
      <c r="B130" s="303" t="s">
        <v>1188</v>
      </c>
      <c r="C130" s="304" t="s">
        <v>4302</v>
      </c>
      <c r="D130" s="304" t="s">
        <v>1189</v>
      </c>
      <c r="E130" s="307">
        <v>8.10115972723E11</v>
      </c>
      <c r="F130" s="304" t="s">
        <v>1057</v>
      </c>
      <c r="G130" s="295"/>
      <c r="H130" s="209"/>
      <c r="I130" s="304" t="s">
        <v>4110</v>
      </c>
      <c r="J130" s="296" t="b">
        <v>1</v>
      </c>
      <c r="K130" s="301" t="b">
        <v>1</v>
      </c>
      <c r="L130" s="209"/>
      <c r="M130" s="301" t="b">
        <v>0</v>
      </c>
      <c r="N130" s="209"/>
      <c r="O130" s="291"/>
      <c r="P130" s="303" t="s">
        <v>1370</v>
      </c>
      <c r="Q130" s="306" t="s">
        <v>1371</v>
      </c>
      <c r="R130" s="304" t="s">
        <v>1372</v>
      </c>
      <c r="S130" s="358">
        <v>8.10115976226E11</v>
      </c>
      <c r="T130" s="209"/>
      <c r="U130" s="209"/>
      <c r="V130" s="209"/>
      <c r="W130" s="325"/>
      <c r="X130" s="300" t="b">
        <v>1</v>
      </c>
      <c r="Y130" s="301" t="b">
        <v>0</v>
      </c>
      <c r="Z130" s="325"/>
      <c r="AA130" s="469" t="b">
        <v>0</v>
      </c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09"/>
      <c r="AP130" s="209"/>
    </row>
    <row r="131">
      <c r="A131" s="338"/>
      <c r="B131" s="303" t="s">
        <v>1194</v>
      </c>
      <c r="C131" s="304" t="s">
        <v>4254</v>
      </c>
      <c r="D131" s="304" t="s">
        <v>1195</v>
      </c>
      <c r="E131" s="307">
        <v>8.10115972105E11</v>
      </c>
      <c r="F131" s="304" t="s">
        <v>1057</v>
      </c>
      <c r="G131" s="295"/>
      <c r="H131" s="209"/>
      <c r="I131" s="304" t="s">
        <v>4110</v>
      </c>
      <c r="J131" s="296" t="b">
        <v>1</v>
      </c>
      <c r="K131" s="301" t="b">
        <v>1</v>
      </c>
      <c r="L131" s="209"/>
      <c r="M131" s="301" t="b">
        <v>0</v>
      </c>
      <c r="N131" s="209"/>
      <c r="O131" s="291"/>
      <c r="P131" s="303" t="s">
        <v>1373</v>
      </c>
      <c r="Q131" s="306" t="s">
        <v>384</v>
      </c>
      <c r="R131" s="304" t="s">
        <v>1374</v>
      </c>
      <c r="S131" s="358">
        <v>8.10115976219E11</v>
      </c>
      <c r="T131" s="209"/>
      <c r="U131" s="209"/>
      <c r="V131" s="209"/>
      <c r="W131" s="325"/>
      <c r="X131" s="300" t="b">
        <v>1</v>
      </c>
      <c r="Y131" s="301" t="b">
        <v>0</v>
      </c>
      <c r="Z131" s="325"/>
      <c r="AA131" s="469" t="b">
        <v>0</v>
      </c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09"/>
      <c r="AP131" s="209"/>
    </row>
    <row r="132">
      <c r="A132" s="338"/>
      <c r="B132" s="303" t="s">
        <v>1199</v>
      </c>
      <c r="C132" s="304" t="s">
        <v>4303</v>
      </c>
      <c r="D132" s="304" t="s">
        <v>1200</v>
      </c>
      <c r="E132" s="307">
        <v>8.10115972747E11</v>
      </c>
      <c r="F132" s="304" t="s">
        <v>1057</v>
      </c>
      <c r="G132" s="295"/>
      <c r="H132" s="209"/>
      <c r="I132" s="304" t="s">
        <v>4110</v>
      </c>
      <c r="J132" s="296" t="b">
        <v>1</v>
      </c>
      <c r="K132" s="301" t="b">
        <v>1</v>
      </c>
      <c r="L132" s="209"/>
      <c r="M132" s="301" t="b">
        <v>0</v>
      </c>
      <c r="N132" s="209"/>
      <c r="O132" s="291"/>
      <c r="P132" s="303" t="s">
        <v>1379</v>
      </c>
      <c r="Q132" s="306" t="s">
        <v>602</v>
      </c>
      <c r="R132" s="304" t="s">
        <v>1380</v>
      </c>
      <c r="S132" s="358">
        <v>8.10115976233E11</v>
      </c>
      <c r="T132" s="209"/>
      <c r="U132" s="209"/>
      <c r="V132" s="209"/>
      <c r="W132" s="325"/>
      <c r="X132" s="300" t="b">
        <v>1</v>
      </c>
      <c r="Y132" s="301" t="b">
        <v>0</v>
      </c>
      <c r="Z132" s="325"/>
      <c r="AA132" s="469" t="b">
        <v>0</v>
      </c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</row>
    <row r="133">
      <c r="A133" s="338"/>
      <c r="B133" s="303" t="s">
        <v>1204</v>
      </c>
      <c r="C133" s="304" t="s">
        <v>4255</v>
      </c>
      <c r="D133" s="304" t="s">
        <v>1205</v>
      </c>
      <c r="E133" s="307">
        <v>8.10115972181E11</v>
      </c>
      <c r="F133" s="304" t="s">
        <v>1057</v>
      </c>
      <c r="G133" s="295"/>
      <c r="H133" s="209"/>
      <c r="I133" s="304" t="s">
        <v>4110</v>
      </c>
      <c r="J133" s="296" t="b">
        <v>1</v>
      </c>
      <c r="K133" s="301" t="b">
        <v>1</v>
      </c>
      <c r="L133" s="209"/>
      <c r="M133" s="301" t="b">
        <v>0</v>
      </c>
      <c r="N133" s="209"/>
      <c r="O133" s="291"/>
      <c r="P133" s="303" t="s">
        <v>1384</v>
      </c>
      <c r="Q133" s="306" t="s">
        <v>390</v>
      </c>
      <c r="R133" s="304" t="s">
        <v>1385</v>
      </c>
      <c r="S133" s="358">
        <v>8.10115976257E11</v>
      </c>
      <c r="T133" s="209"/>
      <c r="U133" s="209"/>
      <c r="V133" s="209"/>
      <c r="W133" s="325"/>
      <c r="X133" s="300" t="b">
        <v>1</v>
      </c>
      <c r="Y133" s="301" t="b">
        <v>0</v>
      </c>
      <c r="Z133" s="325"/>
      <c r="AA133" s="469" t="b">
        <v>0</v>
      </c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09"/>
      <c r="AP133" s="209"/>
    </row>
    <row r="134">
      <c r="A134" s="262"/>
      <c r="B134" s="310" t="s">
        <v>1209</v>
      </c>
      <c r="C134" s="311" t="s">
        <v>4257</v>
      </c>
      <c r="D134" s="311" t="s">
        <v>1210</v>
      </c>
      <c r="E134" s="318">
        <v>8.10115972211E11</v>
      </c>
      <c r="F134" s="304" t="s">
        <v>1057</v>
      </c>
      <c r="G134" s="295"/>
      <c r="H134" s="313"/>
      <c r="I134" s="304" t="s">
        <v>4110</v>
      </c>
      <c r="J134" s="296" t="b">
        <v>1</v>
      </c>
      <c r="K134" s="314" t="b">
        <v>1</v>
      </c>
      <c r="L134" s="209"/>
      <c r="M134" s="301" t="b">
        <v>0</v>
      </c>
      <c r="N134" s="209"/>
      <c r="O134" s="291"/>
      <c r="P134" s="303" t="s">
        <v>1389</v>
      </c>
      <c r="Q134" s="306" t="s">
        <v>1390</v>
      </c>
      <c r="R134" s="304" t="s">
        <v>1391</v>
      </c>
      <c r="S134" s="358">
        <v>8.10115976202E11</v>
      </c>
      <c r="T134" s="209"/>
      <c r="U134" s="209"/>
      <c r="V134" s="209"/>
      <c r="W134" s="325"/>
      <c r="X134" s="300" t="b">
        <v>1</v>
      </c>
      <c r="Y134" s="301" t="b">
        <v>0</v>
      </c>
      <c r="Z134" s="325"/>
      <c r="AA134" s="469" t="b">
        <v>0</v>
      </c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</row>
    <row r="135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301" t="b">
        <v>0</v>
      </c>
      <c r="N135" s="209"/>
      <c r="O135" s="291"/>
      <c r="P135" s="310" t="s">
        <v>1394</v>
      </c>
      <c r="Q135" s="317" t="s">
        <v>1390</v>
      </c>
      <c r="R135" s="311" t="s">
        <v>1395</v>
      </c>
      <c r="S135" s="364">
        <v>8.10115976196E11</v>
      </c>
      <c r="T135" s="313"/>
      <c r="U135" s="313"/>
      <c r="V135" s="313"/>
      <c r="W135" s="331"/>
      <c r="X135" s="350" t="b">
        <v>1</v>
      </c>
      <c r="Y135" s="314" t="b">
        <v>0</v>
      </c>
      <c r="Z135" s="325"/>
      <c r="AA135" s="469" t="b">
        <v>0</v>
      </c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</row>
    <row r="136">
      <c r="A136" s="337" t="s">
        <v>1115</v>
      </c>
      <c r="B136" s="282" t="s">
        <v>218</v>
      </c>
      <c r="C136" s="273"/>
      <c r="D136" s="274" t="s">
        <v>217</v>
      </c>
      <c r="E136" s="273"/>
      <c r="F136" s="273"/>
      <c r="G136" s="273"/>
      <c r="H136" s="274" t="s">
        <v>572</v>
      </c>
      <c r="I136" s="274" t="s">
        <v>4304</v>
      </c>
      <c r="J136" s="470" t="str">
        <f>IF(COUNTIF(J139:J146, TRUE) = COUNTA(J139:J146), "Complete!", IF(COUNTIF(J139:J146, TRUE) &gt; 0, "Partial", "Not Started"))</f>
        <v>Complete!</v>
      </c>
      <c r="K136" s="279"/>
      <c r="L136" s="209"/>
      <c r="M136" s="301" t="b">
        <v>0</v>
      </c>
      <c r="N136" s="280">
        <v>10.0</v>
      </c>
      <c r="O136" s="209"/>
      <c r="P136" s="209"/>
      <c r="Q136" s="209"/>
      <c r="R136" s="313"/>
      <c r="S136" s="209"/>
      <c r="T136" s="209"/>
      <c r="U136" s="209"/>
      <c r="V136" s="209"/>
      <c r="W136" s="209"/>
      <c r="X136" s="209"/>
      <c r="Y136" s="313"/>
      <c r="Z136" s="331"/>
      <c r="AA136" s="467" t="b">
        <v>0</v>
      </c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</row>
    <row r="137">
      <c r="A137" s="338"/>
      <c r="B137" s="292" t="s">
        <v>1219</v>
      </c>
      <c r="C137" s="293" t="s">
        <v>4273</v>
      </c>
      <c r="D137" s="293" t="s">
        <v>1220</v>
      </c>
      <c r="E137" s="299">
        <v>8.10115971702E11</v>
      </c>
      <c r="F137" s="295"/>
      <c r="G137" s="295"/>
      <c r="H137" s="295"/>
      <c r="I137" s="295"/>
      <c r="J137" s="296" t="b">
        <v>1</v>
      </c>
      <c r="K137" s="297" t="b">
        <v>0</v>
      </c>
      <c r="L137" s="209"/>
      <c r="M137" s="301" t="b">
        <v>0</v>
      </c>
      <c r="N137" s="209"/>
      <c r="O137" s="281" t="s">
        <v>1226</v>
      </c>
      <c r="P137" s="319" t="s">
        <v>4305</v>
      </c>
      <c r="Q137" s="320"/>
      <c r="R137" s="283" t="s">
        <v>4306</v>
      </c>
      <c r="S137" s="362" t="s">
        <v>122</v>
      </c>
      <c r="T137" s="320"/>
      <c r="U137" s="320"/>
      <c r="V137" s="285" t="s">
        <v>1750</v>
      </c>
      <c r="W137" s="285" t="s">
        <v>4307</v>
      </c>
      <c r="X137" s="333" t="str">
        <f>IF(COUNTIF(X138:X142, TRUE) = COUNTA(X138:X142), "Complete!", IF(COUNTIF(X138:X142, TRUE) &gt; 0, "Partial", "Not Started"))</f>
        <v>Complete!</v>
      </c>
      <c r="Y137" s="334"/>
      <c r="Z137" s="209"/>
      <c r="AA137" s="209"/>
      <c r="AB137" s="210">
        <v>5.0</v>
      </c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09"/>
      <c r="AP137" s="209"/>
    </row>
    <row r="138">
      <c r="A138" s="338"/>
      <c r="B138" s="303" t="s">
        <v>1221</v>
      </c>
      <c r="C138" s="304" t="s">
        <v>4249</v>
      </c>
      <c r="D138" s="304" t="s">
        <v>1222</v>
      </c>
      <c r="E138" s="307">
        <v>8.10115971757E11</v>
      </c>
      <c r="F138" s="209"/>
      <c r="G138" s="209"/>
      <c r="H138" s="209"/>
      <c r="I138" s="209"/>
      <c r="J138" s="296" t="b">
        <v>1</v>
      </c>
      <c r="K138" s="301" t="b">
        <v>0</v>
      </c>
      <c r="L138" s="209"/>
      <c r="M138" s="301" t="b">
        <v>0</v>
      </c>
      <c r="N138" s="209"/>
      <c r="O138" s="291"/>
      <c r="P138" s="292" t="s">
        <v>1398</v>
      </c>
      <c r="Q138" s="293" t="s">
        <v>431</v>
      </c>
      <c r="R138" s="295"/>
      <c r="S138" s="296">
        <v>8.4047250125E11</v>
      </c>
      <c r="T138" s="295"/>
      <c r="U138" s="295"/>
      <c r="V138" s="295"/>
      <c r="W138" s="328"/>
      <c r="X138" s="296" t="b">
        <v>1</v>
      </c>
      <c r="Y138" s="297" t="b">
        <v>0</v>
      </c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</row>
    <row r="139">
      <c r="A139" s="338"/>
      <c r="B139" s="303" t="s">
        <v>1223</v>
      </c>
      <c r="C139" s="304" t="s">
        <v>4308</v>
      </c>
      <c r="D139" s="304" t="s">
        <v>1225</v>
      </c>
      <c r="E139" s="307">
        <v>8.10115971849E11</v>
      </c>
      <c r="F139" s="209"/>
      <c r="G139" s="209"/>
      <c r="H139" s="209"/>
      <c r="I139" s="209"/>
      <c r="J139" s="296" t="b">
        <v>1</v>
      </c>
      <c r="K139" s="301" t="b">
        <v>0</v>
      </c>
      <c r="L139" s="209"/>
      <c r="M139" s="209"/>
      <c r="N139" s="209"/>
      <c r="O139" s="291"/>
      <c r="P139" s="303" t="s">
        <v>1402</v>
      </c>
      <c r="Q139" s="304" t="s">
        <v>400</v>
      </c>
      <c r="R139" s="209"/>
      <c r="S139" s="307">
        <v>8.40472501267E11</v>
      </c>
      <c r="T139" s="209"/>
      <c r="U139" s="209"/>
      <c r="V139" s="209"/>
      <c r="W139" s="325"/>
      <c r="X139" s="300" t="b">
        <v>1</v>
      </c>
      <c r="Y139" s="301" t="b">
        <v>0</v>
      </c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09"/>
      <c r="AP139" s="209"/>
    </row>
    <row r="140">
      <c r="A140" s="338"/>
      <c r="B140" s="303" t="s">
        <v>1230</v>
      </c>
      <c r="C140" s="347" t="s">
        <v>4216</v>
      </c>
      <c r="D140" s="304" t="s">
        <v>1231</v>
      </c>
      <c r="E140" s="307">
        <v>8.10115971917E11</v>
      </c>
      <c r="F140" s="209"/>
      <c r="G140" s="209"/>
      <c r="H140" s="209"/>
      <c r="I140" s="209"/>
      <c r="J140" s="296" t="b">
        <v>1</v>
      </c>
      <c r="K140" s="301" t="b">
        <v>0</v>
      </c>
      <c r="L140" s="209"/>
      <c r="M140" s="209"/>
      <c r="N140" s="209"/>
      <c r="O140" s="291"/>
      <c r="P140" s="303" t="s">
        <v>1406</v>
      </c>
      <c r="Q140" s="304" t="s">
        <v>588</v>
      </c>
      <c r="R140" s="209"/>
      <c r="S140" s="307">
        <v>8.40472501274E11</v>
      </c>
      <c r="T140" s="209"/>
      <c r="U140" s="209"/>
      <c r="V140" s="209"/>
      <c r="W140" s="325"/>
      <c r="X140" s="300" t="b">
        <v>1</v>
      </c>
      <c r="Y140" s="301" t="b">
        <v>0</v>
      </c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</row>
    <row r="141">
      <c r="A141" s="338"/>
      <c r="B141" s="303" t="s">
        <v>1235</v>
      </c>
      <c r="C141" s="304" t="s">
        <v>4217</v>
      </c>
      <c r="D141" s="304" t="s">
        <v>1236</v>
      </c>
      <c r="E141" s="307">
        <v>8.10115971948E11</v>
      </c>
      <c r="F141" s="209"/>
      <c r="G141" s="209"/>
      <c r="H141" s="209"/>
      <c r="I141" s="209"/>
      <c r="J141" s="296" t="b">
        <v>1</v>
      </c>
      <c r="K141" s="301" t="b">
        <v>0</v>
      </c>
      <c r="L141" s="209"/>
      <c r="M141" s="209"/>
      <c r="N141" s="209"/>
      <c r="O141" s="291"/>
      <c r="P141" s="303" t="s">
        <v>1411</v>
      </c>
      <c r="Q141" s="304" t="s">
        <v>1412</v>
      </c>
      <c r="R141" s="209"/>
      <c r="S141" s="307">
        <v>8.40472501281E11</v>
      </c>
      <c r="T141" s="209"/>
      <c r="U141" s="209"/>
      <c r="V141" s="209"/>
      <c r="W141" s="325"/>
      <c r="X141" s="300" t="b">
        <v>1</v>
      </c>
      <c r="Y141" s="301" t="b">
        <v>0</v>
      </c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  <c r="AK141" s="209"/>
      <c r="AL141" s="209"/>
      <c r="AM141" s="209"/>
      <c r="AN141" s="209"/>
      <c r="AO141" s="209"/>
      <c r="AP141" s="209"/>
    </row>
    <row r="142">
      <c r="A142" s="338"/>
      <c r="B142" s="303" t="s">
        <v>1239</v>
      </c>
      <c r="C142" s="304" t="s">
        <v>4218</v>
      </c>
      <c r="D142" s="304" t="s">
        <v>1240</v>
      </c>
      <c r="E142" s="307">
        <v>8.10115972006E11</v>
      </c>
      <c r="F142" s="209"/>
      <c r="G142" s="209"/>
      <c r="H142" s="209"/>
      <c r="I142" s="209"/>
      <c r="J142" s="296" t="b">
        <v>1</v>
      </c>
      <c r="K142" s="301" t="b">
        <v>0</v>
      </c>
      <c r="L142" s="209"/>
      <c r="M142" s="209"/>
      <c r="N142" s="209"/>
      <c r="O142" s="291"/>
      <c r="P142" s="310" t="s">
        <v>1416</v>
      </c>
      <c r="Q142" s="311" t="s">
        <v>692</v>
      </c>
      <c r="R142" s="313"/>
      <c r="S142" s="318">
        <v>8.40472501298E11</v>
      </c>
      <c r="T142" s="313"/>
      <c r="U142" s="313"/>
      <c r="V142" s="313"/>
      <c r="W142" s="331"/>
      <c r="X142" s="350" t="b">
        <v>1</v>
      </c>
      <c r="Y142" s="314" t="b">
        <v>0</v>
      </c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9"/>
      <c r="AO142" s="209"/>
      <c r="AP142" s="209"/>
    </row>
    <row r="143">
      <c r="A143" s="338"/>
      <c r="B143" s="303" t="s">
        <v>1243</v>
      </c>
      <c r="C143" s="304" t="s">
        <v>4219</v>
      </c>
      <c r="D143" s="304" t="s">
        <v>1244</v>
      </c>
      <c r="E143" s="307">
        <v>8.10115972082E11</v>
      </c>
      <c r="F143" s="209"/>
      <c r="G143" s="209"/>
      <c r="H143" s="209"/>
      <c r="I143" s="209"/>
      <c r="J143" s="296" t="b">
        <v>1</v>
      </c>
      <c r="K143" s="301" t="b">
        <v>0</v>
      </c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9"/>
      <c r="AO143" s="209"/>
      <c r="AP143" s="209"/>
    </row>
    <row r="144">
      <c r="A144" s="338"/>
      <c r="B144" s="303" t="s">
        <v>1247</v>
      </c>
      <c r="C144" s="304" t="s">
        <v>4221</v>
      </c>
      <c r="D144" s="304" t="s">
        <v>1248</v>
      </c>
      <c r="E144" s="307">
        <v>8.10115972167E11</v>
      </c>
      <c r="F144" s="209"/>
      <c r="G144" s="209"/>
      <c r="H144" s="209"/>
      <c r="I144" s="209"/>
      <c r="J144" s="296" t="b">
        <v>1</v>
      </c>
      <c r="K144" s="301" t="b">
        <v>0</v>
      </c>
      <c r="L144" s="209"/>
      <c r="M144" s="209"/>
      <c r="N144" s="209"/>
      <c r="O144" s="327" t="s">
        <v>1255</v>
      </c>
      <c r="P144" s="475" t="s">
        <v>1422</v>
      </c>
      <c r="Q144" s="320"/>
      <c r="R144" s="476" t="s">
        <v>1423</v>
      </c>
      <c r="S144" s="336" t="s">
        <v>1424</v>
      </c>
      <c r="T144" s="320"/>
      <c r="U144" s="320"/>
      <c r="V144" s="283" t="s">
        <v>370</v>
      </c>
      <c r="W144" s="283" t="s">
        <v>3141</v>
      </c>
      <c r="X144" s="333" t="str">
        <f>IF(COUNTIF(X145:X148, TRUE) = COUNTA(X145:X148), "Complete!", IF(COUNTIF(X145:X148, TRUE) &gt; 0, "Partial", "Not Started"))</f>
        <v>Complete!</v>
      </c>
      <c r="Y144" s="334"/>
      <c r="Z144" s="209"/>
      <c r="AA144" s="209"/>
      <c r="AB144" s="472">
        <v>12.0</v>
      </c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9"/>
      <c r="AO144" s="209"/>
      <c r="AP144" s="209"/>
    </row>
    <row r="145">
      <c r="A145" s="338"/>
      <c r="B145" s="303" t="s">
        <v>1251</v>
      </c>
      <c r="C145" s="304" t="s">
        <v>662</v>
      </c>
      <c r="D145" s="304" t="s">
        <v>1252</v>
      </c>
      <c r="E145" s="307">
        <v>8.40472502608E11</v>
      </c>
      <c r="F145" s="304" t="s">
        <v>1062</v>
      </c>
      <c r="G145" s="209"/>
      <c r="H145" s="209"/>
      <c r="I145" s="209"/>
      <c r="J145" s="296" t="b">
        <v>1</v>
      </c>
      <c r="K145" s="301" t="b">
        <v>0</v>
      </c>
      <c r="L145" s="209"/>
      <c r="M145" s="209"/>
      <c r="N145" s="209"/>
      <c r="P145" s="292" t="s">
        <v>1427</v>
      </c>
      <c r="Q145" s="298" t="s">
        <v>1428</v>
      </c>
      <c r="R145" s="295" t="s">
        <v>1429</v>
      </c>
      <c r="S145" s="295"/>
      <c r="T145" s="295"/>
      <c r="U145" s="295"/>
      <c r="V145" s="295"/>
      <c r="W145" s="328"/>
      <c r="X145" s="296" t="b">
        <v>1</v>
      </c>
      <c r="Y145" s="297" t="b">
        <v>0</v>
      </c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09"/>
      <c r="AP145" s="209"/>
    </row>
    <row r="146">
      <c r="A146" s="262"/>
      <c r="B146" s="310" t="s">
        <v>1253</v>
      </c>
      <c r="C146" s="311" t="s">
        <v>679</v>
      </c>
      <c r="D146" s="311" t="s">
        <v>1254</v>
      </c>
      <c r="E146" s="318">
        <v>8.40472502615E11</v>
      </c>
      <c r="F146" s="311" t="s">
        <v>1062</v>
      </c>
      <c r="G146" s="313"/>
      <c r="H146" s="313"/>
      <c r="I146" s="313"/>
      <c r="J146" s="296" t="b">
        <v>1</v>
      </c>
      <c r="K146" s="314" t="b">
        <v>0</v>
      </c>
      <c r="L146" s="209"/>
      <c r="M146" s="209"/>
      <c r="N146" s="209"/>
      <c r="P146" s="303" t="s">
        <v>1434</v>
      </c>
      <c r="Q146" s="306" t="s">
        <v>1435</v>
      </c>
      <c r="R146" s="209" t="s">
        <v>1436</v>
      </c>
      <c r="S146" s="209"/>
      <c r="T146" s="209"/>
      <c r="U146" s="209"/>
      <c r="V146" s="209"/>
      <c r="W146" s="325"/>
      <c r="X146" s="300" t="b">
        <v>1</v>
      </c>
      <c r="Y146" s="301" t="b">
        <v>0</v>
      </c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09"/>
      <c r="AP146" s="209"/>
    </row>
    <row r="147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P147" s="303" t="s">
        <v>1439</v>
      </c>
      <c r="Q147" s="306" t="s">
        <v>1440</v>
      </c>
      <c r="R147" s="209" t="s">
        <v>1441</v>
      </c>
      <c r="S147" s="209"/>
      <c r="T147" s="209"/>
      <c r="U147" s="209"/>
      <c r="V147" s="209"/>
      <c r="W147" s="325"/>
      <c r="X147" s="300" t="b">
        <v>1</v>
      </c>
      <c r="Y147" s="301" t="b">
        <v>0</v>
      </c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09"/>
      <c r="AP147" s="209"/>
    </row>
    <row r="148">
      <c r="A148" s="316" t="s">
        <v>1155</v>
      </c>
      <c r="B148" s="319" t="s">
        <v>212</v>
      </c>
      <c r="C148" s="320"/>
      <c r="D148" s="283" t="s">
        <v>211</v>
      </c>
      <c r="E148" s="388" t="s">
        <v>805</v>
      </c>
      <c r="F148" s="320"/>
      <c r="G148" s="320"/>
      <c r="H148" s="285" t="s">
        <v>572</v>
      </c>
      <c r="I148" s="285" t="s">
        <v>4309</v>
      </c>
      <c r="J148" s="470" t="str">
        <f>IF(COUNTIF(J151:J158, TRUE) = COUNTA(J151:J158), "Complete!", IF(COUNTIF(J151:J158, TRUE) &gt; 0, "Partial", "Not Started"))</f>
        <v>Complete!</v>
      </c>
      <c r="K148" s="334"/>
      <c r="L148" s="209"/>
      <c r="M148" s="209"/>
      <c r="N148" s="280">
        <v>10.0</v>
      </c>
      <c r="P148" s="303" t="s">
        <v>1444</v>
      </c>
      <c r="Q148" s="306" t="s">
        <v>1445</v>
      </c>
      <c r="R148" s="209" t="s">
        <v>1446</v>
      </c>
      <c r="S148" s="209"/>
      <c r="T148" s="209"/>
      <c r="U148" s="209"/>
      <c r="V148" s="209"/>
      <c r="W148" s="325"/>
      <c r="X148" s="300" t="b">
        <v>1</v>
      </c>
      <c r="Y148" s="301" t="b">
        <v>0</v>
      </c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</row>
    <row r="149">
      <c r="A149" s="291"/>
      <c r="B149" s="292" t="s">
        <v>1265</v>
      </c>
      <c r="C149" s="293" t="s">
        <v>4224</v>
      </c>
      <c r="D149" s="293" t="s">
        <v>1266</v>
      </c>
      <c r="E149" s="299">
        <v>8.10115971955E11</v>
      </c>
      <c r="F149" s="295"/>
      <c r="G149" s="295"/>
      <c r="H149" s="295"/>
      <c r="I149" s="295"/>
      <c r="J149" s="296" t="b">
        <v>1</v>
      </c>
      <c r="K149" s="297" t="b">
        <v>0</v>
      </c>
      <c r="L149" s="209"/>
      <c r="M149" s="209"/>
      <c r="N149" s="209"/>
      <c r="P149" s="303" t="s">
        <v>1449</v>
      </c>
      <c r="Q149" s="306" t="s">
        <v>1450</v>
      </c>
      <c r="R149" s="209" t="s">
        <v>1451</v>
      </c>
      <c r="S149" s="307">
        <v>8.4047250097E11</v>
      </c>
      <c r="T149" s="209"/>
      <c r="U149" s="209"/>
      <c r="V149" s="209"/>
      <c r="W149" s="325"/>
      <c r="X149" s="300" t="b">
        <v>1</v>
      </c>
      <c r="Y149" s="301" t="b">
        <v>0</v>
      </c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</row>
    <row r="150">
      <c r="A150" s="291"/>
      <c r="B150" s="303" t="s">
        <v>1271</v>
      </c>
      <c r="C150" s="304" t="s">
        <v>4225</v>
      </c>
      <c r="D150" s="304" t="s">
        <v>1272</v>
      </c>
      <c r="E150" s="307">
        <v>8.10115971931E11</v>
      </c>
      <c r="F150" s="209"/>
      <c r="G150" s="209"/>
      <c r="H150" s="209"/>
      <c r="I150" s="209"/>
      <c r="J150" s="296" t="b">
        <v>1</v>
      </c>
      <c r="K150" s="301" t="b">
        <v>0</v>
      </c>
      <c r="L150" s="209"/>
      <c r="M150" s="209"/>
      <c r="N150" s="209"/>
      <c r="P150" s="303" t="s">
        <v>1454</v>
      </c>
      <c r="Q150" s="306" t="s">
        <v>1455</v>
      </c>
      <c r="R150" s="209" t="s">
        <v>1456</v>
      </c>
      <c r="S150" s="307">
        <v>8.40472501007E11</v>
      </c>
      <c r="T150" s="209"/>
      <c r="U150" s="209"/>
      <c r="V150" s="209"/>
      <c r="W150" s="325"/>
      <c r="X150" s="300" t="b">
        <v>1</v>
      </c>
      <c r="Y150" s="301" t="b">
        <v>0</v>
      </c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</row>
    <row r="151">
      <c r="A151" s="291"/>
      <c r="B151" s="303" t="s">
        <v>1276</v>
      </c>
      <c r="C151" s="304" t="s">
        <v>4228</v>
      </c>
      <c r="D151" s="304" t="s">
        <v>1277</v>
      </c>
      <c r="E151" s="307">
        <v>8.10115971924E11</v>
      </c>
      <c r="F151" s="209"/>
      <c r="G151" s="209"/>
      <c r="H151" s="209"/>
      <c r="I151" s="209"/>
      <c r="J151" s="296" t="b">
        <v>1</v>
      </c>
      <c r="K151" s="301" t="b">
        <v>0</v>
      </c>
      <c r="L151" s="209"/>
      <c r="M151" s="209"/>
      <c r="N151" s="209"/>
      <c r="P151" s="303" t="s">
        <v>1459</v>
      </c>
      <c r="Q151" s="306" t="s">
        <v>1460</v>
      </c>
      <c r="R151" s="209" t="s">
        <v>1461</v>
      </c>
      <c r="S151" s="307">
        <v>8.40472501021E11</v>
      </c>
      <c r="T151" s="209"/>
      <c r="U151" s="209"/>
      <c r="V151" s="209"/>
      <c r="W151" s="325"/>
      <c r="X151" s="300" t="b">
        <v>1</v>
      </c>
      <c r="Y151" s="301" t="b">
        <v>0</v>
      </c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09"/>
      <c r="AP151" s="209"/>
    </row>
    <row r="152">
      <c r="A152" s="291"/>
      <c r="B152" s="303" t="s">
        <v>1281</v>
      </c>
      <c r="C152" s="304" t="s">
        <v>4282</v>
      </c>
      <c r="D152" s="304" t="s">
        <v>1282</v>
      </c>
      <c r="E152" s="307">
        <v>8.10115972563E11</v>
      </c>
      <c r="F152" s="209"/>
      <c r="G152" s="209"/>
      <c r="H152" s="209"/>
      <c r="I152" s="209"/>
      <c r="J152" s="296" t="b">
        <v>1</v>
      </c>
      <c r="K152" s="301" t="b">
        <v>0</v>
      </c>
      <c r="L152" s="209"/>
      <c r="M152" s="209"/>
      <c r="N152" s="209"/>
      <c r="P152" s="303" t="s">
        <v>1464</v>
      </c>
      <c r="Q152" s="306" t="s">
        <v>1465</v>
      </c>
      <c r="R152" s="209" t="s">
        <v>1466</v>
      </c>
      <c r="S152" s="307">
        <v>8.40472501038E11</v>
      </c>
      <c r="T152" s="209"/>
      <c r="U152" s="209"/>
      <c r="V152" s="209"/>
      <c r="W152" s="325"/>
      <c r="X152" s="300" t="b">
        <v>1</v>
      </c>
      <c r="Y152" s="301" t="b">
        <v>0</v>
      </c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09"/>
      <c r="AP152" s="209"/>
    </row>
    <row r="153">
      <c r="A153" s="291"/>
      <c r="B153" s="303" t="s">
        <v>1285</v>
      </c>
      <c r="C153" s="304" t="s">
        <v>4229</v>
      </c>
      <c r="D153" s="304" t="s">
        <v>1286</v>
      </c>
      <c r="E153" s="307">
        <v>8.10115971894E11</v>
      </c>
      <c r="F153" s="209"/>
      <c r="G153" s="209"/>
      <c r="H153" s="209"/>
      <c r="I153" s="209"/>
      <c r="J153" s="296" t="b">
        <v>1</v>
      </c>
      <c r="K153" s="301" t="b">
        <v>0</v>
      </c>
      <c r="L153" s="209"/>
      <c r="M153" s="209"/>
      <c r="N153" s="209"/>
      <c r="P153" s="303" t="s">
        <v>1469</v>
      </c>
      <c r="Q153" s="306" t="s">
        <v>1470</v>
      </c>
      <c r="R153" s="209" t="s">
        <v>1471</v>
      </c>
      <c r="S153" s="307">
        <v>8.40472501137E11</v>
      </c>
      <c r="T153" s="209"/>
      <c r="U153" s="209"/>
      <c r="V153" s="209"/>
      <c r="W153" s="325"/>
      <c r="X153" s="300" t="b">
        <v>1</v>
      </c>
      <c r="Y153" s="301" t="b">
        <v>0</v>
      </c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</row>
    <row r="154">
      <c r="A154" s="291"/>
      <c r="B154" s="303" t="s">
        <v>1287</v>
      </c>
      <c r="C154" s="304" t="s">
        <v>4288</v>
      </c>
      <c r="D154" s="304" t="s">
        <v>1288</v>
      </c>
      <c r="E154" s="307">
        <v>8.4047250307E11</v>
      </c>
      <c r="F154" s="304" t="s">
        <v>1062</v>
      </c>
      <c r="G154" s="209"/>
      <c r="H154" s="209"/>
      <c r="I154" s="304" t="s">
        <v>4262</v>
      </c>
      <c r="J154" s="296" t="b">
        <v>1</v>
      </c>
      <c r="K154" s="301" t="b">
        <v>0</v>
      </c>
      <c r="L154" s="209"/>
      <c r="M154" s="209"/>
      <c r="N154" s="209"/>
      <c r="P154" s="303" t="s">
        <v>1474</v>
      </c>
      <c r="Q154" s="306" t="s">
        <v>1475</v>
      </c>
      <c r="R154" s="209" t="s">
        <v>1476</v>
      </c>
      <c r="S154" s="307">
        <v>8.40472501144E11</v>
      </c>
      <c r="T154" s="209"/>
      <c r="U154" s="209"/>
      <c r="V154" s="209"/>
      <c r="W154" s="325"/>
      <c r="X154" s="300" t="b">
        <v>1</v>
      </c>
      <c r="Y154" s="301" t="b">
        <v>0</v>
      </c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</row>
    <row r="155">
      <c r="A155" s="291"/>
      <c r="B155" s="303" t="s">
        <v>1294</v>
      </c>
      <c r="C155" s="304" t="s">
        <v>4234</v>
      </c>
      <c r="D155" s="304" t="s">
        <v>1295</v>
      </c>
      <c r="E155" s="307">
        <v>8.10115971856E11</v>
      </c>
      <c r="F155" s="304" t="s">
        <v>1057</v>
      </c>
      <c r="G155" s="209"/>
      <c r="H155" s="209"/>
      <c r="I155" s="209"/>
      <c r="J155" s="296" t="b">
        <v>1</v>
      </c>
      <c r="K155" s="301" t="b">
        <v>1</v>
      </c>
      <c r="L155" s="464" t="s">
        <v>889</v>
      </c>
      <c r="M155" s="465" t="str">
        <f>IF(COUNTIF(M156:M163, TRUE) = COUNTA(M156:M163), "Complete!", IF(COUNTIF(M156:M163, TRUE) &gt; 0, "Partial", "Not Started"))</f>
        <v>Not Started</v>
      </c>
      <c r="N155" s="209"/>
      <c r="P155" s="303" t="s">
        <v>1477</v>
      </c>
      <c r="Q155" s="306" t="s">
        <v>1478</v>
      </c>
      <c r="R155" s="209" t="s">
        <v>1479</v>
      </c>
      <c r="S155" s="307">
        <v>8.40472501182E11</v>
      </c>
      <c r="T155" s="209"/>
      <c r="U155" s="209"/>
      <c r="V155" s="209"/>
      <c r="W155" s="325"/>
      <c r="X155" s="300" t="b">
        <v>1</v>
      </c>
      <c r="Y155" s="301" t="b">
        <v>0</v>
      </c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</row>
    <row r="156">
      <c r="A156" s="291"/>
      <c r="B156" s="303" t="s">
        <v>1300</v>
      </c>
      <c r="C156" s="304" t="s">
        <v>4236</v>
      </c>
      <c r="D156" s="304" t="s">
        <v>1301</v>
      </c>
      <c r="E156" s="307">
        <v>8.10115971832E11</v>
      </c>
      <c r="F156" s="304" t="s">
        <v>1057</v>
      </c>
      <c r="G156" s="209"/>
      <c r="H156" s="209"/>
      <c r="I156" s="209"/>
      <c r="J156" s="296" t="b">
        <v>1</v>
      </c>
      <c r="K156" s="301" t="b">
        <v>1</v>
      </c>
      <c r="L156" s="419"/>
      <c r="M156" s="301" t="b">
        <v>0</v>
      </c>
      <c r="N156" s="209"/>
      <c r="P156" s="310" t="s">
        <v>1481</v>
      </c>
      <c r="Q156" s="317" t="s">
        <v>1482</v>
      </c>
      <c r="R156" s="313" t="s">
        <v>1483</v>
      </c>
      <c r="S156" s="318">
        <v>8.40472501205E11</v>
      </c>
      <c r="T156" s="313"/>
      <c r="U156" s="313"/>
      <c r="V156" s="313"/>
      <c r="W156" s="331"/>
      <c r="X156" s="350" t="b">
        <v>1</v>
      </c>
      <c r="Y156" s="314" t="b">
        <v>0</v>
      </c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</row>
    <row r="157">
      <c r="A157" s="291"/>
      <c r="B157" s="303" t="s">
        <v>1306</v>
      </c>
      <c r="C157" s="304" t="s">
        <v>4285</v>
      </c>
      <c r="D157" s="304" t="s">
        <v>1307</v>
      </c>
      <c r="E157" s="307">
        <v>8.40472503087E11</v>
      </c>
      <c r="F157" s="304" t="s">
        <v>1062</v>
      </c>
      <c r="G157" s="209"/>
      <c r="H157" s="209"/>
      <c r="I157" s="304" t="s">
        <v>4262</v>
      </c>
      <c r="J157" s="296" t="b">
        <v>1</v>
      </c>
      <c r="K157" s="301" t="b">
        <v>0</v>
      </c>
      <c r="L157" s="419"/>
      <c r="M157" s="301" t="b">
        <v>0</v>
      </c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</row>
    <row r="158">
      <c r="A158" s="309"/>
      <c r="B158" s="310" t="s">
        <v>1312</v>
      </c>
      <c r="C158" s="311" t="s">
        <v>4246</v>
      </c>
      <c r="D158" s="311" t="s">
        <v>1313</v>
      </c>
      <c r="E158" s="318">
        <v>8.10115971818E11</v>
      </c>
      <c r="F158" s="311" t="s">
        <v>1057</v>
      </c>
      <c r="G158" s="313"/>
      <c r="H158" s="313"/>
      <c r="I158" s="313"/>
      <c r="J158" s="296" t="b">
        <v>1</v>
      </c>
      <c r="K158" s="314" t="b">
        <v>1</v>
      </c>
      <c r="L158" s="419"/>
      <c r="M158" s="301" t="b">
        <v>0</v>
      </c>
      <c r="N158" s="209"/>
      <c r="O158" s="327" t="s">
        <v>1289</v>
      </c>
      <c r="P158" s="475" t="s">
        <v>1489</v>
      </c>
      <c r="Q158" s="320"/>
      <c r="R158" s="476" t="s">
        <v>1490</v>
      </c>
      <c r="S158" s="336" t="s">
        <v>1424</v>
      </c>
      <c r="T158" s="320"/>
      <c r="U158" s="320"/>
      <c r="V158" s="283" t="s">
        <v>572</v>
      </c>
      <c r="W158" s="283" t="s">
        <v>4310</v>
      </c>
      <c r="X158" s="333" t="str">
        <f>IF(COUNTIF(X159:X162, TRUE) = COUNTA(X159:X162), "Complete!", IF(COUNTIF(X159:X162, TRUE) &gt; 0, "Partial", "Not Started"))</f>
        <v>Complete!</v>
      </c>
      <c r="Y158" s="334"/>
      <c r="Z158" s="209"/>
      <c r="AA158" s="209"/>
      <c r="AB158" s="472">
        <v>12.0</v>
      </c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</row>
    <row r="159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419"/>
      <c r="M159" s="301" t="b">
        <v>0</v>
      </c>
      <c r="N159" s="209"/>
      <c r="P159" s="292" t="s">
        <v>1494</v>
      </c>
      <c r="Q159" s="298" t="s">
        <v>1495</v>
      </c>
      <c r="R159" s="295" t="s">
        <v>1496</v>
      </c>
      <c r="S159" s="295"/>
      <c r="T159" s="295"/>
      <c r="U159" s="295"/>
      <c r="V159" s="295"/>
      <c r="W159" s="328"/>
      <c r="X159" s="300" t="b">
        <v>1</v>
      </c>
      <c r="Y159" s="297" t="b">
        <v>0</v>
      </c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</row>
    <row r="160">
      <c r="A160" s="316" t="s">
        <v>1190</v>
      </c>
      <c r="B160" s="282" t="s">
        <v>264</v>
      </c>
      <c r="C160" s="273"/>
      <c r="D160" s="274" t="s">
        <v>263</v>
      </c>
      <c r="E160" s="463" t="s">
        <v>805</v>
      </c>
      <c r="F160" s="273"/>
      <c r="G160" s="273"/>
      <c r="H160" s="477" t="s">
        <v>468</v>
      </c>
      <c r="I160" s="276" t="s">
        <v>4311</v>
      </c>
      <c r="J160" s="470" t="str">
        <f>IF(COUNTIF(J163:J170, TRUE) = COUNTA(J163:J170), "Complete!", IF(COUNTIF(J163:J170, TRUE) &gt; 0, "Partial", "Not Started"))</f>
        <v>Complete!</v>
      </c>
      <c r="K160" s="279"/>
      <c r="L160" s="419"/>
      <c r="M160" s="301" t="b">
        <v>0</v>
      </c>
      <c r="N160" s="280">
        <v>11.0</v>
      </c>
      <c r="P160" s="303" t="s">
        <v>1499</v>
      </c>
      <c r="Q160" s="306" t="s">
        <v>1500</v>
      </c>
      <c r="R160" s="209" t="s">
        <v>1501</v>
      </c>
      <c r="S160" s="209"/>
      <c r="T160" s="209"/>
      <c r="U160" s="209"/>
      <c r="V160" s="209"/>
      <c r="W160" s="325"/>
      <c r="X160" s="300" t="b">
        <v>1</v>
      </c>
      <c r="Y160" s="301" t="b">
        <v>0</v>
      </c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09"/>
      <c r="AP160" s="209"/>
    </row>
    <row r="161">
      <c r="A161" s="291"/>
      <c r="B161" s="292" t="s">
        <v>1320</v>
      </c>
      <c r="C161" s="293" t="s">
        <v>4280</v>
      </c>
      <c r="D161" s="293" t="s">
        <v>1321</v>
      </c>
      <c r="E161" s="299">
        <v>8.10115972907E11</v>
      </c>
      <c r="F161" s="295"/>
      <c r="G161" s="295"/>
      <c r="H161" s="295"/>
      <c r="I161" s="295"/>
      <c r="J161" s="296" t="b">
        <v>1</v>
      </c>
      <c r="K161" s="297" t="b">
        <v>0</v>
      </c>
      <c r="L161" s="209"/>
      <c r="M161" s="301" t="b">
        <v>0</v>
      </c>
      <c r="N161" s="209"/>
      <c r="P161" s="303" t="s">
        <v>1504</v>
      </c>
      <c r="Q161" s="306" t="s">
        <v>1505</v>
      </c>
      <c r="R161" s="209" t="s">
        <v>1506</v>
      </c>
      <c r="S161" s="307">
        <v>8.40472500987E11</v>
      </c>
      <c r="T161" s="209"/>
      <c r="U161" s="209"/>
      <c r="V161" s="209"/>
      <c r="W161" s="325"/>
      <c r="X161" s="300" t="b">
        <v>1</v>
      </c>
      <c r="Y161" s="301" t="b">
        <v>0</v>
      </c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</row>
    <row r="162">
      <c r="A162" s="291"/>
      <c r="B162" s="303" t="s">
        <v>1326</v>
      </c>
      <c r="C162" s="304" t="s">
        <v>4281</v>
      </c>
      <c r="D162" s="304" t="s">
        <v>1327</v>
      </c>
      <c r="E162" s="307">
        <v>8.10115972808E11</v>
      </c>
      <c r="F162" s="209"/>
      <c r="G162" s="209"/>
      <c r="H162" s="209"/>
      <c r="I162" s="209"/>
      <c r="J162" s="296" t="b">
        <v>1</v>
      </c>
      <c r="K162" s="301" t="b">
        <v>0</v>
      </c>
      <c r="L162" s="209"/>
      <c r="M162" s="301" t="b">
        <v>0</v>
      </c>
      <c r="N162" s="209"/>
      <c r="P162" s="303" t="s">
        <v>1509</v>
      </c>
      <c r="Q162" s="306" t="s">
        <v>1510</v>
      </c>
      <c r="R162" s="209" t="s">
        <v>1511</v>
      </c>
      <c r="S162" s="307">
        <v>8.40472501045E11</v>
      </c>
      <c r="T162" s="209"/>
      <c r="U162" s="209"/>
      <c r="V162" s="209"/>
      <c r="W162" s="325"/>
      <c r="X162" s="300" t="b">
        <v>1</v>
      </c>
      <c r="Y162" s="301" t="b">
        <v>0</v>
      </c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</row>
    <row r="163">
      <c r="A163" s="291"/>
      <c r="B163" s="303" t="s">
        <v>1331</v>
      </c>
      <c r="C163" s="304" t="s">
        <v>4230</v>
      </c>
      <c r="D163" s="304" t="s">
        <v>1332</v>
      </c>
      <c r="E163" s="307">
        <v>8.101159719E11</v>
      </c>
      <c r="F163" s="209"/>
      <c r="G163" s="209"/>
      <c r="H163" s="209"/>
      <c r="I163" s="209"/>
      <c r="J163" s="296" t="b">
        <v>1</v>
      </c>
      <c r="K163" s="301" t="b">
        <v>0</v>
      </c>
      <c r="L163" s="313"/>
      <c r="M163" s="314" t="b">
        <v>0</v>
      </c>
      <c r="N163" s="209"/>
      <c r="P163" s="303" t="s">
        <v>1514</v>
      </c>
      <c r="Q163" s="306" t="s">
        <v>1515</v>
      </c>
      <c r="R163" s="209" t="s">
        <v>1516</v>
      </c>
      <c r="S163" s="307">
        <v>8.40472501052E11</v>
      </c>
      <c r="T163" s="209"/>
      <c r="U163" s="209"/>
      <c r="V163" s="209"/>
      <c r="W163" s="325"/>
      <c r="X163" s="300" t="b">
        <v>1</v>
      </c>
      <c r="Y163" s="301" t="b">
        <v>0</v>
      </c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</row>
    <row r="164">
      <c r="A164" s="291"/>
      <c r="B164" s="303" t="s">
        <v>1337</v>
      </c>
      <c r="C164" s="304" t="s">
        <v>4231</v>
      </c>
      <c r="D164" s="304" t="s">
        <v>1338</v>
      </c>
      <c r="E164" s="307">
        <v>8.10115971887E11</v>
      </c>
      <c r="F164" s="209"/>
      <c r="G164" s="209"/>
      <c r="H164" s="209"/>
      <c r="I164" s="209"/>
      <c r="J164" s="296" t="b">
        <v>1</v>
      </c>
      <c r="K164" s="301" t="b">
        <v>0</v>
      </c>
      <c r="L164" s="209"/>
      <c r="M164" s="209"/>
      <c r="N164" s="209"/>
      <c r="P164" s="303" t="s">
        <v>1519</v>
      </c>
      <c r="Q164" s="306" t="s">
        <v>1520</v>
      </c>
      <c r="R164" s="209" t="s">
        <v>1521</v>
      </c>
      <c r="S164" s="307">
        <v>8.40472501069E11</v>
      </c>
      <c r="T164" s="209"/>
      <c r="U164" s="209"/>
      <c r="V164" s="209"/>
      <c r="W164" s="325"/>
      <c r="X164" s="300" t="b">
        <v>1</v>
      </c>
      <c r="Y164" s="301" t="b">
        <v>0</v>
      </c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09"/>
      <c r="AP164" s="209"/>
    </row>
    <row r="165">
      <c r="A165" s="291"/>
      <c r="B165" s="303" t="s">
        <v>1343</v>
      </c>
      <c r="C165" s="304" t="s">
        <v>4232</v>
      </c>
      <c r="D165" s="304" t="s">
        <v>1344</v>
      </c>
      <c r="E165" s="307">
        <v>8.10115971863E11</v>
      </c>
      <c r="F165" s="209"/>
      <c r="G165" s="209"/>
      <c r="H165" s="209"/>
      <c r="I165" s="209"/>
      <c r="J165" s="296" t="b">
        <v>1</v>
      </c>
      <c r="K165" s="301" t="b">
        <v>0</v>
      </c>
      <c r="L165" s="285" t="s">
        <v>889</v>
      </c>
      <c r="M165" s="465" t="str">
        <f>IF(COUNTIF(M167:M177, TRUE) = COUNTA(M167:M177), "Complete!", IF(COUNTIF(M167:M177, TRUE) &gt; 0, "Partial", "Not Started"))</f>
        <v>Not Started</v>
      </c>
      <c r="N165" s="209"/>
      <c r="P165" s="303" t="s">
        <v>1524</v>
      </c>
      <c r="Q165" s="306" t="s">
        <v>1525</v>
      </c>
      <c r="R165" s="209" t="s">
        <v>1526</v>
      </c>
      <c r="S165" s="307">
        <v>8.40472501076E11</v>
      </c>
      <c r="T165" s="209"/>
      <c r="U165" s="209"/>
      <c r="V165" s="209"/>
      <c r="W165" s="325"/>
      <c r="X165" s="300" t="b">
        <v>1</v>
      </c>
      <c r="Y165" s="301" t="b">
        <v>0</v>
      </c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09"/>
      <c r="AP165" s="209"/>
    </row>
    <row r="166">
      <c r="A166" s="291"/>
      <c r="B166" s="303" t="s">
        <v>1347</v>
      </c>
      <c r="C166" s="304" t="s">
        <v>4283</v>
      </c>
      <c r="D166" s="304" t="s">
        <v>1348</v>
      </c>
      <c r="E166" s="307">
        <v>8.40472502622E11</v>
      </c>
      <c r="F166" s="304" t="s">
        <v>1062</v>
      </c>
      <c r="G166" s="209"/>
      <c r="H166" s="209"/>
      <c r="I166" s="209"/>
      <c r="J166" s="296" t="b">
        <v>1</v>
      </c>
      <c r="K166" s="301" t="b">
        <v>0</v>
      </c>
      <c r="L166" s="209"/>
      <c r="M166" s="301" t="b">
        <v>0</v>
      </c>
      <c r="N166" s="209"/>
      <c r="P166" s="303" t="s">
        <v>1527</v>
      </c>
      <c r="Q166" s="306" t="s">
        <v>1528</v>
      </c>
      <c r="R166" s="209" t="s">
        <v>1529</v>
      </c>
      <c r="S166" s="307">
        <v>8.40472501083E11</v>
      </c>
      <c r="T166" s="209"/>
      <c r="U166" s="209"/>
      <c r="V166" s="209"/>
      <c r="W166" s="325"/>
      <c r="X166" s="300" t="b">
        <v>1</v>
      </c>
      <c r="Y166" s="301" t="b">
        <v>0</v>
      </c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</row>
    <row r="167">
      <c r="A167" s="291"/>
      <c r="B167" s="303" t="s">
        <v>1351</v>
      </c>
      <c r="C167" s="304" t="s">
        <v>4289</v>
      </c>
      <c r="D167" s="304" t="s">
        <v>1352</v>
      </c>
      <c r="E167" s="307">
        <v>8.10115972556E11</v>
      </c>
      <c r="F167" s="209"/>
      <c r="G167" s="209"/>
      <c r="H167" s="209"/>
      <c r="I167" s="209"/>
      <c r="J167" s="296" t="b">
        <v>1</v>
      </c>
      <c r="K167" s="301" t="b">
        <v>0</v>
      </c>
      <c r="L167" s="209"/>
      <c r="M167" s="301" t="b">
        <v>0</v>
      </c>
      <c r="N167" s="209"/>
      <c r="P167" s="303" t="s">
        <v>1532</v>
      </c>
      <c r="Q167" s="306" t="s">
        <v>1533</v>
      </c>
      <c r="R167" s="209" t="s">
        <v>1534</v>
      </c>
      <c r="S167" s="307">
        <v>8.40472501212E11</v>
      </c>
      <c r="T167" s="209"/>
      <c r="U167" s="209"/>
      <c r="V167" s="209"/>
      <c r="W167" s="325"/>
      <c r="X167" s="300" t="b">
        <v>1</v>
      </c>
      <c r="Y167" s="301" t="b">
        <v>0</v>
      </c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</row>
    <row r="168">
      <c r="A168" s="291"/>
      <c r="B168" s="303" t="s">
        <v>1355</v>
      </c>
      <c r="C168" s="304" t="s">
        <v>4284</v>
      </c>
      <c r="D168" s="304" t="s">
        <v>1356</v>
      </c>
      <c r="E168" s="307">
        <v>8.40472502585E11</v>
      </c>
      <c r="F168" s="304" t="s">
        <v>1062</v>
      </c>
      <c r="G168" s="209"/>
      <c r="H168" s="209"/>
      <c r="I168" s="209"/>
      <c r="J168" s="296" t="b">
        <v>1</v>
      </c>
      <c r="K168" s="301" t="b">
        <v>0</v>
      </c>
      <c r="L168" s="209"/>
      <c r="M168" s="301" t="b">
        <v>0</v>
      </c>
      <c r="N168" s="209"/>
      <c r="P168" s="303" t="s">
        <v>1538</v>
      </c>
      <c r="Q168" s="306" t="s">
        <v>1539</v>
      </c>
      <c r="R168" s="304" t="s">
        <v>1540</v>
      </c>
      <c r="S168" s="307">
        <v>8.40472501229E11</v>
      </c>
      <c r="T168" s="209"/>
      <c r="U168" s="209"/>
      <c r="V168" s="209"/>
      <c r="W168" s="325"/>
      <c r="X168" s="300" t="b">
        <v>1</v>
      </c>
      <c r="Y168" s="301" t="b">
        <v>0</v>
      </c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09"/>
      <c r="AP168" s="209"/>
    </row>
    <row r="169">
      <c r="A169" s="291"/>
      <c r="B169" s="303" t="s">
        <v>1357</v>
      </c>
      <c r="C169" s="304" t="s">
        <v>4290</v>
      </c>
      <c r="D169" s="304" t="s">
        <v>1358</v>
      </c>
      <c r="E169" s="307">
        <v>8.10115972549E11</v>
      </c>
      <c r="F169" s="209"/>
      <c r="G169" s="209"/>
      <c r="H169" s="209"/>
      <c r="I169" s="209"/>
      <c r="J169" s="296" t="b">
        <v>1</v>
      </c>
      <c r="K169" s="301" t="b">
        <v>0</v>
      </c>
      <c r="L169" s="209"/>
      <c r="M169" s="301" t="b">
        <v>0</v>
      </c>
      <c r="N169" s="209"/>
      <c r="P169" s="303" t="s">
        <v>1544</v>
      </c>
      <c r="Q169" s="306" t="s">
        <v>1545</v>
      </c>
      <c r="R169" s="209" t="s">
        <v>1546</v>
      </c>
      <c r="S169" s="307">
        <v>8.40472501236E11</v>
      </c>
      <c r="T169" s="209"/>
      <c r="U169" s="209"/>
      <c r="V169" s="209"/>
      <c r="W169" s="325"/>
      <c r="X169" s="300" t="b">
        <v>1</v>
      </c>
      <c r="Y169" s="301" t="b">
        <v>0</v>
      </c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09"/>
    </row>
    <row r="170">
      <c r="A170" s="291"/>
      <c r="B170" s="303" t="s">
        <v>4106</v>
      </c>
      <c r="C170" s="304" t="s">
        <v>4292</v>
      </c>
      <c r="D170" s="304" t="s">
        <v>1364</v>
      </c>
      <c r="E170" s="307">
        <v>8.40472507535E11</v>
      </c>
      <c r="F170" s="304" t="s">
        <v>1062</v>
      </c>
      <c r="G170" s="209"/>
      <c r="H170" s="209"/>
      <c r="I170" s="304" t="s">
        <v>1063</v>
      </c>
      <c r="J170" s="296" t="b">
        <v>1</v>
      </c>
      <c r="K170" s="301" t="b">
        <v>0</v>
      </c>
      <c r="L170" s="209"/>
      <c r="M170" s="301" t="b">
        <v>0</v>
      </c>
      <c r="N170" s="209"/>
      <c r="P170" s="310" t="s">
        <v>1550</v>
      </c>
      <c r="Q170" s="317" t="s">
        <v>1551</v>
      </c>
      <c r="R170" s="313" t="s">
        <v>1552</v>
      </c>
      <c r="S170" s="318">
        <v>8.40472501243E11</v>
      </c>
      <c r="T170" s="313"/>
      <c r="U170" s="313"/>
      <c r="V170" s="313"/>
      <c r="W170" s="331"/>
      <c r="X170" s="350" t="b">
        <v>1</v>
      </c>
      <c r="Y170" s="314" t="b">
        <v>0</v>
      </c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</row>
    <row r="171">
      <c r="A171" s="309"/>
      <c r="B171" s="310" t="s">
        <v>1368</v>
      </c>
      <c r="C171" s="311" t="s">
        <v>4294</v>
      </c>
      <c r="D171" s="311" t="s">
        <v>1369</v>
      </c>
      <c r="E171" s="318">
        <v>8.40472507566E11</v>
      </c>
      <c r="F171" s="311" t="s">
        <v>1062</v>
      </c>
      <c r="G171" s="313"/>
      <c r="H171" s="313"/>
      <c r="I171" s="311" t="s">
        <v>1063</v>
      </c>
      <c r="J171" s="296" t="b">
        <v>1</v>
      </c>
      <c r="K171" s="314" t="b">
        <v>0</v>
      </c>
      <c r="L171" s="209"/>
      <c r="M171" s="301" t="b">
        <v>0</v>
      </c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9"/>
      <c r="AO171" s="209"/>
      <c r="AP171" s="209"/>
    </row>
    <row r="172">
      <c r="A172" s="209"/>
      <c r="B172" s="209"/>
      <c r="C172" s="209"/>
      <c r="D172" s="209"/>
      <c r="E172" s="209"/>
      <c r="F172" s="209"/>
      <c r="G172" s="209"/>
      <c r="H172" s="209"/>
      <c r="I172" s="209"/>
      <c r="J172" s="313"/>
      <c r="K172" s="209"/>
      <c r="L172" s="419"/>
      <c r="M172" s="301" t="b">
        <v>0</v>
      </c>
      <c r="N172" s="209"/>
      <c r="O172" s="327" t="s">
        <v>1322</v>
      </c>
      <c r="P172" s="475" t="s">
        <v>1559</v>
      </c>
      <c r="Q172" s="320"/>
      <c r="R172" s="476" t="s">
        <v>1560</v>
      </c>
      <c r="S172" s="336" t="s">
        <v>1424</v>
      </c>
      <c r="T172" s="320"/>
      <c r="U172" s="320"/>
      <c r="V172" s="283" t="s">
        <v>563</v>
      </c>
      <c r="W172" s="283" t="s">
        <v>4312</v>
      </c>
      <c r="X172" s="333" t="str">
        <f>IF(COUNTIF(X173:X176, TRUE) = COUNTA(X173:X176), "Complete!", IF(COUNTIF(X173:X176, TRUE) &gt; 0, "Partial", "Not Started"))</f>
        <v>Complete!</v>
      </c>
      <c r="Y172" s="334"/>
      <c r="Z172" s="209"/>
      <c r="AA172" s="209"/>
      <c r="AB172" s="472">
        <v>12.0</v>
      </c>
      <c r="AC172" s="209"/>
      <c r="AD172" s="209"/>
      <c r="AE172" s="209"/>
      <c r="AF172" s="209"/>
      <c r="AG172" s="209"/>
      <c r="AH172" s="209"/>
      <c r="AI172" s="209"/>
      <c r="AJ172" s="209"/>
      <c r="AK172" s="209"/>
      <c r="AL172" s="209"/>
      <c r="AM172" s="209"/>
      <c r="AN172" s="209"/>
      <c r="AO172" s="209"/>
      <c r="AP172" s="209"/>
    </row>
    <row r="173">
      <c r="A173" s="316" t="s">
        <v>1226</v>
      </c>
      <c r="B173" s="282" t="s">
        <v>1375</v>
      </c>
      <c r="C173" s="273"/>
      <c r="D173" s="274" t="s">
        <v>4108</v>
      </c>
      <c r="E173" s="463" t="s">
        <v>805</v>
      </c>
      <c r="F173" s="273"/>
      <c r="G173" s="273"/>
      <c r="H173" s="276" t="s">
        <v>370</v>
      </c>
      <c r="I173" s="276" t="s">
        <v>4109</v>
      </c>
      <c r="J173" s="468" t="str">
        <f>IF(COUNTIF(J174:J181, TRUE) = COUNTA(J174:J181), "Complete!", IF(COUNTIF(J174:J181, TRUE) &gt; 0, "Partial", "Not Started"))</f>
        <v>Complete!</v>
      </c>
      <c r="K173" s="279"/>
      <c r="L173" s="419"/>
      <c r="M173" s="301" t="b">
        <v>0</v>
      </c>
      <c r="N173" s="280">
        <v>9.0</v>
      </c>
      <c r="P173" s="292" t="s">
        <v>1565</v>
      </c>
      <c r="Q173" s="298" t="s">
        <v>1566</v>
      </c>
      <c r="R173" s="295" t="s">
        <v>1567</v>
      </c>
      <c r="S173" s="295"/>
      <c r="T173" s="295"/>
      <c r="U173" s="295"/>
      <c r="V173" s="295"/>
      <c r="W173" s="328"/>
      <c r="X173" s="296" t="b">
        <v>1</v>
      </c>
      <c r="Y173" s="297" t="b">
        <v>0</v>
      </c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09"/>
      <c r="AM173" s="209"/>
      <c r="AN173" s="209"/>
      <c r="AO173" s="209"/>
      <c r="AP173" s="209"/>
    </row>
    <row r="174">
      <c r="A174" s="291"/>
      <c r="B174" s="292" t="s">
        <v>1381</v>
      </c>
      <c r="C174" s="293" t="s">
        <v>4313</v>
      </c>
      <c r="D174" s="293" t="s">
        <v>1383</v>
      </c>
      <c r="E174" s="299">
        <v>8.10115972754E11</v>
      </c>
      <c r="F174" s="295"/>
      <c r="G174" s="295"/>
      <c r="H174" s="295"/>
      <c r="I174" s="295"/>
      <c r="J174" s="296" t="b">
        <v>1</v>
      </c>
      <c r="K174" s="297" t="b">
        <v>0</v>
      </c>
      <c r="L174" s="209"/>
      <c r="M174" s="301" t="b">
        <v>0</v>
      </c>
      <c r="N174" s="209"/>
      <c r="P174" s="303" t="s">
        <v>1570</v>
      </c>
      <c r="Q174" s="306" t="s">
        <v>1571</v>
      </c>
      <c r="R174" s="209" t="s">
        <v>1572</v>
      </c>
      <c r="S174" s="209"/>
      <c r="T174" s="209"/>
      <c r="U174" s="209"/>
      <c r="V174" s="209"/>
      <c r="W174" s="325"/>
      <c r="X174" s="300" t="b">
        <v>1</v>
      </c>
      <c r="Y174" s="301" t="b">
        <v>0</v>
      </c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  <c r="AK174" s="209"/>
      <c r="AL174" s="209"/>
      <c r="AM174" s="209"/>
      <c r="AN174" s="209"/>
      <c r="AO174" s="209"/>
      <c r="AP174" s="209"/>
    </row>
    <row r="175">
      <c r="A175" s="291"/>
      <c r="B175" s="303" t="s">
        <v>1386</v>
      </c>
      <c r="C175" s="304" t="s">
        <v>4314</v>
      </c>
      <c r="D175" s="304" t="s">
        <v>1388</v>
      </c>
      <c r="E175" s="307">
        <v>8.10115972242E11</v>
      </c>
      <c r="F175" s="304" t="s">
        <v>1057</v>
      </c>
      <c r="G175" s="209"/>
      <c r="H175" s="209"/>
      <c r="I175" s="209"/>
      <c r="J175" s="296" t="b">
        <v>1</v>
      </c>
      <c r="K175" s="301" t="b">
        <v>1</v>
      </c>
      <c r="L175" s="209"/>
      <c r="M175" s="301" t="b">
        <v>0</v>
      </c>
      <c r="N175" s="209"/>
      <c r="P175" s="303" t="s">
        <v>1577</v>
      </c>
      <c r="Q175" s="306" t="s">
        <v>1578</v>
      </c>
      <c r="R175" s="209" t="s">
        <v>1579</v>
      </c>
      <c r="S175" s="209"/>
      <c r="T175" s="209"/>
      <c r="U175" s="209"/>
      <c r="V175" s="209"/>
      <c r="W175" s="325"/>
      <c r="X175" s="300" t="b">
        <v>1</v>
      </c>
      <c r="Y175" s="301" t="b">
        <v>0</v>
      </c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09"/>
      <c r="AL175" s="209"/>
      <c r="AM175" s="209"/>
      <c r="AN175" s="209"/>
      <c r="AO175" s="209"/>
      <c r="AP175" s="209"/>
    </row>
    <row r="176">
      <c r="A176" s="291"/>
      <c r="B176" s="303" t="s">
        <v>1392</v>
      </c>
      <c r="C176" s="347" t="s">
        <v>4251</v>
      </c>
      <c r="D176" s="347" t="s">
        <v>1393</v>
      </c>
      <c r="E176" s="307">
        <v>8.1011597202E11</v>
      </c>
      <c r="F176" s="209"/>
      <c r="G176" s="209"/>
      <c r="H176" s="209"/>
      <c r="I176" s="209"/>
      <c r="J176" s="296" t="b">
        <v>1</v>
      </c>
      <c r="K176" s="301" t="b">
        <v>0</v>
      </c>
      <c r="L176" s="313"/>
      <c r="M176" s="314" t="b">
        <v>0</v>
      </c>
      <c r="N176" s="209"/>
      <c r="P176" s="303" t="s">
        <v>1583</v>
      </c>
      <c r="Q176" s="306" t="s">
        <v>1584</v>
      </c>
      <c r="R176" s="209" t="s">
        <v>1585</v>
      </c>
      <c r="S176" s="209"/>
      <c r="T176" s="209"/>
      <c r="U176" s="209"/>
      <c r="V176" s="209"/>
      <c r="W176" s="325"/>
      <c r="X176" s="300" t="b">
        <v>1</v>
      </c>
      <c r="Y176" s="301" t="b">
        <v>0</v>
      </c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  <c r="AK176" s="209"/>
      <c r="AL176" s="209"/>
      <c r="AM176" s="209"/>
      <c r="AN176" s="209"/>
      <c r="AO176" s="209"/>
      <c r="AP176" s="209"/>
    </row>
    <row r="177">
      <c r="A177" s="291"/>
      <c r="B177" s="303" t="s">
        <v>1396</v>
      </c>
      <c r="C177" s="304" t="s">
        <v>4253</v>
      </c>
      <c r="D177" s="304" t="s">
        <v>1397</v>
      </c>
      <c r="E177" s="307">
        <v>8.10115972051E11</v>
      </c>
      <c r="F177" s="209"/>
      <c r="G177" s="209"/>
      <c r="H177" s="209"/>
      <c r="I177" s="209"/>
      <c r="J177" s="296" t="b">
        <v>1</v>
      </c>
      <c r="K177" s="301" t="b">
        <v>0</v>
      </c>
      <c r="L177" s="209"/>
      <c r="M177" s="209"/>
      <c r="N177" s="209"/>
      <c r="P177" s="303" t="s">
        <v>1589</v>
      </c>
      <c r="Q177" s="306" t="s">
        <v>1590</v>
      </c>
      <c r="R177" s="209" t="s">
        <v>1591</v>
      </c>
      <c r="S177" s="209"/>
      <c r="T177" s="209"/>
      <c r="U177" s="209"/>
      <c r="V177" s="209"/>
      <c r="W177" s="325"/>
      <c r="X177" s="300" t="b">
        <v>1</v>
      </c>
      <c r="Y177" s="301" t="b">
        <v>0</v>
      </c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  <c r="AK177" s="209"/>
      <c r="AL177" s="209"/>
      <c r="AM177" s="209"/>
      <c r="AN177" s="209"/>
      <c r="AO177" s="209"/>
      <c r="AP177" s="209"/>
    </row>
    <row r="178">
      <c r="A178" s="291"/>
      <c r="B178" s="303" t="s">
        <v>1400</v>
      </c>
      <c r="C178" s="304" t="s">
        <v>4220</v>
      </c>
      <c r="D178" s="304" t="s">
        <v>1401</v>
      </c>
      <c r="E178" s="307">
        <v>8.10115972129E11</v>
      </c>
      <c r="F178" s="209"/>
      <c r="G178" s="209"/>
      <c r="H178" s="209"/>
      <c r="I178" s="209"/>
      <c r="J178" s="296" t="b">
        <v>1</v>
      </c>
      <c r="K178" s="301" t="b">
        <v>0</v>
      </c>
      <c r="L178" s="285" t="s">
        <v>889</v>
      </c>
      <c r="M178" s="465" t="str">
        <f>IF(COUNTIF(M179:M209, TRUE) = COUNTA(M179:M209), "Complete!", IF(COUNTIF(M179:M209, TRUE) &gt; 0, "Partial", "Not Started"))</f>
        <v>Not Started</v>
      </c>
      <c r="N178" s="209"/>
      <c r="P178" s="303" t="s">
        <v>1592</v>
      </c>
      <c r="Q178" s="306" t="s">
        <v>1593</v>
      </c>
      <c r="R178" s="209" t="s">
        <v>1594</v>
      </c>
      <c r="S178" s="209"/>
      <c r="T178" s="209"/>
      <c r="U178" s="209"/>
      <c r="V178" s="209"/>
      <c r="W178" s="325"/>
      <c r="X178" s="300" t="b">
        <v>1</v>
      </c>
      <c r="Y178" s="301" t="b">
        <v>0</v>
      </c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9"/>
      <c r="AO178" s="209"/>
      <c r="AP178" s="209"/>
    </row>
    <row r="179">
      <c r="A179" s="291"/>
      <c r="B179" s="303" t="s">
        <v>1404</v>
      </c>
      <c r="C179" s="304" t="s">
        <v>4315</v>
      </c>
      <c r="D179" s="304" t="s">
        <v>1405</v>
      </c>
      <c r="E179" s="307">
        <v>8.10115972587E11</v>
      </c>
      <c r="F179" s="209"/>
      <c r="G179" s="209"/>
      <c r="H179" s="209"/>
      <c r="I179" s="209"/>
      <c r="J179" s="296" t="b">
        <v>1</v>
      </c>
      <c r="K179" s="301" t="b">
        <v>0</v>
      </c>
      <c r="L179" s="209"/>
      <c r="M179" s="301" t="b">
        <v>0</v>
      </c>
      <c r="N179" s="209"/>
      <c r="P179" s="303" t="s">
        <v>1597</v>
      </c>
      <c r="Q179" s="306" t="s">
        <v>1598</v>
      </c>
      <c r="R179" s="304" t="s">
        <v>1599</v>
      </c>
      <c r="S179" s="307">
        <v>8.40472500963E11</v>
      </c>
      <c r="T179" s="209"/>
      <c r="U179" s="209"/>
      <c r="V179" s="209"/>
      <c r="W179" s="325"/>
      <c r="X179" s="300" t="b">
        <v>1</v>
      </c>
      <c r="Y179" s="301" t="b">
        <v>0</v>
      </c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</row>
    <row r="180">
      <c r="A180" s="291"/>
      <c r="B180" s="303" t="s">
        <v>1408</v>
      </c>
      <c r="C180" s="304" t="s">
        <v>4316</v>
      </c>
      <c r="D180" s="304" t="s">
        <v>1410</v>
      </c>
      <c r="E180" s="307">
        <v>8.1011597257E11</v>
      </c>
      <c r="F180" s="209"/>
      <c r="G180" s="209"/>
      <c r="H180" s="209"/>
      <c r="I180" s="209"/>
      <c r="J180" s="296" t="b">
        <v>1</v>
      </c>
      <c r="K180" s="301" t="b">
        <v>0</v>
      </c>
      <c r="L180" s="209"/>
      <c r="M180" s="301" t="b">
        <v>0</v>
      </c>
      <c r="N180" s="209"/>
      <c r="P180" s="303" t="s">
        <v>1602</v>
      </c>
      <c r="Q180" s="306" t="s">
        <v>1603</v>
      </c>
      <c r="R180" s="304" t="s">
        <v>1604</v>
      </c>
      <c r="S180" s="307">
        <v>8.40472501014E11</v>
      </c>
      <c r="T180" s="209"/>
      <c r="U180" s="209"/>
      <c r="V180" s="209"/>
      <c r="W180" s="325"/>
      <c r="X180" s="300" t="b">
        <v>1</v>
      </c>
      <c r="Y180" s="301" t="b">
        <v>0</v>
      </c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209"/>
    </row>
    <row r="181">
      <c r="A181" s="291"/>
      <c r="B181" s="303" t="s">
        <v>1414</v>
      </c>
      <c r="C181" s="304" t="s">
        <v>4256</v>
      </c>
      <c r="D181" s="304" t="s">
        <v>1415</v>
      </c>
      <c r="E181" s="307">
        <v>8.10115972204E11</v>
      </c>
      <c r="F181" s="209"/>
      <c r="G181" s="209"/>
      <c r="H181" s="209"/>
      <c r="I181" s="209"/>
      <c r="J181" s="296" t="b">
        <v>1</v>
      </c>
      <c r="K181" s="301" t="b">
        <v>0</v>
      </c>
      <c r="L181" s="209"/>
      <c r="M181" s="301" t="b">
        <v>0</v>
      </c>
      <c r="N181" s="209"/>
      <c r="P181" s="303" t="s">
        <v>1607</v>
      </c>
      <c r="Q181" s="306" t="s">
        <v>1608</v>
      </c>
      <c r="R181" s="304" t="s">
        <v>1609</v>
      </c>
      <c r="S181" s="307">
        <v>8.40472501151E11</v>
      </c>
      <c r="T181" s="209"/>
      <c r="U181" s="209"/>
      <c r="V181" s="209"/>
      <c r="W181" s="325"/>
      <c r="X181" s="300" t="b">
        <v>1</v>
      </c>
      <c r="Y181" s="301" t="b">
        <v>0</v>
      </c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209"/>
    </row>
    <row r="182">
      <c r="A182" s="309"/>
      <c r="B182" s="310" t="s">
        <v>1418</v>
      </c>
      <c r="C182" s="311" t="s">
        <v>4317</v>
      </c>
      <c r="D182" s="311" t="s">
        <v>1420</v>
      </c>
      <c r="E182" s="318">
        <v>8.10115972273E11</v>
      </c>
      <c r="F182" s="311" t="s">
        <v>1057</v>
      </c>
      <c r="G182" s="313"/>
      <c r="H182" s="313"/>
      <c r="I182" s="311" t="s">
        <v>4110</v>
      </c>
      <c r="J182" s="296" t="b">
        <v>1</v>
      </c>
      <c r="K182" s="314" t="b">
        <v>1</v>
      </c>
      <c r="L182" s="209"/>
      <c r="M182" s="301" t="b">
        <v>0</v>
      </c>
      <c r="N182" s="209"/>
      <c r="P182" s="303" t="s">
        <v>1613</v>
      </c>
      <c r="Q182" s="306" t="s">
        <v>1614</v>
      </c>
      <c r="R182" s="304" t="s">
        <v>1615</v>
      </c>
      <c r="S182" s="307">
        <v>8.40472501168E11</v>
      </c>
      <c r="T182" s="209"/>
      <c r="U182" s="209"/>
      <c r="V182" s="209"/>
      <c r="W182" s="325"/>
      <c r="X182" s="300" t="b">
        <v>1</v>
      </c>
      <c r="Y182" s="301" t="b">
        <v>0</v>
      </c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209"/>
    </row>
    <row r="183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419"/>
      <c r="M183" s="301" t="b">
        <v>0</v>
      </c>
      <c r="N183" s="209"/>
      <c r="P183" s="303" t="s">
        <v>1618</v>
      </c>
      <c r="Q183" s="306" t="s">
        <v>1619</v>
      </c>
      <c r="R183" s="304" t="s">
        <v>1620</v>
      </c>
      <c r="S183" s="307">
        <v>8.40472501175E11</v>
      </c>
      <c r="T183" s="209"/>
      <c r="U183" s="209"/>
      <c r="V183" s="209"/>
      <c r="W183" s="325"/>
      <c r="X183" s="300" t="b">
        <v>1</v>
      </c>
      <c r="Y183" s="301" t="b">
        <v>0</v>
      </c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209"/>
    </row>
    <row r="184">
      <c r="A184" s="316" t="s">
        <v>1255</v>
      </c>
      <c r="B184" s="319" t="s">
        <v>267</v>
      </c>
      <c r="C184" s="320"/>
      <c r="D184" s="283" t="s">
        <v>266</v>
      </c>
      <c r="E184" s="320"/>
      <c r="F184" s="320"/>
      <c r="G184" s="320"/>
      <c r="H184" s="283" t="s">
        <v>572</v>
      </c>
      <c r="I184" s="283" t="s">
        <v>4318</v>
      </c>
      <c r="J184" s="320"/>
      <c r="K184" s="334"/>
      <c r="L184" s="419"/>
      <c r="M184" s="301" t="b">
        <v>0</v>
      </c>
      <c r="N184" s="280">
        <v>9.0</v>
      </c>
      <c r="P184" s="310" t="s">
        <v>1623</v>
      </c>
      <c r="Q184" s="317" t="s">
        <v>1624</v>
      </c>
      <c r="R184" s="311" t="s">
        <v>1625</v>
      </c>
      <c r="S184" s="318">
        <v>8.40472501199E11</v>
      </c>
      <c r="T184" s="313"/>
      <c r="U184" s="313"/>
      <c r="V184" s="313"/>
      <c r="W184" s="331"/>
      <c r="X184" s="350" t="b">
        <v>1</v>
      </c>
      <c r="Y184" s="314" t="b">
        <v>0</v>
      </c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209"/>
    </row>
    <row r="185">
      <c r="A185" s="291"/>
      <c r="B185" s="292" t="s">
        <v>1430</v>
      </c>
      <c r="C185" s="293" t="s">
        <v>4264</v>
      </c>
      <c r="D185" s="293" t="s">
        <v>1431</v>
      </c>
      <c r="E185" s="296">
        <v>8.40472503162E11</v>
      </c>
      <c r="F185" s="293" t="s">
        <v>1062</v>
      </c>
      <c r="G185" s="295"/>
      <c r="H185" s="295"/>
      <c r="I185" s="293" t="s">
        <v>4262</v>
      </c>
      <c r="J185" s="296" t="b">
        <v>1</v>
      </c>
      <c r="K185" s="297" t="b">
        <v>0</v>
      </c>
      <c r="L185" s="419"/>
      <c r="M185" s="301" t="b">
        <v>0</v>
      </c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209"/>
    </row>
    <row r="186">
      <c r="A186" s="291"/>
      <c r="B186" s="303" t="s">
        <v>1437</v>
      </c>
      <c r="C186" s="304" t="s">
        <v>4266</v>
      </c>
      <c r="D186" s="304" t="s">
        <v>1438</v>
      </c>
      <c r="E186" s="307">
        <v>8.40472503155E11</v>
      </c>
      <c r="F186" s="304" t="s">
        <v>1062</v>
      </c>
      <c r="G186" s="209"/>
      <c r="H186" s="209"/>
      <c r="I186" s="304" t="s">
        <v>4262</v>
      </c>
      <c r="J186" s="296" t="b">
        <v>1</v>
      </c>
      <c r="K186" s="301" t="b">
        <v>0</v>
      </c>
      <c r="L186" s="419"/>
      <c r="M186" s="301" t="b">
        <v>0</v>
      </c>
      <c r="N186" s="209"/>
      <c r="O186" s="327" t="s">
        <v>1359</v>
      </c>
      <c r="P186" s="475" t="s">
        <v>1631</v>
      </c>
      <c r="Q186" s="320"/>
      <c r="R186" s="283" t="s">
        <v>1632</v>
      </c>
      <c r="S186" s="336" t="s">
        <v>1424</v>
      </c>
      <c r="T186" s="320"/>
      <c r="U186" s="320"/>
      <c r="V186" s="283" t="s">
        <v>563</v>
      </c>
      <c r="W186" s="283" t="s">
        <v>4319</v>
      </c>
      <c r="X186" s="333" t="str">
        <f>IF(COUNTIF(X187:X190, TRUE) = COUNTA(X187:X190), "Complete!", IF(COUNTIF(X187:X190, TRUE) &gt; 0, "Partial", "Not Started"))</f>
        <v>Complete!</v>
      </c>
      <c r="Y186" s="334"/>
      <c r="Z186" s="209"/>
      <c r="AA186" s="209"/>
      <c r="AB186" s="472">
        <v>11.0</v>
      </c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209"/>
    </row>
    <row r="187">
      <c r="A187" s="291"/>
      <c r="B187" s="303" t="s">
        <v>1442</v>
      </c>
      <c r="C187" s="304" t="s">
        <v>4251</v>
      </c>
      <c r="D187" s="304" t="s">
        <v>1443</v>
      </c>
      <c r="E187" s="307">
        <v>8.40472503148E11</v>
      </c>
      <c r="F187" s="304" t="s">
        <v>1062</v>
      </c>
      <c r="G187" s="209"/>
      <c r="H187" s="209"/>
      <c r="I187" s="304" t="s">
        <v>4262</v>
      </c>
      <c r="J187" s="296" t="b">
        <v>1</v>
      </c>
      <c r="K187" s="301" t="b">
        <v>0</v>
      </c>
      <c r="L187" s="419"/>
      <c r="M187" s="301" t="b">
        <v>0</v>
      </c>
      <c r="N187" s="209"/>
      <c r="P187" s="292" t="s">
        <v>1636</v>
      </c>
      <c r="Q187" s="298" t="s">
        <v>1637</v>
      </c>
      <c r="R187" s="293" t="s">
        <v>1638</v>
      </c>
      <c r="S187" s="295"/>
      <c r="T187" s="295"/>
      <c r="U187" s="295"/>
      <c r="V187" s="295"/>
      <c r="W187" s="328"/>
      <c r="X187" s="296" t="b">
        <v>1</v>
      </c>
      <c r="Y187" s="297" t="b">
        <v>0</v>
      </c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209"/>
    </row>
    <row r="188">
      <c r="A188" s="291"/>
      <c r="B188" s="303" t="s">
        <v>1447</v>
      </c>
      <c r="C188" s="304" t="s">
        <v>4220</v>
      </c>
      <c r="D188" s="304" t="s">
        <v>1448</v>
      </c>
      <c r="E188" s="307">
        <v>8.40472503131E11</v>
      </c>
      <c r="F188" s="304" t="s">
        <v>1062</v>
      </c>
      <c r="G188" s="209"/>
      <c r="H188" s="209"/>
      <c r="I188" s="304" t="s">
        <v>4262</v>
      </c>
      <c r="J188" s="296" t="b">
        <v>1</v>
      </c>
      <c r="K188" s="301" t="b">
        <v>0</v>
      </c>
      <c r="L188" s="419"/>
      <c r="M188" s="301" t="b">
        <v>0</v>
      </c>
      <c r="N188" s="209"/>
      <c r="P188" s="303" t="s">
        <v>1641</v>
      </c>
      <c r="Q188" s="306" t="s">
        <v>1642</v>
      </c>
      <c r="R188" s="304" t="s">
        <v>1643</v>
      </c>
      <c r="S188" s="209"/>
      <c r="T188" s="209"/>
      <c r="U188" s="209"/>
      <c r="V188" s="209"/>
      <c r="W188" s="325"/>
      <c r="X188" s="300" t="b">
        <v>1</v>
      </c>
      <c r="Y188" s="301" t="b">
        <v>0</v>
      </c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209"/>
    </row>
    <row r="189">
      <c r="A189" s="291"/>
      <c r="B189" s="303" t="s">
        <v>1452</v>
      </c>
      <c r="C189" s="304" t="s">
        <v>4303</v>
      </c>
      <c r="D189" s="304" t="s">
        <v>1453</v>
      </c>
      <c r="E189" s="307">
        <v>8.40472503124E11</v>
      </c>
      <c r="F189" s="304" t="s">
        <v>1062</v>
      </c>
      <c r="G189" s="209"/>
      <c r="H189" s="209"/>
      <c r="I189" s="304" t="s">
        <v>4262</v>
      </c>
      <c r="J189" s="296" t="b">
        <v>1</v>
      </c>
      <c r="K189" s="301" t="b">
        <v>0</v>
      </c>
      <c r="L189" s="419"/>
      <c r="M189" s="301" t="b">
        <v>0</v>
      </c>
      <c r="N189" s="209"/>
      <c r="P189" s="303" t="s">
        <v>1646</v>
      </c>
      <c r="Q189" s="306" t="s">
        <v>4320</v>
      </c>
      <c r="R189" s="304" t="s">
        <v>1648</v>
      </c>
      <c r="S189" s="209"/>
      <c r="T189" s="209"/>
      <c r="U189" s="209"/>
      <c r="V189" s="209"/>
      <c r="W189" s="325"/>
      <c r="X189" s="300" t="b">
        <v>1</v>
      </c>
      <c r="Y189" s="301" t="b">
        <v>0</v>
      </c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209"/>
    </row>
    <row r="190">
      <c r="A190" s="291"/>
      <c r="B190" s="303" t="s">
        <v>1457</v>
      </c>
      <c r="C190" s="304" t="s">
        <v>4297</v>
      </c>
      <c r="D190" s="304" t="s">
        <v>1458</v>
      </c>
      <c r="E190" s="307">
        <v>8.40472503117E11</v>
      </c>
      <c r="F190" s="304" t="s">
        <v>1062</v>
      </c>
      <c r="G190" s="209"/>
      <c r="H190" s="209"/>
      <c r="I190" s="304" t="s">
        <v>4262</v>
      </c>
      <c r="J190" s="296" t="b">
        <v>1</v>
      </c>
      <c r="K190" s="301" t="b">
        <v>0</v>
      </c>
      <c r="L190" s="419"/>
      <c r="M190" s="301" t="b">
        <v>0</v>
      </c>
      <c r="N190" s="209"/>
      <c r="P190" s="303" t="s">
        <v>1651</v>
      </c>
      <c r="Q190" s="306" t="s">
        <v>1652</v>
      </c>
      <c r="R190" s="304" t="s">
        <v>1653</v>
      </c>
      <c r="S190" s="209"/>
      <c r="T190" s="209"/>
      <c r="U190" s="209"/>
      <c r="V190" s="209"/>
      <c r="W190" s="325"/>
      <c r="X190" s="300" t="b">
        <v>1</v>
      </c>
      <c r="Y190" s="301" t="b">
        <v>0</v>
      </c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209"/>
    </row>
    <row r="191">
      <c r="A191" s="291"/>
      <c r="B191" s="303" t="s">
        <v>1462</v>
      </c>
      <c r="C191" s="304" t="s">
        <v>4222</v>
      </c>
      <c r="D191" s="304" t="s">
        <v>1463</v>
      </c>
      <c r="E191" s="307">
        <v>8.10115972235E11</v>
      </c>
      <c r="F191" s="209"/>
      <c r="G191" s="209"/>
      <c r="H191" s="209"/>
      <c r="I191" s="209"/>
      <c r="J191" s="296" t="b">
        <v>1</v>
      </c>
      <c r="K191" s="301" t="b">
        <v>0</v>
      </c>
      <c r="L191" s="419"/>
      <c r="M191" s="301" t="b">
        <v>0</v>
      </c>
      <c r="N191" s="209"/>
      <c r="P191" s="303" t="s">
        <v>1654</v>
      </c>
      <c r="Q191" s="306" t="s">
        <v>1655</v>
      </c>
      <c r="R191" s="304" t="s">
        <v>1656</v>
      </c>
      <c r="S191" s="307">
        <v>8.40472500949E11</v>
      </c>
      <c r="T191" s="209"/>
      <c r="U191" s="209"/>
      <c r="V191" s="209"/>
      <c r="W191" s="325"/>
      <c r="X191" s="300" t="b">
        <v>1</v>
      </c>
      <c r="Y191" s="301" t="b">
        <v>0</v>
      </c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209"/>
    </row>
    <row r="192">
      <c r="A192" s="291"/>
      <c r="B192" s="303" t="s">
        <v>1467</v>
      </c>
      <c r="C192" s="304" t="s">
        <v>4298</v>
      </c>
      <c r="D192" s="304" t="s">
        <v>1468</v>
      </c>
      <c r="E192" s="307">
        <v>8.404725031E11</v>
      </c>
      <c r="F192" s="304" t="s">
        <v>1062</v>
      </c>
      <c r="G192" s="209"/>
      <c r="H192" s="209"/>
      <c r="I192" s="304" t="s">
        <v>4262</v>
      </c>
      <c r="J192" s="296" t="b">
        <v>1</v>
      </c>
      <c r="K192" s="301" t="b">
        <v>0</v>
      </c>
      <c r="L192" s="419"/>
      <c r="M192" s="301" t="b">
        <v>0</v>
      </c>
      <c r="N192" s="209"/>
      <c r="P192" s="303" t="s">
        <v>1657</v>
      </c>
      <c r="Q192" s="306" t="s">
        <v>1658</v>
      </c>
      <c r="R192" s="304" t="s">
        <v>1659</v>
      </c>
      <c r="S192" s="307">
        <v>8.40472500956E11</v>
      </c>
      <c r="T192" s="209"/>
      <c r="U192" s="209"/>
      <c r="V192" s="209"/>
      <c r="W192" s="325"/>
      <c r="X192" s="300" t="b">
        <v>1</v>
      </c>
      <c r="Y192" s="301" t="b">
        <v>0</v>
      </c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209"/>
    </row>
    <row r="193">
      <c r="A193" s="309"/>
      <c r="B193" s="310" t="s">
        <v>1472</v>
      </c>
      <c r="C193" s="311" t="s">
        <v>4269</v>
      </c>
      <c r="D193" s="311" t="s">
        <v>1473</v>
      </c>
      <c r="E193" s="318">
        <v>8.40472503094E11</v>
      </c>
      <c r="F193" s="311" t="s">
        <v>1062</v>
      </c>
      <c r="G193" s="313"/>
      <c r="H193" s="313"/>
      <c r="I193" s="311" t="s">
        <v>4262</v>
      </c>
      <c r="J193" s="296" t="b">
        <v>1</v>
      </c>
      <c r="K193" s="314" t="b">
        <v>0</v>
      </c>
      <c r="L193" s="419"/>
      <c r="M193" s="301" t="b">
        <v>0</v>
      </c>
      <c r="N193" s="209"/>
      <c r="P193" s="303" t="s">
        <v>1662</v>
      </c>
      <c r="Q193" s="306" t="s">
        <v>1663</v>
      </c>
      <c r="R193" s="304" t="s">
        <v>1664</v>
      </c>
      <c r="S193" s="307">
        <v>8.40472500994E11</v>
      </c>
      <c r="T193" s="209"/>
      <c r="U193" s="209"/>
      <c r="V193" s="209"/>
      <c r="W193" s="325"/>
      <c r="X193" s="300" t="b">
        <v>1</v>
      </c>
      <c r="Y193" s="301" t="b">
        <v>0</v>
      </c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209"/>
    </row>
    <row r="194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419"/>
      <c r="M194" s="301" t="b">
        <v>0</v>
      </c>
      <c r="N194" s="209"/>
      <c r="P194" s="303" t="s">
        <v>1667</v>
      </c>
      <c r="Q194" s="306" t="s">
        <v>1668</v>
      </c>
      <c r="R194" s="304" t="s">
        <v>1669</v>
      </c>
      <c r="S194" s="307">
        <v>8.4047250109E11</v>
      </c>
      <c r="T194" s="209"/>
      <c r="U194" s="209"/>
      <c r="V194" s="209"/>
      <c r="W194" s="325"/>
      <c r="X194" s="300" t="b">
        <v>1</v>
      </c>
      <c r="Y194" s="301" t="b">
        <v>0</v>
      </c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</row>
    <row r="195">
      <c r="A195" s="316" t="s">
        <v>1289</v>
      </c>
      <c r="B195" s="319" t="s">
        <v>270</v>
      </c>
      <c r="C195" s="320"/>
      <c r="D195" s="283" t="s">
        <v>269</v>
      </c>
      <c r="E195" s="320"/>
      <c r="F195" s="320"/>
      <c r="G195" s="320"/>
      <c r="H195" s="283" t="s">
        <v>572</v>
      </c>
      <c r="I195" s="283" t="s">
        <v>4321</v>
      </c>
      <c r="J195" s="320"/>
      <c r="K195" s="334"/>
      <c r="L195" s="419"/>
      <c r="M195" s="301" t="b">
        <v>0</v>
      </c>
      <c r="N195" s="280">
        <v>9.0</v>
      </c>
      <c r="P195" s="303" t="s">
        <v>1672</v>
      </c>
      <c r="Q195" s="306" t="s">
        <v>1673</v>
      </c>
      <c r="R195" s="304" t="s">
        <v>1674</v>
      </c>
      <c r="S195" s="307">
        <v>8.40472501106E11</v>
      </c>
      <c r="T195" s="209"/>
      <c r="U195" s="209"/>
      <c r="V195" s="209"/>
      <c r="W195" s="325"/>
      <c r="X195" s="300" t="b">
        <v>1</v>
      </c>
      <c r="Y195" s="301" t="b">
        <v>0</v>
      </c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209"/>
    </row>
    <row r="196">
      <c r="A196" s="291"/>
      <c r="B196" s="292" t="s">
        <v>1484</v>
      </c>
      <c r="C196" s="293" t="s">
        <v>4253</v>
      </c>
      <c r="D196" s="293" t="s">
        <v>1485</v>
      </c>
      <c r="E196" s="296">
        <v>8.4047250323E11</v>
      </c>
      <c r="F196" s="293" t="s">
        <v>1062</v>
      </c>
      <c r="G196" s="295"/>
      <c r="H196" s="295"/>
      <c r="I196" s="293" t="s">
        <v>4262</v>
      </c>
      <c r="J196" s="296" t="b">
        <v>1</v>
      </c>
      <c r="K196" s="297" t="b">
        <v>0</v>
      </c>
      <c r="L196" s="419"/>
      <c r="M196" s="301" t="b">
        <v>0</v>
      </c>
      <c r="N196" s="209"/>
      <c r="P196" s="303" t="s">
        <v>1677</v>
      </c>
      <c r="Q196" s="306" t="s">
        <v>1678</v>
      </c>
      <c r="R196" s="304" t="s">
        <v>1679</v>
      </c>
      <c r="S196" s="307">
        <v>8.40472501113E11</v>
      </c>
      <c r="T196" s="209"/>
      <c r="U196" s="209"/>
      <c r="V196" s="209"/>
      <c r="W196" s="325"/>
      <c r="X196" s="300" t="b">
        <v>1</v>
      </c>
      <c r="Y196" s="301" t="b">
        <v>0</v>
      </c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209"/>
    </row>
    <row r="197">
      <c r="A197" s="291"/>
      <c r="B197" s="303" t="s">
        <v>1486</v>
      </c>
      <c r="C197" s="304" t="s">
        <v>4302</v>
      </c>
      <c r="D197" s="304" t="s">
        <v>1487</v>
      </c>
      <c r="E197" s="307">
        <v>8.40472503247E11</v>
      </c>
      <c r="F197" s="304" t="s">
        <v>1062</v>
      </c>
      <c r="G197" s="209"/>
      <c r="H197" s="209"/>
      <c r="I197" s="304" t="s">
        <v>4262</v>
      </c>
      <c r="J197" s="296" t="b">
        <v>1</v>
      </c>
      <c r="K197" s="301" t="b">
        <v>0</v>
      </c>
      <c r="L197" s="419"/>
      <c r="M197" s="301" t="b">
        <v>0</v>
      </c>
      <c r="N197" s="209"/>
      <c r="P197" s="310" t="s">
        <v>1682</v>
      </c>
      <c r="Q197" s="317" t="s">
        <v>1683</v>
      </c>
      <c r="R197" s="311" t="s">
        <v>1684</v>
      </c>
      <c r="S197" s="318">
        <v>8.4047250112E11</v>
      </c>
      <c r="T197" s="313"/>
      <c r="U197" s="313"/>
      <c r="V197" s="313"/>
      <c r="W197" s="331"/>
      <c r="X197" s="300" t="b">
        <v>1</v>
      </c>
      <c r="Y197" s="314" t="b">
        <v>0</v>
      </c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209"/>
    </row>
    <row r="198">
      <c r="A198" s="291"/>
      <c r="B198" s="303" t="s">
        <v>1492</v>
      </c>
      <c r="C198" s="304" t="s">
        <v>4254</v>
      </c>
      <c r="D198" s="304" t="s">
        <v>1493</v>
      </c>
      <c r="E198" s="307">
        <v>8.40472503223E11</v>
      </c>
      <c r="F198" s="304" t="s">
        <v>1062</v>
      </c>
      <c r="G198" s="209"/>
      <c r="H198" s="209"/>
      <c r="I198" s="304" t="s">
        <v>4262</v>
      </c>
      <c r="J198" s="296" t="b">
        <v>1</v>
      </c>
      <c r="K198" s="301" t="b">
        <v>0</v>
      </c>
      <c r="L198" s="419"/>
      <c r="M198" s="301" t="b">
        <v>0</v>
      </c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209"/>
    </row>
    <row r="199">
      <c r="A199" s="291"/>
      <c r="B199" s="303" t="s">
        <v>1497</v>
      </c>
      <c r="C199" s="304" t="s">
        <v>4315</v>
      </c>
      <c r="D199" s="304" t="s">
        <v>1498</v>
      </c>
      <c r="E199" s="307">
        <v>8.40472503216E11</v>
      </c>
      <c r="F199" s="304" t="s">
        <v>1062</v>
      </c>
      <c r="G199" s="209"/>
      <c r="H199" s="209"/>
      <c r="I199" s="304" t="s">
        <v>4262</v>
      </c>
      <c r="J199" s="296" t="b">
        <v>1</v>
      </c>
      <c r="K199" s="301" t="b">
        <v>0</v>
      </c>
      <c r="L199" s="419"/>
      <c r="M199" s="301" t="b">
        <v>0</v>
      </c>
      <c r="N199" s="209"/>
      <c r="O199" s="478">
        <v>21.0</v>
      </c>
      <c r="P199" s="439" t="s">
        <v>1717</v>
      </c>
      <c r="Q199" s="479" t="s">
        <v>4322</v>
      </c>
      <c r="R199" s="480" t="s">
        <v>1719</v>
      </c>
      <c r="S199" s="481">
        <v>8.10115970682E11</v>
      </c>
      <c r="T199" s="399"/>
      <c r="U199" s="399"/>
      <c r="V199" s="399"/>
      <c r="W199" s="399"/>
      <c r="X199" s="371" t="b">
        <v>0</v>
      </c>
      <c r="Y199" s="373" t="b">
        <v>0</v>
      </c>
      <c r="Z199" s="313"/>
      <c r="AA199" s="314" t="b">
        <v>0</v>
      </c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209"/>
    </row>
    <row r="200">
      <c r="A200" s="291"/>
      <c r="B200" s="303" t="s">
        <v>1502</v>
      </c>
      <c r="C200" s="304" t="s">
        <v>4255</v>
      </c>
      <c r="D200" s="304" t="s">
        <v>1503</v>
      </c>
      <c r="E200" s="307">
        <v>8.40472503209E11</v>
      </c>
      <c r="F200" s="304" t="s">
        <v>1062</v>
      </c>
      <c r="G200" s="209"/>
      <c r="H200" s="209"/>
      <c r="I200" s="304" t="s">
        <v>4262</v>
      </c>
      <c r="J200" s="296" t="b">
        <v>1</v>
      </c>
      <c r="K200" s="301" t="b">
        <v>0</v>
      </c>
      <c r="L200" s="419"/>
      <c r="M200" s="301" t="b">
        <v>0</v>
      </c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209"/>
    </row>
    <row r="201">
      <c r="A201" s="291"/>
      <c r="B201" s="303" t="s">
        <v>1507</v>
      </c>
      <c r="C201" s="304" t="s">
        <v>4256</v>
      </c>
      <c r="D201" s="304" t="s">
        <v>1508</v>
      </c>
      <c r="E201" s="307">
        <v>8.40472503193E11</v>
      </c>
      <c r="F201" s="304" t="s">
        <v>1062</v>
      </c>
      <c r="G201" s="209"/>
      <c r="H201" s="209"/>
      <c r="I201" s="304" t="s">
        <v>4262</v>
      </c>
      <c r="J201" s="296" t="b">
        <v>1</v>
      </c>
      <c r="K201" s="301" t="b">
        <v>0</v>
      </c>
      <c r="L201" s="419"/>
      <c r="M201" s="301" t="b">
        <v>0</v>
      </c>
      <c r="N201" s="209"/>
      <c r="O201" s="281" t="s">
        <v>1488</v>
      </c>
      <c r="P201" s="319" t="s">
        <v>1748</v>
      </c>
      <c r="Q201" s="320"/>
      <c r="R201" s="283" t="s">
        <v>1749</v>
      </c>
      <c r="S201" s="336" t="s">
        <v>116</v>
      </c>
      <c r="T201" s="320"/>
      <c r="U201" s="320"/>
      <c r="V201" s="283" t="s">
        <v>370</v>
      </c>
      <c r="W201" s="283" t="s">
        <v>1872</v>
      </c>
      <c r="X201" s="333" t="str">
        <f>IF(COUNTIF(X202:X205, TRUE) = COUNTA(X202:X205), "Complete!", IF(COUNTIF(X202:X205, TRUE) &gt; 0, "Partial", "Not Started"))</f>
        <v>Complete!</v>
      </c>
      <c r="Y201" s="334"/>
      <c r="Z201" s="209"/>
      <c r="AA201" s="209"/>
      <c r="AB201" s="280">
        <v>4.0</v>
      </c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209"/>
    </row>
    <row r="202">
      <c r="A202" s="291"/>
      <c r="B202" s="303" t="s">
        <v>1512</v>
      </c>
      <c r="C202" s="304" t="s">
        <v>4317</v>
      </c>
      <c r="D202" s="304" t="s">
        <v>1513</v>
      </c>
      <c r="E202" s="307">
        <v>8.40472503186E11</v>
      </c>
      <c r="F202" s="304" t="s">
        <v>1062</v>
      </c>
      <c r="G202" s="209"/>
      <c r="H202" s="209"/>
      <c r="I202" s="304" t="s">
        <v>4262</v>
      </c>
      <c r="J202" s="296" t="b">
        <v>1</v>
      </c>
      <c r="K202" s="301" t="b">
        <v>0</v>
      </c>
      <c r="L202" s="419"/>
      <c r="M202" s="301" t="b">
        <v>0</v>
      </c>
      <c r="N202" s="209"/>
      <c r="O202" s="291"/>
      <c r="P202" s="292" t="s">
        <v>1754</v>
      </c>
      <c r="Q202" s="298" t="s">
        <v>588</v>
      </c>
      <c r="R202" s="293" t="s">
        <v>1755</v>
      </c>
      <c r="S202" s="299">
        <v>8.40472500109E11</v>
      </c>
      <c r="T202" s="295"/>
      <c r="U202" s="295"/>
      <c r="V202" s="295"/>
      <c r="W202" s="328"/>
      <c r="X202" s="300" t="b">
        <v>1</v>
      </c>
      <c r="Y202" s="301" t="b">
        <v>0</v>
      </c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209"/>
    </row>
    <row r="203">
      <c r="A203" s="291"/>
      <c r="B203" s="303" t="s">
        <v>1517</v>
      </c>
      <c r="C203" s="304" t="s">
        <v>4314</v>
      </c>
      <c r="D203" s="304" t="s">
        <v>1518</v>
      </c>
      <c r="E203" s="307">
        <v>8.40472503179E11</v>
      </c>
      <c r="F203" s="304" t="s">
        <v>1062</v>
      </c>
      <c r="G203" s="209"/>
      <c r="H203" s="209"/>
      <c r="I203" s="304" t="s">
        <v>4262</v>
      </c>
      <c r="J203" s="296" t="b">
        <v>1</v>
      </c>
      <c r="K203" s="301" t="b">
        <v>0</v>
      </c>
      <c r="L203" s="419"/>
      <c r="M203" s="301" t="b">
        <v>0</v>
      </c>
      <c r="N203" s="209"/>
      <c r="O203" s="291"/>
      <c r="P203" s="303" t="s">
        <v>1758</v>
      </c>
      <c r="Q203" s="306" t="s">
        <v>588</v>
      </c>
      <c r="R203" s="304" t="s">
        <v>1759</v>
      </c>
      <c r="S203" s="307">
        <v>8.40472500116E11</v>
      </c>
      <c r="T203" s="209"/>
      <c r="U203" s="209"/>
      <c r="V203" s="209"/>
      <c r="W203" s="325"/>
      <c r="X203" s="300" t="b">
        <v>1</v>
      </c>
      <c r="Y203" s="301" t="b">
        <v>0</v>
      </c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209"/>
    </row>
    <row r="204">
      <c r="A204" s="309"/>
      <c r="B204" s="310" t="s">
        <v>1522</v>
      </c>
      <c r="C204" s="311" t="s">
        <v>4223</v>
      </c>
      <c r="D204" s="311" t="s">
        <v>1523</v>
      </c>
      <c r="E204" s="318">
        <v>8.10115971962E11</v>
      </c>
      <c r="F204" s="313"/>
      <c r="G204" s="313"/>
      <c r="H204" s="313"/>
      <c r="I204" s="313"/>
      <c r="J204" s="296" t="b">
        <v>1</v>
      </c>
      <c r="K204" s="314" t="b">
        <v>0</v>
      </c>
      <c r="L204" s="419"/>
      <c r="M204" s="301" t="b">
        <v>0</v>
      </c>
      <c r="N204" s="209"/>
      <c r="O204" s="291"/>
      <c r="P204" s="303" t="s">
        <v>1762</v>
      </c>
      <c r="Q204" s="306" t="s">
        <v>588</v>
      </c>
      <c r="R204" s="304" t="s">
        <v>1763</v>
      </c>
      <c r="S204" s="209"/>
      <c r="T204" s="209"/>
      <c r="U204" s="209"/>
      <c r="V204" s="209"/>
      <c r="W204" s="325"/>
      <c r="X204" s="300" t="b">
        <v>1</v>
      </c>
      <c r="Y204" s="301" t="b">
        <v>0</v>
      </c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209"/>
    </row>
    <row r="205">
      <c r="A205" s="209"/>
      <c r="B205" s="209"/>
      <c r="C205" s="209"/>
      <c r="D205" s="209"/>
      <c r="E205" s="209"/>
      <c r="F205" s="209"/>
      <c r="G205" s="209"/>
      <c r="H205" s="209"/>
      <c r="I205" s="209"/>
      <c r="J205" s="313"/>
      <c r="K205" s="209"/>
      <c r="L205" s="209"/>
      <c r="M205" s="209"/>
      <c r="N205" s="209"/>
      <c r="O205" s="309"/>
      <c r="P205" s="310" t="s">
        <v>1766</v>
      </c>
      <c r="Q205" s="317" t="s">
        <v>588</v>
      </c>
      <c r="R205" s="311" t="s">
        <v>1767</v>
      </c>
      <c r="S205" s="318">
        <v>8.40472500123E11</v>
      </c>
      <c r="T205" s="313"/>
      <c r="U205" s="313"/>
      <c r="V205" s="313"/>
      <c r="W205" s="331"/>
      <c r="X205" s="350" t="b">
        <v>1</v>
      </c>
      <c r="Y205" s="314" t="b">
        <v>0</v>
      </c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</row>
    <row r="206">
      <c r="A206" s="316" t="s">
        <v>1322</v>
      </c>
      <c r="B206" s="319" t="s">
        <v>301</v>
      </c>
      <c r="C206" s="320"/>
      <c r="D206" s="283" t="s">
        <v>300</v>
      </c>
      <c r="E206" s="336" t="s">
        <v>4323</v>
      </c>
      <c r="F206" s="320"/>
      <c r="G206" s="320"/>
      <c r="H206" s="285" t="s">
        <v>376</v>
      </c>
      <c r="I206" s="285" t="s">
        <v>4202</v>
      </c>
      <c r="J206" s="438" t="str">
        <f>IF(COUNTIF(J207:J216, TRUE) = COUNTA(J207:J216), "Complete!", IF(COUNTIF(J207:J216, TRUE) &gt; 0, "Partial", "Not Started"))</f>
        <v>Complete!</v>
      </c>
      <c r="K206" s="334"/>
      <c r="L206" s="464" t="s">
        <v>889</v>
      </c>
      <c r="M206" s="465" t="str">
        <f>IF(COUNTIF(M207:M216, TRUE) = COUNTA(M207:M216), "Complete!", IF(COUNTIF(M207:M216, TRUE) &gt; 0, "Partial", "Not Started"))</f>
        <v>Not Started</v>
      </c>
      <c r="N206" s="280">
        <v>10.0</v>
      </c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</row>
    <row r="207">
      <c r="A207" s="291"/>
      <c r="B207" s="292" t="s">
        <v>1535</v>
      </c>
      <c r="C207" s="293" t="s">
        <v>384</v>
      </c>
      <c r="D207" s="304" t="s">
        <v>1536</v>
      </c>
      <c r="E207" s="302" t="s">
        <v>1537</v>
      </c>
      <c r="F207" s="325"/>
      <c r="G207" s="325"/>
      <c r="H207" s="325"/>
      <c r="I207" s="325"/>
      <c r="J207" s="300" t="b">
        <v>1</v>
      </c>
      <c r="K207" s="301" t="b">
        <v>0</v>
      </c>
      <c r="L207" s="419"/>
      <c r="M207" s="301" t="b">
        <v>0</v>
      </c>
      <c r="N207" s="209"/>
      <c r="O207" s="281" t="s">
        <v>1558</v>
      </c>
      <c r="P207" s="319" t="s">
        <v>1771</v>
      </c>
      <c r="Q207" s="320"/>
      <c r="R207" s="283" t="s">
        <v>1772</v>
      </c>
      <c r="S207" s="336" t="s">
        <v>116</v>
      </c>
      <c r="T207" s="320"/>
      <c r="U207" s="320"/>
      <c r="V207" s="283" t="s">
        <v>468</v>
      </c>
      <c r="W207" s="283" t="s">
        <v>4324</v>
      </c>
      <c r="X207" s="333" t="str">
        <f>IF(COUNTIF(X208:X211, TRUE) = COUNTA(X208:X211), "Complete!", IF(COUNTIF(X208:X211, TRUE) &gt; 0, "Partial", "Not Started"))</f>
        <v>Complete!</v>
      </c>
      <c r="Y207" s="334"/>
      <c r="Z207" s="209"/>
      <c r="AA207" s="209"/>
      <c r="AB207" s="280">
        <v>4.0</v>
      </c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</row>
    <row r="208">
      <c r="A208" s="291"/>
      <c r="B208" s="303" t="s">
        <v>1541</v>
      </c>
      <c r="C208" s="304" t="s">
        <v>404</v>
      </c>
      <c r="D208" s="304" t="s">
        <v>1542</v>
      </c>
      <c r="E208" s="308" t="s">
        <v>1543</v>
      </c>
      <c r="F208" s="325"/>
      <c r="G208" s="325"/>
      <c r="H208" s="325"/>
      <c r="I208" s="325"/>
      <c r="J208" s="300" t="b">
        <v>1</v>
      </c>
      <c r="K208" s="301" t="b">
        <v>0</v>
      </c>
      <c r="L208" s="419"/>
      <c r="M208" s="301" t="b">
        <v>0</v>
      </c>
      <c r="N208" s="209"/>
      <c r="O208" s="291"/>
      <c r="P208" s="292" t="s">
        <v>1775</v>
      </c>
      <c r="Q208" s="298" t="s">
        <v>394</v>
      </c>
      <c r="R208" s="293" t="s">
        <v>1776</v>
      </c>
      <c r="S208" s="299">
        <v>8.40472500147E11</v>
      </c>
      <c r="T208" s="295"/>
      <c r="U208" s="295"/>
      <c r="V208" s="295"/>
      <c r="W208" s="328"/>
      <c r="X208" s="300" t="b">
        <v>1</v>
      </c>
      <c r="Y208" s="301" t="b">
        <v>0</v>
      </c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</row>
    <row r="209">
      <c r="A209" s="291"/>
      <c r="B209" s="303" t="s">
        <v>1547</v>
      </c>
      <c r="C209" s="304" t="s">
        <v>390</v>
      </c>
      <c r="D209" s="304" t="s">
        <v>1548</v>
      </c>
      <c r="E209" s="308" t="s">
        <v>1549</v>
      </c>
      <c r="F209" s="325"/>
      <c r="G209" s="325"/>
      <c r="H209" s="325"/>
      <c r="I209" s="325"/>
      <c r="J209" s="300" t="b">
        <v>1</v>
      </c>
      <c r="K209" s="301" t="b">
        <v>0</v>
      </c>
      <c r="L209" s="419"/>
      <c r="M209" s="301" t="b">
        <v>0</v>
      </c>
      <c r="N209" s="209"/>
      <c r="O209" s="291"/>
      <c r="P209" s="303" t="s">
        <v>1779</v>
      </c>
      <c r="Q209" s="306" t="s">
        <v>394</v>
      </c>
      <c r="R209" s="304" t="s">
        <v>1780</v>
      </c>
      <c r="S209" s="307">
        <v>8.40472500154E11</v>
      </c>
      <c r="T209" s="209"/>
      <c r="U209" s="209"/>
      <c r="V209" s="209"/>
      <c r="W209" s="325"/>
      <c r="X209" s="300" t="b">
        <v>1</v>
      </c>
      <c r="Y209" s="301" t="b">
        <v>0</v>
      </c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</row>
    <row r="210">
      <c r="A210" s="291"/>
      <c r="B210" s="376" t="s">
        <v>1553</v>
      </c>
      <c r="C210" s="377" t="s">
        <v>662</v>
      </c>
      <c r="D210" s="304" t="s">
        <v>4325</v>
      </c>
      <c r="E210" s="308" t="s">
        <v>4326</v>
      </c>
      <c r="F210" s="413" t="s">
        <v>1062</v>
      </c>
      <c r="G210" s="325"/>
      <c r="H210" s="325"/>
      <c r="I210" s="325"/>
      <c r="J210" s="300" t="b">
        <v>1</v>
      </c>
      <c r="K210" s="301" t="b">
        <v>0</v>
      </c>
      <c r="L210" s="419"/>
      <c r="M210" s="301" t="b">
        <v>0</v>
      </c>
      <c r="N210" s="209"/>
      <c r="O210" s="291"/>
      <c r="P210" s="303" t="s">
        <v>1783</v>
      </c>
      <c r="Q210" s="306" t="s">
        <v>394</v>
      </c>
      <c r="R210" s="304" t="s">
        <v>1784</v>
      </c>
      <c r="S210" s="209"/>
      <c r="T210" s="209"/>
      <c r="U210" s="209"/>
      <c r="V210" s="209"/>
      <c r="W210" s="325"/>
      <c r="X210" s="300" t="b">
        <v>1</v>
      </c>
      <c r="Y210" s="301" t="b">
        <v>0</v>
      </c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</row>
    <row r="211">
      <c r="A211" s="291"/>
      <c r="B211" s="376" t="s">
        <v>1555</v>
      </c>
      <c r="C211" s="377" t="s">
        <v>400</v>
      </c>
      <c r="D211" s="304" t="s">
        <v>1556</v>
      </c>
      <c r="E211" s="308" t="s">
        <v>1557</v>
      </c>
      <c r="F211" s="325"/>
      <c r="G211" s="325"/>
      <c r="H211" s="325"/>
      <c r="I211" s="325"/>
      <c r="J211" s="300" t="b">
        <v>1</v>
      </c>
      <c r="K211" s="301" t="b">
        <v>0</v>
      </c>
      <c r="L211" s="419"/>
      <c r="M211" s="301" t="b">
        <v>0</v>
      </c>
      <c r="N211" s="209"/>
      <c r="O211" s="309"/>
      <c r="P211" s="310" t="s">
        <v>1787</v>
      </c>
      <c r="Q211" s="317" t="s">
        <v>394</v>
      </c>
      <c r="R211" s="311" t="s">
        <v>1788</v>
      </c>
      <c r="S211" s="318">
        <v>8.40472500161E11</v>
      </c>
      <c r="T211" s="313"/>
      <c r="U211" s="313"/>
      <c r="V211" s="313"/>
      <c r="W211" s="331"/>
      <c r="X211" s="350" t="b">
        <v>1</v>
      </c>
      <c r="Y211" s="314" t="b">
        <v>0</v>
      </c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</row>
    <row r="212">
      <c r="A212" s="291"/>
      <c r="B212" s="303" t="s">
        <v>1562</v>
      </c>
      <c r="C212" s="304" t="s">
        <v>412</v>
      </c>
      <c r="D212" s="304" t="s">
        <v>1563</v>
      </c>
      <c r="E212" s="308" t="s">
        <v>1564</v>
      </c>
      <c r="F212" s="325"/>
      <c r="G212" s="325"/>
      <c r="H212" s="325"/>
      <c r="I212" s="325"/>
      <c r="J212" s="300" t="b">
        <v>1</v>
      </c>
      <c r="K212" s="301" t="b">
        <v>0</v>
      </c>
      <c r="L212" s="419"/>
      <c r="M212" s="301" t="b">
        <v>0</v>
      </c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</row>
    <row r="213">
      <c r="A213" s="291"/>
      <c r="B213" s="303" t="s">
        <v>1568</v>
      </c>
      <c r="C213" s="304" t="s">
        <v>679</v>
      </c>
      <c r="D213" s="304" t="s">
        <v>4327</v>
      </c>
      <c r="E213" s="308" t="s">
        <v>4328</v>
      </c>
      <c r="F213" s="413" t="s">
        <v>1062</v>
      </c>
      <c r="G213" s="325"/>
      <c r="H213" s="325"/>
      <c r="I213" s="325"/>
      <c r="J213" s="300" t="b">
        <v>1</v>
      </c>
      <c r="K213" s="301" t="b">
        <v>0</v>
      </c>
      <c r="L213" s="209"/>
      <c r="M213" s="301" t="b">
        <v>0</v>
      </c>
      <c r="N213" s="209"/>
      <c r="O213" s="281" t="s">
        <v>1630</v>
      </c>
      <c r="P213" s="319" t="s">
        <v>1794</v>
      </c>
      <c r="Q213" s="320"/>
      <c r="R213" s="283" t="s">
        <v>1795</v>
      </c>
      <c r="S213" s="336" t="s">
        <v>116</v>
      </c>
      <c r="T213" s="320"/>
      <c r="U213" s="320"/>
      <c r="V213" s="283" t="s">
        <v>4064</v>
      </c>
      <c r="W213" s="283" t="s">
        <v>4329</v>
      </c>
      <c r="X213" s="333" t="str">
        <f>IF(COUNTIF(X214:X217, TRUE) = COUNTA(X214:X217), "Complete!", IF(COUNTIF(X214:X217, TRUE) &gt; 0, "Partial", "Not Started"))</f>
        <v>Complete!</v>
      </c>
      <c r="Y213" s="334"/>
      <c r="Z213" s="209"/>
      <c r="AA213" s="209"/>
      <c r="AB213" s="280">
        <v>4.0</v>
      </c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</row>
    <row r="214">
      <c r="A214" s="291"/>
      <c r="B214" s="303" t="s">
        <v>1573</v>
      </c>
      <c r="C214" s="304" t="s">
        <v>1574</v>
      </c>
      <c r="D214" s="304" t="s">
        <v>1575</v>
      </c>
      <c r="E214" s="308" t="s">
        <v>1576</v>
      </c>
      <c r="F214" s="325"/>
      <c r="G214" s="325"/>
      <c r="H214" s="325"/>
      <c r="I214" s="325"/>
      <c r="J214" s="300" t="b">
        <v>1</v>
      </c>
      <c r="K214" s="301" t="b">
        <v>0</v>
      </c>
      <c r="L214" s="209"/>
      <c r="M214" s="301" t="b">
        <v>0</v>
      </c>
      <c r="N214" s="209"/>
      <c r="O214" s="291"/>
      <c r="P214" s="292" t="s">
        <v>1800</v>
      </c>
      <c r="Q214" s="298" t="s">
        <v>662</v>
      </c>
      <c r="R214" s="293" t="s">
        <v>1801</v>
      </c>
      <c r="S214" s="299">
        <v>8.40472500185E11</v>
      </c>
      <c r="T214" s="295"/>
      <c r="U214" s="295"/>
      <c r="V214" s="295"/>
      <c r="W214" s="328"/>
      <c r="X214" s="300" t="b">
        <v>1</v>
      </c>
      <c r="Y214" s="301" t="b">
        <v>0</v>
      </c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</row>
    <row r="215">
      <c r="A215" s="291"/>
      <c r="B215" s="303" t="s">
        <v>1580</v>
      </c>
      <c r="C215" s="304" t="s">
        <v>612</v>
      </c>
      <c r="D215" s="304" t="s">
        <v>1581</v>
      </c>
      <c r="E215" s="308" t="s">
        <v>1582</v>
      </c>
      <c r="F215" s="325"/>
      <c r="G215" s="325"/>
      <c r="H215" s="325"/>
      <c r="I215" s="325"/>
      <c r="J215" s="300" t="b">
        <v>1</v>
      </c>
      <c r="K215" s="301" t="b">
        <v>0</v>
      </c>
      <c r="L215" s="209"/>
      <c r="M215" s="301" t="b">
        <v>0</v>
      </c>
      <c r="N215" s="209"/>
      <c r="O215" s="291"/>
      <c r="P215" s="303" t="s">
        <v>1804</v>
      </c>
      <c r="Q215" s="306" t="s">
        <v>662</v>
      </c>
      <c r="R215" s="304" t="s">
        <v>1805</v>
      </c>
      <c r="S215" s="307">
        <v>8.40472500192E11</v>
      </c>
      <c r="T215" s="209"/>
      <c r="U215" s="209"/>
      <c r="V215" s="209"/>
      <c r="W215" s="325"/>
      <c r="X215" s="300" t="b">
        <v>1</v>
      </c>
      <c r="Y215" s="301" t="b">
        <v>0</v>
      </c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</row>
    <row r="216">
      <c r="A216" s="309"/>
      <c r="B216" s="378" t="s">
        <v>1586</v>
      </c>
      <c r="C216" s="379" t="s">
        <v>449</v>
      </c>
      <c r="D216" s="311" t="s">
        <v>1587</v>
      </c>
      <c r="E216" s="335" t="s">
        <v>1588</v>
      </c>
      <c r="F216" s="331"/>
      <c r="G216" s="331"/>
      <c r="H216" s="331"/>
      <c r="I216" s="331"/>
      <c r="J216" s="300" t="b">
        <v>1</v>
      </c>
      <c r="K216" s="381" t="b">
        <v>0</v>
      </c>
      <c r="L216" s="365"/>
      <c r="M216" s="314" t="b">
        <v>0</v>
      </c>
      <c r="N216" s="209"/>
      <c r="O216" s="291"/>
      <c r="P216" s="303" t="s">
        <v>1808</v>
      </c>
      <c r="Q216" s="306" t="s">
        <v>662</v>
      </c>
      <c r="R216" s="304" t="s">
        <v>1809</v>
      </c>
      <c r="S216" s="209"/>
      <c r="T216" s="209"/>
      <c r="U216" s="209"/>
      <c r="V216" s="209"/>
      <c r="W216" s="325"/>
      <c r="X216" s="300" t="b">
        <v>1</v>
      </c>
      <c r="Y216" s="301" t="b">
        <v>0</v>
      </c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</row>
    <row r="217">
      <c r="A217" s="209"/>
      <c r="B217" s="209"/>
      <c r="C217" s="209"/>
      <c r="D217" s="209"/>
      <c r="E217" s="209"/>
      <c r="F217" s="209"/>
      <c r="G217" s="209"/>
      <c r="H217" s="209"/>
      <c r="I217" s="209"/>
      <c r="J217" s="313"/>
      <c r="K217" s="209"/>
      <c r="L217" s="209"/>
      <c r="M217" s="209"/>
      <c r="N217" s="209"/>
      <c r="O217" s="309"/>
      <c r="P217" s="310" t="s">
        <v>1812</v>
      </c>
      <c r="Q217" s="317" t="s">
        <v>662</v>
      </c>
      <c r="R217" s="311" t="s">
        <v>1813</v>
      </c>
      <c r="S217" s="318">
        <v>8.40472500208E11</v>
      </c>
      <c r="T217" s="313"/>
      <c r="U217" s="313"/>
      <c r="V217" s="313"/>
      <c r="W217" s="331"/>
      <c r="X217" s="350" t="b">
        <v>1</v>
      </c>
      <c r="Y217" s="314" t="b">
        <v>0</v>
      </c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</row>
    <row r="218">
      <c r="A218" s="316" t="s">
        <v>1359</v>
      </c>
      <c r="B218" s="282" t="s">
        <v>194</v>
      </c>
      <c r="C218" s="273"/>
      <c r="D218" s="274" t="s">
        <v>193</v>
      </c>
      <c r="E218" s="387" t="s">
        <v>1910</v>
      </c>
      <c r="F218" s="273"/>
      <c r="G218" s="273"/>
      <c r="H218" s="276" t="s">
        <v>376</v>
      </c>
      <c r="I218" s="276" t="s">
        <v>4330</v>
      </c>
      <c r="J218" s="468" t="str">
        <f>IF(COUNTIF(J221:J224, TRUE) = COUNTA(J221:J224), "Complete!", IF(COUNTIF(J221:J224, TRUE) &gt; 0, "Partial", "Not Started"))</f>
        <v>Complete!</v>
      </c>
      <c r="K218" s="279"/>
      <c r="L218" s="464" t="s">
        <v>889</v>
      </c>
      <c r="M218" s="465" t="str">
        <f>IF(COUNTIF(M220:M223, TRUE) = COUNTA(M220:M223), "Complete!", IF(COUNTIF(M220:M223, TRUE) &gt; 0, "Partial", "Not Started"))</f>
        <v>Not Started</v>
      </c>
      <c r="N218" s="280">
        <v>8.0</v>
      </c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</row>
    <row r="219">
      <c r="A219" s="291"/>
      <c r="B219" s="292" t="s">
        <v>1912</v>
      </c>
      <c r="C219" s="304" t="s">
        <v>440</v>
      </c>
      <c r="D219" s="295" t="s">
        <v>1913</v>
      </c>
      <c r="E219" s="296">
        <v>8.40472501984E11</v>
      </c>
      <c r="F219" s="293" t="s">
        <v>1062</v>
      </c>
      <c r="G219" s="295"/>
      <c r="H219" s="295"/>
      <c r="I219" s="293" t="s">
        <v>4051</v>
      </c>
      <c r="J219" s="296" t="b">
        <v>1</v>
      </c>
      <c r="K219" s="297" t="b">
        <v>0</v>
      </c>
      <c r="L219" s="295"/>
      <c r="M219" s="301" t="b">
        <v>0</v>
      </c>
      <c r="N219" s="209"/>
      <c r="O219" s="281" t="s">
        <v>1689</v>
      </c>
      <c r="P219" s="319" t="s">
        <v>1819</v>
      </c>
      <c r="Q219" s="320"/>
      <c r="R219" s="283" t="s">
        <v>1820</v>
      </c>
      <c r="S219" s="336" t="s">
        <v>116</v>
      </c>
      <c r="T219" s="320"/>
      <c r="U219" s="320"/>
      <c r="V219" s="283" t="s">
        <v>572</v>
      </c>
      <c r="W219" s="283" t="s">
        <v>3346</v>
      </c>
      <c r="X219" s="333" t="str">
        <f>IF(COUNTIF(X220:X223, TRUE) = COUNTA(X220:X223), "Complete!", IF(COUNTIF(X220:X223, TRUE) &gt; 0, "Partial", "Not Started"))</f>
        <v>Complete!</v>
      </c>
      <c r="Y219" s="334"/>
      <c r="Z219" s="209"/>
      <c r="AA219" s="209"/>
      <c r="AB219" s="280">
        <v>4.0</v>
      </c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</row>
    <row r="220">
      <c r="A220" s="291"/>
      <c r="B220" s="303" t="s">
        <v>1915</v>
      </c>
      <c r="C220" s="304" t="s">
        <v>1916</v>
      </c>
      <c r="D220" s="304" t="s">
        <v>1917</v>
      </c>
      <c r="E220" s="307">
        <v>8.1011597653E11</v>
      </c>
      <c r="F220" s="304" t="s">
        <v>406</v>
      </c>
      <c r="G220" s="209"/>
      <c r="H220" s="209"/>
      <c r="I220" s="304" t="s">
        <v>4331</v>
      </c>
      <c r="J220" s="300" t="b">
        <v>1</v>
      </c>
      <c r="K220" s="301" t="b">
        <v>1</v>
      </c>
      <c r="L220" s="209"/>
      <c r="M220" s="301" t="b">
        <v>0</v>
      </c>
      <c r="N220" s="209"/>
      <c r="O220" s="291"/>
      <c r="P220" s="292" t="s">
        <v>1824</v>
      </c>
      <c r="Q220" s="298" t="s">
        <v>1825</v>
      </c>
      <c r="R220" s="293" t="s">
        <v>1826</v>
      </c>
      <c r="S220" s="299">
        <v>8.40472500222E11</v>
      </c>
      <c r="T220" s="295"/>
      <c r="U220" s="295"/>
      <c r="V220" s="295"/>
      <c r="W220" s="328"/>
      <c r="X220" s="300" t="b">
        <v>1</v>
      </c>
      <c r="Y220" s="301" t="b">
        <v>0</v>
      </c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</row>
    <row r="221">
      <c r="A221" s="291"/>
      <c r="B221" s="303" t="s">
        <v>1920</v>
      </c>
      <c r="C221" s="304" t="s">
        <v>505</v>
      </c>
      <c r="D221" s="304" t="s">
        <v>1921</v>
      </c>
      <c r="E221" s="307">
        <v>8.1011597174E11</v>
      </c>
      <c r="F221" s="209"/>
      <c r="G221" s="209"/>
      <c r="H221" s="209"/>
      <c r="I221" s="209"/>
      <c r="J221" s="300" t="b">
        <v>1</v>
      </c>
      <c r="K221" s="301" t="b">
        <v>0</v>
      </c>
      <c r="L221" s="209"/>
      <c r="M221" s="301" t="b">
        <v>0</v>
      </c>
      <c r="N221" s="209"/>
      <c r="O221" s="291"/>
      <c r="P221" s="303" t="s">
        <v>1829</v>
      </c>
      <c r="Q221" s="306" t="s">
        <v>1825</v>
      </c>
      <c r="R221" s="304" t="s">
        <v>1830</v>
      </c>
      <c r="S221" s="307">
        <v>8.40472500239E11</v>
      </c>
      <c r="T221" s="209"/>
      <c r="U221" s="209"/>
      <c r="V221" s="209"/>
      <c r="W221" s="325"/>
      <c r="X221" s="300" t="b">
        <v>1</v>
      </c>
      <c r="Y221" s="301" t="b">
        <v>0</v>
      </c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</row>
    <row r="222">
      <c r="A222" s="291"/>
      <c r="B222" s="303" t="s">
        <v>1924</v>
      </c>
      <c r="C222" s="304" t="s">
        <v>522</v>
      </c>
      <c r="D222" s="304" t="s">
        <v>1925</v>
      </c>
      <c r="E222" s="307">
        <v>8.10115971771E11</v>
      </c>
      <c r="F222" s="304" t="s">
        <v>4287</v>
      </c>
      <c r="G222" s="304" t="s">
        <v>406</v>
      </c>
      <c r="H222" s="209"/>
      <c r="I222" s="304" t="s">
        <v>4332</v>
      </c>
      <c r="J222" s="300" t="b">
        <v>1</v>
      </c>
      <c r="K222" s="301" t="b">
        <v>1</v>
      </c>
      <c r="L222" s="209"/>
      <c r="M222" s="301" t="b">
        <v>0</v>
      </c>
      <c r="N222" s="209"/>
      <c r="O222" s="291"/>
      <c r="P222" s="303" t="s">
        <v>1833</v>
      </c>
      <c r="Q222" s="306" t="s">
        <v>1825</v>
      </c>
      <c r="R222" s="304" t="s">
        <v>1834</v>
      </c>
      <c r="S222" s="209"/>
      <c r="T222" s="209"/>
      <c r="U222" s="209"/>
      <c r="V222" s="209"/>
      <c r="W222" s="325"/>
      <c r="X222" s="300" t="b">
        <v>1</v>
      </c>
      <c r="Y222" s="301" t="b">
        <v>0</v>
      </c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</row>
    <row r="223">
      <c r="A223" s="291"/>
      <c r="B223" s="303" t="s">
        <v>1928</v>
      </c>
      <c r="C223" s="304" t="s">
        <v>1049</v>
      </c>
      <c r="D223" s="304" t="s">
        <v>1929</v>
      </c>
      <c r="E223" s="307">
        <v>8.10115976554E11</v>
      </c>
      <c r="F223" s="304" t="s">
        <v>406</v>
      </c>
      <c r="G223" s="209"/>
      <c r="H223" s="209"/>
      <c r="I223" s="304" t="s">
        <v>4331</v>
      </c>
      <c r="J223" s="300" t="b">
        <v>1</v>
      </c>
      <c r="K223" s="301" t="b">
        <v>1</v>
      </c>
      <c r="L223" s="313"/>
      <c r="M223" s="314" t="b">
        <v>0</v>
      </c>
      <c r="N223" s="209"/>
      <c r="O223" s="309"/>
      <c r="P223" s="310" t="s">
        <v>1837</v>
      </c>
      <c r="Q223" s="317" t="s">
        <v>1825</v>
      </c>
      <c r="R223" s="311" t="s">
        <v>1838</v>
      </c>
      <c r="S223" s="318">
        <v>8.40472500246E11</v>
      </c>
      <c r="T223" s="313"/>
      <c r="U223" s="313"/>
      <c r="V223" s="313"/>
      <c r="W223" s="331"/>
      <c r="X223" s="350" t="b">
        <v>1</v>
      </c>
      <c r="Y223" s="314" t="b">
        <v>0</v>
      </c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</row>
    <row r="224">
      <c r="A224" s="291"/>
      <c r="B224" s="303" t="s">
        <v>1932</v>
      </c>
      <c r="C224" s="304" t="s">
        <v>1060</v>
      </c>
      <c r="D224" s="304" t="s">
        <v>1933</v>
      </c>
      <c r="E224" s="307">
        <v>8.10115971795E11</v>
      </c>
      <c r="F224" s="304" t="s">
        <v>406</v>
      </c>
      <c r="G224" s="209"/>
      <c r="H224" s="209"/>
      <c r="I224" s="304" t="s">
        <v>4331</v>
      </c>
      <c r="J224" s="300" t="b">
        <v>1</v>
      </c>
      <c r="K224" s="301" t="b">
        <v>1</v>
      </c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</row>
    <row r="225">
      <c r="A225" s="291"/>
      <c r="B225" s="303" t="s">
        <v>1934</v>
      </c>
      <c r="C225" s="304" t="s">
        <v>1935</v>
      </c>
      <c r="D225" s="304" t="s">
        <v>1936</v>
      </c>
      <c r="E225" s="307">
        <v>8.40472502004E11</v>
      </c>
      <c r="F225" s="209"/>
      <c r="G225" s="209"/>
      <c r="H225" s="209"/>
      <c r="I225" s="209"/>
      <c r="J225" s="300" t="b">
        <v>1</v>
      </c>
      <c r="K225" s="301" t="b">
        <v>0</v>
      </c>
      <c r="L225" s="209"/>
      <c r="M225" s="209"/>
      <c r="N225" s="209"/>
      <c r="O225" s="281" t="s">
        <v>1724</v>
      </c>
      <c r="P225" s="319" t="s">
        <v>1842</v>
      </c>
      <c r="Q225" s="320"/>
      <c r="R225" s="283" t="s">
        <v>1843</v>
      </c>
      <c r="S225" s="336" t="s">
        <v>116</v>
      </c>
      <c r="T225" s="320"/>
      <c r="U225" s="320"/>
      <c r="V225" s="283" t="s">
        <v>4333</v>
      </c>
      <c r="W225" s="283" t="s">
        <v>1895</v>
      </c>
      <c r="X225" s="333" t="str">
        <f>IF(COUNTIF(X226:X229, TRUE) = COUNTA(X226:X229), "Complete!", IF(COUNTIF(X226:X229, TRUE) &gt; 0, "Partial", "Not Started"))</f>
        <v>Complete!</v>
      </c>
      <c r="Y225" s="334"/>
      <c r="Z225" s="209"/>
      <c r="AA225" s="209"/>
      <c r="AB225" s="280">
        <v>4.0</v>
      </c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</row>
    <row r="226">
      <c r="A226" s="309"/>
      <c r="B226" s="310" t="s">
        <v>1939</v>
      </c>
      <c r="C226" s="311" t="s">
        <v>1940</v>
      </c>
      <c r="D226" s="311" t="s">
        <v>1941</v>
      </c>
      <c r="E226" s="318">
        <v>8.40472502028E11</v>
      </c>
      <c r="F226" s="313"/>
      <c r="G226" s="313"/>
      <c r="H226" s="313"/>
      <c r="I226" s="313"/>
      <c r="J226" s="300" t="b">
        <v>1</v>
      </c>
      <c r="K226" s="314" t="b">
        <v>0</v>
      </c>
      <c r="L226" s="209"/>
      <c r="M226" s="209"/>
      <c r="N226" s="209"/>
      <c r="O226" s="291"/>
      <c r="P226" s="292" t="s">
        <v>1849</v>
      </c>
      <c r="Q226" s="298" t="s">
        <v>685</v>
      </c>
      <c r="R226" s="293" t="s">
        <v>1850</v>
      </c>
      <c r="S226" s="295"/>
      <c r="T226" s="295"/>
      <c r="U226" s="295"/>
      <c r="V226" s="295"/>
      <c r="W226" s="328"/>
      <c r="X226" s="300" t="b">
        <v>1</v>
      </c>
      <c r="Y226" s="301" t="b">
        <v>0</v>
      </c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</row>
    <row r="227">
      <c r="A227" s="209"/>
      <c r="B227" s="209"/>
      <c r="C227" s="209"/>
      <c r="D227" s="209"/>
      <c r="E227" s="209"/>
      <c r="F227" s="209"/>
      <c r="G227" s="209"/>
      <c r="H227" s="209"/>
      <c r="I227" s="209"/>
      <c r="J227" s="313"/>
      <c r="K227" s="209"/>
      <c r="L227" s="209"/>
      <c r="M227" s="209"/>
      <c r="N227" s="209"/>
      <c r="O227" s="291"/>
      <c r="P227" s="303" t="s">
        <v>1854</v>
      </c>
      <c r="Q227" s="306" t="s">
        <v>685</v>
      </c>
      <c r="R227" s="304" t="s">
        <v>1855</v>
      </c>
      <c r="S227" s="209"/>
      <c r="T227" s="209"/>
      <c r="U227" s="209"/>
      <c r="V227" s="209"/>
      <c r="W227" s="325"/>
      <c r="X227" s="300" t="b">
        <v>1</v>
      </c>
      <c r="Y227" s="301" t="b">
        <v>0</v>
      </c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</row>
    <row r="228">
      <c r="A228" s="316" t="s">
        <v>1421</v>
      </c>
      <c r="B228" s="319" t="s">
        <v>1946</v>
      </c>
      <c r="C228" s="320"/>
      <c r="D228" s="283" t="s">
        <v>1947</v>
      </c>
      <c r="E228" s="336" t="s">
        <v>1910</v>
      </c>
      <c r="F228" s="320"/>
      <c r="G228" s="320"/>
      <c r="H228" s="285" t="s">
        <v>376</v>
      </c>
      <c r="I228" s="285" t="s">
        <v>4334</v>
      </c>
      <c r="J228" s="438" t="str">
        <f>IF(COUNTIF(J229:J234, TRUE) = COUNTA(J229:J234), "Complete!", IF(COUNTIF(J229:J234, TRUE) &gt; 0, "Partial", "Not Started"))</f>
        <v>Complete!</v>
      </c>
      <c r="K228" s="334"/>
      <c r="L228" s="464" t="s">
        <v>889</v>
      </c>
      <c r="M228" s="465" t="str">
        <f>IF(COUNTIF(M229:M234, TRUE) = COUNTA(M229:M234), "Complete!", IF(COUNTIF(M229:M234, TRUE) &gt; 0, "Partial", "Not Started"))</f>
        <v>Not Started</v>
      </c>
      <c r="N228" s="280">
        <v>6.0</v>
      </c>
      <c r="O228" s="291"/>
      <c r="P228" s="303" t="s">
        <v>1858</v>
      </c>
      <c r="Q228" s="306" t="s">
        <v>685</v>
      </c>
      <c r="R228" s="304" t="s">
        <v>1859</v>
      </c>
      <c r="S228" s="209"/>
      <c r="T228" s="209"/>
      <c r="U228" s="209"/>
      <c r="V228" s="209"/>
      <c r="W228" s="325"/>
      <c r="X228" s="300" t="b">
        <v>1</v>
      </c>
      <c r="Y228" s="301" t="b">
        <v>0</v>
      </c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</row>
    <row r="229">
      <c r="A229" s="291"/>
      <c r="B229" s="303" t="s">
        <v>1950</v>
      </c>
      <c r="C229" s="304" t="s">
        <v>449</v>
      </c>
      <c r="D229" s="304" t="s">
        <v>1951</v>
      </c>
      <c r="E229" s="307">
        <v>8.10115975816E11</v>
      </c>
      <c r="F229" s="304" t="s">
        <v>406</v>
      </c>
      <c r="G229" s="209"/>
      <c r="H229" s="209"/>
      <c r="I229" s="209"/>
      <c r="J229" s="300" t="b">
        <v>1</v>
      </c>
      <c r="K229" s="301" t="b">
        <v>1</v>
      </c>
      <c r="L229" s="419"/>
      <c r="M229" s="301" t="b">
        <v>0</v>
      </c>
      <c r="N229" s="209"/>
      <c r="O229" s="309"/>
      <c r="P229" s="310" t="s">
        <v>1862</v>
      </c>
      <c r="Q229" s="317" t="s">
        <v>685</v>
      </c>
      <c r="R229" s="311" t="s">
        <v>1863</v>
      </c>
      <c r="S229" s="313"/>
      <c r="T229" s="313"/>
      <c r="U229" s="313"/>
      <c r="V229" s="313"/>
      <c r="W229" s="331"/>
      <c r="X229" s="350" t="b">
        <v>1</v>
      </c>
      <c r="Y229" s="314" t="b">
        <v>0</v>
      </c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</row>
    <row r="230">
      <c r="A230" s="291"/>
      <c r="B230" s="303" t="s">
        <v>1954</v>
      </c>
      <c r="C230" s="304" t="s">
        <v>1916</v>
      </c>
      <c r="D230" s="304" t="s">
        <v>1955</v>
      </c>
      <c r="E230" s="307">
        <v>8.10115972624E11</v>
      </c>
      <c r="F230" s="209"/>
      <c r="G230" s="209"/>
      <c r="H230" s="209"/>
      <c r="I230" s="209"/>
      <c r="J230" s="300" t="b">
        <v>1</v>
      </c>
      <c r="K230" s="301" t="b">
        <v>0</v>
      </c>
      <c r="L230" s="419"/>
      <c r="M230" s="301" t="b">
        <v>0</v>
      </c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</row>
    <row r="231">
      <c r="A231" s="291"/>
      <c r="B231" s="303" t="s">
        <v>1956</v>
      </c>
      <c r="C231" s="304" t="s">
        <v>505</v>
      </c>
      <c r="D231" s="304" t="s">
        <v>1957</v>
      </c>
      <c r="E231" s="307">
        <v>8.10115972617E11</v>
      </c>
      <c r="F231" s="304" t="s">
        <v>406</v>
      </c>
      <c r="G231" s="209"/>
      <c r="H231" s="209"/>
      <c r="I231" s="209"/>
      <c r="J231" s="300" t="b">
        <v>1</v>
      </c>
      <c r="K231" s="301" t="b">
        <v>1</v>
      </c>
      <c r="L231" s="419"/>
      <c r="M231" s="301" t="b">
        <v>0</v>
      </c>
      <c r="N231" s="209"/>
      <c r="O231" s="281" t="s">
        <v>1747</v>
      </c>
      <c r="P231" s="319" t="s">
        <v>1870</v>
      </c>
      <c r="Q231" s="320"/>
      <c r="R231" s="283" t="s">
        <v>1871</v>
      </c>
      <c r="S231" s="336" t="s">
        <v>116</v>
      </c>
      <c r="T231" s="320"/>
      <c r="U231" s="320"/>
      <c r="V231" s="283" t="s">
        <v>370</v>
      </c>
      <c r="W231" s="283" t="s">
        <v>2000</v>
      </c>
      <c r="X231" s="333" t="str">
        <f>IF(COUNTIF(X232:X235, TRUE) = COUNTA(X232:X235), "Complete!", IF(COUNTIF(X232:X235, TRUE) &gt; 0, "Partial", "Not Started"))</f>
        <v>Complete!</v>
      </c>
      <c r="Y231" s="334"/>
      <c r="Z231" s="209"/>
      <c r="AA231" s="209"/>
      <c r="AB231" s="280">
        <v>4.0</v>
      </c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</row>
    <row r="232">
      <c r="A232" s="291"/>
      <c r="B232" s="303" t="s">
        <v>1960</v>
      </c>
      <c r="C232" s="304" t="s">
        <v>522</v>
      </c>
      <c r="D232" s="304" t="s">
        <v>1961</v>
      </c>
      <c r="E232" s="307">
        <v>8.101159726E11</v>
      </c>
      <c r="F232" s="209"/>
      <c r="G232" s="209"/>
      <c r="H232" s="209"/>
      <c r="I232" s="209"/>
      <c r="J232" s="300" t="b">
        <v>1</v>
      </c>
      <c r="K232" s="301" t="b">
        <v>0</v>
      </c>
      <c r="L232" s="419"/>
      <c r="M232" s="301" t="b">
        <v>0</v>
      </c>
      <c r="N232" s="209"/>
      <c r="O232" s="291"/>
      <c r="P232" s="292" t="s">
        <v>1875</v>
      </c>
      <c r="Q232" s="298" t="s">
        <v>1876</v>
      </c>
      <c r="R232" s="293" t="s">
        <v>1877</v>
      </c>
      <c r="S232" s="299">
        <v>8.40472500628E11</v>
      </c>
      <c r="T232" s="295"/>
      <c r="U232" s="295"/>
      <c r="V232" s="295"/>
      <c r="W232" s="328"/>
      <c r="X232" s="300" t="b">
        <v>1</v>
      </c>
      <c r="Y232" s="301" t="b">
        <v>0</v>
      </c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</row>
    <row r="233">
      <c r="A233" s="291"/>
      <c r="B233" s="303" t="s">
        <v>1965</v>
      </c>
      <c r="C233" s="304" t="s">
        <v>1049</v>
      </c>
      <c r="D233" s="304" t="s">
        <v>1966</v>
      </c>
      <c r="E233" s="307">
        <v>8.10115972655E11</v>
      </c>
      <c r="F233" s="304" t="s">
        <v>406</v>
      </c>
      <c r="G233" s="209"/>
      <c r="H233" s="209"/>
      <c r="I233" s="209"/>
      <c r="J233" s="300" t="b">
        <v>1</v>
      </c>
      <c r="K233" s="301" t="b">
        <v>1</v>
      </c>
      <c r="L233" s="419"/>
      <c r="M233" s="301" t="b">
        <v>0</v>
      </c>
      <c r="N233" s="209"/>
      <c r="O233" s="291"/>
      <c r="P233" s="303" t="s">
        <v>1880</v>
      </c>
      <c r="Q233" s="306" t="s">
        <v>1876</v>
      </c>
      <c r="R233" s="304" t="s">
        <v>1881</v>
      </c>
      <c r="S233" s="307">
        <v>8.40472500635E11</v>
      </c>
      <c r="T233" s="209"/>
      <c r="U233" s="209"/>
      <c r="V233" s="209"/>
      <c r="W233" s="325"/>
      <c r="X233" s="300" t="b">
        <v>1</v>
      </c>
      <c r="Y233" s="301" t="b">
        <v>0</v>
      </c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</row>
    <row r="234">
      <c r="A234" s="309"/>
      <c r="B234" s="310" t="s">
        <v>1969</v>
      </c>
      <c r="C234" s="311" t="s">
        <v>1060</v>
      </c>
      <c r="D234" s="311" t="s">
        <v>1970</v>
      </c>
      <c r="E234" s="318">
        <v>8.10115972648E11</v>
      </c>
      <c r="F234" s="311" t="s">
        <v>406</v>
      </c>
      <c r="G234" s="313"/>
      <c r="H234" s="313"/>
      <c r="I234" s="313"/>
      <c r="J234" s="300" t="b">
        <v>1</v>
      </c>
      <c r="K234" s="314" t="b">
        <v>1</v>
      </c>
      <c r="L234" s="365"/>
      <c r="M234" s="314" t="b">
        <v>0</v>
      </c>
      <c r="N234" s="209"/>
      <c r="O234" s="291"/>
      <c r="P234" s="303" t="s">
        <v>1884</v>
      </c>
      <c r="Q234" s="306" t="s">
        <v>1876</v>
      </c>
      <c r="R234" s="304" t="s">
        <v>1885</v>
      </c>
      <c r="S234" s="307">
        <v>8.40472500642E11</v>
      </c>
      <c r="T234" s="209"/>
      <c r="U234" s="209"/>
      <c r="V234" s="209"/>
      <c r="W234" s="325"/>
      <c r="X234" s="300" t="b">
        <v>1</v>
      </c>
      <c r="Y234" s="301" t="b">
        <v>0</v>
      </c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</row>
    <row r="235">
      <c r="A235" s="209"/>
      <c r="B235" s="209"/>
      <c r="C235" s="209"/>
      <c r="D235" s="209"/>
      <c r="E235" s="209"/>
      <c r="F235" s="209"/>
      <c r="G235" s="209"/>
      <c r="H235" s="209"/>
      <c r="I235" s="209"/>
      <c r="J235" s="313"/>
      <c r="K235" s="209"/>
      <c r="L235" s="209"/>
      <c r="M235" s="209"/>
      <c r="N235" s="209"/>
      <c r="O235" s="309"/>
      <c r="P235" s="310" t="s">
        <v>1888</v>
      </c>
      <c r="Q235" s="317" t="s">
        <v>1876</v>
      </c>
      <c r="R235" s="311" t="s">
        <v>1889</v>
      </c>
      <c r="S235" s="313"/>
      <c r="T235" s="313"/>
      <c r="U235" s="313"/>
      <c r="V235" s="313"/>
      <c r="W235" s="331"/>
      <c r="X235" s="350" t="b">
        <v>1</v>
      </c>
      <c r="Y235" s="314" t="b">
        <v>0</v>
      </c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</row>
    <row r="236">
      <c r="A236" s="316" t="s">
        <v>1488</v>
      </c>
      <c r="B236" s="319" t="s">
        <v>200</v>
      </c>
      <c r="C236" s="320"/>
      <c r="D236" s="283" t="s">
        <v>199</v>
      </c>
      <c r="E236" s="336" t="s">
        <v>1910</v>
      </c>
      <c r="F236" s="320"/>
      <c r="G236" s="320"/>
      <c r="H236" s="482" t="s">
        <v>1844</v>
      </c>
      <c r="I236" s="482" t="s">
        <v>4335</v>
      </c>
      <c r="J236" s="320"/>
      <c r="K236" s="334"/>
      <c r="L236" s="209"/>
      <c r="M236" s="209"/>
      <c r="N236" s="280">
        <v>8.0</v>
      </c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</row>
    <row r="237">
      <c r="A237" s="291"/>
      <c r="B237" s="292" t="s">
        <v>1976</v>
      </c>
      <c r="C237" s="293" t="s">
        <v>390</v>
      </c>
      <c r="D237" s="293" t="s">
        <v>1977</v>
      </c>
      <c r="E237" s="299">
        <v>8.4047252192E11</v>
      </c>
      <c r="F237" s="295"/>
      <c r="G237" s="295"/>
      <c r="H237" s="295"/>
      <c r="I237" s="295"/>
      <c r="J237" s="296" t="b">
        <v>1</v>
      </c>
      <c r="K237" s="297" t="b">
        <v>0</v>
      </c>
      <c r="L237" s="209"/>
      <c r="M237" s="209"/>
      <c r="N237" s="209"/>
      <c r="O237" s="281" t="s">
        <v>1770</v>
      </c>
      <c r="P237" s="319" t="s">
        <v>1091</v>
      </c>
      <c r="Q237" s="320"/>
      <c r="R237" s="283" t="s">
        <v>1092</v>
      </c>
      <c r="S237" s="336" t="s">
        <v>4336</v>
      </c>
      <c r="T237" s="320"/>
      <c r="U237" s="320"/>
      <c r="V237" s="283" t="s">
        <v>1938</v>
      </c>
      <c r="W237" s="283" t="s">
        <v>1009</v>
      </c>
      <c r="X237" s="333" t="str">
        <f>IF(COUNTIF(X238:X241, TRUE) = COUNTA(X238:X241), "Complete!", IF(COUNTIF(X238:X241, TRUE) &gt; 0, "Partial", "Not Started"))</f>
        <v>Complete!</v>
      </c>
      <c r="Y237" s="334"/>
      <c r="Z237" s="209"/>
      <c r="AA237" s="209"/>
      <c r="AB237" s="280">
        <v>4.0</v>
      </c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</row>
    <row r="238">
      <c r="A238" s="291"/>
      <c r="B238" s="303" t="s">
        <v>1979</v>
      </c>
      <c r="C238" s="304" t="s">
        <v>400</v>
      </c>
      <c r="D238" s="304" t="s">
        <v>1980</v>
      </c>
      <c r="E238" s="307">
        <v>8.40472501939E11</v>
      </c>
      <c r="F238" s="209"/>
      <c r="G238" s="209"/>
      <c r="H238" s="209"/>
      <c r="I238" s="209"/>
      <c r="J238" s="300" t="b">
        <v>1</v>
      </c>
      <c r="K238" s="301" t="b">
        <v>0</v>
      </c>
      <c r="L238" s="209"/>
      <c r="M238" s="209"/>
      <c r="N238" s="209"/>
      <c r="O238" s="291"/>
      <c r="P238" s="292" t="s">
        <v>1097</v>
      </c>
      <c r="Q238" s="298" t="s">
        <v>400</v>
      </c>
      <c r="R238" s="293" t="s">
        <v>1098</v>
      </c>
      <c r="S238" s="299">
        <v>8.40472594528E11</v>
      </c>
      <c r="T238" s="295"/>
      <c r="U238" s="295"/>
      <c r="V238" s="295"/>
      <c r="W238" s="328"/>
      <c r="X238" s="300" t="b">
        <v>1</v>
      </c>
      <c r="Y238" s="301" t="b">
        <v>0</v>
      </c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</row>
    <row r="239">
      <c r="A239" s="291"/>
      <c r="B239" s="303" t="s">
        <v>1983</v>
      </c>
      <c r="C239" s="304" t="s">
        <v>412</v>
      </c>
      <c r="D239" s="304" t="s">
        <v>1984</v>
      </c>
      <c r="E239" s="307">
        <v>8.40472501946E11</v>
      </c>
      <c r="F239" s="209"/>
      <c r="G239" s="209"/>
      <c r="H239" s="209"/>
      <c r="I239" s="209"/>
      <c r="J239" s="300" t="b">
        <v>1</v>
      </c>
      <c r="K239" s="301" t="b">
        <v>0</v>
      </c>
      <c r="L239" s="209"/>
      <c r="M239" s="209"/>
      <c r="N239" s="209"/>
      <c r="O239" s="291"/>
      <c r="P239" s="303" t="s">
        <v>1101</v>
      </c>
      <c r="Q239" s="306" t="s">
        <v>400</v>
      </c>
      <c r="R239" s="304" t="s">
        <v>1102</v>
      </c>
      <c r="S239" s="307">
        <v>8.40472595617E11</v>
      </c>
      <c r="T239" s="209"/>
      <c r="U239" s="209"/>
      <c r="V239" s="209"/>
      <c r="W239" s="325"/>
      <c r="X239" s="300" t="b">
        <v>1</v>
      </c>
      <c r="Y239" s="301" t="b">
        <v>0</v>
      </c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</row>
    <row r="240">
      <c r="A240" s="291"/>
      <c r="B240" s="303" t="s">
        <v>1987</v>
      </c>
      <c r="C240" s="304" t="s">
        <v>715</v>
      </c>
      <c r="D240" s="304" t="s">
        <v>1988</v>
      </c>
      <c r="E240" s="307">
        <v>8.10115975793E11</v>
      </c>
      <c r="F240" s="304" t="s">
        <v>406</v>
      </c>
      <c r="G240" s="209"/>
      <c r="H240" s="209"/>
      <c r="I240" s="209"/>
      <c r="J240" s="300" t="b">
        <v>1</v>
      </c>
      <c r="K240" s="301" t="b">
        <v>1</v>
      </c>
      <c r="L240" s="209"/>
      <c r="M240" s="209"/>
      <c r="N240" s="209"/>
      <c r="O240" s="291"/>
      <c r="P240" s="303" t="s">
        <v>1105</v>
      </c>
      <c r="Q240" s="306" t="s">
        <v>726</v>
      </c>
      <c r="R240" s="304" t="s">
        <v>1106</v>
      </c>
      <c r="S240" s="307">
        <v>8.40472501885E11</v>
      </c>
      <c r="T240" s="209"/>
      <c r="U240" s="209"/>
      <c r="V240" s="209"/>
      <c r="W240" s="325"/>
      <c r="X240" s="300" t="b">
        <v>1</v>
      </c>
      <c r="Y240" s="301" t="b">
        <v>0</v>
      </c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</row>
    <row r="241">
      <c r="A241" s="291"/>
      <c r="B241" s="303" t="s">
        <v>1991</v>
      </c>
      <c r="C241" s="304" t="s">
        <v>421</v>
      </c>
      <c r="D241" s="304" t="s">
        <v>1992</v>
      </c>
      <c r="E241" s="307">
        <v>8.40472501953E11</v>
      </c>
      <c r="F241" s="209"/>
      <c r="G241" s="209"/>
      <c r="H241" s="209"/>
      <c r="I241" s="209"/>
      <c r="J241" s="300" t="b">
        <v>1</v>
      </c>
      <c r="K241" s="301" t="b">
        <v>0</v>
      </c>
      <c r="L241" s="209"/>
      <c r="M241" s="209"/>
      <c r="N241" s="209"/>
      <c r="O241" s="309"/>
      <c r="P241" s="310" t="s">
        <v>1110</v>
      </c>
      <c r="Q241" s="317" t="s">
        <v>726</v>
      </c>
      <c r="R241" s="311" t="s">
        <v>1111</v>
      </c>
      <c r="S241" s="318">
        <v>8.40472501892E11</v>
      </c>
      <c r="T241" s="313"/>
      <c r="U241" s="313"/>
      <c r="V241" s="313"/>
      <c r="W241" s="331"/>
      <c r="X241" s="350" t="b">
        <v>1</v>
      </c>
      <c r="Y241" s="314" t="b">
        <v>0</v>
      </c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</row>
    <row r="242">
      <c r="A242" s="291"/>
      <c r="B242" s="303" t="s">
        <v>1995</v>
      </c>
      <c r="C242" s="304" t="s">
        <v>449</v>
      </c>
      <c r="D242" s="304" t="s">
        <v>1996</v>
      </c>
      <c r="E242" s="307">
        <v>8.10115975809E11</v>
      </c>
      <c r="F242" s="304" t="s">
        <v>406</v>
      </c>
      <c r="G242" s="209"/>
      <c r="H242" s="209"/>
      <c r="I242" s="209"/>
      <c r="J242" s="300" t="b">
        <v>1</v>
      </c>
      <c r="K242" s="301" t="b">
        <v>1</v>
      </c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</row>
    <row r="243">
      <c r="A243" s="291"/>
      <c r="B243" s="303" t="s">
        <v>1997</v>
      </c>
      <c r="C243" s="304" t="s">
        <v>487</v>
      </c>
      <c r="D243" s="304" t="s">
        <v>1998</v>
      </c>
      <c r="E243" s="307">
        <v>8.4047250196E11</v>
      </c>
      <c r="F243" s="209"/>
      <c r="G243" s="209"/>
      <c r="H243" s="209"/>
      <c r="I243" s="209"/>
      <c r="J243" s="300" t="b">
        <v>1</v>
      </c>
      <c r="K243" s="301" t="b">
        <v>0</v>
      </c>
      <c r="L243" s="209"/>
      <c r="M243" s="209"/>
      <c r="N243" s="209"/>
      <c r="O243" s="344"/>
      <c r="P243" s="209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  <c r="AA243" s="344"/>
      <c r="AB243" s="344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</row>
    <row r="244">
      <c r="A244" s="309"/>
      <c r="B244" s="310" t="s">
        <v>2001</v>
      </c>
      <c r="C244" s="311" t="s">
        <v>2002</v>
      </c>
      <c r="D244" s="311" t="s">
        <v>2003</v>
      </c>
      <c r="E244" s="318">
        <v>8.40472501977E11</v>
      </c>
      <c r="F244" s="313"/>
      <c r="G244" s="313"/>
      <c r="H244" s="313"/>
      <c r="I244" s="313"/>
      <c r="J244" s="300" t="b">
        <v>1</v>
      </c>
      <c r="K244" s="314" t="b">
        <v>0</v>
      </c>
      <c r="L244" s="209"/>
      <c r="M244" s="209"/>
      <c r="N244" s="209"/>
      <c r="O244" s="281" t="s">
        <v>1793</v>
      </c>
      <c r="P244" s="483" t="s">
        <v>898</v>
      </c>
      <c r="Q244" s="273"/>
      <c r="R244" s="274" t="s">
        <v>899</v>
      </c>
      <c r="S244" s="273"/>
      <c r="T244" s="273"/>
      <c r="U244" s="273"/>
      <c r="V244" s="274" t="s">
        <v>1938</v>
      </c>
      <c r="W244" s="274" t="s">
        <v>1009</v>
      </c>
      <c r="X244" s="278" t="str">
        <f>IF(COUNTIF(X245:X248, TRUE) = COUNTA(X245:X248), "Complete!", IF(COUNTIF(X245:X248, TRUE) &gt; 0, "Partial", "Not Started"))</f>
        <v>Complete!</v>
      </c>
      <c r="Y244" s="279"/>
      <c r="Z244" s="344"/>
      <c r="AA244" s="344"/>
      <c r="AB244" s="340">
        <v>8.0</v>
      </c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</row>
    <row r="245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91"/>
      <c r="P245" s="484" t="s">
        <v>907</v>
      </c>
      <c r="Q245" s="341" t="s">
        <v>685</v>
      </c>
      <c r="R245" s="342" t="s">
        <v>908</v>
      </c>
      <c r="S245" s="343">
        <v>8.4047250352E11</v>
      </c>
      <c r="T245" s="304" t="s">
        <v>1062</v>
      </c>
      <c r="U245" s="295"/>
      <c r="V245" s="295"/>
      <c r="W245" s="328"/>
      <c r="X245" s="296" t="b">
        <v>1</v>
      </c>
      <c r="Y245" s="297" t="b">
        <v>0</v>
      </c>
      <c r="Z245" s="344"/>
      <c r="AA245" s="344"/>
      <c r="AB245" s="344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</row>
    <row r="246">
      <c r="A246" s="316" t="s">
        <v>1558</v>
      </c>
      <c r="B246" s="282" t="s">
        <v>209</v>
      </c>
      <c r="C246" s="273"/>
      <c r="D246" s="274" t="s">
        <v>208</v>
      </c>
      <c r="E246" s="387" t="s">
        <v>1910</v>
      </c>
      <c r="F246" s="273"/>
      <c r="G246" s="273"/>
      <c r="H246" s="276" t="s">
        <v>376</v>
      </c>
      <c r="I246" s="276" t="s">
        <v>4337</v>
      </c>
      <c r="J246" s="468" t="str">
        <f>IF(COUNTIF(J247:J251, TRUE) = COUNTA(J247:J251), "Complete!", IF(COUNTIF(J247:J251, TRUE) &gt; 0, "Partial", "Not Started"))</f>
        <v>Complete!</v>
      </c>
      <c r="K246" s="279"/>
      <c r="L246" s="464" t="s">
        <v>889</v>
      </c>
      <c r="M246" s="465" t="str">
        <f>IF(COUNTIF(M247:M254, TRUE) = COUNTA(M247:M254), "Complete!", IF(COUNTIF(M247:M254, TRUE) &gt; 0, "Partial", "Not Started"))</f>
        <v>Not Started</v>
      </c>
      <c r="N246" s="280">
        <v>8.0</v>
      </c>
      <c r="O246" s="291"/>
      <c r="P246" s="419" t="s">
        <v>915</v>
      </c>
      <c r="Q246" s="485" t="s">
        <v>676</v>
      </c>
      <c r="R246" s="209" t="s">
        <v>916</v>
      </c>
      <c r="S246" s="307">
        <v>8.40472503537E11</v>
      </c>
      <c r="T246" s="304" t="s">
        <v>1062</v>
      </c>
      <c r="U246" s="209"/>
      <c r="V246" s="209"/>
      <c r="W246" s="325"/>
      <c r="X246" s="300" t="b">
        <v>1</v>
      </c>
      <c r="Y246" s="301" t="b">
        <v>0</v>
      </c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</row>
    <row r="247">
      <c r="A247" s="291"/>
      <c r="B247" s="292" t="s">
        <v>2012</v>
      </c>
      <c r="C247" s="293" t="s">
        <v>440</v>
      </c>
      <c r="D247" s="293" t="s">
        <v>2013</v>
      </c>
      <c r="E247" s="299">
        <v>8.40472501991E11</v>
      </c>
      <c r="F247" s="295"/>
      <c r="G247" s="295"/>
      <c r="H247" s="295"/>
      <c r="I247" s="295"/>
      <c r="J247" s="296" t="b">
        <v>1</v>
      </c>
      <c r="K247" s="297" t="b">
        <v>0</v>
      </c>
      <c r="L247" s="209"/>
      <c r="M247" s="301" t="b">
        <v>0</v>
      </c>
      <c r="N247" s="209"/>
      <c r="O247" s="291"/>
      <c r="P247" s="419" t="s">
        <v>919</v>
      </c>
      <c r="Q247" s="306" t="s">
        <v>617</v>
      </c>
      <c r="R247" s="304" t="s">
        <v>920</v>
      </c>
      <c r="S247" s="307">
        <v>8.40472503544E11</v>
      </c>
      <c r="T247" s="304" t="s">
        <v>1062</v>
      </c>
      <c r="U247" s="209"/>
      <c r="V247" s="209"/>
      <c r="W247" s="325"/>
      <c r="X247" s="300" t="b">
        <v>1</v>
      </c>
      <c r="Y247" s="301" t="b">
        <v>0</v>
      </c>
      <c r="Z247" s="344"/>
      <c r="AA247" s="344"/>
      <c r="AB247" s="344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</row>
    <row r="248">
      <c r="A248" s="291"/>
      <c r="B248" s="303" t="s">
        <v>2016</v>
      </c>
      <c r="C248" s="304" t="s">
        <v>1916</v>
      </c>
      <c r="D248" s="304" t="s">
        <v>2017</v>
      </c>
      <c r="E248" s="307">
        <v>8.10115976547E11</v>
      </c>
      <c r="F248" s="304" t="s">
        <v>406</v>
      </c>
      <c r="G248" s="209"/>
      <c r="H248" s="209"/>
      <c r="I248" s="209"/>
      <c r="J248" s="300" t="b">
        <v>1</v>
      </c>
      <c r="K248" s="301" t="b">
        <v>1</v>
      </c>
      <c r="L248" s="209"/>
      <c r="M248" s="301" t="b">
        <v>0</v>
      </c>
      <c r="N248" s="209"/>
      <c r="O248" s="291"/>
      <c r="P248" s="419" t="s">
        <v>926</v>
      </c>
      <c r="Q248" s="306" t="s">
        <v>588</v>
      </c>
      <c r="R248" s="304" t="s">
        <v>927</v>
      </c>
      <c r="S248" s="307">
        <v>8.40472503568E11</v>
      </c>
      <c r="T248" s="304" t="s">
        <v>1062</v>
      </c>
      <c r="U248" s="209"/>
      <c r="V248" s="209"/>
      <c r="W248" s="325"/>
      <c r="X248" s="300" t="b">
        <v>1</v>
      </c>
      <c r="Y248" s="301" t="b">
        <v>0</v>
      </c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</row>
    <row r="249">
      <c r="A249" s="291"/>
      <c r="B249" s="303" t="s">
        <v>2018</v>
      </c>
      <c r="C249" s="304" t="s">
        <v>505</v>
      </c>
      <c r="D249" s="304" t="s">
        <v>2019</v>
      </c>
      <c r="E249" s="307">
        <v>8.10115971764E11</v>
      </c>
      <c r="F249" s="304" t="s">
        <v>406</v>
      </c>
      <c r="G249" s="209"/>
      <c r="H249" s="209"/>
      <c r="I249" s="209"/>
      <c r="J249" s="300" t="b">
        <v>1</v>
      </c>
      <c r="K249" s="301" t="b">
        <v>1</v>
      </c>
      <c r="L249" s="209"/>
      <c r="M249" s="301" t="b">
        <v>0</v>
      </c>
      <c r="N249" s="209"/>
      <c r="O249" s="291"/>
      <c r="P249" s="419" t="s">
        <v>931</v>
      </c>
      <c r="Q249" s="485" t="s">
        <v>602</v>
      </c>
      <c r="R249" s="209" t="s">
        <v>932</v>
      </c>
      <c r="S249" s="307">
        <v>8.40472503575E11</v>
      </c>
      <c r="T249" s="304" t="s">
        <v>1062</v>
      </c>
      <c r="U249" s="209"/>
      <c r="V249" s="209"/>
      <c r="W249" s="325"/>
      <c r="X249" s="300" t="b">
        <v>1</v>
      </c>
      <c r="Y249" s="301" t="b">
        <v>0</v>
      </c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</row>
    <row r="250">
      <c r="A250" s="291"/>
      <c r="B250" s="303" t="s">
        <v>2021</v>
      </c>
      <c r="C250" s="304" t="s">
        <v>522</v>
      </c>
      <c r="D250" s="304" t="s">
        <v>2022</v>
      </c>
      <c r="E250" s="307">
        <v>8.10115971788E11</v>
      </c>
      <c r="F250" s="209"/>
      <c r="G250" s="209"/>
      <c r="H250" s="209"/>
      <c r="I250" s="209"/>
      <c r="J250" s="300" t="b">
        <v>1</v>
      </c>
      <c r="K250" s="301" t="b">
        <v>0</v>
      </c>
      <c r="L250" s="209"/>
      <c r="M250" s="301" t="b">
        <v>0</v>
      </c>
      <c r="N250" s="209"/>
      <c r="O250" s="291"/>
      <c r="P250" s="345" t="s">
        <v>938</v>
      </c>
      <c r="Q250" s="485" t="s">
        <v>826</v>
      </c>
      <c r="R250" s="209" t="s">
        <v>939</v>
      </c>
      <c r="S250" s="307">
        <v>8.40472503629E11</v>
      </c>
      <c r="T250" s="304" t="s">
        <v>1062</v>
      </c>
      <c r="U250" s="209"/>
      <c r="V250" s="209"/>
      <c r="W250" s="325"/>
      <c r="X250" s="300" t="b">
        <v>1</v>
      </c>
      <c r="Y250" s="301" t="b">
        <v>0</v>
      </c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</row>
    <row r="251">
      <c r="A251" s="291"/>
      <c r="B251" s="303" t="s">
        <v>2026</v>
      </c>
      <c r="C251" s="304" t="s">
        <v>1049</v>
      </c>
      <c r="D251" s="304" t="s">
        <v>2027</v>
      </c>
      <c r="E251" s="307">
        <v>8.10115976561E11</v>
      </c>
      <c r="F251" s="304" t="s">
        <v>406</v>
      </c>
      <c r="G251" s="209"/>
      <c r="H251" s="209"/>
      <c r="I251" s="209"/>
      <c r="J251" s="300" t="b">
        <v>1</v>
      </c>
      <c r="K251" s="301" t="b">
        <v>1</v>
      </c>
      <c r="L251" s="209"/>
      <c r="M251" s="301" t="b">
        <v>0</v>
      </c>
      <c r="N251" s="209"/>
      <c r="O251" s="291"/>
      <c r="P251" s="345" t="s">
        <v>943</v>
      </c>
      <c r="Q251" s="306" t="s">
        <v>944</v>
      </c>
      <c r="R251" s="304" t="s">
        <v>945</v>
      </c>
      <c r="S251" s="307">
        <v>8.40472503636E11</v>
      </c>
      <c r="T251" s="304" t="s">
        <v>1062</v>
      </c>
      <c r="U251" s="209"/>
      <c r="V251" s="209"/>
      <c r="W251" s="325"/>
      <c r="X251" s="300" t="b">
        <v>1</v>
      </c>
      <c r="Y251" s="301" t="b">
        <v>0</v>
      </c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</row>
    <row r="252">
      <c r="A252" s="291"/>
      <c r="B252" s="303" t="s">
        <v>2030</v>
      </c>
      <c r="C252" s="304" t="s">
        <v>1060</v>
      </c>
      <c r="D252" s="304" t="s">
        <v>2031</v>
      </c>
      <c r="E252" s="307">
        <v>8.10115976561E11</v>
      </c>
      <c r="F252" s="304" t="s">
        <v>406</v>
      </c>
      <c r="G252" s="209"/>
      <c r="H252" s="209"/>
      <c r="I252" s="209"/>
      <c r="J252" s="300" t="b">
        <v>1</v>
      </c>
      <c r="K252" s="301" t="b">
        <v>1</v>
      </c>
      <c r="L252" s="209"/>
      <c r="M252" s="301" t="b">
        <v>0</v>
      </c>
      <c r="N252" s="209"/>
      <c r="O252" s="309"/>
      <c r="P252" s="486" t="s">
        <v>947</v>
      </c>
      <c r="Q252" s="317" t="s">
        <v>394</v>
      </c>
      <c r="R252" s="311" t="s">
        <v>948</v>
      </c>
      <c r="S252" s="318">
        <v>8.4047250365E11</v>
      </c>
      <c r="T252" s="304" t="s">
        <v>1062</v>
      </c>
      <c r="U252" s="313"/>
      <c r="V252" s="313"/>
      <c r="W252" s="331"/>
      <c r="X252" s="300" t="b">
        <v>1</v>
      </c>
      <c r="Y252" s="314" t="b">
        <v>0</v>
      </c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</row>
    <row r="253">
      <c r="A253" s="291"/>
      <c r="B253" s="303" t="s">
        <v>2034</v>
      </c>
      <c r="C253" s="304" t="s">
        <v>2035</v>
      </c>
      <c r="D253" s="304" t="s">
        <v>2036</v>
      </c>
      <c r="E253" s="307">
        <v>8.40472502011E11</v>
      </c>
      <c r="F253" s="209"/>
      <c r="G253" s="209"/>
      <c r="H253" s="209"/>
      <c r="I253" s="209"/>
      <c r="J253" s="300" t="b">
        <v>1</v>
      </c>
      <c r="K253" s="301" t="b">
        <v>0</v>
      </c>
      <c r="L253" s="209"/>
      <c r="M253" s="301" t="b">
        <v>0</v>
      </c>
      <c r="N253" s="209"/>
      <c r="O253" s="344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</row>
    <row r="254">
      <c r="A254" s="309"/>
      <c r="B254" s="310" t="s">
        <v>2039</v>
      </c>
      <c r="C254" s="311" t="s">
        <v>1113</v>
      </c>
      <c r="D254" s="311" t="s">
        <v>2040</v>
      </c>
      <c r="E254" s="318">
        <v>8.40472502035E11</v>
      </c>
      <c r="F254" s="311" t="s">
        <v>1062</v>
      </c>
      <c r="G254" s="313"/>
      <c r="H254" s="313"/>
      <c r="I254" s="311" t="s">
        <v>4051</v>
      </c>
      <c r="J254" s="300" t="b">
        <v>1</v>
      </c>
      <c r="K254" s="314" t="b">
        <v>0</v>
      </c>
      <c r="L254" s="313"/>
      <c r="M254" s="314" t="b">
        <v>0</v>
      </c>
      <c r="N254" s="209"/>
      <c r="O254" s="281" t="s">
        <v>1818</v>
      </c>
      <c r="P254" s="483" t="s">
        <v>960</v>
      </c>
      <c r="Q254" s="273"/>
      <c r="R254" s="274" t="s">
        <v>961</v>
      </c>
      <c r="S254" s="273"/>
      <c r="T254" s="273"/>
      <c r="U254" s="273"/>
      <c r="V254" s="274" t="s">
        <v>1938</v>
      </c>
      <c r="W254" s="274" t="s">
        <v>1009</v>
      </c>
      <c r="X254" s="278" t="str">
        <f>IF(COUNTIF(X255:X258, TRUE) = COUNTA(X255:X258), "Complete!", IF(COUNTIF(X255:X258, TRUE) &gt; 0, "Partial", "Not Started"))</f>
        <v>Complete!</v>
      </c>
      <c r="Y254" s="279"/>
      <c r="Z254" s="209"/>
      <c r="AA254" s="209"/>
      <c r="AB254" s="280">
        <v>5.0</v>
      </c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</row>
    <row r="255">
      <c r="A255" s="209"/>
      <c r="B255" s="209"/>
      <c r="C255" s="209"/>
      <c r="D255" s="209"/>
      <c r="E255" s="209"/>
      <c r="F255" s="209"/>
      <c r="G255" s="209"/>
      <c r="H255" s="209"/>
      <c r="I255" s="209"/>
      <c r="J255" s="313"/>
      <c r="K255" s="209"/>
      <c r="L255" s="209"/>
      <c r="M255" s="209"/>
      <c r="N255" s="209"/>
      <c r="O255" s="291"/>
      <c r="P255" s="292" t="s">
        <v>965</v>
      </c>
      <c r="Q255" s="298" t="s">
        <v>437</v>
      </c>
      <c r="R255" s="293" t="s">
        <v>966</v>
      </c>
      <c r="S255" s="299">
        <v>8.40472503582E11</v>
      </c>
      <c r="T255" s="293" t="s">
        <v>1062</v>
      </c>
      <c r="U255" s="295"/>
      <c r="V255" s="295"/>
      <c r="W255" s="328"/>
      <c r="X255" s="296" t="b">
        <v>1</v>
      </c>
      <c r="Y255" s="297" t="b">
        <v>0</v>
      </c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</row>
    <row r="256">
      <c r="A256" s="316" t="s">
        <v>1630</v>
      </c>
      <c r="B256" s="282" t="s">
        <v>2042</v>
      </c>
      <c r="C256" s="273"/>
      <c r="D256" s="274" t="s">
        <v>2043</v>
      </c>
      <c r="E256" s="387" t="s">
        <v>2044</v>
      </c>
      <c r="F256" s="273"/>
      <c r="G256" s="273"/>
      <c r="H256" s="276" t="s">
        <v>888</v>
      </c>
      <c r="I256" s="276" t="s">
        <v>889</v>
      </c>
      <c r="J256" s="468" t="str">
        <f>IF(COUNTIF(J257:J261, TRUE) = COUNTA(J257:J261), "Complete!", IF(COUNTIF(J257:J261, TRUE) &gt; 0, "Partial", "Not Started"))</f>
        <v>Complete!</v>
      </c>
      <c r="K256" s="279"/>
      <c r="L256" s="209"/>
      <c r="M256" s="209"/>
      <c r="N256" s="280">
        <v>8.0</v>
      </c>
      <c r="O256" s="291"/>
      <c r="P256" s="419" t="s">
        <v>971</v>
      </c>
      <c r="Q256" s="306" t="s">
        <v>972</v>
      </c>
      <c r="R256" s="304" t="s">
        <v>973</v>
      </c>
      <c r="S256" s="307">
        <v>8.40472503605E11</v>
      </c>
      <c r="T256" s="304" t="s">
        <v>1062</v>
      </c>
      <c r="U256" s="209"/>
      <c r="V256" s="209"/>
      <c r="W256" s="325"/>
      <c r="X256" s="300" t="b">
        <v>1</v>
      </c>
      <c r="Y256" s="301" t="b">
        <v>0</v>
      </c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</row>
    <row r="257">
      <c r="A257" s="291"/>
      <c r="B257" s="292" t="s">
        <v>2047</v>
      </c>
      <c r="C257" s="293" t="s">
        <v>2048</v>
      </c>
      <c r="D257" s="293" t="s">
        <v>2049</v>
      </c>
      <c r="E257" s="299">
        <v>8.4047250745E11</v>
      </c>
      <c r="F257" s="293" t="s">
        <v>1062</v>
      </c>
      <c r="G257" s="295"/>
      <c r="H257" s="295"/>
      <c r="I257" s="293" t="s">
        <v>1063</v>
      </c>
      <c r="J257" s="296" t="b">
        <v>1</v>
      </c>
      <c r="K257" s="297" t="b">
        <v>0</v>
      </c>
      <c r="L257" s="209"/>
      <c r="M257" s="209"/>
      <c r="N257" s="209"/>
      <c r="O257" s="291"/>
      <c r="P257" s="419" t="s">
        <v>979</v>
      </c>
      <c r="Q257" s="306" t="s">
        <v>754</v>
      </c>
      <c r="R257" s="304" t="s">
        <v>980</v>
      </c>
      <c r="S257" s="307">
        <v>8.40472503667E11</v>
      </c>
      <c r="T257" s="304" t="s">
        <v>1062</v>
      </c>
      <c r="U257" s="209"/>
      <c r="V257" s="209"/>
      <c r="W257" s="325"/>
      <c r="X257" s="300" t="b">
        <v>1</v>
      </c>
      <c r="Y257" s="301" t="b">
        <v>0</v>
      </c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</row>
    <row r="258">
      <c r="A258" s="291"/>
      <c r="B258" s="303" t="s">
        <v>2052</v>
      </c>
      <c r="C258" s="304" t="s">
        <v>2053</v>
      </c>
      <c r="D258" s="304" t="s">
        <v>2054</v>
      </c>
      <c r="E258" s="307">
        <v>8.40472507467E11</v>
      </c>
      <c r="F258" s="304" t="s">
        <v>1062</v>
      </c>
      <c r="G258" s="209"/>
      <c r="H258" s="209"/>
      <c r="I258" s="304" t="s">
        <v>1063</v>
      </c>
      <c r="J258" s="300" t="b">
        <v>1</v>
      </c>
      <c r="K258" s="301" t="b">
        <v>0</v>
      </c>
      <c r="L258" s="209"/>
      <c r="M258" s="209"/>
      <c r="N258" s="209"/>
      <c r="O258" s="291"/>
      <c r="P258" s="303" t="s">
        <v>983</v>
      </c>
      <c r="Q258" s="306" t="s">
        <v>726</v>
      </c>
      <c r="R258" s="304" t="s">
        <v>984</v>
      </c>
      <c r="S258" s="307">
        <v>8.40472503674E11</v>
      </c>
      <c r="T258" s="304" t="s">
        <v>1062</v>
      </c>
      <c r="U258" s="209"/>
      <c r="V258" s="209"/>
      <c r="W258" s="325"/>
      <c r="X258" s="300" t="b">
        <v>1</v>
      </c>
      <c r="Y258" s="301" t="b">
        <v>0</v>
      </c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</row>
    <row r="259">
      <c r="A259" s="291"/>
      <c r="B259" s="303" t="s">
        <v>2057</v>
      </c>
      <c r="C259" s="304" t="s">
        <v>2058</v>
      </c>
      <c r="D259" s="304" t="s">
        <v>2059</v>
      </c>
      <c r="E259" s="307">
        <v>8.40472507474E11</v>
      </c>
      <c r="F259" s="304" t="s">
        <v>1062</v>
      </c>
      <c r="G259" s="209"/>
      <c r="H259" s="209"/>
      <c r="I259" s="304" t="s">
        <v>1063</v>
      </c>
      <c r="J259" s="300" t="b">
        <v>1</v>
      </c>
      <c r="K259" s="301" t="b">
        <v>0</v>
      </c>
      <c r="L259" s="209"/>
      <c r="M259" s="209"/>
      <c r="N259" s="209"/>
      <c r="O259" s="309"/>
      <c r="P259" s="310" t="s">
        <v>991</v>
      </c>
      <c r="Q259" s="317" t="s">
        <v>736</v>
      </c>
      <c r="R259" s="311" t="s">
        <v>992</v>
      </c>
      <c r="S259" s="318">
        <v>8.40472503698E11</v>
      </c>
      <c r="T259" s="304" t="s">
        <v>1062</v>
      </c>
      <c r="U259" s="313"/>
      <c r="V259" s="313"/>
      <c r="W259" s="331"/>
      <c r="X259" s="300" t="b">
        <v>1</v>
      </c>
      <c r="Y259" s="314" t="b">
        <v>0</v>
      </c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</row>
    <row r="260">
      <c r="A260" s="291"/>
      <c r="B260" s="303" t="s">
        <v>2063</v>
      </c>
      <c r="C260" s="304" t="s">
        <v>2064</v>
      </c>
      <c r="D260" s="304" t="s">
        <v>2065</v>
      </c>
      <c r="E260" s="307">
        <v>8.40472507481E11</v>
      </c>
      <c r="F260" s="304" t="s">
        <v>1062</v>
      </c>
      <c r="G260" s="209"/>
      <c r="H260" s="209"/>
      <c r="I260" s="304" t="s">
        <v>1063</v>
      </c>
      <c r="J260" s="300" t="b">
        <v>1</v>
      </c>
      <c r="K260" s="301" t="b">
        <v>0</v>
      </c>
      <c r="L260" s="209"/>
      <c r="M260" s="209"/>
      <c r="N260" s="209"/>
      <c r="O260" s="344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</row>
    <row r="261">
      <c r="A261" s="291"/>
      <c r="B261" s="303" t="s">
        <v>2066</v>
      </c>
      <c r="C261" s="304" t="s">
        <v>2048</v>
      </c>
      <c r="D261" s="304" t="s">
        <v>2067</v>
      </c>
      <c r="E261" s="307">
        <v>8.40472507498E11</v>
      </c>
      <c r="F261" s="304" t="s">
        <v>1062</v>
      </c>
      <c r="G261" s="209"/>
      <c r="H261" s="209"/>
      <c r="I261" s="304" t="s">
        <v>1063</v>
      </c>
      <c r="J261" s="300" t="b">
        <v>1</v>
      </c>
      <c r="K261" s="301" t="b">
        <v>0</v>
      </c>
      <c r="L261" s="209"/>
      <c r="M261" s="209"/>
      <c r="N261" s="209"/>
      <c r="O261" s="281" t="s">
        <v>1841</v>
      </c>
      <c r="P261" s="483" t="s">
        <v>1006</v>
      </c>
      <c r="Q261" s="273"/>
      <c r="R261" s="274" t="s">
        <v>1007</v>
      </c>
      <c r="S261" s="273"/>
      <c r="T261" s="273"/>
      <c r="U261" s="273"/>
      <c r="V261" s="274" t="s">
        <v>1938</v>
      </c>
      <c r="W261" s="274" t="s">
        <v>1009</v>
      </c>
      <c r="X261" s="278" t="str">
        <f>IF(COUNTIF(X262:X265, TRUE) = COUNTA(X262:X265), "Complete!", IF(COUNTIF(X262:X265, TRUE) &gt; 0, "Partial", "Not Started"))</f>
        <v>Complete!</v>
      </c>
      <c r="Y261" s="279"/>
      <c r="Z261" s="209"/>
      <c r="AA261" s="209"/>
      <c r="AB261" s="280">
        <v>5.0</v>
      </c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</row>
    <row r="262">
      <c r="A262" s="291"/>
      <c r="B262" s="303" t="s">
        <v>2070</v>
      </c>
      <c r="C262" s="304" t="s">
        <v>2053</v>
      </c>
      <c r="D262" s="304" t="s">
        <v>2071</v>
      </c>
      <c r="E262" s="307">
        <v>8.40472507504E11</v>
      </c>
      <c r="F262" s="304" t="s">
        <v>1062</v>
      </c>
      <c r="G262" s="209"/>
      <c r="H262" s="209"/>
      <c r="I262" s="304" t="s">
        <v>1063</v>
      </c>
      <c r="J262" s="300" t="b">
        <v>1</v>
      </c>
      <c r="K262" s="301" t="b">
        <v>0</v>
      </c>
      <c r="L262" s="209"/>
      <c r="M262" s="209"/>
      <c r="N262" s="209"/>
      <c r="O262" s="291"/>
      <c r="P262" s="292" t="s">
        <v>1013</v>
      </c>
      <c r="Q262" s="298" t="s">
        <v>617</v>
      </c>
      <c r="R262" s="293" t="s">
        <v>1014</v>
      </c>
      <c r="S262" s="299">
        <v>8.40472503551E11</v>
      </c>
      <c r="T262" s="304" t="s">
        <v>1062</v>
      </c>
      <c r="U262" s="295"/>
      <c r="V262" s="295"/>
      <c r="W262" s="328"/>
      <c r="X262" s="296" t="b">
        <v>1</v>
      </c>
      <c r="Y262" s="297" t="b">
        <v>0</v>
      </c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</row>
    <row r="263">
      <c r="A263" s="291"/>
      <c r="B263" s="303" t="s">
        <v>2074</v>
      </c>
      <c r="C263" s="304" t="s">
        <v>2058</v>
      </c>
      <c r="D263" s="304" t="s">
        <v>2075</v>
      </c>
      <c r="E263" s="307">
        <v>8.40472507511E11</v>
      </c>
      <c r="F263" s="304" t="s">
        <v>1062</v>
      </c>
      <c r="G263" s="209"/>
      <c r="H263" s="209"/>
      <c r="I263" s="304" t="s">
        <v>1063</v>
      </c>
      <c r="J263" s="300" t="b">
        <v>1</v>
      </c>
      <c r="K263" s="301" t="b">
        <v>0</v>
      </c>
      <c r="L263" s="209"/>
      <c r="M263" s="209"/>
      <c r="N263" s="209"/>
      <c r="O263" s="291"/>
      <c r="P263" s="303" t="s">
        <v>1016</v>
      </c>
      <c r="Q263" s="306" t="s">
        <v>437</v>
      </c>
      <c r="R263" s="304" t="s">
        <v>1017</v>
      </c>
      <c r="S263" s="307">
        <v>8.40472503599E11</v>
      </c>
      <c r="T263" s="304" t="s">
        <v>1062</v>
      </c>
      <c r="U263" s="209"/>
      <c r="V263" s="209"/>
      <c r="W263" s="325"/>
      <c r="X263" s="300" t="b">
        <v>1</v>
      </c>
      <c r="Y263" s="301" t="b">
        <v>0</v>
      </c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</row>
    <row r="264">
      <c r="A264" s="309"/>
      <c r="B264" s="310" t="s">
        <v>2078</v>
      </c>
      <c r="C264" s="311" t="s">
        <v>2064</v>
      </c>
      <c r="D264" s="311" t="s">
        <v>2079</v>
      </c>
      <c r="E264" s="318">
        <v>8.40472507528E11</v>
      </c>
      <c r="F264" s="311" t="s">
        <v>1062</v>
      </c>
      <c r="G264" s="313"/>
      <c r="H264" s="313"/>
      <c r="I264" s="311" t="s">
        <v>1063</v>
      </c>
      <c r="J264" s="300" t="b">
        <v>1</v>
      </c>
      <c r="K264" s="314" t="b">
        <v>0</v>
      </c>
      <c r="L264" s="209"/>
      <c r="M264" s="209"/>
      <c r="N264" s="209"/>
      <c r="O264" s="291"/>
      <c r="P264" s="303" t="s">
        <v>1020</v>
      </c>
      <c r="Q264" s="306" t="s">
        <v>972</v>
      </c>
      <c r="R264" s="304" t="s">
        <v>1021</v>
      </c>
      <c r="S264" s="307">
        <v>8.40472503612E11</v>
      </c>
      <c r="T264" s="304" t="s">
        <v>1062</v>
      </c>
      <c r="U264" s="209"/>
      <c r="V264" s="209"/>
      <c r="W264" s="325"/>
      <c r="X264" s="300" t="b">
        <v>1</v>
      </c>
      <c r="Y264" s="301" t="b">
        <v>0</v>
      </c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</row>
    <row r="265">
      <c r="A265" s="209"/>
      <c r="B265" s="209"/>
      <c r="C265" s="209"/>
      <c r="D265" s="209"/>
      <c r="E265" s="209"/>
      <c r="F265" s="209"/>
      <c r="G265" s="209"/>
      <c r="H265" s="209"/>
      <c r="I265" s="209"/>
      <c r="J265" s="313"/>
      <c r="K265" s="209"/>
      <c r="L265" s="209"/>
      <c r="M265" s="209"/>
      <c r="N265" s="209"/>
      <c r="O265" s="291"/>
      <c r="P265" s="303" t="s">
        <v>1024</v>
      </c>
      <c r="Q265" s="306" t="s">
        <v>944</v>
      </c>
      <c r="R265" s="304" t="s">
        <v>1025</v>
      </c>
      <c r="S265" s="307">
        <v>8.40472503643E11</v>
      </c>
      <c r="T265" s="304" t="s">
        <v>1062</v>
      </c>
      <c r="U265" s="209"/>
      <c r="V265" s="209"/>
      <c r="W265" s="325"/>
      <c r="X265" s="300" t="b">
        <v>1</v>
      </c>
      <c r="Y265" s="301" t="b">
        <v>0</v>
      </c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</row>
    <row r="266">
      <c r="A266" s="316" t="s">
        <v>1689</v>
      </c>
      <c r="B266" s="282" t="s">
        <v>4338</v>
      </c>
      <c r="C266" s="273"/>
      <c r="D266" s="274" t="s">
        <v>4339</v>
      </c>
      <c r="E266" s="387" t="s">
        <v>2086</v>
      </c>
      <c r="F266" s="273"/>
      <c r="G266" s="273"/>
      <c r="H266" s="487" t="s">
        <v>370</v>
      </c>
      <c r="I266" s="487" t="s">
        <v>4340</v>
      </c>
      <c r="J266" s="273"/>
      <c r="K266" s="279"/>
      <c r="L266" s="209"/>
      <c r="M266" s="209"/>
      <c r="N266" s="280">
        <v>11.0</v>
      </c>
      <c r="O266" s="309"/>
      <c r="P266" s="310" t="s">
        <v>1028</v>
      </c>
      <c r="Q266" s="317" t="s">
        <v>726</v>
      </c>
      <c r="R266" s="311" t="s">
        <v>1029</v>
      </c>
      <c r="S266" s="318">
        <v>8.40472503681E11</v>
      </c>
      <c r="T266" s="304" t="s">
        <v>1062</v>
      </c>
      <c r="U266" s="313"/>
      <c r="V266" s="313"/>
      <c r="W266" s="331"/>
      <c r="X266" s="300" t="b">
        <v>1</v>
      </c>
      <c r="Y266" s="314" t="b">
        <v>0</v>
      </c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</row>
    <row r="267">
      <c r="A267" s="291"/>
      <c r="B267" s="292" t="s">
        <v>2115</v>
      </c>
      <c r="C267" s="293" t="s">
        <v>390</v>
      </c>
      <c r="D267" s="293" t="s">
        <v>2116</v>
      </c>
      <c r="E267" s="299">
        <v>8.10115975823E11</v>
      </c>
      <c r="F267" s="293" t="s">
        <v>406</v>
      </c>
      <c r="G267" s="295"/>
      <c r="H267" s="295"/>
      <c r="I267" s="295"/>
      <c r="J267" s="296" t="b">
        <v>1</v>
      </c>
      <c r="K267" s="297" t="b">
        <v>1</v>
      </c>
      <c r="L267" s="209"/>
      <c r="M267" s="209"/>
      <c r="N267" s="209"/>
      <c r="O267" s="344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</row>
    <row r="268">
      <c r="A268" s="291"/>
      <c r="B268" s="303" t="s">
        <v>2088</v>
      </c>
      <c r="C268" s="304" t="s">
        <v>855</v>
      </c>
      <c r="D268" s="304" t="s">
        <v>2089</v>
      </c>
      <c r="E268" s="307">
        <v>8.10115972631E11</v>
      </c>
      <c r="F268" s="209"/>
      <c r="G268" s="209"/>
      <c r="H268" s="209"/>
      <c r="I268" s="209"/>
      <c r="J268" s="300" t="b">
        <v>1</v>
      </c>
      <c r="K268" s="301" t="b">
        <v>0</v>
      </c>
      <c r="L268" s="209"/>
      <c r="M268" s="209"/>
      <c r="N268" s="209"/>
      <c r="O268" s="281" t="s">
        <v>1869</v>
      </c>
      <c r="P268" s="483" t="s">
        <v>1035</v>
      </c>
      <c r="Q268" s="273"/>
      <c r="R268" s="274" t="s">
        <v>1036</v>
      </c>
      <c r="S268" s="273"/>
      <c r="T268" s="273"/>
      <c r="U268" s="273"/>
      <c r="V268" s="274" t="s">
        <v>1938</v>
      </c>
      <c r="W268" s="274" t="s">
        <v>1009</v>
      </c>
      <c r="X268" s="278" t="str">
        <f>IF(COUNTIF(X269:X272, TRUE) = COUNTA(X269:X272), "Complete!", IF(COUNTIF(X269:X272, TRUE) &gt; 0, "Partial", "Not Started"))</f>
        <v>Complete!</v>
      </c>
      <c r="Y268" s="279"/>
      <c r="Z268" s="209"/>
      <c r="AA268" s="209"/>
      <c r="AB268" s="280">
        <v>4.0</v>
      </c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</row>
    <row r="269">
      <c r="A269" s="291"/>
      <c r="B269" s="303" t="s">
        <v>2117</v>
      </c>
      <c r="C269" s="304" t="s">
        <v>400</v>
      </c>
      <c r="D269" s="304" t="s">
        <v>2118</v>
      </c>
      <c r="E269" s="307">
        <v>8.1011597286E11</v>
      </c>
      <c r="F269" s="209"/>
      <c r="G269" s="209"/>
      <c r="H269" s="209"/>
      <c r="I269" s="209"/>
      <c r="J269" s="300" t="b">
        <v>1</v>
      </c>
      <c r="K269" s="301" t="b">
        <v>0</v>
      </c>
      <c r="L269" s="209"/>
      <c r="M269" s="209"/>
      <c r="N269" s="209"/>
      <c r="O269" s="291"/>
      <c r="P269" s="292" t="s">
        <v>1040</v>
      </c>
      <c r="Q269" s="298" t="s">
        <v>400</v>
      </c>
      <c r="R269" s="293" t="s">
        <v>1041</v>
      </c>
      <c r="S269" s="299">
        <v>8.40472503704E11</v>
      </c>
      <c r="T269" s="304" t="s">
        <v>1062</v>
      </c>
      <c r="U269" s="295"/>
      <c r="V269" s="295"/>
      <c r="W269" s="328"/>
      <c r="X269" s="296" t="b">
        <v>1</v>
      </c>
      <c r="Y269" s="297" t="b">
        <v>0</v>
      </c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</row>
    <row r="270">
      <c r="A270" s="291"/>
      <c r="B270" s="303" t="s">
        <v>2093</v>
      </c>
      <c r="C270" s="304" t="s">
        <v>2094</v>
      </c>
      <c r="D270" s="304" t="s">
        <v>2095</v>
      </c>
      <c r="E270" s="307">
        <v>8.10115972815E11</v>
      </c>
      <c r="F270" s="209"/>
      <c r="G270" s="209"/>
      <c r="H270" s="209"/>
      <c r="I270" s="209"/>
      <c r="J270" s="300" t="b">
        <v>1</v>
      </c>
      <c r="K270" s="301" t="b">
        <v>0</v>
      </c>
      <c r="L270" s="209"/>
      <c r="M270" s="209"/>
      <c r="N270" s="209"/>
      <c r="O270" s="291"/>
      <c r="P270" s="303" t="s">
        <v>1046</v>
      </c>
      <c r="Q270" s="306" t="s">
        <v>400</v>
      </c>
      <c r="R270" s="304" t="s">
        <v>1047</v>
      </c>
      <c r="S270" s="307">
        <v>8.40472503711E11</v>
      </c>
      <c r="T270" s="304" t="s">
        <v>1062</v>
      </c>
      <c r="U270" s="209"/>
      <c r="V270" s="209"/>
      <c r="W270" s="325"/>
      <c r="X270" s="300" t="b">
        <v>1</v>
      </c>
      <c r="Y270" s="301" t="b">
        <v>0</v>
      </c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</row>
    <row r="271">
      <c r="A271" s="291"/>
      <c r="B271" s="303" t="s">
        <v>2096</v>
      </c>
      <c r="C271" s="304" t="s">
        <v>2097</v>
      </c>
      <c r="D271" s="304" t="s">
        <v>2098</v>
      </c>
      <c r="E271" s="307">
        <v>8.10115972839E11</v>
      </c>
      <c r="F271" s="304" t="s">
        <v>406</v>
      </c>
      <c r="G271" s="209"/>
      <c r="H271" s="209"/>
      <c r="I271" s="209"/>
      <c r="J271" s="300" t="b">
        <v>1</v>
      </c>
      <c r="K271" s="301" t="b">
        <v>1</v>
      </c>
      <c r="L271" s="209"/>
      <c r="M271" s="209"/>
      <c r="N271" s="209"/>
      <c r="O271" s="291"/>
      <c r="P271" s="303" t="s">
        <v>1051</v>
      </c>
      <c r="Q271" s="306" t="s">
        <v>400</v>
      </c>
      <c r="R271" s="304" t="s">
        <v>1052</v>
      </c>
      <c r="S271" s="307">
        <v>8.40472503728E11</v>
      </c>
      <c r="T271" s="304" t="s">
        <v>1062</v>
      </c>
      <c r="U271" s="209"/>
      <c r="V271" s="209"/>
      <c r="W271" s="325"/>
      <c r="X271" s="300" t="b">
        <v>1</v>
      </c>
      <c r="Y271" s="301" t="b">
        <v>0</v>
      </c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</row>
    <row r="272">
      <c r="A272" s="291"/>
      <c r="B272" s="303" t="s">
        <v>2099</v>
      </c>
      <c r="C272" s="304" t="s">
        <v>2100</v>
      </c>
      <c r="D272" s="304" t="s">
        <v>2101</v>
      </c>
      <c r="E272" s="307">
        <v>8.10115972853E11</v>
      </c>
      <c r="F272" s="304" t="s">
        <v>406</v>
      </c>
      <c r="G272" s="209"/>
      <c r="H272" s="209"/>
      <c r="I272" s="209"/>
      <c r="J272" s="300" t="b">
        <v>1</v>
      </c>
      <c r="K272" s="301" t="b">
        <v>1</v>
      </c>
      <c r="L272" s="209"/>
      <c r="M272" s="209"/>
      <c r="N272" s="209"/>
      <c r="O272" s="309"/>
      <c r="P272" s="310" t="s">
        <v>4077</v>
      </c>
      <c r="Q272" s="317" t="s">
        <v>400</v>
      </c>
      <c r="R272" s="311" t="s">
        <v>4078</v>
      </c>
      <c r="S272" s="318">
        <v>8.40472503735E11</v>
      </c>
      <c r="T272" s="304" t="s">
        <v>1062</v>
      </c>
      <c r="U272" s="313"/>
      <c r="V272" s="313"/>
      <c r="W272" s="331"/>
      <c r="X272" s="300" t="b">
        <v>1</v>
      </c>
      <c r="Y272" s="314" t="b">
        <v>0</v>
      </c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</row>
    <row r="273">
      <c r="A273" s="291"/>
      <c r="B273" s="303" t="s">
        <v>2119</v>
      </c>
      <c r="C273" s="304" t="s">
        <v>412</v>
      </c>
      <c r="D273" s="304" t="s">
        <v>2120</v>
      </c>
      <c r="E273" s="307">
        <v>8.40472502042E11</v>
      </c>
      <c r="F273" s="209"/>
      <c r="G273" s="209"/>
      <c r="H273" s="209"/>
      <c r="I273" s="209"/>
      <c r="J273" s="300" t="b">
        <v>1</v>
      </c>
      <c r="K273" s="301" t="b">
        <v>0</v>
      </c>
      <c r="L273" s="209"/>
      <c r="M273" s="209"/>
      <c r="N273" s="209"/>
      <c r="O273" s="344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</row>
    <row r="274">
      <c r="A274" s="291"/>
      <c r="B274" s="303" t="s">
        <v>2121</v>
      </c>
      <c r="C274" s="304" t="s">
        <v>715</v>
      </c>
      <c r="D274" s="304" t="s">
        <v>2122</v>
      </c>
      <c r="E274" s="307">
        <v>8.1011597583E11</v>
      </c>
      <c r="F274" s="304" t="s">
        <v>406</v>
      </c>
      <c r="G274" s="209"/>
      <c r="H274" s="209"/>
      <c r="I274" s="209"/>
      <c r="J274" s="300" t="b">
        <v>1</v>
      </c>
      <c r="K274" s="301" t="b">
        <v>1</v>
      </c>
      <c r="L274" s="209"/>
      <c r="M274" s="209"/>
      <c r="N274" s="209"/>
      <c r="O274" s="281" t="s">
        <v>1894</v>
      </c>
      <c r="P274" s="319" t="s">
        <v>1065</v>
      </c>
      <c r="Q274" s="320"/>
      <c r="R274" s="283" t="s">
        <v>1066</v>
      </c>
      <c r="S274" s="336" t="s">
        <v>1067</v>
      </c>
      <c r="T274" s="320"/>
      <c r="U274" s="320"/>
      <c r="V274" s="285" t="s">
        <v>888</v>
      </c>
      <c r="W274" s="285" t="s">
        <v>889</v>
      </c>
      <c r="X274" s="333" t="str">
        <f>IF(COUNTIF(#REF!, TRUE) = COUNTA(#REF!), "Complete!", IF(COUNTIF(#REF!, TRUE) &gt; 0, "Partial", "Not Started"))</f>
        <v>#REF!</v>
      </c>
      <c r="Y274" s="334"/>
      <c r="Z274" s="209"/>
      <c r="AA274" s="209"/>
      <c r="AB274" s="280">
        <v>4.0</v>
      </c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</row>
    <row r="275">
      <c r="A275" s="291"/>
      <c r="B275" s="303" t="s">
        <v>2102</v>
      </c>
      <c r="C275" s="304" t="s">
        <v>2103</v>
      </c>
      <c r="D275" s="304" t="s">
        <v>2104</v>
      </c>
      <c r="E275" s="307">
        <v>8.10115972846E11</v>
      </c>
      <c r="F275" s="209"/>
      <c r="G275" s="209"/>
      <c r="H275" s="209"/>
      <c r="I275" s="209"/>
      <c r="J275" s="300" t="b">
        <v>1</v>
      </c>
      <c r="K275" s="301" t="b">
        <v>0</v>
      </c>
      <c r="L275" s="209"/>
      <c r="M275" s="209"/>
      <c r="N275" s="209"/>
      <c r="O275" s="291"/>
      <c r="P275" s="292" t="s">
        <v>1071</v>
      </c>
      <c r="Q275" s="293" t="s">
        <v>400</v>
      </c>
      <c r="R275" s="293" t="s">
        <v>1072</v>
      </c>
      <c r="S275" s="299">
        <v>8.40472503759E11</v>
      </c>
      <c r="T275" s="293" t="s">
        <v>1062</v>
      </c>
      <c r="U275" s="295"/>
      <c r="V275" s="295"/>
      <c r="W275" s="295"/>
      <c r="X275" s="296" t="b">
        <v>1</v>
      </c>
      <c r="Y275" s="297" t="b">
        <v>0</v>
      </c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</row>
    <row r="276">
      <c r="A276" s="291"/>
      <c r="B276" s="303" t="s">
        <v>2123</v>
      </c>
      <c r="C276" s="304" t="s">
        <v>421</v>
      </c>
      <c r="D276" s="304" t="s">
        <v>2124</v>
      </c>
      <c r="E276" s="307">
        <v>8.40472502059E11</v>
      </c>
      <c r="F276" s="209"/>
      <c r="G276" s="209"/>
      <c r="H276" s="209"/>
      <c r="I276" s="209"/>
      <c r="J276" s="300" t="b">
        <v>1</v>
      </c>
      <c r="K276" s="301" t="b">
        <v>0</v>
      </c>
      <c r="L276" s="209"/>
      <c r="M276" s="209"/>
      <c r="N276" s="209"/>
      <c r="O276" s="291"/>
      <c r="P276" s="303" t="s">
        <v>1075</v>
      </c>
      <c r="Q276" s="304" t="s">
        <v>400</v>
      </c>
      <c r="R276" s="304" t="s">
        <v>1076</v>
      </c>
      <c r="S276" s="307">
        <v>8.40472503766E11</v>
      </c>
      <c r="T276" s="304" t="s">
        <v>1062</v>
      </c>
      <c r="U276" s="209"/>
      <c r="V276" s="209"/>
      <c r="W276" s="209"/>
      <c r="X276" s="300" t="b">
        <v>1</v>
      </c>
      <c r="Y276" s="301" t="b">
        <v>0</v>
      </c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</row>
    <row r="277">
      <c r="A277" s="309"/>
      <c r="B277" s="310" t="s">
        <v>2125</v>
      </c>
      <c r="C277" s="311" t="s">
        <v>449</v>
      </c>
      <c r="D277" s="311" t="s">
        <v>2126</v>
      </c>
      <c r="E277" s="318">
        <v>8.40472502066E11</v>
      </c>
      <c r="F277" s="313"/>
      <c r="G277" s="313"/>
      <c r="H277" s="313"/>
      <c r="I277" s="313"/>
      <c r="J277" s="300" t="b">
        <v>1</v>
      </c>
      <c r="K277" s="314" t="b">
        <v>0</v>
      </c>
      <c r="L277" s="209"/>
      <c r="M277" s="209"/>
      <c r="N277" s="209"/>
      <c r="O277" s="291"/>
      <c r="P277" s="303" t="s">
        <v>4081</v>
      </c>
      <c r="Q277" s="304" t="s">
        <v>400</v>
      </c>
      <c r="R277" s="304" t="s">
        <v>4082</v>
      </c>
      <c r="S277" s="307">
        <v>8.40472503773E11</v>
      </c>
      <c r="T277" s="304" t="s">
        <v>1062</v>
      </c>
      <c r="U277" s="209"/>
      <c r="V277" s="209"/>
      <c r="W277" s="209"/>
      <c r="X277" s="300" t="b">
        <v>1</v>
      </c>
      <c r="Y277" s="301" t="b">
        <v>0</v>
      </c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</row>
    <row r="278">
      <c r="A278" s="209"/>
      <c r="B278" s="209"/>
      <c r="C278" s="209"/>
      <c r="D278" s="209"/>
      <c r="E278" s="209"/>
      <c r="F278" s="209"/>
      <c r="G278" s="209"/>
      <c r="H278" s="209"/>
      <c r="I278" s="209"/>
      <c r="J278" s="313"/>
      <c r="K278" s="209"/>
      <c r="L278" s="209"/>
      <c r="M278" s="209"/>
      <c r="N278" s="209"/>
      <c r="O278" s="309"/>
      <c r="P278" s="310" t="s">
        <v>4083</v>
      </c>
      <c r="Q278" s="311" t="s">
        <v>400</v>
      </c>
      <c r="R278" s="311" t="s">
        <v>4084</v>
      </c>
      <c r="S278" s="318">
        <v>8.40472503742E11</v>
      </c>
      <c r="T278" s="311" t="s">
        <v>1062</v>
      </c>
      <c r="U278" s="313"/>
      <c r="V278" s="313"/>
      <c r="W278" s="313"/>
      <c r="X278" s="350" t="b">
        <v>1</v>
      </c>
      <c r="Y278" s="314" t="b">
        <v>0</v>
      </c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</row>
    <row r="279">
      <c r="A279" s="316" t="s">
        <v>1724</v>
      </c>
      <c r="B279" s="319" t="s">
        <v>4341</v>
      </c>
      <c r="C279" s="320"/>
      <c r="D279" s="283" t="s">
        <v>4342</v>
      </c>
      <c r="E279" s="336" t="s">
        <v>2086</v>
      </c>
      <c r="F279" s="320"/>
      <c r="G279" s="320"/>
      <c r="H279" s="285" t="s">
        <v>563</v>
      </c>
      <c r="I279" s="285" t="s">
        <v>4192</v>
      </c>
      <c r="J279" s="333" t="str">
        <f>IF(COUNTIF(J267:J287, TRUE) = COUNTA(J267:J287), "Complete!", IF(COUNTIF(J267:J287, TRUE) &gt; 0, "Partial", "Not Started"))</f>
        <v>#REF!</v>
      </c>
      <c r="K279" s="334"/>
      <c r="L279" s="464" t="s">
        <v>889</v>
      </c>
      <c r="M279" s="465" t="str">
        <f>IF(COUNTIF(M280:M296, TRUE) = COUNTA(M280:M296), "Complete!", IF(COUNTIF(M280:M296, TRUE) &gt; 0, "Partial", "Not Started"))</f>
        <v>Not Started</v>
      </c>
      <c r="N279" s="280">
        <v>10.0</v>
      </c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</row>
    <row r="280">
      <c r="A280" s="291"/>
      <c r="B280" s="292" t="s">
        <v>4343</v>
      </c>
      <c r="C280" s="293" t="s">
        <v>4344</v>
      </c>
      <c r="D280" s="293" t="s">
        <v>4345</v>
      </c>
      <c r="E280" s="299">
        <v>8.40472502127E11</v>
      </c>
      <c r="F280" s="293" t="s">
        <v>1062</v>
      </c>
      <c r="G280" s="295"/>
      <c r="H280" s="295"/>
      <c r="I280" s="295"/>
      <c r="J280" s="296" t="b">
        <v>1</v>
      </c>
      <c r="K280" s="297" t="b">
        <v>0</v>
      </c>
      <c r="L280" s="209"/>
      <c r="M280" s="301" t="b">
        <v>0</v>
      </c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</row>
    <row r="281">
      <c r="A281" s="291"/>
      <c r="B281" s="303" t="s">
        <v>4346</v>
      </c>
      <c r="C281" s="304" t="s">
        <v>4347</v>
      </c>
      <c r="D281" s="304" t="s">
        <v>4348</v>
      </c>
      <c r="E281" s="307">
        <v>8.40472502165E11</v>
      </c>
      <c r="F281" s="304" t="s">
        <v>1062</v>
      </c>
      <c r="G281" s="209"/>
      <c r="H281" s="209"/>
      <c r="I281" s="209"/>
      <c r="J281" s="300" t="b">
        <v>1</v>
      </c>
      <c r="K281" s="301" t="b">
        <v>0</v>
      </c>
      <c r="L281" s="209"/>
      <c r="M281" s="301" t="b">
        <v>0</v>
      </c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</row>
    <row r="282">
      <c r="A282" s="291"/>
      <c r="B282" s="303" t="s">
        <v>2090</v>
      </c>
      <c r="C282" s="304" t="s">
        <v>2091</v>
      </c>
      <c r="D282" s="304" t="s">
        <v>2092</v>
      </c>
      <c r="E282" s="307">
        <v>8.10115973201E11</v>
      </c>
      <c r="F282" s="209"/>
      <c r="G282" s="209"/>
      <c r="H282" s="209"/>
      <c r="I282" s="209"/>
      <c r="J282" s="300" t="b">
        <v>1</v>
      </c>
      <c r="K282" s="301" t="b">
        <v>0</v>
      </c>
      <c r="L282" s="209"/>
      <c r="M282" s="301" t="b">
        <v>0</v>
      </c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</row>
    <row r="283">
      <c r="A283" s="291"/>
      <c r="B283" s="303" t="s">
        <v>4349</v>
      </c>
      <c r="C283" s="304" t="s">
        <v>4350</v>
      </c>
      <c r="D283" s="304" t="s">
        <v>4351</v>
      </c>
      <c r="E283" s="307">
        <v>8.40472502097E11</v>
      </c>
      <c r="F283" s="304" t="s">
        <v>1062</v>
      </c>
      <c r="G283" s="209"/>
      <c r="H283" s="209"/>
      <c r="I283" s="209"/>
      <c r="J283" s="300" t="b">
        <v>1</v>
      </c>
      <c r="K283" s="301" t="b">
        <v>0</v>
      </c>
      <c r="L283" s="209"/>
      <c r="M283" s="301" t="b">
        <v>0</v>
      </c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</row>
    <row r="284">
      <c r="A284" s="291"/>
      <c r="B284" s="303" t="s">
        <v>2106</v>
      </c>
      <c r="C284" s="304" t="s">
        <v>1916</v>
      </c>
      <c r="D284" s="304" t="s">
        <v>2107</v>
      </c>
      <c r="E284" s="307">
        <v>8.10115973218E11</v>
      </c>
      <c r="F284" s="304" t="s">
        <v>406</v>
      </c>
      <c r="G284" s="209"/>
      <c r="H284" s="209"/>
      <c r="I284" s="209"/>
      <c r="J284" s="300" t="b">
        <v>1</v>
      </c>
      <c r="K284" s="301" t="b">
        <v>1</v>
      </c>
      <c r="L284" s="209"/>
      <c r="M284" s="301" t="b">
        <v>0</v>
      </c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</row>
    <row r="285">
      <c r="A285" s="291"/>
      <c r="B285" s="303" t="s">
        <v>2108</v>
      </c>
      <c r="C285" s="304" t="s">
        <v>505</v>
      </c>
      <c r="D285" s="304" t="s">
        <v>2109</v>
      </c>
      <c r="E285" s="307">
        <v>8.10115973225E11</v>
      </c>
      <c r="F285" s="209"/>
      <c r="G285" s="209"/>
      <c r="H285" s="209"/>
      <c r="I285" s="209"/>
      <c r="J285" s="300" t="b">
        <v>1</v>
      </c>
      <c r="K285" s="301" t="b">
        <v>0</v>
      </c>
      <c r="L285" s="209"/>
      <c r="M285" s="301" t="b">
        <v>0</v>
      </c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</row>
    <row r="286">
      <c r="A286" s="291"/>
      <c r="B286" s="303" t="s">
        <v>2111</v>
      </c>
      <c r="C286" s="304" t="s">
        <v>522</v>
      </c>
      <c r="D286" s="304" t="s">
        <v>2112</v>
      </c>
      <c r="E286" s="307">
        <v>8.10115973232E11</v>
      </c>
      <c r="F286" s="304" t="s">
        <v>406</v>
      </c>
      <c r="G286" s="209"/>
      <c r="H286" s="209"/>
      <c r="I286" s="209"/>
      <c r="J286" s="300" t="b">
        <v>1</v>
      </c>
      <c r="K286" s="301" t="b">
        <v>1</v>
      </c>
      <c r="L286" s="209"/>
      <c r="M286" s="301" t="b">
        <v>0</v>
      </c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</row>
    <row r="287">
      <c r="A287" s="291"/>
      <c r="B287" s="303" t="s">
        <v>2113</v>
      </c>
      <c r="C287" s="304" t="s">
        <v>1060</v>
      </c>
      <c r="D287" s="304" t="s">
        <v>2114</v>
      </c>
      <c r="E287" s="307">
        <v>8.10115973133E11</v>
      </c>
      <c r="F287" s="209"/>
      <c r="G287" s="209"/>
      <c r="H287" s="209"/>
      <c r="I287" s="209"/>
      <c r="J287" s="300" t="b">
        <v>1</v>
      </c>
      <c r="K287" s="301" t="b">
        <v>0</v>
      </c>
      <c r="L287" s="209"/>
      <c r="M287" s="301" t="b">
        <v>0</v>
      </c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</row>
    <row r="288">
      <c r="A288" s="291"/>
      <c r="B288" s="310" t="s">
        <v>2127</v>
      </c>
      <c r="C288" s="311" t="s">
        <v>2128</v>
      </c>
      <c r="D288" s="311" t="s">
        <v>2129</v>
      </c>
      <c r="E288" s="318">
        <v>8.10115975854E11</v>
      </c>
      <c r="F288" s="311" t="s">
        <v>406</v>
      </c>
      <c r="G288" s="313"/>
      <c r="H288" s="313"/>
      <c r="I288" s="313"/>
      <c r="J288" s="300" t="b">
        <v>1</v>
      </c>
      <c r="K288" s="314" t="b">
        <v>1</v>
      </c>
      <c r="L288" s="209"/>
      <c r="M288" s="434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</row>
    <row r="289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</row>
    <row r="290">
      <c r="A290" s="316" t="s">
        <v>1747</v>
      </c>
      <c r="B290" s="282" t="s">
        <v>2130</v>
      </c>
      <c r="C290" s="273"/>
      <c r="D290" s="274" t="s">
        <v>2131</v>
      </c>
      <c r="E290" s="387" t="s">
        <v>2086</v>
      </c>
      <c r="F290" s="273"/>
      <c r="G290" s="273"/>
      <c r="H290" s="274" t="s">
        <v>370</v>
      </c>
      <c r="I290" s="274" t="s">
        <v>3007</v>
      </c>
      <c r="J290" s="273"/>
      <c r="K290" s="279"/>
      <c r="L290" s="209"/>
      <c r="N290" s="472">
        <v>6.0</v>
      </c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</row>
    <row r="291">
      <c r="A291" s="291"/>
      <c r="B291" s="292" t="s">
        <v>2133</v>
      </c>
      <c r="C291" s="293" t="s">
        <v>2094</v>
      </c>
      <c r="D291" s="293" t="s">
        <v>2134</v>
      </c>
      <c r="E291" s="299">
        <v>8.10115973089E11</v>
      </c>
      <c r="F291" s="293" t="s">
        <v>406</v>
      </c>
      <c r="G291" s="295"/>
      <c r="H291" s="295"/>
      <c r="I291" s="293" t="s">
        <v>4352</v>
      </c>
      <c r="J291" s="296" t="b">
        <v>1</v>
      </c>
      <c r="K291" s="297" t="b">
        <v>1</v>
      </c>
      <c r="L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</row>
    <row r="292">
      <c r="A292" s="291"/>
      <c r="B292" s="303" t="s">
        <v>2135</v>
      </c>
      <c r="C292" s="304" t="s">
        <v>2097</v>
      </c>
      <c r="D292" s="304" t="s">
        <v>2136</v>
      </c>
      <c r="E292" s="307">
        <v>8.1011597314E11</v>
      </c>
      <c r="F292" s="304" t="s">
        <v>406</v>
      </c>
      <c r="G292" s="209"/>
      <c r="H292" s="209"/>
      <c r="I292" s="304" t="s">
        <v>4353</v>
      </c>
      <c r="J292" s="296" t="b">
        <v>1</v>
      </c>
      <c r="K292" s="301" t="b">
        <v>1</v>
      </c>
      <c r="L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</row>
    <row r="293">
      <c r="A293" s="291"/>
      <c r="B293" s="303" t="s">
        <v>2137</v>
      </c>
      <c r="C293" s="304" t="s">
        <v>2100</v>
      </c>
      <c r="D293" s="304" t="s">
        <v>2138</v>
      </c>
      <c r="E293" s="307">
        <v>8.10115973096E11</v>
      </c>
      <c r="F293" s="304" t="s">
        <v>406</v>
      </c>
      <c r="G293" s="209"/>
      <c r="H293" s="209"/>
      <c r="I293" s="304" t="s">
        <v>4353</v>
      </c>
      <c r="J293" s="296" t="b">
        <v>1</v>
      </c>
      <c r="K293" s="301" t="b">
        <v>1</v>
      </c>
      <c r="L293" s="209"/>
      <c r="M293" s="301" t="b">
        <v>0</v>
      </c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</row>
    <row r="294">
      <c r="A294" s="291"/>
      <c r="B294" s="303" t="s">
        <v>2139</v>
      </c>
      <c r="C294" s="304" t="s">
        <v>2103</v>
      </c>
      <c r="D294" s="304" t="s">
        <v>2140</v>
      </c>
      <c r="E294" s="307">
        <v>8.10115973157E11</v>
      </c>
      <c r="F294" s="209"/>
      <c r="G294" s="209"/>
      <c r="H294" s="209"/>
      <c r="I294" s="209"/>
      <c r="J294" s="296" t="b">
        <v>1</v>
      </c>
      <c r="K294" s="301" t="b">
        <v>0</v>
      </c>
      <c r="L294" s="209"/>
      <c r="M294" s="301" t="b">
        <v>0</v>
      </c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</row>
    <row r="295">
      <c r="A295" s="291"/>
      <c r="B295" s="303" t="s">
        <v>4354</v>
      </c>
      <c r="C295" s="304" t="s">
        <v>4347</v>
      </c>
      <c r="D295" s="304" t="s">
        <v>4355</v>
      </c>
      <c r="E295" s="307">
        <v>8.40472502158E11</v>
      </c>
      <c r="F295" s="304" t="s">
        <v>1062</v>
      </c>
      <c r="G295" s="209"/>
      <c r="H295" s="209"/>
      <c r="I295" s="209"/>
      <c r="J295" s="296" t="b">
        <v>1</v>
      </c>
      <c r="K295" s="301" t="b">
        <v>0</v>
      </c>
      <c r="L295" s="209"/>
      <c r="M295" s="301" t="b">
        <v>0</v>
      </c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</row>
    <row r="296">
      <c r="A296" s="291"/>
      <c r="B296" s="310" t="s">
        <v>2141</v>
      </c>
      <c r="C296" s="311" t="s">
        <v>2091</v>
      </c>
      <c r="D296" s="311" t="s">
        <v>2142</v>
      </c>
      <c r="E296" s="318">
        <v>8.10115973102E11</v>
      </c>
      <c r="F296" s="311" t="s">
        <v>406</v>
      </c>
      <c r="G296" s="313"/>
      <c r="H296" s="313"/>
      <c r="I296" s="304" t="s">
        <v>4353</v>
      </c>
      <c r="J296" s="296" t="b">
        <v>1</v>
      </c>
      <c r="K296" s="314" t="b">
        <v>1</v>
      </c>
      <c r="L296" s="313"/>
      <c r="M296" s="314" t="b">
        <v>0</v>
      </c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</row>
    <row r="297">
      <c r="A297" s="209"/>
      <c r="B297" s="209"/>
      <c r="C297" s="209"/>
      <c r="D297" s="209"/>
      <c r="E297" s="209"/>
      <c r="F297" s="209"/>
      <c r="G297" s="209"/>
      <c r="H297" s="209"/>
      <c r="I297" s="209"/>
      <c r="J297" s="313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</row>
    <row r="298">
      <c r="A298" s="316" t="s">
        <v>1770</v>
      </c>
      <c r="B298" s="282" t="s">
        <v>206</v>
      </c>
      <c r="C298" s="273"/>
      <c r="D298" s="274" t="s">
        <v>205</v>
      </c>
      <c r="E298" s="387" t="s">
        <v>2086</v>
      </c>
      <c r="F298" s="273"/>
      <c r="G298" s="273"/>
      <c r="H298" s="276" t="s">
        <v>370</v>
      </c>
      <c r="I298" s="276" t="s">
        <v>4300</v>
      </c>
      <c r="J298" s="471" t="str">
        <f>IF(COUNTIF(J291:J304, TRUE) = COUNTA(J291:J304), "Complete!", IF(COUNTIF(J291:J304, TRUE) &gt; 0, "Partial", "Not Started"))</f>
        <v>#REF!</v>
      </c>
      <c r="K298" s="279"/>
      <c r="L298" s="285" t="s">
        <v>889</v>
      </c>
      <c r="M298" s="465" t="str">
        <f>IF(COUNTIF(M299:M347, TRUE) = COUNTA(M299:M347), "Complete!", IF(COUNTIF(M299:M347, TRUE) &gt; 0, "Partial", "Not Started"))</f>
        <v>Not Started</v>
      </c>
      <c r="N298" s="280">
        <v>10.0</v>
      </c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</row>
    <row r="299">
      <c r="A299" s="291"/>
      <c r="B299" s="292" t="s">
        <v>2144</v>
      </c>
      <c r="C299" s="293" t="s">
        <v>1916</v>
      </c>
      <c r="D299" s="293" t="s">
        <v>2145</v>
      </c>
      <c r="E299" s="299">
        <v>8.10115973164E11</v>
      </c>
      <c r="F299" s="293" t="s">
        <v>406</v>
      </c>
      <c r="G299" s="295"/>
      <c r="H299" s="295"/>
      <c r="I299" s="304" t="s">
        <v>4353</v>
      </c>
      <c r="J299" s="296" t="b">
        <v>1</v>
      </c>
      <c r="K299" s="297" t="b">
        <v>1</v>
      </c>
      <c r="L299" s="209"/>
      <c r="M299" s="301" t="b">
        <v>0</v>
      </c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</row>
    <row r="300">
      <c r="A300" s="291"/>
      <c r="B300" s="303" t="s">
        <v>2146</v>
      </c>
      <c r="C300" s="304" t="s">
        <v>505</v>
      </c>
      <c r="D300" s="304" t="s">
        <v>2147</v>
      </c>
      <c r="E300" s="307">
        <v>8.10115973119E11</v>
      </c>
      <c r="F300" s="304" t="s">
        <v>406</v>
      </c>
      <c r="G300" s="209"/>
      <c r="H300" s="209"/>
      <c r="I300" s="304" t="s">
        <v>4353</v>
      </c>
      <c r="J300" s="296" t="b">
        <v>1</v>
      </c>
      <c r="K300" s="301" t="b">
        <v>1</v>
      </c>
      <c r="L300" s="209"/>
      <c r="M300" s="301" t="b">
        <v>0</v>
      </c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</row>
    <row r="301">
      <c r="A301" s="291"/>
      <c r="B301" s="303" t="s">
        <v>2148</v>
      </c>
      <c r="C301" s="304" t="s">
        <v>522</v>
      </c>
      <c r="D301" s="304" t="s">
        <v>2149</v>
      </c>
      <c r="E301" s="307">
        <v>8.10115973171E11</v>
      </c>
      <c r="F301" s="304" t="s">
        <v>406</v>
      </c>
      <c r="G301" s="209"/>
      <c r="H301" s="209"/>
      <c r="I301" s="304" t="s">
        <v>4353</v>
      </c>
      <c r="J301" s="296" t="b">
        <v>1</v>
      </c>
      <c r="K301" s="301" t="b">
        <v>1</v>
      </c>
      <c r="L301" s="209"/>
      <c r="M301" s="301" t="b">
        <v>0</v>
      </c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</row>
    <row r="302">
      <c r="A302" s="291"/>
      <c r="B302" s="303" t="s">
        <v>2150</v>
      </c>
      <c r="C302" s="304" t="s">
        <v>1060</v>
      </c>
      <c r="D302" s="304" t="s">
        <v>2151</v>
      </c>
      <c r="E302" s="307">
        <v>8.10115973126E11</v>
      </c>
      <c r="F302" s="209"/>
      <c r="G302" s="209"/>
      <c r="H302" s="209"/>
      <c r="I302" s="209"/>
      <c r="J302" s="296" t="b">
        <v>1</v>
      </c>
      <c r="K302" s="301" t="b">
        <v>0</v>
      </c>
      <c r="L302" s="209"/>
      <c r="M302" s="301" t="b">
        <v>0</v>
      </c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  <c r="AK302" s="209"/>
      <c r="AL302" s="209"/>
      <c r="AM302" s="209"/>
      <c r="AN302" s="209"/>
      <c r="AO302" s="209"/>
      <c r="AP302" s="209"/>
    </row>
    <row r="303">
      <c r="A303" s="291"/>
      <c r="B303" s="303" t="s">
        <v>2152</v>
      </c>
      <c r="C303" s="304" t="s">
        <v>2128</v>
      </c>
      <c r="D303" s="304" t="s">
        <v>2153</v>
      </c>
      <c r="E303" s="307">
        <v>8.10115975847E11</v>
      </c>
      <c r="F303" s="209"/>
      <c r="G303" s="209"/>
      <c r="H303" s="209"/>
      <c r="I303" s="209"/>
      <c r="J303" s="296" t="b">
        <v>1</v>
      </c>
      <c r="K303" s="301" t="b">
        <v>0</v>
      </c>
      <c r="L303" s="209"/>
      <c r="M303" s="301" t="b">
        <v>0</v>
      </c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  <c r="AI303" s="209"/>
      <c r="AJ303" s="209"/>
      <c r="AK303" s="209"/>
      <c r="AL303" s="209"/>
      <c r="AM303" s="209"/>
      <c r="AN303" s="209"/>
      <c r="AO303" s="209"/>
      <c r="AP303" s="209"/>
    </row>
    <row r="304">
      <c r="A304" s="291"/>
      <c r="B304" s="303" t="s">
        <v>2154</v>
      </c>
      <c r="C304" s="304" t="s">
        <v>2155</v>
      </c>
      <c r="D304" s="304" t="s">
        <v>2156</v>
      </c>
      <c r="E304" s="307">
        <v>8.10115973188E11</v>
      </c>
      <c r="F304" s="209"/>
      <c r="G304" s="209"/>
      <c r="H304" s="209"/>
      <c r="I304" s="209"/>
      <c r="J304" s="296" t="b">
        <v>1</v>
      </c>
      <c r="K304" s="301" t="b">
        <v>0</v>
      </c>
      <c r="L304" s="209"/>
      <c r="M304" s="301" t="b">
        <v>0</v>
      </c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  <c r="AI304" s="209"/>
      <c r="AJ304" s="209"/>
      <c r="AK304" s="209"/>
      <c r="AL304" s="209"/>
      <c r="AM304" s="209"/>
      <c r="AN304" s="209"/>
      <c r="AO304" s="209"/>
      <c r="AP304" s="209"/>
    </row>
    <row r="305">
      <c r="A305" s="291"/>
      <c r="B305" s="303" t="s">
        <v>2157</v>
      </c>
      <c r="C305" s="304" t="s">
        <v>2158</v>
      </c>
      <c r="D305" s="304" t="s">
        <v>2159</v>
      </c>
      <c r="E305" s="307">
        <v>8.40472502172E11</v>
      </c>
      <c r="F305" s="304" t="s">
        <v>1062</v>
      </c>
      <c r="G305" s="209"/>
      <c r="H305" s="209"/>
      <c r="I305" s="209"/>
      <c r="J305" s="296" t="b">
        <v>1</v>
      </c>
      <c r="K305" s="301" t="b">
        <v>0</v>
      </c>
      <c r="L305" s="209"/>
      <c r="M305" s="301" t="b">
        <v>0</v>
      </c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  <c r="AI305" s="209"/>
      <c r="AJ305" s="209"/>
      <c r="AK305" s="209"/>
      <c r="AL305" s="209"/>
      <c r="AM305" s="209"/>
      <c r="AN305" s="209"/>
      <c r="AO305" s="209"/>
      <c r="AP305" s="209"/>
    </row>
    <row r="306">
      <c r="A306" s="291"/>
      <c r="B306" s="303" t="s">
        <v>2160</v>
      </c>
      <c r="C306" s="304" t="s">
        <v>2161</v>
      </c>
      <c r="D306" s="304" t="s">
        <v>2162</v>
      </c>
      <c r="E306" s="307">
        <v>8.40472502189E11</v>
      </c>
      <c r="F306" s="304" t="s">
        <v>1062</v>
      </c>
      <c r="G306" s="209"/>
      <c r="H306" s="209"/>
      <c r="I306" s="209"/>
      <c r="J306" s="296" t="b">
        <v>1</v>
      </c>
      <c r="K306" s="301" t="b">
        <v>0</v>
      </c>
      <c r="L306" s="209"/>
      <c r="M306" s="301" t="b">
        <v>0</v>
      </c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  <c r="AI306" s="209"/>
      <c r="AJ306" s="209"/>
      <c r="AK306" s="209"/>
      <c r="AL306" s="209"/>
      <c r="AM306" s="209"/>
      <c r="AN306" s="209"/>
      <c r="AO306" s="209"/>
      <c r="AP306" s="209"/>
    </row>
    <row r="307">
      <c r="A307" s="291"/>
      <c r="B307" s="303" t="s">
        <v>2163</v>
      </c>
      <c r="C307" s="304" t="s">
        <v>2164</v>
      </c>
      <c r="D307" s="304" t="s">
        <v>2165</v>
      </c>
      <c r="E307" s="307">
        <v>8.40472502196E11</v>
      </c>
      <c r="F307" s="304" t="s">
        <v>1062</v>
      </c>
      <c r="G307" s="209"/>
      <c r="H307" s="209"/>
      <c r="I307" s="209"/>
      <c r="J307" s="296" t="b">
        <v>1</v>
      </c>
      <c r="K307" s="301" t="b">
        <v>0</v>
      </c>
      <c r="L307" s="209"/>
      <c r="M307" s="301" t="b">
        <v>0</v>
      </c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  <c r="AI307" s="209"/>
      <c r="AJ307" s="209"/>
      <c r="AK307" s="209"/>
      <c r="AL307" s="209"/>
      <c r="AM307" s="209"/>
      <c r="AN307" s="209"/>
      <c r="AO307" s="209"/>
      <c r="AP307" s="209"/>
    </row>
    <row r="308">
      <c r="A308" s="291"/>
      <c r="B308" s="310" t="s">
        <v>2166</v>
      </c>
      <c r="C308" s="311" t="s">
        <v>2167</v>
      </c>
      <c r="D308" s="311" t="s">
        <v>2168</v>
      </c>
      <c r="E308" s="318">
        <v>8.40472502202E11</v>
      </c>
      <c r="F308" s="311" t="s">
        <v>1062</v>
      </c>
      <c r="G308" s="313"/>
      <c r="H308" s="313"/>
      <c r="I308" s="313"/>
      <c r="J308" s="296" t="b">
        <v>1</v>
      </c>
      <c r="K308" s="314" t="b">
        <v>0</v>
      </c>
      <c r="L308" s="209"/>
      <c r="M308" s="301" t="b">
        <v>0</v>
      </c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  <c r="AI308" s="209"/>
      <c r="AJ308" s="209"/>
      <c r="AK308" s="209"/>
      <c r="AL308" s="209"/>
      <c r="AM308" s="209"/>
      <c r="AN308" s="209"/>
      <c r="AO308" s="209"/>
      <c r="AP308" s="209"/>
    </row>
    <row r="309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  <c r="AI309" s="209"/>
      <c r="AJ309" s="209"/>
      <c r="AK309" s="209"/>
      <c r="AL309" s="209"/>
      <c r="AM309" s="209"/>
      <c r="AN309" s="209"/>
      <c r="AO309" s="209"/>
      <c r="AP309" s="209"/>
    </row>
    <row r="310">
      <c r="A310" s="316" t="s">
        <v>1793</v>
      </c>
      <c r="B310" s="319" t="s">
        <v>2169</v>
      </c>
      <c r="C310" s="320"/>
      <c r="D310" s="283" t="s">
        <v>2170</v>
      </c>
      <c r="E310" s="320"/>
      <c r="F310" s="273"/>
      <c r="G310" s="273"/>
      <c r="H310" s="276" t="s">
        <v>888</v>
      </c>
      <c r="I310" s="276" t="s">
        <v>889</v>
      </c>
      <c r="J310" s="468" t="str">
        <f>IF(COUNTIF(J311:J315, TRUE) = COUNTA(J311:J315), "Complete!", IF(COUNTIF(J311:J315, TRUE) &gt; 0, "Partial", "Not Started"))</f>
        <v>Complete!</v>
      </c>
      <c r="K310" s="279"/>
      <c r="L310" s="209"/>
      <c r="M310" s="209"/>
      <c r="N310" s="280">
        <v>8.0</v>
      </c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  <c r="AI310" s="209"/>
      <c r="AJ310" s="209"/>
      <c r="AK310" s="209"/>
      <c r="AL310" s="209"/>
      <c r="AM310" s="209"/>
      <c r="AN310" s="209"/>
      <c r="AO310" s="209"/>
      <c r="AP310" s="209"/>
    </row>
    <row r="311">
      <c r="A311" s="291"/>
      <c r="B311" s="292" t="s">
        <v>2172</v>
      </c>
      <c r="C311" s="293" t="s">
        <v>2173</v>
      </c>
      <c r="D311" s="293" t="s">
        <v>2174</v>
      </c>
      <c r="E311" s="299">
        <v>8.4047250758E11</v>
      </c>
      <c r="F311" s="293" t="s">
        <v>1062</v>
      </c>
      <c r="G311" s="295"/>
      <c r="H311" s="295"/>
      <c r="I311" s="293" t="s">
        <v>1063</v>
      </c>
      <c r="J311" s="296" t="b">
        <v>1</v>
      </c>
      <c r="K311" s="297" t="b">
        <v>0</v>
      </c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  <c r="AI311" s="209"/>
      <c r="AJ311" s="209"/>
      <c r="AK311" s="209"/>
      <c r="AL311" s="209"/>
      <c r="AM311" s="209"/>
      <c r="AN311" s="209"/>
      <c r="AO311" s="209"/>
      <c r="AP311" s="209"/>
    </row>
    <row r="312">
      <c r="A312" s="291"/>
      <c r="B312" s="303" t="s">
        <v>2175</v>
      </c>
      <c r="C312" s="304" t="s">
        <v>2176</v>
      </c>
      <c r="D312" s="304" t="s">
        <v>2177</v>
      </c>
      <c r="E312" s="307">
        <v>8.40472507597E11</v>
      </c>
      <c r="F312" s="304" t="s">
        <v>1062</v>
      </c>
      <c r="G312" s="209"/>
      <c r="H312" s="209"/>
      <c r="I312" s="304" t="s">
        <v>1063</v>
      </c>
      <c r="J312" s="296" t="b">
        <v>1</v>
      </c>
      <c r="K312" s="301" t="b">
        <v>0</v>
      </c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  <c r="AI312" s="209"/>
      <c r="AJ312" s="209"/>
      <c r="AK312" s="209"/>
      <c r="AL312" s="209"/>
      <c r="AM312" s="209"/>
      <c r="AN312" s="209"/>
      <c r="AO312" s="209"/>
      <c r="AP312" s="209"/>
    </row>
    <row r="313">
      <c r="A313" s="291"/>
      <c r="B313" s="303" t="s">
        <v>2178</v>
      </c>
      <c r="C313" s="304" t="s">
        <v>2179</v>
      </c>
      <c r="D313" s="304" t="s">
        <v>2180</v>
      </c>
      <c r="E313" s="307">
        <v>8.40472507603E11</v>
      </c>
      <c r="F313" s="304" t="s">
        <v>1062</v>
      </c>
      <c r="G313" s="209"/>
      <c r="H313" s="209"/>
      <c r="I313" s="304" t="s">
        <v>1063</v>
      </c>
      <c r="J313" s="296" t="b">
        <v>1</v>
      </c>
      <c r="K313" s="301" t="b">
        <v>0</v>
      </c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  <c r="AI313" s="209"/>
      <c r="AJ313" s="209"/>
      <c r="AK313" s="209"/>
      <c r="AL313" s="209"/>
      <c r="AM313" s="209"/>
      <c r="AN313" s="209"/>
      <c r="AO313" s="209"/>
      <c r="AP313" s="209"/>
    </row>
    <row r="314">
      <c r="A314" s="291"/>
      <c r="B314" s="303" t="s">
        <v>2181</v>
      </c>
      <c r="C314" s="304" t="s">
        <v>2182</v>
      </c>
      <c r="D314" s="304" t="s">
        <v>2183</v>
      </c>
      <c r="E314" s="307">
        <v>8.4047250761E11</v>
      </c>
      <c r="F314" s="304" t="s">
        <v>1062</v>
      </c>
      <c r="G314" s="209"/>
      <c r="H314" s="209"/>
      <c r="I314" s="304" t="s">
        <v>1063</v>
      </c>
      <c r="J314" s="296" t="b">
        <v>1</v>
      </c>
      <c r="K314" s="301" t="b">
        <v>0</v>
      </c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  <c r="AI314" s="209"/>
      <c r="AJ314" s="209"/>
      <c r="AK314" s="209"/>
      <c r="AL314" s="209"/>
      <c r="AM314" s="209"/>
      <c r="AN314" s="209"/>
      <c r="AO314" s="209"/>
      <c r="AP314" s="209"/>
    </row>
    <row r="315">
      <c r="A315" s="291"/>
      <c r="B315" s="303" t="s">
        <v>2184</v>
      </c>
      <c r="C315" s="304" t="s">
        <v>2173</v>
      </c>
      <c r="D315" s="304" t="s">
        <v>2185</v>
      </c>
      <c r="E315" s="307">
        <v>8.40472507627E11</v>
      </c>
      <c r="F315" s="304" t="s">
        <v>1062</v>
      </c>
      <c r="G315" s="209"/>
      <c r="H315" s="209"/>
      <c r="I315" s="304" t="s">
        <v>1063</v>
      </c>
      <c r="J315" s="296" t="b">
        <v>1</v>
      </c>
      <c r="K315" s="301" t="b">
        <v>0</v>
      </c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  <c r="AK315" s="209"/>
      <c r="AL315" s="209"/>
      <c r="AM315" s="209"/>
      <c r="AN315" s="209"/>
      <c r="AO315" s="209"/>
      <c r="AP315" s="209"/>
    </row>
    <row r="316">
      <c r="A316" s="291"/>
      <c r="B316" s="303" t="s">
        <v>2186</v>
      </c>
      <c r="C316" s="304" t="s">
        <v>2187</v>
      </c>
      <c r="D316" s="304" t="s">
        <v>2188</v>
      </c>
      <c r="E316" s="307">
        <v>8.40472507634E11</v>
      </c>
      <c r="F316" s="304" t="s">
        <v>1062</v>
      </c>
      <c r="G316" s="209"/>
      <c r="H316" s="209"/>
      <c r="I316" s="304" t="s">
        <v>1063</v>
      </c>
      <c r="J316" s="296" t="b">
        <v>1</v>
      </c>
      <c r="K316" s="301" t="b">
        <v>0</v>
      </c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  <c r="AI316" s="209"/>
      <c r="AJ316" s="209"/>
      <c r="AK316" s="209"/>
      <c r="AL316" s="209"/>
      <c r="AM316" s="209"/>
      <c r="AN316" s="209"/>
      <c r="AO316" s="209"/>
      <c r="AP316" s="209"/>
    </row>
    <row r="317">
      <c r="A317" s="291"/>
      <c r="B317" s="303" t="s">
        <v>2189</v>
      </c>
      <c r="C317" s="304" t="s">
        <v>2179</v>
      </c>
      <c r="D317" s="304" t="s">
        <v>2190</v>
      </c>
      <c r="E317" s="307">
        <v>8.40472507641E11</v>
      </c>
      <c r="F317" s="304" t="s">
        <v>1062</v>
      </c>
      <c r="G317" s="209"/>
      <c r="H317" s="209"/>
      <c r="I317" s="304" t="s">
        <v>1063</v>
      </c>
      <c r="J317" s="296" t="b">
        <v>1</v>
      </c>
      <c r="K317" s="301" t="b">
        <v>0</v>
      </c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  <c r="AI317" s="209"/>
      <c r="AJ317" s="209"/>
      <c r="AK317" s="209"/>
      <c r="AL317" s="209"/>
      <c r="AM317" s="209"/>
      <c r="AN317" s="209"/>
      <c r="AO317" s="209"/>
      <c r="AP317" s="209"/>
    </row>
    <row r="318">
      <c r="A318" s="291"/>
      <c r="B318" s="310" t="s">
        <v>2191</v>
      </c>
      <c r="C318" s="311" t="s">
        <v>2182</v>
      </c>
      <c r="D318" s="311" t="s">
        <v>2192</v>
      </c>
      <c r="E318" s="318">
        <v>8.40472507658E11</v>
      </c>
      <c r="F318" s="311" t="s">
        <v>1062</v>
      </c>
      <c r="G318" s="313"/>
      <c r="H318" s="313"/>
      <c r="I318" s="311" t="s">
        <v>1063</v>
      </c>
      <c r="J318" s="296" t="b">
        <v>1</v>
      </c>
      <c r="K318" s="314" t="b">
        <v>0</v>
      </c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  <c r="AK318" s="209"/>
      <c r="AL318" s="209"/>
      <c r="AM318" s="209"/>
      <c r="AN318" s="209"/>
      <c r="AO318" s="209"/>
      <c r="AP318" s="209"/>
    </row>
    <row r="319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  <c r="AI319" s="209"/>
      <c r="AJ319" s="209"/>
      <c r="AK319" s="209"/>
      <c r="AL319" s="209"/>
      <c r="AM319" s="209"/>
      <c r="AN319" s="209"/>
      <c r="AO319" s="209"/>
      <c r="AP319" s="209"/>
    </row>
    <row r="320">
      <c r="A320" s="316" t="s">
        <v>1818</v>
      </c>
      <c r="B320" s="319" t="s">
        <v>2193</v>
      </c>
      <c r="C320" s="320"/>
      <c r="D320" s="283" t="s">
        <v>2194</v>
      </c>
      <c r="E320" s="336" t="s">
        <v>2195</v>
      </c>
      <c r="F320" s="320"/>
      <c r="G320" s="320"/>
      <c r="H320" s="285" t="s">
        <v>468</v>
      </c>
      <c r="I320" s="285" t="s">
        <v>4356</v>
      </c>
      <c r="J320" s="333" t="str">
        <f>IF(COUNTIF(J321:J329, TRUE) = COUNTA(J321:J329), "Complete!", IF(COUNTIF(J321:J329, TRUE) &gt; 0, "Partial", "Not Started"))</f>
        <v>Complete!</v>
      </c>
      <c r="K320" s="334"/>
      <c r="L320" s="464" t="s">
        <v>889</v>
      </c>
      <c r="M320" s="465" t="str">
        <f>IF(COUNTIF(M321:M329, TRUE) = COUNTA(M321:M329), "Complete!", IF(COUNTIF(M321:M329, TRUE) &gt; 0, "Partial", "Not Started"))</f>
        <v>Not Started</v>
      </c>
      <c r="N320" s="280">
        <v>18.0</v>
      </c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  <c r="AI320" s="209"/>
      <c r="AJ320" s="209"/>
      <c r="AK320" s="209"/>
      <c r="AL320" s="209"/>
      <c r="AM320" s="209"/>
      <c r="AN320" s="209"/>
      <c r="AO320" s="209"/>
      <c r="AP320" s="209"/>
    </row>
    <row r="321">
      <c r="A321" s="291"/>
      <c r="B321" s="376" t="s">
        <v>2198</v>
      </c>
      <c r="C321" s="377" t="s">
        <v>431</v>
      </c>
      <c r="D321" s="304" t="s">
        <v>2199</v>
      </c>
      <c r="E321" s="488">
        <v>8.10115975977E11</v>
      </c>
      <c r="F321" s="209"/>
      <c r="G321" s="209"/>
      <c r="H321" s="209"/>
      <c r="I321" s="209"/>
      <c r="J321" s="300" t="b">
        <v>1</v>
      </c>
      <c r="K321" s="301" t="b">
        <v>0</v>
      </c>
      <c r="L321" s="419"/>
      <c r="M321" s="301" t="b">
        <v>0</v>
      </c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  <c r="AI321" s="209"/>
      <c r="AJ321" s="209"/>
      <c r="AK321" s="209"/>
      <c r="AL321" s="209"/>
      <c r="AM321" s="209"/>
      <c r="AN321" s="209"/>
      <c r="AO321" s="209"/>
      <c r="AP321" s="209"/>
    </row>
    <row r="322">
      <c r="A322" s="291"/>
      <c r="B322" s="376" t="s">
        <v>2200</v>
      </c>
      <c r="C322" s="377" t="s">
        <v>431</v>
      </c>
      <c r="D322" s="304" t="s">
        <v>2201</v>
      </c>
      <c r="E322" s="488">
        <v>8.10115975984E11</v>
      </c>
      <c r="F322" s="209"/>
      <c r="G322" s="209"/>
      <c r="H322" s="209"/>
      <c r="I322" s="209"/>
      <c r="J322" s="300" t="b">
        <v>1</v>
      </c>
      <c r="K322" s="301" t="b">
        <v>0</v>
      </c>
      <c r="L322" s="419"/>
      <c r="M322" s="301" t="b">
        <v>0</v>
      </c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  <c r="AI322" s="209"/>
      <c r="AJ322" s="209"/>
      <c r="AK322" s="209"/>
      <c r="AL322" s="209"/>
      <c r="AM322" s="209"/>
      <c r="AN322" s="209"/>
      <c r="AO322" s="209"/>
      <c r="AP322" s="209"/>
    </row>
    <row r="323">
      <c r="A323" s="291"/>
      <c r="B323" s="376" t="s">
        <v>2202</v>
      </c>
      <c r="C323" s="377" t="s">
        <v>421</v>
      </c>
      <c r="D323" s="304" t="s">
        <v>2203</v>
      </c>
      <c r="E323" s="488">
        <v>8.10115976004E11</v>
      </c>
      <c r="F323" s="209"/>
      <c r="G323" s="209"/>
      <c r="H323" s="209"/>
      <c r="I323" s="209"/>
      <c r="J323" s="300" t="b">
        <v>1</v>
      </c>
      <c r="K323" s="301" t="b">
        <v>0</v>
      </c>
      <c r="L323" s="419"/>
      <c r="M323" s="301" t="b">
        <v>0</v>
      </c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  <c r="AL323" s="209"/>
      <c r="AM323" s="209"/>
      <c r="AN323" s="209"/>
      <c r="AO323" s="209"/>
      <c r="AP323" s="209"/>
    </row>
    <row r="324">
      <c r="A324" s="291"/>
      <c r="B324" s="376" t="s">
        <v>2204</v>
      </c>
      <c r="C324" s="377" t="s">
        <v>421</v>
      </c>
      <c r="D324" s="304" t="s">
        <v>2205</v>
      </c>
      <c r="E324" s="488">
        <v>8.10115975991E11</v>
      </c>
      <c r="F324" s="209"/>
      <c r="G324" s="209"/>
      <c r="H324" s="209"/>
      <c r="I324" s="209"/>
      <c r="J324" s="300" t="b">
        <v>1</v>
      </c>
      <c r="K324" s="301" t="b">
        <v>0</v>
      </c>
      <c r="L324" s="419"/>
      <c r="M324" s="301" t="b">
        <v>0</v>
      </c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  <c r="AI324" s="209"/>
      <c r="AJ324" s="209"/>
      <c r="AK324" s="209"/>
      <c r="AL324" s="209"/>
      <c r="AM324" s="209"/>
      <c r="AN324" s="209"/>
      <c r="AO324" s="209"/>
      <c r="AP324" s="209"/>
    </row>
    <row r="325">
      <c r="A325" s="291"/>
      <c r="B325" s="376" t="s">
        <v>2206</v>
      </c>
      <c r="C325" s="377" t="s">
        <v>449</v>
      </c>
      <c r="D325" s="304" t="s">
        <v>2207</v>
      </c>
      <c r="E325" s="488">
        <v>8.10115978299E11</v>
      </c>
      <c r="F325" s="209"/>
      <c r="G325" s="209"/>
      <c r="H325" s="209"/>
      <c r="I325" s="209"/>
      <c r="J325" s="300" t="b">
        <v>1</v>
      </c>
      <c r="K325" s="301" t="b">
        <v>0</v>
      </c>
      <c r="L325" s="419"/>
      <c r="M325" s="301" t="b">
        <v>0</v>
      </c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09"/>
      <c r="AJ325" s="209"/>
      <c r="AK325" s="209"/>
      <c r="AL325" s="209"/>
      <c r="AM325" s="209"/>
      <c r="AN325" s="209"/>
      <c r="AO325" s="209"/>
      <c r="AP325" s="209"/>
    </row>
    <row r="326">
      <c r="A326" s="291"/>
      <c r="B326" s="376" t="s">
        <v>2208</v>
      </c>
      <c r="C326" s="377" t="s">
        <v>449</v>
      </c>
      <c r="D326" s="304" t="s">
        <v>2209</v>
      </c>
      <c r="E326" s="488">
        <v>8.1011597835E11</v>
      </c>
      <c r="F326" s="209"/>
      <c r="G326" s="209"/>
      <c r="H326" s="209"/>
      <c r="I326" s="209"/>
      <c r="J326" s="300" t="b">
        <v>1</v>
      </c>
      <c r="K326" s="301" t="b">
        <v>0</v>
      </c>
      <c r="L326" s="419"/>
      <c r="M326" s="301" t="b">
        <v>0</v>
      </c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  <c r="AI326" s="209"/>
      <c r="AJ326" s="209"/>
      <c r="AK326" s="209"/>
      <c r="AL326" s="209"/>
      <c r="AM326" s="209"/>
      <c r="AN326" s="209"/>
      <c r="AO326" s="209"/>
      <c r="AP326" s="209"/>
    </row>
    <row r="327">
      <c r="A327" s="291"/>
      <c r="B327" s="376" t="s">
        <v>2210</v>
      </c>
      <c r="C327" s="377" t="s">
        <v>440</v>
      </c>
      <c r="D327" s="304" t="s">
        <v>2211</v>
      </c>
      <c r="E327" s="488">
        <v>8.10115978305E11</v>
      </c>
      <c r="F327" s="209"/>
      <c r="G327" s="209"/>
      <c r="H327" s="209"/>
      <c r="I327" s="209"/>
      <c r="J327" s="300" t="b">
        <v>1</v>
      </c>
      <c r="K327" s="301" t="b">
        <v>0</v>
      </c>
      <c r="L327" s="419"/>
      <c r="M327" s="301" t="b">
        <v>0</v>
      </c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  <c r="AK327" s="209"/>
      <c r="AL327" s="209"/>
      <c r="AM327" s="209"/>
      <c r="AN327" s="209"/>
      <c r="AO327" s="209"/>
      <c r="AP327" s="209"/>
    </row>
    <row r="328">
      <c r="A328" s="291"/>
      <c r="B328" s="376" t="s">
        <v>2212</v>
      </c>
      <c r="C328" s="377" t="s">
        <v>440</v>
      </c>
      <c r="D328" s="304" t="s">
        <v>2213</v>
      </c>
      <c r="E328" s="488">
        <v>8.10115978367E11</v>
      </c>
      <c r="F328" s="209"/>
      <c r="G328" s="209"/>
      <c r="H328" s="209"/>
      <c r="I328" s="209"/>
      <c r="J328" s="300" t="b">
        <v>1</v>
      </c>
      <c r="K328" s="301" t="b">
        <v>0</v>
      </c>
      <c r="L328" s="419"/>
      <c r="M328" s="301" t="b">
        <v>0</v>
      </c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  <c r="AK328" s="209"/>
      <c r="AL328" s="209"/>
      <c r="AM328" s="209"/>
      <c r="AN328" s="209"/>
      <c r="AO328" s="209"/>
      <c r="AP328" s="209"/>
    </row>
    <row r="329">
      <c r="A329" s="291"/>
      <c r="B329" s="376" t="s">
        <v>2214</v>
      </c>
      <c r="C329" s="377" t="s">
        <v>458</v>
      </c>
      <c r="D329" s="304" t="s">
        <v>2215</v>
      </c>
      <c r="E329" s="488">
        <v>8.10115978312E11</v>
      </c>
      <c r="F329" s="209"/>
      <c r="G329" s="209"/>
      <c r="H329" s="209"/>
      <c r="I329" s="209"/>
      <c r="J329" s="300" t="b">
        <v>1</v>
      </c>
      <c r="K329" s="301" t="b">
        <v>0</v>
      </c>
      <c r="L329" s="419"/>
      <c r="M329" s="301" t="b">
        <v>0</v>
      </c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  <c r="AI329" s="209"/>
      <c r="AJ329" s="209"/>
      <c r="AK329" s="209"/>
      <c r="AL329" s="209"/>
      <c r="AM329" s="209"/>
      <c r="AN329" s="209"/>
      <c r="AO329" s="209"/>
      <c r="AP329" s="209"/>
    </row>
    <row r="330">
      <c r="A330" s="291"/>
      <c r="B330" s="376" t="s">
        <v>2216</v>
      </c>
      <c r="C330" s="377" t="s">
        <v>458</v>
      </c>
      <c r="D330" s="304" t="s">
        <v>2217</v>
      </c>
      <c r="E330" s="488">
        <v>8.10115978374E11</v>
      </c>
      <c r="F330" s="209"/>
      <c r="G330" s="209"/>
      <c r="H330" s="209"/>
      <c r="I330" s="209"/>
      <c r="J330" s="300" t="b">
        <v>1</v>
      </c>
      <c r="K330" s="301" t="b">
        <v>0</v>
      </c>
      <c r="L330" s="419"/>
      <c r="M330" s="301" t="b">
        <v>0</v>
      </c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  <c r="AI330" s="209"/>
      <c r="AJ330" s="209"/>
      <c r="AK330" s="209"/>
      <c r="AL330" s="209"/>
      <c r="AM330" s="209"/>
      <c r="AN330" s="209"/>
      <c r="AO330" s="209"/>
      <c r="AP330" s="209"/>
    </row>
    <row r="331">
      <c r="A331" s="291"/>
      <c r="B331" s="376" t="s">
        <v>2218</v>
      </c>
      <c r="C331" s="377" t="s">
        <v>505</v>
      </c>
      <c r="D331" s="304" t="s">
        <v>2219</v>
      </c>
      <c r="E331" s="488">
        <v>8.10115978329E11</v>
      </c>
      <c r="F331" s="209"/>
      <c r="G331" s="209"/>
      <c r="H331" s="209"/>
      <c r="I331" s="209"/>
      <c r="J331" s="300" t="b">
        <v>1</v>
      </c>
      <c r="K331" s="301" t="b">
        <v>0</v>
      </c>
      <c r="L331" s="419"/>
      <c r="M331" s="301" t="b">
        <v>0</v>
      </c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  <c r="AI331" s="209"/>
      <c r="AJ331" s="209"/>
      <c r="AK331" s="209"/>
      <c r="AL331" s="209"/>
      <c r="AM331" s="209"/>
      <c r="AN331" s="209"/>
      <c r="AO331" s="209"/>
      <c r="AP331" s="209"/>
    </row>
    <row r="332">
      <c r="A332" s="291"/>
      <c r="B332" s="376" t="s">
        <v>2220</v>
      </c>
      <c r="C332" s="377" t="s">
        <v>505</v>
      </c>
      <c r="D332" s="304" t="s">
        <v>2221</v>
      </c>
      <c r="E332" s="488">
        <v>8.10115978381E11</v>
      </c>
      <c r="F332" s="209"/>
      <c r="G332" s="209"/>
      <c r="H332" s="209"/>
      <c r="I332" s="209"/>
      <c r="J332" s="300" t="b">
        <v>1</v>
      </c>
      <c r="K332" s="301" t="b">
        <v>0</v>
      </c>
      <c r="L332" s="419"/>
      <c r="M332" s="301" t="b">
        <v>0</v>
      </c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  <c r="AI332" s="209"/>
      <c r="AJ332" s="209"/>
      <c r="AK332" s="209"/>
      <c r="AL332" s="209"/>
      <c r="AM332" s="209"/>
      <c r="AN332" s="209"/>
      <c r="AO332" s="209"/>
      <c r="AP332" s="209"/>
    </row>
    <row r="333">
      <c r="A333" s="291"/>
      <c r="B333" s="376" t="s">
        <v>2222</v>
      </c>
      <c r="C333" s="377" t="s">
        <v>539</v>
      </c>
      <c r="D333" s="304" t="s">
        <v>2223</v>
      </c>
      <c r="E333" s="488">
        <v>8.10115978336E11</v>
      </c>
      <c r="F333" s="209"/>
      <c r="G333" s="209"/>
      <c r="H333" s="209"/>
      <c r="I333" s="209"/>
      <c r="J333" s="300" t="b">
        <v>1</v>
      </c>
      <c r="K333" s="301" t="b">
        <v>0</v>
      </c>
      <c r="L333" s="419"/>
      <c r="M333" s="301" t="b">
        <v>0</v>
      </c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  <c r="AK333" s="209"/>
      <c r="AL333" s="209"/>
      <c r="AM333" s="209"/>
      <c r="AN333" s="209"/>
      <c r="AO333" s="209"/>
      <c r="AP333" s="209"/>
    </row>
    <row r="334">
      <c r="A334" s="291"/>
      <c r="B334" s="376" t="s">
        <v>2224</v>
      </c>
      <c r="C334" s="377" t="s">
        <v>539</v>
      </c>
      <c r="D334" s="304" t="s">
        <v>2225</v>
      </c>
      <c r="E334" s="488">
        <v>8.10115978398E11</v>
      </c>
      <c r="F334" s="209"/>
      <c r="G334" s="209"/>
      <c r="H334" s="209"/>
      <c r="I334" s="209"/>
      <c r="J334" s="300" t="b">
        <v>1</v>
      </c>
      <c r="K334" s="301" t="b">
        <v>0</v>
      </c>
      <c r="L334" s="419"/>
      <c r="M334" s="301" t="b">
        <v>0</v>
      </c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  <c r="AI334" s="209"/>
      <c r="AJ334" s="209"/>
      <c r="AK334" s="209"/>
      <c r="AL334" s="209"/>
      <c r="AM334" s="209"/>
      <c r="AN334" s="209"/>
      <c r="AO334" s="209"/>
      <c r="AP334" s="209"/>
    </row>
    <row r="335">
      <c r="A335" s="291"/>
      <c r="B335" s="303" t="s">
        <v>2226</v>
      </c>
      <c r="C335" s="304" t="s">
        <v>547</v>
      </c>
      <c r="D335" s="304" t="s">
        <v>2227</v>
      </c>
      <c r="E335" s="307">
        <v>8.10115978343E11</v>
      </c>
      <c r="F335" s="209"/>
      <c r="G335" s="209"/>
      <c r="H335" s="209"/>
      <c r="I335" s="209"/>
      <c r="J335" s="300" t="b">
        <v>1</v>
      </c>
      <c r="K335" s="301" t="b">
        <v>0</v>
      </c>
      <c r="L335" s="419"/>
      <c r="M335" s="301" t="b">
        <v>0</v>
      </c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  <c r="AI335" s="209"/>
      <c r="AJ335" s="209"/>
      <c r="AK335" s="209"/>
      <c r="AL335" s="209"/>
      <c r="AM335" s="209"/>
      <c r="AN335" s="209"/>
      <c r="AO335" s="209"/>
      <c r="AP335" s="209"/>
    </row>
    <row r="336">
      <c r="A336" s="291"/>
      <c r="B336" s="303" t="s">
        <v>2228</v>
      </c>
      <c r="C336" s="304" t="s">
        <v>547</v>
      </c>
      <c r="D336" s="304" t="s">
        <v>2229</v>
      </c>
      <c r="E336" s="307">
        <v>8.10115978404E11</v>
      </c>
      <c r="F336" s="209"/>
      <c r="G336" s="209"/>
      <c r="H336" s="209"/>
      <c r="I336" s="209"/>
      <c r="J336" s="300" t="b">
        <v>1</v>
      </c>
      <c r="K336" s="301" t="b">
        <v>0</v>
      </c>
      <c r="L336" s="419"/>
      <c r="M336" s="301" t="b">
        <v>0</v>
      </c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  <c r="AI336" s="209"/>
      <c r="AJ336" s="209"/>
      <c r="AK336" s="209"/>
      <c r="AL336" s="209"/>
      <c r="AM336" s="209"/>
      <c r="AN336" s="209"/>
      <c r="AO336" s="209"/>
      <c r="AP336" s="209"/>
    </row>
    <row r="337">
      <c r="A337" s="291"/>
      <c r="B337" s="303" t="s">
        <v>2230</v>
      </c>
      <c r="C337" s="304" t="s">
        <v>641</v>
      </c>
      <c r="D337" s="304" t="s">
        <v>2231</v>
      </c>
      <c r="E337" s="307">
        <v>8.1011597596E11</v>
      </c>
      <c r="F337" s="209"/>
      <c r="G337" s="209"/>
      <c r="H337" s="209"/>
      <c r="I337" s="209"/>
      <c r="J337" s="300" t="b">
        <v>1</v>
      </c>
      <c r="K337" s="301" t="b">
        <v>0</v>
      </c>
      <c r="L337" s="419"/>
      <c r="M337" s="301" t="b">
        <v>0</v>
      </c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  <c r="AI337" s="209"/>
      <c r="AJ337" s="209"/>
      <c r="AK337" s="209"/>
      <c r="AL337" s="209"/>
      <c r="AM337" s="209"/>
      <c r="AN337" s="209"/>
      <c r="AO337" s="209"/>
      <c r="AP337" s="209"/>
    </row>
    <row r="338">
      <c r="A338" s="309"/>
      <c r="B338" s="310" t="s">
        <v>2232</v>
      </c>
      <c r="C338" s="311" t="s">
        <v>641</v>
      </c>
      <c r="D338" s="311" t="s">
        <v>2233</v>
      </c>
      <c r="E338" s="318">
        <v>8.10115975953E11</v>
      </c>
      <c r="F338" s="313"/>
      <c r="G338" s="313"/>
      <c r="H338" s="313"/>
      <c r="I338" s="313"/>
      <c r="J338" s="300" t="b">
        <v>1</v>
      </c>
      <c r="K338" s="314" t="b">
        <v>0</v>
      </c>
      <c r="L338" s="365"/>
      <c r="M338" s="314" t="b">
        <v>0</v>
      </c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  <c r="AK338" s="209"/>
      <c r="AL338" s="209"/>
      <c r="AM338" s="209"/>
      <c r="AN338" s="209"/>
      <c r="AO338" s="209"/>
      <c r="AP338" s="209"/>
    </row>
    <row r="339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  <c r="AI339" s="209"/>
      <c r="AJ339" s="209"/>
      <c r="AK339" s="209"/>
      <c r="AL339" s="209"/>
      <c r="AM339" s="209"/>
      <c r="AN339" s="209"/>
      <c r="AO339" s="209"/>
      <c r="AP339" s="209"/>
    </row>
    <row r="340">
      <c r="A340" s="316" t="s">
        <v>1841</v>
      </c>
      <c r="B340" s="319" t="s">
        <v>2234</v>
      </c>
      <c r="C340" s="320"/>
      <c r="D340" s="283" t="s">
        <v>2235</v>
      </c>
      <c r="E340" s="336" t="s">
        <v>2236</v>
      </c>
      <c r="F340" s="320"/>
      <c r="G340" s="320"/>
      <c r="H340" s="285" t="s">
        <v>572</v>
      </c>
      <c r="I340" s="285" t="s">
        <v>4357</v>
      </c>
      <c r="J340" s="333" t="str">
        <f>IF(COUNTIF(J341:J346, TRUE) = COUNTA(J341:J346), "Complete!", IF(COUNTIF(J341:J346, TRUE) &gt; 0, "Partial", "Not Started"))</f>
        <v>Complete!</v>
      </c>
      <c r="K340" s="334"/>
      <c r="L340" s="285" t="s">
        <v>889</v>
      </c>
      <c r="M340" s="465" t="str">
        <f>IF(COUNTIF(M341:M345, TRUE) = COUNTA(M341:M345), "Complete!", IF(COUNTIF(M341:M345, TRUE) &gt; 0, "Partial", "Not Started"))</f>
        <v>Not Started</v>
      </c>
      <c r="N340" s="280">
        <v>8.0</v>
      </c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  <c r="AI340" s="209"/>
      <c r="AJ340" s="209"/>
      <c r="AK340" s="209"/>
      <c r="AL340" s="209"/>
      <c r="AM340" s="209"/>
      <c r="AN340" s="209"/>
      <c r="AO340" s="209"/>
      <c r="AP340" s="209"/>
    </row>
    <row r="341">
      <c r="A341" s="291"/>
      <c r="B341" s="292" t="s">
        <v>2238</v>
      </c>
      <c r="C341" s="293" t="s">
        <v>449</v>
      </c>
      <c r="D341" s="293" t="s">
        <v>2239</v>
      </c>
      <c r="E341" s="299">
        <v>8.10115970293E11</v>
      </c>
      <c r="F341" s="295"/>
      <c r="G341" s="295"/>
      <c r="H341" s="295"/>
      <c r="I341" s="209"/>
      <c r="J341" s="296" t="b">
        <v>1</v>
      </c>
      <c r="K341" s="297" t="b">
        <v>0</v>
      </c>
      <c r="L341" s="209"/>
      <c r="M341" s="301" t="b">
        <v>0</v>
      </c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  <c r="AI341" s="209"/>
      <c r="AJ341" s="209"/>
      <c r="AK341" s="209"/>
      <c r="AL341" s="209"/>
      <c r="AM341" s="209"/>
      <c r="AN341" s="209"/>
      <c r="AO341" s="209"/>
      <c r="AP341" s="209"/>
    </row>
    <row r="342">
      <c r="A342" s="291"/>
      <c r="B342" s="303" t="s">
        <v>2240</v>
      </c>
      <c r="C342" s="304" t="s">
        <v>487</v>
      </c>
      <c r="D342" s="304" t="s">
        <v>2241</v>
      </c>
      <c r="E342" s="307">
        <v>8.10115972327E11</v>
      </c>
      <c r="F342" s="209"/>
      <c r="G342" s="209"/>
      <c r="H342" s="209"/>
      <c r="I342" s="209"/>
      <c r="J342" s="296" t="b">
        <v>1</v>
      </c>
      <c r="K342" s="301" t="b">
        <v>0</v>
      </c>
      <c r="L342" s="209"/>
      <c r="M342" s="301" t="b">
        <v>0</v>
      </c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  <c r="AI342" s="209"/>
      <c r="AJ342" s="209"/>
      <c r="AK342" s="209"/>
      <c r="AL342" s="209"/>
      <c r="AM342" s="209"/>
      <c r="AN342" s="209"/>
      <c r="AO342" s="209"/>
      <c r="AP342" s="209"/>
    </row>
    <row r="343">
      <c r="A343" s="291"/>
      <c r="B343" s="303" t="s">
        <v>2242</v>
      </c>
      <c r="C343" s="304" t="s">
        <v>440</v>
      </c>
      <c r="D343" s="304" t="s">
        <v>2243</v>
      </c>
      <c r="E343" s="307">
        <v>8.1011597033E11</v>
      </c>
      <c r="F343" s="209"/>
      <c r="G343" s="209"/>
      <c r="H343" s="209"/>
      <c r="I343" s="209"/>
      <c r="J343" s="296" t="b">
        <v>1</v>
      </c>
      <c r="K343" s="301" t="b">
        <v>0</v>
      </c>
      <c r="L343" s="209"/>
      <c r="M343" s="301" t="b">
        <v>0</v>
      </c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  <c r="AI343" s="209"/>
      <c r="AJ343" s="209"/>
      <c r="AK343" s="209"/>
      <c r="AL343" s="209"/>
      <c r="AM343" s="209"/>
      <c r="AN343" s="209"/>
      <c r="AO343" s="209"/>
      <c r="AP343" s="209"/>
    </row>
    <row r="344">
      <c r="A344" s="291"/>
      <c r="B344" s="303" t="s">
        <v>2244</v>
      </c>
      <c r="C344" s="304" t="s">
        <v>458</v>
      </c>
      <c r="D344" s="304" t="s">
        <v>2245</v>
      </c>
      <c r="E344" s="307">
        <v>8.10115971672E11</v>
      </c>
      <c r="F344" s="209"/>
      <c r="G344" s="209"/>
      <c r="H344" s="209"/>
      <c r="I344" s="209"/>
      <c r="J344" s="296" t="b">
        <v>1</v>
      </c>
      <c r="K344" s="301" t="b">
        <v>0</v>
      </c>
      <c r="L344" s="209"/>
      <c r="M344" s="301" t="b">
        <v>0</v>
      </c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  <c r="AI344" s="209"/>
      <c r="AJ344" s="209"/>
      <c r="AK344" s="209"/>
      <c r="AL344" s="209"/>
      <c r="AM344" s="209"/>
      <c r="AN344" s="209"/>
      <c r="AO344" s="209"/>
      <c r="AP344" s="209"/>
    </row>
    <row r="345">
      <c r="A345" s="291"/>
      <c r="B345" s="303" t="s">
        <v>2246</v>
      </c>
      <c r="C345" s="304" t="s">
        <v>505</v>
      </c>
      <c r="D345" s="304" t="s">
        <v>2247</v>
      </c>
      <c r="E345" s="307">
        <v>8.10115970354E11</v>
      </c>
      <c r="F345" s="209"/>
      <c r="G345" s="209"/>
      <c r="H345" s="209"/>
      <c r="I345" s="209"/>
      <c r="J345" s="296" t="b">
        <v>1</v>
      </c>
      <c r="K345" s="301" t="b">
        <v>0</v>
      </c>
      <c r="L345" s="419"/>
      <c r="M345" s="301" t="b">
        <v>0</v>
      </c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  <c r="AI345" s="209"/>
      <c r="AJ345" s="209"/>
      <c r="AK345" s="209"/>
      <c r="AL345" s="209"/>
      <c r="AM345" s="209"/>
      <c r="AN345" s="209"/>
      <c r="AO345" s="209"/>
      <c r="AP345" s="209"/>
    </row>
    <row r="346">
      <c r="A346" s="291"/>
      <c r="B346" s="303" t="s">
        <v>2248</v>
      </c>
      <c r="C346" s="304" t="s">
        <v>547</v>
      </c>
      <c r="D346" s="304" t="s">
        <v>2249</v>
      </c>
      <c r="E346" s="307">
        <v>8.10115972341E11</v>
      </c>
      <c r="F346" s="209"/>
      <c r="G346" s="209"/>
      <c r="H346" s="209"/>
      <c r="I346" s="209"/>
      <c r="J346" s="296" t="b">
        <v>1</v>
      </c>
      <c r="K346" s="301" t="b">
        <v>0</v>
      </c>
      <c r="L346" s="419"/>
      <c r="M346" s="301" t="b">
        <v>0</v>
      </c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  <c r="AK346" s="209"/>
      <c r="AL346" s="209"/>
      <c r="AM346" s="209"/>
      <c r="AN346" s="209"/>
      <c r="AO346" s="209"/>
      <c r="AP346" s="209"/>
    </row>
    <row r="347">
      <c r="A347" s="291"/>
      <c r="B347" s="489" t="s">
        <v>2252</v>
      </c>
      <c r="C347" s="304" t="s">
        <v>487</v>
      </c>
      <c r="D347" s="304" t="s">
        <v>2253</v>
      </c>
      <c r="E347" s="353"/>
      <c r="F347" s="304" t="s">
        <v>1057</v>
      </c>
      <c r="G347" s="209"/>
      <c r="H347" s="209"/>
      <c r="I347" s="304" t="s">
        <v>4358</v>
      </c>
      <c r="J347" s="296" t="b">
        <v>1</v>
      </c>
      <c r="K347" s="301" t="b">
        <v>0</v>
      </c>
      <c r="L347" s="365"/>
      <c r="M347" s="314" t="b">
        <v>0</v>
      </c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  <c r="AI347" s="209"/>
      <c r="AJ347" s="209"/>
      <c r="AK347" s="209"/>
      <c r="AL347" s="209"/>
      <c r="AM347" s="209"/>
      <c r="AN347" s="209"/>
      <c r="AO347" s="209"/>
      <c r="AP347" s="209"/>
    </row>
    <row r="348">
      <c r="A348" s="309"/>
      <c r="B348" s="311" t="s">
        <v>2250</v>
      </c>
      <c r="C348" s="311" t="s">
        <v>522</v>
      </c>
      <c r="D348" s="311" t="s">
        <v>2251</v>
      </c>
      <c r="E348" s="313"/>
      <c r="F348" s="311" t="s">
        <v>1057</v>
      </c>
      <c r="G348" s="313"/>
      <c r="H348" s="313"/>
      <c r="I348" s="313"/>
      <c r="J348" s="296" t="b">
        <v>1</v>
      </c>
      <c r="K348" s="314" t="b">
        <v>0</v>
      </c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  <c r="AI348" s="209"/>
      <c r="AJ348" s="209"/>
      <c r="AK348" s="209"/>
      <c r="AL348" s="209"/>
      <c r="AM348" s="209"/>
      <c r="AN348" s="209"/>
      <c r="AO348" s="209"/>
      <c r="AP348" s="209"/>
    </row>
    <row r="349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  <c r="AK349" s="209"/>
      <c r="AL349" s="209"/>
      <c r="AM349" s="209"/>
      <c r="AN349" s="209"/>
      <c r="AO349" s="209"/>
      <c r="AP349" s="209"/>
    </row>
    <row r="350">
      <c r="A350" s="316" t="s">
        <v>1869</v>
      </c>
      <c r="B350" s="319" t="s">
        <v>2255</v>
      </c>
      <c r="C350" s="320"/>
      <c r="D350" s="283" t="s">
        <v>2256</v>
      </c>
      <c r="E350" s="336" t="s">
        <v>2236</v>
      </c>
      <c r="F350" s="320"/>
      <c r="G350" s="320"/>
      <c r="H350" s="285" t="s">
        <v>468</v>
      </c>
      <c r="I350" s="285" t="s">
        <v>4359</v>
      </c>
      <c r="J350" s="333" t="str">
        <f>IF(COUNTIF(J351:J356, TRUE) = COUNTA(J351:J356), "Complete!", IF(COUNTIF(J351:J356, TRUE) &gt; 0, "Partial", "Not Started"))</f>
        <v>Complete!</v>
      </c>
      <c r="K350" s="334"/>
      <c r="L350" s="464" t="s">
        <v>889</v>
      </c>
      <c r="M350" s="465" t="str">
        <f>IF(COUNTIF(M351:M356, TRUE) = COUNTA(M351:M356), "Complete!", IF(COUNTIF(M351:M356, TRUE) &gt; 0, "Partial", "Not Started"))</f>
        <v>Not Started</v>
      </c>
      <c r="N350" s="280">
        <v>7.0</v>
      </c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  <c r="AI350" s="209"/>
      <c r="AJ350" s="209"/>
      <c r="AK350" s="209"/>
      <c r="AL350" s="209"/>
      <c r="AM350" s="209"/>
      <c r="AN350" s="209"/>
      <c r="AO350" s="209"/>
      <c r="AP350" s="209"/>
    </row>
    <row r="351">
      <c r="A351" s="291"/>
      <c r="B351" s="303" t="s">
        <v>2258</v>
      </c>
      <c r="C351" s="304" t="s">
        <v>449</v>
      </c>
      <c r="D351" s="304" t="s">
        <v>2259</v>
      </c>
      <c r="E351" s="307">
        <v>8.10115971641E11</v>
      </c>
      <c r="F351" s="209"/>
      <c r="G351" s="209"/>
      <c r="H351" s="209"/>
      <c r="I351" s="209"/>
      <c r="J351" s="300" t="b">
        <v>1</v>
      </c>
      <c r="K351" s="301" t="b">
        <v>0</v>
      </c>
      <c r="L351" s="419"/>
      <c r="M351" s="301" t="b">
        <v>0</v>
      </c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09"/>
      <c r="AJ351" s="209"/>
      <c r="AK351" s="209"/>
      <c r="AL351" s="209"/>
      <c r="AM351" s="209"/>
      <c r="AN351" s="209"/>
      <c r="AO351" s="209"/>
      <c r="AP351" s="209"/>
    </row>
    <row r="352">
      <c r="A352" s="291"/>
      <c r="B352" s="303" t="s">
        <v>2260</v>
      </c>
      <c r="C352" s="304" t="s">
        <v>487</v>
      </c>
      <c r="D352" s="304" t="s">
        <v>2261</v>
      </c>
      <c r="E352" s="307">
        <v>8.10115973195E11</v>
      </c>
      <c r="F352" s="209"/>
      <c r="G352" s="209"/>
      <c r="H352" s="209"/>
      <c r="I352" s="209"/>
      <c r="J352" s="300" t="b">
        <v>1</v>
      </c>
      <c r="K352" s="301" t="b">
        <v>0</v>
      </c>
      <c r="L352" s="419"/>
      <c r="M352" s="301" t="b">
        <v>0</v>
      </c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  <c r="AI352" s="209"/>
      <c r="AJ352" s="209"/>
      <c r="AK352" s="209"/>
      <c r="AL352" s="209"/>
      <c r="AM352" s="209"/>
      <c r="AN352" s="209"/>
      <c r="AO352" s="209"/>
      <c r="AP352" s="209"/>
    </row>
    <row r="353">
      <c r="A353" s="291"/>
      <c r="B353" s="303" t="s">
        <v>2262</v>
      </c>
      <c r="C353" s="304" t="s">
        <v>440</v>
      </c>
      <c r="D353" s="304" t="s">
        <v>2263</v>
      </c>
      <c r="E353" s="307">
        <v>8.10115971658E11</v>
      </c>
      <c r="F353" s="209"/>
      <c r="G353" s="209"/>
      <c r="H353" s="209"/>
      <c r="I353" s="209"/>
      <c r="J353" s="300" t="b">
        <v>1</v>
      </c>
      <c r="K353" s="301" t="b">
        <v>0</v>
      </c>
      <c r="L353" s="419"/>
      <c r="M353" s="301" t="b">
        <v>0</v>
      </c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  <c r="AI353" s="209"/>
      <c r="AJ353" s="209"/>
      <c r="AK353" s="209"/>
      <c r="AL353" s="209"/>
      <c r="AM353" s="209"/>
      <c r="AN353" s="209"/>
      <c r="AO353" s="209"/>
      <c r="AP353" s="209"/>
    </row>
    <row r="354">
      <c r="A354" s="291"/>
      <c r="B354" s="303" t="s">
        <v>2265</v>
      </c>
      <c r="C354" s="304" t="s">
        <v>458</v>
      </c>
      <c r="D354" s="304" t="s">
        <v>2266</v>
      </c>
      <c r="E354" s="307">
        <v>8.10115971665E11</v>
      </c>
      <c r="F354" s="209"/>
      <c r="G354" s="209"/>
      <c r="H354" s="209"/>
      <c r="I354" s="209"/>
      <c r="J354" s="300" t="b">
        <v>1</v>
      </c>
      <c r="K354" s="301" t="b">
        <v>0</v>
      </c>
      <c r="L354" s="419"/>
      <c r="M354" s="301" t="b">
        <v>0</v>
      </c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  <c r="AK354" s="209"/>
      <c r="AL354" s="209"/>
      <c r="AM354" s="209"/>
      <c r="AN354" s="209"/>
      <c r="AO354" s="209"/>
      <c r="AP354" s="209"/>
    </row>
    <row r="355">
      <c r="A355" s="291"/>
      <c r="B355" s="303" t="s">
        <v>2267</v>
      </c>
      <c r="C355" s="304" t="s">
        <v>505</v>
      </c>
      <c r="D355" s="304" t="s">
        <v>2268</v>
      </c>
      <c r="E355" s="307">
        <v>8.10115971719E11</v>
      </c>
      <c r="F355" s="209"/>
      <c r="G355" s="209"/>
      <c r="H355" s="209"/>
      <c r="I355" s="209"/>
      <c r="J355" s="300" t="b">
        <v>1</v>
      </c>
      <c r="K355" s="301" t="b">
        <v>0</v>
      </c>
      <c r="L355" s="419"/>
      <c r="M355" s="301" t="b">
        <v>0</v>
      </c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  <c r="AI355" s="209"/>
      <c r="AJ355" s="209"/>
      <c r="AK355" s="209"/>
      <c r="AL355" s="209"/>
      <c r="AM355" s="209"/>
      <c r="AN355" s="209"/>
      <c r="AO355" s="209"/>
      <c r="AP355" s="209"/>
    </row>
    <row r="356">
      <c r="A356" s="309"/>
      <c r="B356" s="310" t="s">
        <v>2269</v>
      </c>
      <c r="C356" s="311" t="s">
        <v>547</v>
      </c>
      <c r="D356" s="311" t="s">
        <v>2270</v>
      </c>
      <c r="E356" s="318">
        <v>8.10115977841E11</v>
      </c>
      <c r="F356" s="313"/>
      <c r="G356" s="313"/>
      <c r="H356" s="313"/>
      <c r="I356" s="313"/>
      <c r="J356" s="300" t="b">
        <v>1</v>
      </c>
      <c r="K356" s="314" t="b">
        <v>0</v>
      </c>
      <c r="L356" s="365"/>
      <c r="M356" s="314" t="b">
        <v>0</v>
      </c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  <c r="AI356" s="209"/>
      <c r="AJ356" s="209"/>
      <c r="AK356" s="209"/>
      <c r="AL356" s="209"/>
      <c r="AM356" s="209"/>
      <c r="AN356" s="209"/>
      <c r="AO356" s="209"/>
      <c r="AP356" s="209"/>
    </row>
    <row r="357">
      <c r="A357" s="209"/>
      <c r="B357" s="209"/>
      <c r="C357" s="209"/>
      <c r="D357" s="209"/>
      <c r="E357" s="209"/>
      <c r="F357" s="209"/>
      <c r="G357" s="209"/>
      <c r="H357" s="209"/>
      <c r="I357" s="209"/>
      <c r="J357" s="313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  <c r="AK357" s="209"/>
      <c r="AL357" s="209"/>
      <c r="AM357" s="209"/>
      <c r="AN357" s="209"/>
      <c r="AO357" s="209"/>
      <c r="AP357" s="209"/>
    </row>
    <row r="358">
      <c r="A358" s="316" t="s">
        <v>1894</v>
      </c>
      <c r="B358" s="319" t="s">
        <v>2271</v>
      </c>
      <c r="C358" s="320"/>
      <c r="D358" s="283" t="s">
        <v>2272</v>
      </c>
      <c r="E358" s="320"/>
      <c r="F358" s="320"/>
      <c r="G358" s="320"/>
      <c r="H358" s="285" t="s">
        <v>468</v>
      </c>
      <c r="I358" s="285" t="s">
        <v>4360</v>
      </c>
      <c r="J358" s="438" t="str">
        <f>IF(COUNTIF(J359:J368, TRUE) = COUNTA(J359:J368), "Complete!", IF(COUNTIF(J359:J368, TRUE) &gt; 0, "Partial", "Not Started"))</f>
        <v>Complete!</v>
      </c>
      <c r="K358" s="334"/>
      <c r="L358" s="464" t="s">
        <v>889</v>
      </c>
      <c r="M358" s="465" t="str">
        <f>IF(COUNTIF(M359:M368, TRUE) = COUNTA(M359:M368), "Complete!", IF(COUNTIF(M359:M368, TRUE) &gt; 0, "Partial", "Not Started"))</f>
        <v>Not Started</v>
      </c>
      <c r="N358" s="280">
        <v>10.0</v>
      </c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  <c r="AI358" s="209"/>
      <c r="AJ358" s="209"/>
      <c r="AK358" s="209"/>
      <c r="AL358" s="209"/>
      <c r="AM358" s="209"/>
      <c r="AN358" s="209"/>
      <c r="AO358" s="209"/>
      <c r="AP358" s="209"/>
    </row>
    <row r="359">
      <c r="A359" s="291"/>
      <c r="B359" s="292" t="s">
        <v>2275</v>
      </c>
      <c r="C359" s="293" t="s">
        <v>630</v>
      </c>
      <c r="D359" s="304" t="s">
        <v>2276</v>
      </c>
      <c r="E359" s="299">
        <v>8.10115977858E11</v>
      </c>
      <c r="F359" s="209"/>
      <c r="G359" s="209"/>
      <c r="H359" s="209"/>
      <c r="I359" s="209"/>
      <c r="J359" s="300" t="b">
        <v>1</v>
      </c>
      <c r="K359" s="301" t="b">
        <v>0</v>
      </c>
      <c r="L359" s="419"/>
      <c r="M359" s="301" t="b">
        <v>0</v>
      </c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  <c r="AK359" s="209"/>
      <c r="AL359" s="209"/>
      <c r="AM359" s="209"/>
      <c r="AN359" s="209"/>
      <c r="AO359" s="209"/>
      <c r="AP359" s="209"/>
    </row>
    <row r="360">
      <c r="A360" s="291"/>
      <c r="B360" s="303" t="s">
        <v>2277</v>
      </c>
      <c r="C360" s="304" t="s">
        <v>2278</v>
      </c>
      <c r="D360" s="304" t="s">
        <v>2279</v>
      </c>
      <c r="E360" s="307">
        <v>8.10115977865E11</v>
      </c>
      <c r="F360" s="209"/>
      <c r="G360" s="209"/>
      <c r="H360" s="209"/>
      <c r="I360" s="209"/>
      <c r="J360" s="300" t="b">
        <v>1</v>
      </c>
      <c r="K360" s="301" t="b">
        <v>0</v>
      </c>
      <c r="L360" s="419"/>
      <c r="M360" s="301" t="b">
        <v>0</v>
      </c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  <c r="AK360" s="209"/>
      <c r="AL360" s="209"/>
      <c r="AM360" s="209"/>
      <c r="AN360" s="209"/>
      <c r="AO360" s="209"/>
      <c r="AP360" s="209"/>
    </row>
    <row r="361">
      <c r="A361" s="291"/>
      <c r="B361" s="303" t="s">
        <v>2280</v>
      </c>
      <c r="C361" s="304" t="s">
        <v>394</v>
      </c>
      <c r="D361" s="304" t="s">
        <v>2281</v>
      </c>
      <c r="E361" s="307">
        <v>8.10115977872E11</v>
      </c>
      <c r="F361" s="209"/>
      <c r="G361" s="209"/>
      <c r="H361" s="209"/>
      <c r="I361" s="209"/>
      <c r="J361" s="300" t="b">
        <v>1</v>
      </c>
      <c r="K361" s="301" t="b">
        <v>0</v>
      </c>
      <c r="L361" s="419"/>
      <c r="M361" s="301" t="b">
        <v>0</v>
      </c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  <c r="AI361" s="209"/>
      <c r="AJ361" s="209"/>
      <c r="AK361" s="209"/>
      <c r="AL361" s="209"/>
      <c r="AM361" s="209"/>
      <c r="AN361" s="209"/>
      <c r="AO361" s="209"/>
      <c r="AP361" s="209"/>
    </row>
    <row r="362">
      <c r="A362" s="291"/>
      <c r="B362" s="303" t="s">
        <v>2282</v>
      </c>
      <c r="C362" s="304" t="s">
        <v>404</v>
      </c>
      <c r="D362" s="304" t="s">
        <v>2283</v>
      </c>
      <c r="E362" s="307">
        <v>8.10115971214E11</v>
      </c>
      <c r="F362" s="209"/>
      <c r="G362" s="209"/>
      <c r="H362" s="209"/>
      <c r="I362" s="209"/>
      <c r="J362" s="300" t="b">
        <v>1</v>
      </c>
      <c r="K362" s="301" t="b">
        <v>0</v>
      </c>
      <c r="L362" s="419"/>
      <c r="M362" s="301" t="b">
        <v>0</v>
      </c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  <c r="AI362" s="209"/>
      <c r="AJ362" s="209"/>
      <c r="AK362" s="209"/>
      <c r="AL362" s="209"/>
      <c r="AM362" s="209"/>
      <c r="AN362" s="209"/>
      <c r="AO362" s="209"/>
      <c r="AP362" s="209"/>
    </row>
    <row r="363">
      <c r="A363" s="291"/>
      <c r="B363" s="303" t="s">
        <v>2284</v>
      </c>
      <c r="C363" s="304" t="s">
        <v>390</v>
      </c>
      <c r="D363" s="304" t="s">
        <v>2285</v>
      </c>
      <c r="E363" s="307">
        <v>8.10115971221E11</v>
      </c>
      <c r="F363" s="209"/>
      <c r="G363" s="209"/>
      <c r="H363" s="209"/>
      <c r="I363" s="209"/>
      <c r="J363" s="300" t="b">
        <v>1</v>
      </c>
      <c r="K363" s="301" t="b">
        <v>0</v>
      </c>
      <c r="L363" s="419"/>
      <c r="M363" s="301" t="b">
        <v>0</v>
      </c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  <c r="AI363" s="209"/>
      <c r="AJ363" s="209"/>
      <c r="AK363" s="209"/>
      <c r="AL363" s="209"/>
      <c r="AM363" s="209"/>
      <c r="AN363" s="209"/>
      <c r="AO363" s="209"/>
      <c r="AP363" s="209"/>
    </row>
    <row r="364">
      <c r="A364" s="291"/>
      <c r="B364" s="303" t="s">
        <v>2286</v>
      </c>
      <c r="C364" s="304" t="s">
        <v>682</v>
      </c>
      <c r="D364" s="304" t="s">
        <v>2287</v>
      </c>
      <c r="E364" s="307">
        <v>8.10115977889E11</v>
      </c>
      <c r="F364" s="209"/>
      <c r="G364" s="209"/>
      <c r="H364" s="209"/>
      <c r="I364" s="209"/>
      <c r="J364" s="300" t="b">
        <v>1</v>
      </c>
      <c r="K364" s="301" t="b">
        <v>0</v>
      </c>
      <c r="L364" s="419"/>
      <c r="M364" s="301" t="b">
        <v>0</v>
      </c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  <c r="AI364" s="209"/>
      <c r="AJ364" s="209"/>
      <c r="AK364" s="209"/>
      <c r="AL364" s="209"/>
      <c r="AM364" s="209"/>
      <c r="AN364" s="209"/>
      <c r="AO364" s="209"/>
      <c r="AP364" s="209"/>
    </row>
    <row r="365">
      <c r="A365" s="291"/>
      <c r="B365" s="303" t="s">
        <v>2288</v>
      </c>
      <c r="C365" s="304" t="s">
        <v>662</v>
      </c>
      <c r="D365" s="304" t="s">
        <v>2289</v>
      </c>
      <c r="E365" s="307">
        <v>8.10115977896E11</v>
      </c>
      <c r="F365" s="209"/>
      <c r="G365" s="209"/>
      <c r="H365" s="209"/>
      <c r="I365" s="209"/>
      <c r="J365" s="300" t="b">
        <v>1</v>
      </c>
      <c r="K365" s="301" t="b">
        <v>0</v>
      </c>
      <c r="L365" s="419"/>
      <c r="M365" s="301" t="b">
        <v>0</v>
      </c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  <c r="AI365" s="209"/>
      <c r="AJ365" s="209"/>
      <c r="AK365" s="209"/>
      <c r="AL365" s="209"/>
      <c r="AM365" s="209"/>
      <c r="AN365" s="209"/>
      <c r="AO365" s="209"/>
      <c r="AP365" s="209"/>
    </row>
    <row r="366">
      <c r="A366" s="291"/>
      <c r="B366" s="303" t="s">
        <v>2290</v>
      </c>
      <c r="C366" s="304" t="s">
        <v>400</v>
      </c>
      <c r="D366" s="304" t="s">
        <v>2291</v>
      </c>
      <c r="E366" s="307">
        <v>8.10115971245E11</v>
      </c>
      <c r="F366" s="209"/>
      <c r="G366" s="209"/>
      <c r="H366" s="209"/>
      <c r="I366" s="209"/>
      <c r="J366" s="300" t="b">
        <v>1</v>
      </c>
      <c r="K366" s="301" t="b">
        <v>0</v>
      </c>
      <c r="L366" s="419"/>
      <c r="M366" s="301" t="b">
        <v>0</v>
      </c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  <c r="AI366" s="209"/>
      <c r="AJ366" s="209"/>
      <c r="AK366" s="209"/>
      <c r="AL366" s="209"/>
      <c r="AM366" s="209"/>
      <c r="AN366" s="209"/>
      <c r="AO366" s="209"/>
      <c r="AP366" s="209"/>
    </row>
    <row r="367">
      <c r="A367" s="291"/>
      <c r="B367" s="303" t="s">
        <v>2292</v>
      </c>
      <c r="C367" s="304" t="s">
        <v>697</v>
      </c>
      <c r="D367" s="304" t="s">
        <v>2293</v>
      </c>
      <c r="E367" s="307">
        <v>8.10115977902E11</v>
      </c>
      <c r="F367" s="209"/>
      <c r="G367" s="209"/>
      <c r="H367" s="209"/>
      <c r="I367" s="209"/>
      <c r="J367" s="300" t="b">
        <v>1</v>
      </c>
      <c r="K367" s="301" t="b">
        <v>0</v>
      </c>
      <c r="L367" s="419"/>
      <c r="M367" s="301" t="b">
        <v>0</v>
      </c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  <c r="AI367" s="209"/>
      <c r="AJ367" s="209"/>
      <c r="AK367" s="209"/>
      <c r="AL367" s="209"/>
      <c r="AM367" s="209"/>
      <c r="AN367" s="209"/>
      <c r="AO367" s="209"/>
      <c r="AP367" s="209"/>
    </row>
    <row r="368">
      <c r="A368" s="309"/>
      <c r="B368" s="310" t="s">
        <v>2294</v>
      </c>
      <c r="C368" s="311" t="s">
        <v>434</v>
      </c>
      <c r="D368" s="311" t="s">
        <v>2295</v>
      </c>
      <c r="E368" s="318">
        <v>8.10115977919E11</v>
      </c>
      <c r="F368" s="313"/>
      <c r="G368" s="313"/>
      <c r="H368" s="313"/>
      <c r="I368" s="313"/>
      <c r="J368" s="300" t="b">
        <v>1</v>
      </c>
      <c r="K368" s="314" t="b">
        <v>0</v>
      </c>
      <c r="L368" s="365"/>
      <c r="M368" s="314" t="b">
        <v>0</v>
      </c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  <c r="AI368" s="209"/>
      <c r="AJ368" s="209"/>
      <c r="AK368" s="209"/>
      <c r="AL368" s="209"/>
      <c r="AM368" s="209"/>
      <c r="AN368" s="209"/>
      <c r="AO368" s="209"/>
      <c r="AP368" s="209"/>
    </row>
    <row r="369">
      <c r="A369" s="209"/>
      <c r="B369" s="209"/>
      <c r="C369" s="209"/>
      <c r="D369" s="209"/>
      <c r="E369" s="209"/>
      <c r="F369" s="209"/>
      <c r="G369" s="209"/>
      <c r="H369" s="209"/>
      <c r="I369" s="209"/>
      <c r="J369" s="313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  <c r="AL369" s="209"/>
      <c r="AM369" s="209"/>
      <c r="AN369" s="209"/>
      <c r="AO369" s="209"/>
      <c r="AP369" s="209"/>
    </row>
    <row r="370">
      <c r="A370" s="316" t="s">
        <v>1914</v>
      </c>
      <c r="B370" s="319" t="s">
        <v>2296</v>
      </c>
      <c r="C370" s="320"/>
      <c r="D370" s="283" t="s">
        <v>2297</v>
      </c>
      <c r="E370" s="320"/>
      <c r="F370" s="320"/>
      <c r="G370" s="320"/>
      <c r="H370" s="285" t="s">
        <v>370</v>
      </c>
      <c r="I370" s="285" t="s">
        <v>4361</v>
      </c>
      <c r="J370" s="438" t="str">
        <f>IF(COUNTIF(J371:J379, TRUE) = COUNTA(J371:J379), "Complete!", IF(COUNTIF(J371:J379, TRUE) &gt; 0, "Partial", "Not Started"))</f>
        <v>Complete!</v>
      </c>
      <c r="K370" s="334"/>
      <c r="L370" s="464" t="s">
        <v>889</v>
      </c>
      <c r="M370" s="465" t="str">
        <f>IF(COUNTIF(M371:M379, TRUE) = COUNTA(M371:M379), "Complete!", IF(COUNTIF(M371:M379, TRUE) &gt; 0, "Partial", "Not Started"))</f>
        <v>Not Started</v>
      </c>
      <c r="N370" s="280">
        <v>9.0</v>
      </c>
      <c r="O370" s="209"/>
      <c r="P370" s="209"/>
      <c r="Q370" s="209"/>
      <c r="R370" s="209"/>
      <c r="S370" s="209"/>
      <c r="T370" s="209"/>
      <c r="U370" s="209"/>
      <c r="V370" s="209"/>
      <c r="W370" s="325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  <c r="AI370" s="209"/>
      <c r="AJ370" s="209"/>
      <c r="AK370" s="209"/>
      <c r="AL370" s="209"/>
      <c r="AM370" s="209"/>
      <c r="AN370" s="209"/>
      <c r="AO370" s="209"/>
      <c r="AP370" s="209"/>
    </row>
    <row r="371">
      <c r="A371" s="291"/>
      <c r="B371" s="292" t="s">
        <v>2299</v>
      </c>
      <c r="C371" s="293" t="s">
        <v>671</v>
      </c>
      <c r="D371" s="304" t="s">
        <v>2300</v>
      </c>
      <c r="E371" s="299">
        <v>8.10115977926E11</v>
      </c>
      <c r="F371" s="209"/>
      <c r="G371" s="209"/>
      <c r="H371" s="209"/>
      <c r="I371" s="209"/>
      <c r="J371" s="300" t="b">
        <v>1</v>
      </c>
      <c r="K371" s="301" t="b">
        <v>0</v>
      </c>
      <c r="L371" s="419"/>
      <c r="M371" s="301" t="b">
        <v>0</v>
      </c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  <c r="AK371" s="209"/>
      <c r="AL371" s="209"/>
      <c r="AM371" s="209"/>
      <c r="AN371" s="209"/>
      <c r="AO371" s="209"/>
      <c r="AP371" s="209"/>
    </row>
    <row r="372">
      <c r="A372" s="291"/>
      <c r="B372" s="303" t="s">
        <v>2301</v>
      </c>
      <c r="C372" s="304" t="s">
        <v>412</v>
      </c>
      <c r="D372" s="304" t="s">
        <v>2302</v>
      </c>
      <c r="E372" s="307">
        <v>8.10115970385E11</v>
      </c>
      <c r="F372" s="209"/>
      <c r="G372" s="209"/>
      <c r="H372" s="209"/>
      <c r="I372" s="209"/>
      <c r="J372" s="300" t="b">
        <v>1</v>
      </c>
      <c r="K372" s="301" t="b">
        <v>0</v>
      </c>
      <c r="L372" s="419"/>
      <c r="M372" s="301" t="b">
        <v>0</v>
      </c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  <c r="AI372" s="209"/>
      <c r="AJ372" s="209"/>
      <c r="AK372" s="209"/>
      <c r="AL372" s="209"/>
      <c r="AM372" s="209"/>
      <c r="AN372" s="209"/>
      <c r="AO372" s="209"/>
      <c r="AP372" s="209"/>
    </row>
    <row r="373">
      <c r="A373" s="291"/>
      <c r="B373" s="303" t="s">
        <v>2303</v>
      </c>
      <c r="C373" s="304" t="s">
        <v>705</v>
      </c>
      <c r="D373" s="304" t="s">
        <v>2304</v>
      </c>
      <c r="E373" s="307">
        <v>8.10115977933E11</v>
      </c>
      <c r="F373" s="209"/>
      <c r="G373" s="209"/>
      <c r="H373" s="209"/>
      <c r="I373" s="209"/>
      <c r="J373" s="300" t="b">
        <v>1</v>
      </c>
      <c r="K373" s="301" t="b">
        <v>0</v>
      </c>
      <c r="L373" s="419"/>
      <c r="M373" s="301" t="b">
        <v>0</v>
      </c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  <c r="AI373" s="209"/>
      <c r="AJ373" s="209"/>
      <c r="AK373" s="209"/>
      <c r="AL373" s="209"/>
      <c r="AM373" s="209"/>
      <c r="AN373" s="209"/>
      <c r="AO373" s="209"/>
      <c r="AP373" s="209"/>
    </row>
    <row r="374">
      <c r="A374" s="291"/>
      <c r="B374" s="303" t="s">
        <v>2305</v>
      </c>
      <c r="C374" s="304" t="s">
        <v>679</v>
      </c>
      <c r="D374" s="304" t="s">
        <v>2306</v>
      </c>
      <c r="E374" s="307">
        <v>8.1011597794E11</v>
      </c>
      <c r="F374" s="209"/>
      <c r="G374" s="209"/>
      <c r="H374" s="209"/>
      <c r="I374" s="209"/>
      <c r="J374" s="300" t="b">
        <v>1</v>
      </c>
      <c r="K374" s="301" t="b">
        <v>0</v>
      </c>
      <c r="L374" s="419"/>
      <c r="M374" s="301" t="b">
        <v>0</v>
      </c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  <c r="AK374" s="209"/>
      <c r="AL374" s="209"/>
      <c r="AM374" s="209"/>
      <c r="AN374" s="209"/>
      <c r="AO374" s="209"/>
      <c r="AP374" s="209"/>
    </row>
    <row r="375">
      <c r="A375" s="291"/>
      <c r="B375" s="303" t="s">
        <v>2307</v>
      </c>
      <c r="C375" s="304" t="s">
        <v>715</v>
      </c>
      <c r="D375" s="304" t="s">
        <v>2308</v>
      </c>
      <c r="E375" s="307">
        <v>8.10115977957E11</v>
      </c>
      <c r="F375" s="209"/>
      <c r="G375" s="209"/>
      <c r="H375" s="209"/>
      <c r="I375" s="209"/>
      <c r="J375" s="300" t="b">
        <v>1</v>
      </c>
      <c r="K375" s="301" t="b">
        <v>0</v>
      </c>
      <c r="L375" s="419"/>
      <c r="M375" s="301" t="b">
        <v>0</v>
      </c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  <c r="AK375" s="209"/>
      <c r="AL375" s="209"/>
      <c r="AM375" s="209"/>
      <c r="AN375" s="209"/>
      <c r="AO375" s="209"/>
      <c r="AP375" s="209"/>
    </row>
    <row r="376">
      <c r="A376" s="291"/>
      <c r="B376" s="303" t="s">
        <v>2309</v>
      </c>
      <c r="C376" s="304" t="s">
        <v>431</v>
      </c>
      <c r="D376" s="304" t="s">
        <v>2310</v>
      </c>
      <c r="E376" s="307">
        <v>8.10115971276E11</v>
      </c>
      <c r="F376" s="209"/>
      <c r="G376" s="209"/>
      <c r="H376" s="209"/>
      <c r="I376" s="209"/>
      <c r="J376" s="300" t="b">
        <v>1</v>
      </c>
      <c r="K376" s="301" t="b">
        <v>0</v>
      </c>
      <c r="L376" s="419"/>
      <c r="M376" s="301" t="b">
        <v>0</v>
      </c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09"/>
      <c r="AJ376" s="209"/>
      <c r="AK376" s="209"/>
      <c r="AL376" s="209"/>
      <c r="AM376" s="209"/>
      <c r="AN376" s="209"/>
      <c r="AO376" s="209"/>
      <c r="AP376" s="209"/>
    </row>
    <row r="377">
      <c r="A377" s="291"/>
      <c r="B377" s="303" t="s">
        <v>2311</v>
      </c>
      <c r="C377" s="304" t="s">
        <v>1419</v>
      </c>
      <c r="D377" s="304" t="s">
        <v>2312</v>
      </c>
      <c r="E377" s="307">
        <v>8.10115977964E11</v>
      </c>
      <c r="F377" s="209"/>
      <c r="G377" s="209"/>
      <c r="H377" s="209"/>
      <c r="I377" s="209"/>
      <c r="J377" s="300" t="b">
        <v>1</v>
      </c>
      <c r="K377" s="301" t="b">
        <v>0</v>
      </c>
      <c r="L377" s="419"/>
      <c r="M377" s="301" t="b">
        <v>0</v>
      </c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  <c r="AI377" s="209"/>
      <c r="AJ377" s="209"/>
      <c r="AK377" s="209"/>
      <c r="AL377" s="209"/>
      <c r="AM377" s="209"/>
      <c r="AN377" s="209"/>
      <c r="AO377" s="209"/>
      <c r="AP377" s="209"/>
    </row>
    <row r="378">
      <c r="A378" s="291"/>
      <c r="B378" s="303" t="s">
        <v>2313</v>
      </c>
      <c r="C378" s="304" t="s">
        <v>1387</v>
      </c>
      <c r="D378" s="304" t="s">
        <v>2314</v>
      </c>
      <c r="E378" s="307">
        <v>8.10115977971E11</v>
      </c>
      <c r="F378" s="209"/>
      <c r="G378" s="209"/>
      <c r="H378" s="209"/>
      <c r="I378" s="209"/>
      <c r="J378" s="300" t="b">
        <v>1</v>
      </c>
      <c r="K378" s="301" t="b">
        <v>0</v>
      </c>
      <c r="L378" s="419"/>
      <c r="M378" s="301" t="b">
        <v>0</v>
      </c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  <c r="AI378" s="209"/>
      <c r="AJ378" s="209"/>
      <c r="AK378" s="209"/>
      <c r="AL378" s="209"/>
      <c r="AM378" s="209"/>
      <c r="AN378" s="209"/>
      <c r="AO378" s="209"/>
      <c r="AP378" s="209"/>
    </row>
    <row r="379">
      <c r="A379" s="309"/>
      <c r="B379" s="310" t="s">
        <v>2315</v>
      </c>
      <c r="C379" s="311" t="s">
        <v>421</v>
      </c>
      <c r="D379" s="311" t="s">
        <v>2316</v>
      </c>
      <c r="E379" s="318">
        <v>8.1011597129E11</v>
      </c>
      <c r="F379" s="313"/>
      <c r="G379" s="313"/>
      <c r="H379" s="313"/>
      <c r="I379" s="313"/>
      <c r="J379" s="300" t="b">
        <v>1</v>
      </c>
      <c r="K379" s="314" t="b">
        <v>0</v>
      </c>
      <c r="L379" s="365"/>
      <c r="M379" s="314" t="b">
        <v>0</v>
      </c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  <c r="AI379" s="209"/>
      <c r="AJ379" s="209"/>
      <c r="AK379" s="209"/>
      <c r="AL379" s="209"/>
      <c r="AM379" s="209"/>
      <c r="AN379" s="209"/>
      <c r="AO379" s="209"/>
      <c r="AP379" s="209"/>
    </row>
    <row r="380">
      <c r="A380" s="209"/>
      <c r="B380" s="209"/>
      <c r="C380" s="209"/>
      <c r="D380" s="209"/>
      <c r="E380" s="209"/>
      <c r="F380" s="209"/>
      <c r="G380" s="209"/>
      <c r="H380" s="209"/>
      <c r="I380" s="209"/>
      <c r="J380" s="313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  <c r="AI380" s="209"/>
      <c r="AJ380" s="209"/>
      <c r="AK380" s="209"/>
      <c r="AL380" s="209"/>
      <c r="AM380" s="209"/>
      <c r="AN380" s="209"/>
      <c r="AO380" s="209"/>
      <c r="AP380" s="209"/>
    </row>
    <row r="381">
      <c r="A381" s="316" t="s">
        <v>1937</v>
      </c>
      <c r="B381" s="319" t="s">
        <v>2317</v>
      </c>
      <c r="C381" s="320"/>
      <c r="D381" s="283" t="s">
        <v>2318</v>
      </c>
      <c r="E381" s="320"/>
      <c r="F381" s="320"/>
      <c r="G381" s="320"/>
      <c r="H381" s="285" t="s">
        <v>572</v>
      </c>
      <c r="I381" s="285" t="s">
        <v>4362</v>
      </c>
      <c r="J381" s="438" t="str">
        <f>IF(COUNTIF(J382:J386, TRUE) = COUNTA(J382:J386), "Complete!", IF(COUNTIF(J382:J386, TRUE) &gt; 0, "Partial", "Not Started"))</f>
        <v>Complete!</v>
      </c>
      <c r="K381" s="334"/>
      <c r="L381" s="464" t="s">
        <v>889</v>
      </c>
      <c r="M381" s="465" t="str">
        <f>IF(COUNTIF(M382:M386, TRUE) = COUNTA(M382:M386), "Complete!", IF(COUNTIF(M382:M386, TRUE) &gt; 0, "Partial", "Not Started"))</f>
        <v>Not Started</v>
      </c>
      <c r="N381" s="280">
        <v>5.0</v>
      </c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  <c r="AI381" s="209"/>
      <c r="AJ381" s="209"/>
      <c r="AK381" s="209"/>
      <c r="AL381" s="209"/>
      <c r="AM381" s="209"/>
      <c r="AN381" s="209"/>
      <c r="AO381" s="209"/>
      <c r="AP381" s="209"/>
    </row>
    <row r="382">
      <c r="A382" s="291"/>
      <c r="B382" s="303" t="s">
        <v>2320</v>
      </c>
      <c r="C382" s="304" t="s">
        <v>390</v>
      </c>
      <c r="D382" s="304" t="s">
        <v>2321</v>
      </c>
      <c r="E382" s="307">
        <v>8.10115971238E11</v>
      </c>
      <c r="F382" s="209"/>
      <c r="G382" s="209"/>
      <c r="H382" s="209"/>
      <c r="I382" s="209"/>
      <c r="J382" s="300" t="b">
        <v>1</v>
      </c>
      <c r="K382" s="301" t="b">
        <v>0</v>
      </c>
      <c r="L382" s="419"/>
      <c r="M382" s="301" t="b">
        <v>0</v>
      </c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  <c r="AI382" s="209"/>
      <c r="AJ382" s="209"/>
      <c r="AK382" s="209"/>
      <c r="AL382" s="209"/>
      <c r="AM382" s="209"/>
      <c r="AN382" s="209"/>
      <c r="AO382" s="209"/>
      <c r="AP382" s="209"/>
    </row>
    <row r="383">
      <c r="A383" s="291"/>
      <c r="B383" s="303" t="s">
        <v>2322</v>
      </c>
      <c r="C383" s="304" t="s">
        <v>400</v>
      </c>
      <c r="D383" s="304" t="s">
        <v>2323</v>
      </c>
      <c r="E383" s="307">
        <v>8.10115971252E11</v>
      </c>
      <c r="F383" s="209"/>
      <c r="G383" s="209"/>
      <c r="H383" s="209"/>
      <c r="I383" s="209"/>
      <c r="J383" s="300" t="b">
        <v>1</v>
      </c>
      <c r="K383" s="301" t="b">
        <v>0</v>
      </c>
      <c r="L383" s="419"/>
      <c r="M383" s="301" t="b">
        <v>0</v>
      </c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  <c r="AI383" s="209"/>
      <c r="AJ383" s="209"/>
      <c r="AK383" s="209"/>
      <c r="AL383" s="209"/>
      <c r="AM383" s="209"/>
      <c r="AN383" s="209"/>
      <c r="AO383" s="209"/>
      <c r="AP383" s="209"/>
    </row>
    <row r="384">
      <c r="A384" s="291"/>
      <c r="B384" s="303" t="s">
        <v>2324</v>
      </c>
      <c r="C384" s="304" t="s">
        <v>412</v>
      </c>
      <c r="D384" s="304" t="s">
        <v>2325</v>
      </c>
      <c r="E384" s="307">
        <v>8.10115971269E11</v>
      </c>
      <c r="F384" s="209"/>
      <c r="G384" s="209"/>
      <c r="H384" s="209"/>
      <c r="I384" s="209"/>
      <c r="J384" s="300" t="b">
        <v>1</v>
      </c>
      <c r="K384" s="301" t="b">
        <v>0</v>
      </c>
      <c r="L384" s="419"/>
      <c r="M384" s="301" t="b">
        <v>0</v>
      </c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  <c r="AK384" s="209"/>
      <c r="AL384" s="209"/>
      <c r="AM384" s="209"/>
      <c r="AN384" s="209"/>
      <c r="AO384" s="209"/>
      <c r="AP384" s="209"/>
    </row>
    <row r="385">
      <c r="A385" s="291"/>
      <c r="B385" s="303" t="s">
        <v>2326</v>
      </c>
      <c r="C385" s="304" t="s">
        <v>431</v>
      </c>
      <c r="D385" s="304" t="s">
        <v>2327</v>
      </c>
      <c r="E385" s="307">
        <v>8.10115971283E11</v>
      </c>
      <c r="F385" s="209"/>
      <c r="G385" s="209"/>
      <c r="H385" s="209"/>
      <c r="I385" s="209"/>
      <c r="J385" s="300" t="b">
        <v>1</v>
      </c>
      <c r="K385" s="301" t="b">
        <v>0</v>
      </c>
      <c r="L385" s="419"/>
      <c r="M385" s="301" t="b">
        <v>0</v>
      </c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209"/>
      <c r="AJ385" s="209"/>
      <c r="AK385" s="209"/>
      <c r="AL385" s="209"/>
      <c r="AM385" s="209"/>
      <c r="AN385" s="209"/>
      <c r="AO385" s="209"/>
      <c r="AP385" s="209"/>
    </row>
    <row r="386">
      <c r="A386" s="309"/>
      <c r="B386" s="310" t="s">
        <v>2328</v>
      </c>
      <c r="C386" s="311" t="s">
        <v>421</v>
      </c>
      <c r="D386" s="311" t="s">
        <v>2329</v>
      </c>
      <c r="E386" s="318">
        <v>8.10115971306E11</v>
      </c>
      <c r="F386" s="313"/>
      <c r="G386" s="313"/>
      <c r="H386" s="313"/>
      <c r="I386" s="313"/>
      <c r="J386" s="350" t="b">
        <v>1</v>
      </c>
      <c r="K386" s="314" t="b">
        <v>0</v>
      </c>
      <c r="L386" s="365"/>
      <c r="M386" s="314" t="b">
        <v>0</v>
      </c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  <c r="AI386" s="209"/>
      <c r="AJ386" s="209"/>
      <c r="AK386" s="209"/>
      <c r="AL386" s="209"/>
      <c r="AM386" s="209"/>
      <c r="AN386" s="209"/>
      <c r="AO386" s="209"/>
      <c r="AP386" s="209"/>
    </row>
    <row r="387">
      <c r="A387" s="209"/>
      <c r="B387" s="209"/>
      <c r="C387" s="209"/>
      <c r="D387" s="209"/>
      <c r="E387" s="209"/>
      <c r="F387" s="209"/>
      <c r="G387" s="209"/>
      <c r="H387" s="209"/>
      <c r="I387" s="209"/>
      <c r="J387" s="313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  <c r="AI387" s="209"/>
      <c r="AJ387" s="209"/>
      <c r="AK387" s="209"/>
      <c r="AL387" s="209"/>
      <c r="AM387" s="209"/>
      <c r="AN387" s="209"/>
      <c r="AO387" s="209"/>
      <c r="AP387" s="209"/>
    </row>
    <row r="388">
      <c r="A388" s="316" t="s">
        <v>1958</v>
      </c>
      <c r="B388" s="319" t="s">
        <v>2331</v>
      </c>
      <c r="C388" s="320"/>
      <c r="D388" s="283" t="s">
        <v>2332</v>
      </c>
      <c r="E388" s="320"/>
      <c r="F388" s="320"/>
      <c r="G388" s="320"/>
      <c r="H388" s="285" t="s">
        <v>572</v>
      </c>
      <c r="I388" s="285" t="s">
        <v>4363</v>
      </c>
      <c r="J388" s="438" t="str">
        <f>IF(COUNTIF(J389:J395, TRUE) = COUNTA(J389:J395), "Complete!", IF(COUNTIF(J389:J395, TRUE) &gt; 0, "Partial", "Not Started"))</f>
        <v>Complete!</v>
      </c>
      <c r="K388" s="334"/>
      <c r="L388" s="464" t="s">
        <v>889</v>
      </c>
      <c r="M388" s="465" t="str">
        <f>IF(COUNTIF(M389:M395, TRUE) = COUNTA(M389:M395), "Complete!", IF(COUNTIF(M389:M395, TRUE) &gt; 0, "Partial", "Not Started"))</f>
        <v>Not Started</v>
      </c>
      <c r="N388" s="280">
        <v>7.0</v>
      </c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  <c r="AK388" s="209"/>
      <c r="AL388" s="209"/>
      <c r="AM388" s="209"/>
      <c r="AN388" s="209"/>
      <c r="AO388" s="209"/>
      <c r="AP388" s="209"/>
    </row>
    <row r="389">
      <c r="A389" s="291"/>
      <c r="B389" s="292" t="s">
        <v>2334</v>
      </c>
      <c r="C389" s="293" t="s">
        <v>449</v>
      </c>
      <c r="D389" s="304" t="s">
        <v>2335</v>
      </c>
      <c r="E389" s="299">
        <v>8.10115970361E11</v>
      </c>
      <c r="F389" s="209"/>
      <c r="G389" s="209"/>
      <c r="H389" s="209"/>
      <c r="I389" s="295"/>
      <c r="J389" s="300" t="b">
        <v>1</v>
      </c>
      <c r="K389" s="301" t="b">
        <v>0</v>
      </c>
      <c r="L389" s="484"/>
      <c r="M389" s="301" t="b">
        <v>0</v>
      </c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  <c r="AI389" s="209"/>
      <c r="AJ389" s="209"/>
      <c r="AK389" s="209"/>
      <c r="AL389" s="209"/>
      <c r="AM389" s="209"/>
      <c r="AN389" s="209"/>
      <c r="AO389" s="209"/>
      <c r="AP389" s="209"/>
    </row>
    <row r="390">
      <c r="A390" s="291"/>
      <c r="B390" s="303" t="s">
        <v>2336</v>
      </c>
      <c r="C390" s="304" t="s">
        <v>487</v>
      </c>
      <c r="D390" s="304" t="s">
        <v>2337</v>
      </c>
      <c r="E390" s="307">
        <v>8.10115977988E11</v>
      </c>
      <c r="F390" s="209"/>
      <c r="G390" s="209"/>
      <c r="H390" s="209"/>
      <c r="I390" s="209"/>
      <c r="J390" s="300" t="b">
        <v>1</v>
      </c>
      <c r="K390" s="301" t="b">
        <v>0</v>
      </c>
      <c r="L390" s="419"/>
      <c r="M390" s="301" t="b">
        <v>0</v>
      </c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  <c r="AI390" s="209"/>
      <c r="AJ390" s="209"/>
      <c r="AK390" s="209"/>
      <c r="AL390" s="209"/>
      <c r="AM390" s="209"/>
      <c r="AN390" s="209"/>
      <c r="AO390" s="209"/>
      <c r="AP390" s="209"/>
    </row>
    <row r="391">
      <c r="A391" s="291"/>
      <c r="B391" s="303" t="s">
        <v>2338</v>
      </c>
      <c r="C391" s="304" t="s">
        <v>440</v>
      </c>
      <c r="D391" s="304" t="s">
        <v>2339</v>
      </c>
      <c r="E391" s="307">
        <v>8.10115970378E11</v>
      </c>
      <c r="F391" s="209"/>
      <c r="G391" s="209"/>
      <c r="H391" s="209"/>
      <c r="I391" s="209"/>
      <c r="J391" s="300" t="b">
        <v>1</v>
      </c>
      <c r="K391" s="301" t="b">
        <v>0</v>
      </c>
      <c r="L391" s="419"/>
      <c r="M391" s="301" t="b">
        <v>0</v>
      </c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  <c r="AI391" s="209"/>
      <c r="AJ391" s="209"/>
      <c r="AK391" s="209"/>
      <c r="AL391" s="209"/>
      <c r="AM391" s="209"/>
      <c r="AN391" s="209"/>
      <c r="AO391" s="209"/>
      <c r="AP391" s="209"/>
    </row>
    <row r="392">
      <c r="A392" s="291"/>
      <c r="B392" s="303" t="s">
        <v>2340</v>
      </c>
      <c r="C392" s="304" t="s">
        <v>458</v>
      </c>
      <c r="D392" s="304" t="s">
        <v>2341</v>
      </c>
      <c r="E392" s="307">
        <v>8.10115971696E11</v>
      </c>
      <c r="F392" s="209"/>
      <c r="G392" s="209"/>
      <c r="H392" s="209"/>
      <c r="I392" s="209"/>
      <c r="J392" s="300" t="b">
        <v>1</v>
      </c>
      <c r="K392" s="301" t="b">
        <v>0</v>
      </c>
      <c r="L392" s="419"/>
      <c r="M392" s="301" t="b">
        <v>0</v>
      </c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  <c r="AI392" s="209"/>
      <c r="AJ392" s="209"/>
      <c r="AK392" s="209"/>
      <c r="AL392" s="209"/>
      <c r="AM392" s="209"/>
      <c r="AN392" s="209"/>
      <c r="AO392" s="209"/>
      <c r="AP392" s="209"/>
    </row>
    <row r="393">
      <c r="A393" s="291"/>
      <c r="B393" s="303" t="s">
        <v>2342</v>
      </c>
      <c r="C393" s="304" t="s">
        <v>505</v>
      </c>
      <c r="D393" s="304" t="s">
        <v>2343</v>
      </c>
      <c r="E393" s="307">
        <v>8.10115971726E11</v>
      </c>
      <c r="F393" s="209"/>
      <c r="G393" s="209"/>
      <c r="H393" s="209"/>
      <c r="I393" s="209"/>
      <c r="J393" s="300" t="b">
        <v>1</v>
      </c>
      <c r="K393" s="301" t="b">
        <v>0</v>
      </c>
      <c r="L393" s="419"/>
      <c r="M393" s="301" t="b">
        <v>0</v>
      </c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  <c r="AI393" s="209"/>
      <c r="AJ393" s="209"/>
      <c r="AK393" s="209"/>
      <c r="AL393" s="209"/>
      <c r="AM393" s="209"/>
      <c r="AN393" s="209"/>
      <c r="AO393" s="209"/>
      <c r="AP393" s="209"/>
    </row>
    <row r="394">
      <c r="A394" s="291"/>
      <c r="B394" s="303" t="s">
        <v>2344</v>
      </c>
      <c r="C394" s="304" t="s">
        <v>522</v>
      </c>
      <c r="D394" s="304" t="s">
        <v>2345</v>
      </c>
      <c r="E394" s="307">
        <v>8.10115977995E11</v>
      </c>
      <c r="F394" s="304" t="s">
        <v>732</v>
      </c>
      <c r="G394" s="209"/>
      <c r="H394" s="209"/>
      <c r="I394" s="304" t="s">
        <v>733</v>
      </c>
      <c r="J394" s="300" t="b">
        <v>1</v>
      </c>
      <c r="K394" s="301" t="b">
        <v>0</v>
      </c>
      <c r="L394" s="419"/>
      <c r="M394" s="301" t="b">
        <v>0</v>
      </c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  <c r="AI394" s="209"/>
      <c r="AJ394" s="209"/>
      <c r="AK394" s="209"/>
      <c r="AL394" s="209"/>
      <c r="AM394" s="209"/>
      <c r="AN394" s="209"/>
      <c r="AO394" s="209"/>
      <c r="AP394" s="209"/>
    </row>
    <row r="395">
      <c r="A395" s="309"/>
      <c r="B395" s="310" t="s">
        <v>2346</v>
      </c>
      <c r="C395" s="311" t="s">
        <v>547</v>
      </c>
      <c r="D395" s="311" t="s">
        <v>2347</v>
      </c>
      <c r="E395" s="318">
        <v>8.10115978008E11</v>
      </c>
      <c r="F395" s="313"/>
      <c r="G395" s="313"/>
      <c r="H395" s="313"/>
      <c r="I395" s="313"/>
      <c r="J395" s="300" t="b">
        <v>1</v>
      </c>
      <c r="K395" s="314" t="b">
        <v>0</v>
      </c>
      <c r="L395" s="365"/>
      <c r="M395" s="314" t="b">
        <v>0</v>
      </c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  <c r="AI395" s="209"/>
      <c r="AJ395" s="209"/>
      <c r="AK395" s="209"/>
      <c r="AL395" s="209"/>
      <c r="AM395" s="209"/>
      <c r="AN395" s="209"/>
      <c r="AO395" s="209"/>
      <c r="AP395" s="209"/>
    </row>
    <row r="396">
      <c r="A396" s="209"/>
      <c r="B396" s="209"/>
      <c r="C396" s="209"/>
      <c r="D396" s="209"/>
      <c r="E396" s="209"/>
      <c r="F396" s="209"/>
      <c r="G396" s="209"/>
      <c r="H396" s="209"/>
      <c r="I396" s="209"/>
      <c r="J396" s="313"/>
      <c r="K396" s="209"/>
      <c r="L396" s="209"/>
      <c r="M396" s="313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  <c r="AI396" s="209"/>
      <c r="AJ396" s="209"/>
      <c r="AK396" s="209"/>
      <c r="AL396" s="209"/>
      <c r="AM396" s="209"/>
      <c r="AN396" s="209"/>
      <c r="AO396" s="209"/>
      <c r="AP396" s="209"/>
    </row>
    <row r="397">
      <c r="A397" s="316" t="s">
        <v>1978</v>
      </c>
      <c r="B397" s="319" t="s">
        <v>2349</v>
      </c>
      <c r="C397" s="320"/>
      <c r="D397" s="283" t="s">
        <v>2350</v>
      </c>
      <c r="E397" s="336" t="s">
        <v>2351</v>
      </c>
      <c r="F397" s="320"/>
      <c r="G397" s="320"/>
      <c r="H397" s="285" t="s">
        <v>370</v>
      </c>
      <c r="I397" s="285" t="s">
        <v>3862</v>
      </c>
      <c r="J397" s="438" t="str">
        <f>IF(COUNTIF(J398:J412, TRUE) = COUNTA(J398:J412), "Complete!", IF(COUNTIF(J398:J412, TRUE) &gt; 0, "Partial", "Not Started"))</f>
        <v>Partial</v>
      </c>
      <c r="K397" s="334"/>
      <c r="L397" s="464" t="s">
        <v>889</v>
      </c>
      <c r="M397" s="465" t="str">
        <f>IF(COUNTIF(M398:M406, TRUE) = COUNTA(M398:M406), "Complete!", IF(COUNTIF(M398:M406, TRUE) &gt; 0, "Partial", "Not Started"))</f>
        <v>Not Started</v>
      </c>
      <c r="N397" s="280">
        <v>9.0</v>
      </c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09"/>
      <c r="AJ397" s="209"/>
      <c r="AK397" s="209"/>
      <c r="AL397" s="209"/>
      <c r="AM397" s="209"/>
      <c r="AN397" s="209"/>
      <c r="AO397" s="209"/>
      <c r="AP397" s="209"/>
    </row>
    <row r="398">
      <c r="A398" s="291"/>
      <c r="B398" s="304" t="s">
        <v>2353</v>
      </c>
      <c r="C398" s="293" t="s">
        <v>431</v>
      </c>
      <c r="D398" s="304" t="s">
        <v>2354</v>
      </c>
      <c r="E398" s="299">
        <v>8.10115978015E11</v>
      </c>
      <c r="F398" s="209"/>
      <c r="G398" s="209"/>
      <c r="H398" s="209"/>
      <c r="I398" s="209"/>
      <c r="J398" s="300" t="b">
        <v>1</v>
      </c>
      <c r="K398" s="301" t="b">
        <v>0</v>
      </c>
      <c r="L398" s="419"/>
      <c r="M398" s="301" t="b">
        <v>0</v>
      </c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  <c r="AI398" s="209"/>
      <c r="AJ398" s="209"/>
      <c r="AK398" s="209"/>
      <c r="AL398" s="209"/>
      <c r="AM398" s="209"/>
      <c r="AN398" s="209"/>
      <c r="AO398" s="209"/>
      <c r="AP398" s="209"/>
    </row>
    <row r="399">
      <c r="A399" s="291"/>
      <c r="B399" s="303" t="s">
        <v>2355</v>
      </c>
      <c r="C399" s="304" t="s">
        <v>421</v>
      </c>
      <c r="D399" s="304" t="s">
        <v>2356</v>
      </c>
      <c r="E399" s="307">
        <v>8.10115978022E11</v>
      </c>
      <c r="F399" s="209"/>
      <c r="G399" s="209"/>
      <c r="H399" s="209"/>
      <c r="I399" s="209"/>
      <c r="J399" s="300" t="b">
        <v>1</v>
      </c>
      <c r="K399" s="301" t="b">
        <v>0</v>
      </c>
      <c r="L399" s="419"/>
      <c r="M399" s="301" t="b">
        <v>0</v>
      </c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  <c r="AI399" s="209"/>
      <c r="AJ399" s="209"/>
      <c r="AK399" s="209"/>
      <c r="AL399" s="209"/>
      <c r="AM399" s="209"/>
      <c r="AN399" s="209"/>
      <c r="AO399" s="209"/>
      <c r="AP399" s="209"/>
    </row>
    <row r="400">
      <c r="A400" s="291"/>
      <c r="B400" s="303" t="s">
        <v>2357</v>
      </c>
      <c r="C400" s="304" t="s">
        <v>449</v>
      </c>
      <c r="D400" s="304" t="s">
        <v>2358</v>
      </c>
      <c r="E400" s="307">
        <v>8.10115978039E11</v>
      </c>
      <c r="F400" s="209"/>
      <c r="G400" s="209"/>
      <c r="H400" s="209"/>
      <c r="I400" s="209"/>
      <c r="J400" s="300" t="b">
        <v>1</v>
      </c>
      <c r="K400" s="301" t="b">
        <v>0</v>
      </c>
      <c r="L400" s="419"/>
      <c r="M400" s="301" t="b">
        <v>0</v>
      </c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  <c r="AI400" s="209"/>
      <c r="AJ400" s="209"/>
      <c r="AK400" s="209"/>
      <c r="AL400" s="209"/>
      <c r="AM400" s="209"/>
      <c r="AN400" s="209"/>
      <c r="AO400" s="209"/>
      <c r="AP400" s="209"/>
    </row>
    <row r="401">
      <c r="A401" s="291"/>
      <c r="B401" s="303" t="s">
        <v>2359</v>
      </c>
      <c r="C401" s="304" t="s">
        <v>440</v>
      </c>
      <c r="D401" s="304" t="s">
        <v>2360</v>
      </c>
      <c r="E401" s="307">
        <v>8.10115978046E11</v>
      </c>
      <c r="F401" s="209"/>
      <c r="G401" s="209"/>
      <c r="H401" s="209"/>
      <c r="I401" s="209"/>
      <c r="J401" s="300" t="b">
        <v>1</v>
      </c>
      <c r="K401" s="301" t="b">
        <v>0</v>
      </c>
      <c r="L401" s="419"/>
      <c r="M401" s="301" t="b">
        <v>0</v>
      </c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  <c r="AI401" s="209"/>
      <c r="AJ401" s="209"/>
      <c r="AK401" s="209"/>
      <c r="AL401" s="209"/>
      <c r="AM401" s="209"/>
      <c r="AN401" s="209"/>
      <c r="AO401" s="209"/>
      <c r="AP401" s="209"/>
    </row>
    <row r="402">
      <c r="A402" s="291"/>
      <c r="B402" s="303" t="s">
        <v>2361</v>
      </c>
      <c r="C402" s="304" t="s">
        <v>458</v>
      </c>
      <c r="D402" s="304" t="s">
        <v>2362</v>
      </c>
      <c r="E402" s="307">
        <v>8.10115978053E11</v>
      </c>
      <c r="F402" s="304" t="s">
        <v>1057</v>
      </c>
      <c r="G402" s="209"/>
      <c r="H402" s="209"/>
      <c r="I402" s="209"/>
      <c r="J402" s="300" t="b">
        <v>1</v>
      </c>
      <c r="K402" s="301" t="b">
        <v>0</v>
      </c>
      <c r="L402" s="419"/>
      <c r="M402" s="301" t="b">
        <v>0</v>
      </c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  <c r="AI402" s="209"/>
      <c r="AJ402" s="209"/>
      <c r="AK402" s="209"/>
      <c r="AL402" s="209"/>
      <c r="AM402" s="209"/>
      <c r="AN402" s="209"/>
      <c r="AO402" s="209"/>
      <c r="AP402" s="209"/>
    </row>
    <row r="403">
      <c r="A403" s="291"/>
      <c r="B403" s="303" t="s">
        <v>2363</v>
      </c>
      <c r="C403" s="304" t="s">
        <v>505</v>
      </c>
      <c r="D403" s="304" t="s">
        <v>2364</v>
      </c>
      <c r="E403" s="307">
        <v>8.10115973249E11</v>
      </c>
      <c r="F403" s="209"/>
      <c r="G403" s="209"/>
      <c r="H403" s="209"/>
      <c r="I403" s="209"/>
      <c r="J403" s="300" t="b">
        <v>1</v>
      </c>
      <c r="K403" s="301" t="b">
        <v>0</v>
      </c>
      <c r="L403" s="419"/>
      <c r="M403" s="301" t="b">
        <v>0</v>
      </c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  <c r="AI403" s="209"/>
      <c r="AJ403" s="209"/>
      <c r="AK403" s="209"/>
      <c r="AL403" s="209"/>
      <c r="AM403" s="209"/>
      <c r="AN403" s="209"/>
      <c r="AO403" s="209"/>
      <c r="AP403" s="209"/>
    </row>
    <row r="404">
      <c r="A404" s="291"/>
      <c r="B404" s="303" t="s">
        <v>2365</v>
      </c>
      <c r="C404" s="304" t="s">
        <v>522</v>
      </c>
      <c r="D404" s="304" t="s">
        <v>2366</v>
      </c>
      <c r="E404" s="307">
        <v>8.1011597806E11</v>
      </c>
      <c r="F404" s="209"/>
      <c r="G404" s="209"/>
      <c r="H404" s="209"/>
      <c r="I404" s="209"/>
      <c r="J404" s="300" t="b">
        <v>1</v>
      </c>
      <c r="K404" s="301" t="b">
        <v>0</v>
      </c>
      <c r="L404" s="419"/>
      <c r="M404" s="301" t="b">
        <v>0</v>
      </c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  <c r="AI404" s="209"/>
      <c r="AJ404" s="209"/>
      <c r="AK404" s="209"/>
      <c r="AL404" s="209"/>
      <c r="AM404" s="209"/>
      <c r="AN404" s="209"/>
      <c r="AO404" s="209"/>
      <c r="AP404" s="209"/>
    </row>
    <row r="405">
      <c r="A405" s="291"/>
      <c r="B405" s="303" t="s">
        <v>2367</v>
      </c>
      <c r="C405" s="304" t="s">
        <v>547</v>
      </c>
      <c r="D405" s="304" t="s">
        <v>2368</v>
      </c>
      <c r="E405" s="307">
        <v>8.10115978077E11</v>
      </c>
      <c r="F405" s="209"/>
      <c r="G405" s="209"/>
      <c r="H405" s="209"/>
      <c r="I405" s="209"/>
      <c r="J405" s="300" t="b">
        <v>1</v>
      </c>
      <c r="K405" s="301" t="b">
        <v>0</v>
      </c>
      <c r="L405" s="419"/>
      <c r="M405" s="301" t="b">
        <v>0</v>
      </c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  <c r="AI405" s="209"/>
      <c r="AJ405" s="209"/>
      <c r="AK405" s="209"/>
      <c r="AL405" s="209"/>
      <c r="AM405" s="209"/>
      <c r="AN405" s="209"/>
      <c r="AO405" s="209"/>
      <c r="AP405" s="209"/>
    </row>
    <row r="406">
      <c r="A406" s="291"/>
      <c r="B406" s="310" t="s">
        <v>2369</v>
      </c>
      <c r="C406" s="311" t="s">
        <v>1060</v>
      </c>
      <c r="D406" s="311" t="s">
        <v>2370</v>
      </c>
      <c r="E406" s="318">
        <v>8.10115978084E11</v>
      </c>
      <c r="F406" s="311" t="s">
        <v>4364</v>
      </c>
      <c r="G406" s="313"/>
      <c r="H406" s="313"/>
      <c r="I406" s="311" t="s">
        <v>4365</v>
      </c>
      <c r="J406" s="300" t="b">
        <v>1</v>
      </c>
      <c r="K406" s="314" t="b">
        <v>1</v>
      </c>
      <c r="L406" s="419"/>
      <c r="M406" s="301" t="b">
        <v>0</v>
      </c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  <c r="AI406" s="209"/>
      <c r="AJ406" s="209"/>
      <c r="AK406" s="209"/>
      <c r="AL406" s="209"/>
      <c r="AM406" s="209"/>
      <c r="AN406" s="209"/>
      <c r="AO406" s="209"/>
      <c r="AP406" s="209"/>
    </row>
    <row r="407">
      <c r="A407" s="209"/>
      <c r="B407" s="209"/>
      <c r="C407" s="209"/>
      <c r="D407" s="209"/>
      <c r="E407" s="209"/>
      <c r="F407" s="209"/>
      <c r="G407" s="209"/>
      <c r="H407" s="209"/>
      <c r="I407" s="209"/>
      <c r="J407" s="313"/>
      <c r="K407" s="209"/>
      <c r="L407" s="209"/>
      <c r="M407" s="313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  <c r="AK407" s="209"/>
      <c r="AL407" s="209"/>
      <c r="AM407" s="209"/>
      <c r="AN407" s="209"/>
      <c r="AO407" s="209"/>
      <c r="AP407" s="209"/>
    </row>
    <row r="408">
      <c r="A408" s="316" t="s">
        <v>1999</v>
      </c>
      <c r="B408" s="319" t="s">
        <v>2372</v>
      </c>
      <c r="C408" s="320"/>
      <c r="D408" s="283" t="s">
        <v>2373</v>
      </c>
      <c r="E408" s="320"/>
      <c r="F408" s="320"/>
      <c r="G408" s="320"/>
      <c r="H408" s="285" t="s">
        <v>370</v>
      </c>
      <c r="I408" s="285" t="s">
        <v>4366</v>
      </c>
      <c r="J408" s="438" t="str">
        <f>IF(COUNTIF(J409:J423, TRUE) = COUNTA(J409:J423), "Complete!", IF(COUNTIF(J409:J423, TRUE) &gt; 0, "Partial", "Not Started"))</f>
        <v>Partial</v>
      </c>
      <c r="K408" s="334"/>
      <c r="L408" s="209"/>
      <c r="M408" s="313"/>
      <c r="N408" s="280">
        <v>7.0</v>
      </c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  <c r="AI408" s="209"/>
      <c r="AJ408" s="209"/>
      <c r="AK408" s="209"/>
      <c r="AL408" s="209"/>
      <c r="AM408" s="209"/>
      <c r="AN408" s="209"/>
      <c r="AO408" s="209"/>
      <c r="AP408" s="209"/>
    </row>
    <row r="409">
      <c r="A409" s="291"/>
      <c r="B409" s="292" t="s">
        <v>2375</v>
      </c>
      <c r="C409" s="293" t="s">
        <v>449</v>
      </c>
      <c r="D409" s="293" t="s">
        <v>2376</v>
      </c>
      <c r="E409" s="299">
        <v>8.10115978183E11</v>
      </c>
      <c r="F409" s="295"/>
      <c r="G409" s="295"/>
      <c r="H409" s="295"/>
      <c r="I409" s="295"/>
      <c r="J409" s="296" t="b">
        <v>1</v>
      </c>
      <c r="K409" s="297" t="b">
        <v>0</v>
      </c>
      <c r="L409" s="209"/>
      <c r="M409" s="313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  <c r="AI409" s="209"/>
      <c r="AJ409" s="209"/>
      <c r="AK409" s="209"/>
      <c r="AL409" s="209"/>
      <c r="AM409" s="209"/>
      <c r="AN409" s="209"/>
      <c r="AO409" s="209"/>
      <c r="AP409" s="209"/>
    </row>
    <row r="410">
      <c r="A410" s="291"/>
      <c r="B410" s="303" t="s">
        <v>2377</v>
      </c>
      <c r="C410" s="304" t="s">
        <v>440</v>
      </c>
      <c r="D410" s="304" t="s">
        <v>2378</v>
      </c>
      <c r="E410" s="307">
        <v>8.1011597819E11</v>
      </c>
      <c r="F410" s="209"/>
      <c r="G410" s="209"/>
      <c r="H410" s="209"/>
      <c r="I410" s="209"/>
      <c r="J410" s="300" t="b">
        <v>1</v>
      </c>
      <c r="K410" s="301" t="b">
        <v>0</v>
      </c>
      <c r="L410" s="209"/>
      <c r="M410" s="313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  <c r="AI410" s="209"/>
      <c r="AJ410" s="209"/>
      <c r="AK410" s="209"/>
      <c r="AL410" s="209"/>
      <c r="AM410" s="209"/>
      <c r="AN410" s="209"/>
      <c r="AO410" s="209"/>
      <c r="AP410" s="209"/>
    </row>
    <row r="411">
      <c r="A411" s="291"/>
      <c r="B411" s="303" t="s">
        <v>2379</v>
      </c>
      <c r="C411" s="304" t="s">
        <v>458</v>
      </c>
      <c r="D411" s="304" t="s">
        <v>2380</v>
      </c>
      <c r="E411" s="307">
        <v>8.10115978206E11</v>
      </c>
      <c r="F411" s="209"/>
      <c r="G411" s="209"/>
      <c r="H411" s="209"/>
      <c r="I411" s="209"/>
      <c r="J411" s="300" t="b">
        <v>1</v>
      </c>
      <c r="K411" s="301" t="b">
        <v>0</v>
      </c>
      <c r="L411" s="209"/>
      <c r="M411" s="313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  <c r="AK411" s="209"/>
      <c r="AL411" s="209"/>
      <c r="AM411" s="209"/>
      <c r="AN411" s="209"/>
      <c r="AO411" s="209"/>
      <c r="AP411" s="209"/>
    </row>
    <row r="412">
      <c r="A412" s="291"/>
      <c r="B412" s="303" t="s">
        <v>2381</v>
      </c>
      <c r="C412" s="304" t="s">
        <v>505</v>
      </c>
      <c r="D412" s="304" t="s">
        <v>2382</v>
      </c>
      <c r="E412" s="307">
        <v>8.10115978213E11</v>
      </c>
      <c r="F412" s="209"/>
      <c r="G412" s="209"/>
      <c r="H412" s="209"/>
      <c r="I412" s="209"/>
      <c r="J412" s="300" t="b">
        <v>1</v>
      </c>
      <c r="K412" s="301" t="b">
        <v>0</v>
      </c>
      <c r="L412" s="209"/>
      <c r="M412" s="313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  <c r="AI412" s="209"/>
      <c r="AJ412" s="209"/>
      <c r="AK412" s="209"/>
      <c r="AL412" s="209"/>
      <c r="AM412" s="209"/>
      <c r="AN412" s="209"/>
      <c r="AO412" s="209"/>
      <c r="AP412" s="209"/>
    </row>
    <row r="413">
      <c r="A413" s="291"/>
      <c r="B413" s="303" t="s">
        <v>2383</v>
      </c>
      <c r="C413" s="304" t="s">
        <v>522</v>
      </c>
      <c r="D413" s="304" t="s">
        <v>2384</v>
      </c>
      <c r="E413" s="307">
        <v>8.1011597822E11</v>
      </c>
      <c r="F413" s="209"/>
      <c r="G413" s="209"/>
      <c r="H413" s="209"/>
      <c r="I413" s="209"/>
      <c r="J413" s="300" t="b">
        <v>1</v>
      </c>
      <c r="K413" s="301" t="b">
        <v>0</v>
      </c>
      <c r="L413" s="209"/>
      <c r="M413" s="313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  <c r="AI413" s="209"/>
      <c r="AJ413" s="209"/>
      <c r="AK413" s="209"/>
      <c r="AL413" s="209"/>
      <c r="AM413" s="209"/>
      <c r="AN413" s="209"/>
      <c r="AO413" s="209"/>
      <c r="AP413" s="209"/>
    </row>
    <row r="414">
      <c r="A414" s="291"/>
      <c r="B414" s="303" t="s">
        <v>2385</v>
      </c>
      <c r="C414" s="304" t="s">
        <v>2386</v>
      </c>
      <c r="D414" s="304" t="s">
        <v>2387</v>
      </c>
      <c r="E414" s="307">
        <v>8.10115978237E11</v>
      </c>
      <c r="F414" s="209"/>
      <c r="G414" s="209"/>
      <c r="H414" s="209"/>
      <c r="I414" s="209"/>
      <c r="J414" s="300" t="b">
        <v>1</v>
      </c>
      <c r="K414" s="301" t="b">
        <v>0</v>
      </c>
      <c r="L414" s="209"/>
      <c r="M414" s="313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  <c r="AI414" s="209"/>
      <c r="AJ414" s="209"/>
      <c r="AK414" s="209"/>
      <c r="AL414" s="209"/>
      <c r="AM414" s="209"/>
      <c r="AN414" s="209"/>
      <c r="AO414" s="209"/>
      <c r="AP414" s="209"/>
    </row>
    <row r="415">
      <c r="A415" s="291"/>
      <c r="B415" s="310" t="s">
        <v>2388</v>
      </c>
      <c r="C415" s="311" t="s">
        <v>1060</v>
      </c>
      <c r="D415" s="311" t="s">
        <v>2389</v>
      </c>
      <c r="E415" s="318">
        <v>8.10115978244E11</v>
      </c>
      <c r="F415" s="313"/>
      <c r="G415" s="313"/>
      <c r="H415" s="313"/>
      <c r="I415" s="313"/>
      <c r="J415" s="300" t="b">
        <v>1</v>
      </c>
      <c r="K415" s="314" t="b">
        <v>0</v>
      </c>
      <c r="L415" s="209"/>
      <c r="M415" s="313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  <c r="AI415" s="209"/>
      <c r="AJ415" s="209"/>
      <c r="AK415" s="209"/>
      <c r="AL415" s="209"/>
      <c r="AM415" s="209"/>
      <c r="AN415" s="209"/>
      <c r="AO415" s="209"/>
      <c r="AP415" s="209"/>
    </row>
    <row r="416">
      <c r="A416" s="209"/>
      <c r="B416" s="209"/>
      <c r="C416" s="209"/>
      <c r="D416" s="209"/>
      <c r="E416" s="209"/>
      <c r="F416" s="209"/>
      <c r="G416" s="209"/>
      <c r="H416" s="209"/>
      <c r="I416" s="209"/>
      <c r="J416" s="313"/>
      <c r="K416" s="209"/>
      <c r="L416" s="209"/>
      <c r="M416" s="313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  <c r="AI416" s="209"/>
      <c r="AJ416" s="209"/>
      <c r="AK416" s="209"/>
      <c r="AL416" s="209"/>
      <c r="AM416" s="209"/>
      <c r="AN416" s="209"/>
      <c r="AO416" s="209"/>
      <c r="AP416" s="209"/>
    </row>
    <row r="417">
      <c r="A417" s="316" t="s">
        <v>2020</v>
      </c>
      <c r="B417" s="319" t="s">
        <v>2391</v>
      </c>
      <c r="C417" s="320"/>
      <c r="D417" s="283" t="s">
        <v>2392</v>
      </c>
      <c r="E417" s="336" t="s">
        <v>2351</v>
      </c>
      <c r="F417" s="320"/>
      <c r="G417" s="320"/>
      <c r="H417" s="285" t="s">
        <v>370</v>
      </c>
      <c r="I417" s="285" t="s">
        <v>4367</v>
      </c>
      <c r="J417" s="438" t="str">
        <f>IF(COUNTIF(J418:J426, TRUE) = COUNTA(J418:J426), "Complete!", IF(COUNTIF(J418:J426, TRUE) &gt; 0, "Partial", "Not Started"))</f>
        <v>Complete!</v>
      </c>
      <c r="K417" s="334"/>
      <c r="L417" s="464" t="s">
        <v>889</v>
      </c>
      <c r="M417" s="465" t="str">
        <f>IF(COUNTIF(M418:M426, TRUE) = COUNTA(M418:M426), "Complete!", IF(COUNTIF(M418:M426, TRUE) &gt; 0, "Partial", "Not Started"))</f>
        <v>Not Started</v>
      </c>
      <c r="N417" s="280">
        <v>9.0</v>
      </c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  <c r="AI417" s="209"/>
      <c r="AJ417" s="209"/>
      <c r="AK417" s="209"/>
      <c r="AL417" s="209"/>
      <c r="AM417" s="209"/>
      <c r="AN417" s="209"/>
      <c r="AO417" s="209"/>
      <c r="AP417" s="209"/>
    </row>
    <row r="418">
      <c r="A418" s="291"/>
      <c r="B418" s="292" t="s">
        <v>2394</v>
      </c>
      <c r="C418" s="293" t="s">
        <v>431</v>
      </c>
      <c r="D418" s="304" t="s">
        <v>2395</v>
      </c>
      <c r="E418" s="299">
        <v>8.10115978091E11</v>
      </c>
      <c r="F418" s="209"/>
      <c r="G418" s="209"/>
      <c r="H418" s="209"/>
      <c r="I418" s="209"/>
      <c r="J418" s="300" t="b">
        <v>1</v>
      </c>
      <c r="K418" s="301" t="b">
        <v>0</v>
      </c>
      <c r="L418" s="419"/>
      <c r="M418" s="301" t="b">
        <v>0</v>
      </c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  <c r="AI418" s="209"/>
      <c r="AJ418" s="209"/>
      <c r="AK418" s="209"/>
      <c r="AL418" s="209"/>
      <c r="AM418" s="209"/>
      <c r="AN418" s="209"/>
      <c r="AO418" s="209"/>
      <c r="AP418" s="209"/>
    </row>
    <row r="419">
      <c r="A419" s="291"/>
      <c r="B419" s="303" t="s">
        <v>2396</v>
      </c>
      <c r="C419" s="304" t="s">
        <v>421</v>
      </c>
      <c r="D419" s="304" t="s">
        <v>2397</v>
      </c>
      <c r="E419" s="307">
        <v>8.10115978107E11</v>
      </c>
      <c r="F419" s="209"/>
      <c r="G419" s="209"/>
      <c r="H419" s="209"/>
      <c r="I419" s="209"/>
      <c r="J419" s="300" t="b">
        <v>1</v>
      </c>
      <c r="K419" s="301" t="b">
        <v>0</v>
      </c>
      <c r="L419" s="419"/>
      <c r="M419" s="301" t="b">
        <v>0</v>
      </c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  <c r="AK419" s="209"/>
      <c r="AL419" s="209"/>
      <c r="AM419" s="209"/>
      <c r="AN419" s="209"/>
      <c r="AO419" s="209"/>
      <c r="AP419" s="209"/>
    </row>
    <row r="420">
      <c r="A420" s="291"/>
      <c r="B420" s="303" t="s">
        <v>2398</v>
      </c>
      <c r="C420" s="304" t="s">
        <v>449</v>
      </c>
      <c r="D420" s="304" t="s">
        <v>2399</v>
      </c>
      <c r="E420" s="307">
        <v>8.10115978114E11</v>
      </c>
      <c r="F420" s="209"/>
      <c r="G420" s="209"/>
      <c r="H420" s="209"/>
      <c r="I420" s="209"/>
      <c r="J420" s="300" t="b">
        <v>1</v>
      </c>
      <c r="K420" s="301" t="b">
        <v>0</v>
      </c>
      <c r="L420" s="419"/>
      <c r="M420" s="301" t="b">
        <v>0</v>
      </c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  <c r="AI420" s="209"/>
      <c r="AJ420" s="209"/>
      <c r="AK420" s="209"/>
      <c r="AL420" s="209"/>
      <c r="AM420" s="209"/>
      <c r="AN420" s="209"/>
      <c r="AO420" s="209"/>
      <c r="AP420" s="209"/>
    </row>
    <row r="421">
      <c r="A421" s="291"/>
      <c r="B421" s="303" t="s">
        <v>2400</v>
      </c>
      <c r="C421" s="304" t="s">
        <v>440</v>
      </c>
      <c r="D421" s="304" t="s">
        <v>2401</v>
      </c>
      <c r="E421" s="307">
        <v>8.10115978121E11</v>
      </c>
      <c r="F421" s="209"/>
      <c r="G421" s="209"/>
      <c r="H421" s="209"/>
      <c r="I421" s="209"/>
      <c r="J421" s="300" t="b">
        <v>1</v>
      </c>
      <c r="K421" s="301" t="b">
        <v>0</v>
      </c>
      <c r="L421" s="419"/>
      <c r="M421" s="301" t="b">
        <v>0</v>
      </c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  <c r="AI421" s="209"/>
      <c r="AJ421" s="209"/>
      <c r="AK421" s="209"/>
      <c r="AL421" s="209"/>
      <c r="AM421" s="209"/>
      <c r="AN421" s="209"/>
      <c r="AO421" s="209"/>
      <c r="AP421" s="209"/>
    </row>
    <row r="422">
      <c r="A422" s="291"/>
      <c r="B422" s="303" t="s">
        <v>2402</v>
      </c>
      <c r="C422" s="304" t="s">
        <v>458</v>
      </c>
      <c r="D422" s="304" t="s">
        <v>2403</v>
      </c>
      <c r="E422" s="307">
        <v>8.10115978138E11</v>
      </c>
      <c r="F422" s="209"/>
      <c r="G422" s="209"/>
      <c r="H422" s="209"/>
      <c r="I422" s="209"/>
      <c r="J422" s="300" t="b">
        <v>1</v>
      </c>
      <c r="K422" s="301" t="b">
        <v>0</v>
      </c>
      <c r="L422" s="419"/>
      <c r="M422" s="301" t="b">
        <v>0</v>
      </c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09"/>
      <c r="AJ422" s="209"/>
      <c r="AK422" s="209"/>
      <c r="AL422" s="209"/>
      <c r="AM422" s="209"/>
      <c r="AN422" s="209"/>
      <c r="AO422" s="209"/>
      <c r="AP422" s="209"/>
    </row>
    <row r="423">
      <c r="A423" s="291"/>
      <c r="B423" s="303" t="s">
        <v>2404</v>
      </c>
      <c r="C423" s="304" t="s">
        <v>505</v>
      </c>
      <c r="D423" s="304" t="s">
        <v>2405</v>
      </c>
      <c r="E423" s="307">
        <v>8.10115978145E11</v>
      </c>
      <c r="F423" s="209"/>
      <c r="G423" s="209"/>
      <c r="H423" s="209"/>
      <c r="I423" s="209"/>
      <c r="J423" s="300" t="b">
        <v>1</v>
      </c>
      <c r="K423" s="301" t="b">
        <v>0</v>
      </c>
      <c r="L423" s="419"/>
      <c r="M423" s="301" t="b">
        <v>0</v>
      </c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  <c r="AK423" s="209"/>
      <c r="AL423" s="209"/>
      <c r="AM423" s="209"/>
      <c r="AN423" s="209"/>
      <c r="AO423" s="209"/>
      <c r="AP423" s="209"/>
    </row>
    <row r="424">
      <c r="A424" s="291"/>
      <c r="B424" s="303" t="s">
        <v>2406</v>
      </c>
      <c r="C424" s="304" t="s">
        <v>522</v>
      </c>
      <c r="D424" s="304" t="s">
        <v>2407</v>
      </c>
      <c r="E424" s="307">
        <v>8.10115978152E11</v>
      </c>
      <c r="F424" s="209"/>
      <c r="G424" s="209"/>
      <c r="H424" s="209"/>
      <c r="I424" s="209"/>
      <c r="J424" s="300" t="b">
        <v>1</v>
      </c>
      <c r="K424" s="301" t="b">
        <v>0</v>
      </c>
      <c r="L424" s="419"/>
      <c r="M424" s="301" t="b">
        <v>0</v>
      </c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  <c r="AI424" s="209"/>
      <c r="AJ424" s="209"/>
      <c r="AK424" s="209"/>
      <c r="AL424" s="209"/>
      <c r="AM424" s="209"/>
      <c r="AN424" s="209"/>
      <c r="AO424" s="209"/>
      <c r="AP424" s="209"/>
    </row>
    <row r="425">
      <c r="A425" s="291"/>
      <c r="B425" s="303" t="s">
        <v>2408</v>
      </c>
      <c r="C425" s="304" t="s">
        <v>547</v>
      </c>
      <c r="D425" s="304" t="s">
        <v>2409</v>
      </c>
      <c r="E425" s="307">
        <v>8.10115978169E11</v>
      </c>
      <c r="F425" s="209"/>
      <c r="G425" s="209"/>
      <c r="H425" s="209"/>
      <c r="I425" s="209"/>
      <c r="J425" s="300" t="b">
        <v>1</v>
      </c>
      <c r="K425" s="301" t="b">
        <v>0</v>
      </c>
      <c r="L425" s="419"/>
      <c r="M425" s="301" t="b">
        <v>0</v>
      </c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  <c r="AI425" s="209"/>
      <c r="AJ425" s="209"/>
      <c r="AK425" s="209"/>
      <c r="AL425" s="209"/>
      <c r="AM425" s="209"/>
      <c r="AN425" s="209"/>
      <c r="AO425" s="209"/>
      <c r="AP425" s="209"/>
    </row>
    <row r="426">
      <c r="A426" s="309"/>
      <c r="B426" s="310" t="s">
        <v>2410</v>
      </c>
      <c r="C426" s="311" t="s">
        <v>1060</v>
      </c>
      <c r="D426" s="311" t="s">
        <v>2411</v>
      </c>
      <c r="E426" s="318">
        <v>8.10115978176E11</v>
      </c>
      <c r="F426" s="313"/>
      <c r="G426" s="313"/>
      <c r="H426" s="313"/>
      <c r="I426" s="313"/>
      <c r="J426" s="300" t="b">
        <v>1</v>
      </c>
      <c r="K426" s="314" t="b">
        <v>0</v>
      </c>
      <c r="L426" s="365"/>
      <c r="M426" s="314" t="b">
        <v>0</v>
      </c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  <c r="AI426" s="209"/>
      <c r="AJ426" s="209"/>
      <c r="AK426" s="209"/>
      <c r="AL426" s="209"/>
      <c r="AM426" s="209"/>
      <c r="AN426" s="209"/>
      <c r="AO426" s="209"/>
      <c r="AP426" s="209"/>
    </row>
    <row r="427">
      <c r="A427" s="209"/>
      <c r="B427" s="209"/>
      <c r="C427" s="209"/>
      <c r="D427" s="209"/>
      <c r="E427" s="209"/>
      <c r="F427" s="209"/>
      <c r="G427" s="209"/>
      <c r="H427" s="209"/>
      <c r="I427" s="209"/>
      <c r="J427" s="313"/>
      <c r="K427" s="209"/>
      <c r="L427" s="209"/>
      <c r="M427" s="313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  <c r="AI427" s="209"/>
      <c r="AJ427" s="209"/>
      <c r="AK427" s="209"/>
      <c r="AL427" s="209"/>
      <c r="AM427" s="209"/>
      <c r="AN427" s="209"/>
      <c r="AO427" s="209"/>
      <c r="AP427" s="209"/>
    </row>
    <row r="428">
      <c r="A428" s="316" t="s">
        <v>2041</v>
      </c>
      <c r="B428" s="319" t="s">
        <v>2413</v>
      </c>
      <c r="C428" s="320"/>
      <c r="D428" s="403" t="s">
        <v>4149</v>
      </c>
      <c r="E428" s="336" t="s">
        <v>2415</v>
      </c>
      <c r="F428" s="320"/>
      <c r="G428" s="320"/>
      <c r="H428" s="285" t="s">
        <v>572</v>
      </c>
      <c r="I428" s="285" t="s">
        <v>4368</v>
      </c>
      <c r="J428" s="438" t="str">
        <f>IF(COUNTIF(J429:J436, TRUE) = COUNTA(J429:J436), "Complete!", IF(COUNTIF(J429:J436, TRUE) &gt; 0, "Partial", "Not Started"))</f>
        <v>Complete!</v>
      </c>
      <c r="K428" s="334"/>
      <c r="L428" s="464" t="s">
        <v>889</v>
      </c>
      <c r="M428" s="465" t="str">
        <f>IF(COUNTIF(M429:M436, TRUE) = COUNTA(M429:M436), "Complete!", IF(COUNTIF(M429:M436, TRUE) &gt; 0, "Partial", "Not Started"))</f>
        <v>Not Started</v>
      </c>
      <c r="N428" s="280">
        <v>8.0</v>
      </c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  <c r="AI428" s="209"/>
      <c r="AJ428" s="209"/>
      <c r="AK428" s="209"/>
      <c r="AL428" s="209"/>
      <c r="AM428" s="209"/>
      <c r="AN428" s="209"/>
      <c r="AO428" s="209"/>
      <c r="AP428" s="209"/>
    </row>
    <row r="429">
      <c r="A429" s="291"/>
      <c r="B429" s="303" t="s">
        <v>2417</v>
      </c>
      <c r="C429" s="304" t="s">
        <v>487</v>
      </c>
      <c r="D429" s="304" t="s">
        <v>2418</v>
      </c>
      <c r="E429" s="307">
        <v>8.10115972433E11</v>
      </c>
      <c r="F429" s="209"/>
      <c r="G429" s="209"/>
      <c r="H429" s="209"/>
      <c r="I429" s="209"/>
      <c r="J429" s="300" t="b">
        <v>1</v>
      </c>
      <c r="K429" s="301" t="b">
        <v>0</v>
      </c>
      <c r="L429" s="419"/>
      <c r="M429" s="301" t="b">
        <v>0</v>
      </c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  <c r="AI429" s="209"/>
      <c r="AJ429" s="209"/>
      <c r="AK429" s="209"/>
      <c r="AL429" s="209"/>
      <c r="AM429" s="209"/>
      <c r="AN429" s="209"/>
      <c r="AO429" s="209"/>
      <c r="AP429" s="209"/>
    </row>
    <row r="430">
      <c r="A430" s="291"/>
      <c r="B430" s="303" t="s">
        <v>2419</v>
      </c>
      <c r="C430" s="304" t="s">
        <v>1916</v>
      </c>
      <c r="D430" s="304" t="s">
        <v>2420</v>
      </c>
      <c r="E430" s="307">
        <v>8.1011597244E11</v>
      </c>
      <c r="F430" s="209"/>
      <c r="G430" s="209"/>
      <c r="H430" s="209"/>
      <c r="I430" s="209"/>
      <c r="J430" s="300" t="b">
        <v>1</v>
      </c>
      <c r="K430" s="301" t="b">
        <v>0</v>
      </c>
      <c r="L430" s="419"/>
      <c r="M430" s="301" t="b">
        <v>0</v>
      </c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  <c r="AI430" s="209"/>
      <c r="AJ430" s="209"/>
      <c r="AK430" s="209"/>
      <c r="AL430" s="209"/>
      <c r="AM430" s="209"/>
      <c r="AN430" s="209"/>
      <c r="AO430" s="209"/>
      <c r="AP430" s="209"/>
    </row>
    <row r="431">
      <c r="A431" s="291"/>
      <c r="B431" s="303" t="s">
        <v>2421</v>
      </c>
      <c r="C431" s="304" t="s">
        <v>529</v>
      </c>
      <c r="D431" s="304" t="s">
        <v>2422</v>
      </c>
      <c r="E431" s="307">
        <v>8.10115972464E11</v>
      </c>
      <c r="F431" s="209"/>
      <c r="G431" s="209"/>
      <c r="H431" s="209"/>
      <c r="I431" s="209"/>
      <c r="J431" s="300" t="b">
        <v>1</v>
      </c>
      <c r="K431" s="301" t="b">
        <v>0</v>
      </c>
      <c r="L431" s="419"/>
      <c r="M431" s="301" t="b">
        <v>0</v>
      </c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  <c r="AI431" s="209"/>
      <c r="AJ431" s="209"/>
      <c r="AK431" s="209"/>
      <c r="AL431" s="209"/>
      <c r="AM431" s="209"/>
      <c r="AN431" s="209"/>
      <c r="AO431" s="209"/>
      <c r="AP431" s="209"/>
    </row>
    <row r="432">
      <c r="A432" s="291"/>
      <c r="B432" s="303" t="s">
        <v>2423</v>
      </c>
      <c r="C432" s="304" t="s">
        <v>547</v>
      </c>
      <c r="D432" s="304" t="s">
        <v>2424</v>
      </c>
      <c r="E432" s="307">
        <v>8.1011597161E11</v>
      </c>
      <c r="F432" s="209"/>
      <c r="G432" s="209"/>
      <c r="H432" s="209"/>
      <c r="I432" s="209"/>
      <c r="J432" s="300" t="b">
        <v>1</v>
      </c>
      <c r="K432" s="301" t="b">
        <v>0</v>
      </c>
      <c r="L432" s="419"/>
      <c r="M432" s="301" t="b">
        <v>0</v>
      </c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  <c r="AI432" s="209"/>
      <c r="AJ432" s="209"/>
      <c r="AK432" s="209"/>
      <c r="AL432" s="209"/>
      <c r="AM432" s="209"/>
      <c r="AN432" s="209"/>
      <c r="AO432" s="209"/>
      <c r="AP432" s="209"/>
    </row>
    <row r="433">
      <c r="A433" s="291"/>
      <c r="B433" s="303" t="s">
        <v>2425</v>
      </c>
      <c r="C433" s="304" t="s">
        <v>1049</v>
      </c>
      <c r="D433" s="304" t="s">
        <v>2426</v>
      </c>
      <c r="E433" s="307">
        <v>8.10115975885E11</v>
      </c>
      <c r="F433" s="209"/>
      <c r="G433" s="209"/>
      <c r="H433" s="209"/>
      <c r="I433" s="209"/>
      <c r="J433" s="300" t="b">
        <v>1</v>
      </c>
      <c r="K433" s="301" t="b">
        <v>0</v>
      </c>
      <c r="L433" s="419"/>
      <c r="M433" s="301" t="b">
        <v>0</v>
      </c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  <c r="AI433" s="209"/>
      <c r="AJ433" s="209"/>
      <c r="AK433" s="209"/>
      <c r="AL433" s="209"/>
      <c r="AM433" s="209"/>
      <c r="AN433" s="209"/>
      <c r="AO433" s="209"/>
      <c r="AP433" s="209"/>
    </row>
    <row r="434">
      <c r="A434" s="291"/>
      <c r="B434" s="304" t="s">
        <v>2427</v>
      </c>
      <c r="C434" s="304" t="s">
        <v>1060</v>
      </c>
      <c r="D434" s="304" t="s">
        <v>2428</v>
      </c>
      <c r="E434" s="307">
        <v>8.10115970606E11</v>
      </c>
      <c r="F434" s="209"/>
      <c r="G434" s="209"/>
      <c r="H434" s="209"/>
      <c r="I434" s="209"/>
      <c r="J434" s="300" t="b">
        <v>1</v>
      </c>
      <c r="K434" s="301" t="b">
        <v>0</v>
      </c>
      <c r="L434" s="419"/>
      <c r="M434" s="301" t="b">
        <v>0</v>
      </c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  <c r="AI434" s="209"/>
      <c r="AJ434" s="209"/>
      <c r="AK434" s="209"/>
      <c r="AL434" s="209"/>
      <c r="AM434" s="209"/>
      <c r="AN434" s="209"/>
      <c r="AO434" s="209"/>
      <c r="AP434" s="209"/>
    </row>
    <row r="435">
      <c r="A435" s="291"/>
      <c r="B435" s="303" t="s">
        <v>2429</v>
      </c>
      <c r="C435" s="304" t="s">
        <v>2430</v>
      </c>
      <c r="D435" s="304" t="s">
        <v>2431</v>
      </c>
      <c r="E435" s="307">
        <v>8.10115975915E11</v>
      </c>
      <c r="F435" s="209"/>
      <c r="G435" s="209"/>
      <c r="H435" s="209"/>
      <c r="I435" s="209"/>
      <c r="J435" s="300" t="b">
        <v>1</v>
      </c>
      <c r="K435" s="301" t="b">
        <v>0</v>
      </c>
      <c r="L435" s="419"/>
      <c r="M435" s="301" t="b">
        <v>0</v>
      </c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  <c r="AI435" s="209"/>
      <c r="AJ435" s="209"/>
      <c r="AK435" s="209"/>
      <c r="AL435" s="209"/>
      <c r="AM435" s="209"/>
      <c r="AN435" s="209"/>
      <c r="AO435" s="209"/>
      <c r="AP435" s="209"/>
    </row>
    <row r="436">
      <c r="A436" s="309"/>
      <c r="B436" s="310" t="s">
        <v>2432</v>
      </c>
      <c r="C436" s="311" t="s">
        <v>2433</v>
      </c>
      <c r="D436" s="311" t="s">
        <v>2434</v>
      </c>
      <c r="E436" s="318">
        <v>8.10115975939E11</v>
      </c>
      <c r="F436" s="313"/>
      <c r="G436" s="313"/>
      <c r="H436" s="313"/>
      <c r="I436" s="313"/>
      <c r="J436" s="300" t="b">
        <v>1</v>
      </c>
      <c r="K436" s="314" t="b">
        <v>0</v>
      </c>
      <c r="L436" s="365"/>
      <c r="M436" s="314" t="b">
        <v>0</v>
      </c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  <c r="AI436" s="209"/>
      <c r="AJ436" s="209"/>
      <c r="AK436" s="209"/>
      <c r="AL436" s="209"/>
      <c r="AM436" s="209"/>
      <c r="AN436" s="209"/>
      <c r="AO436" s="209"/>
      <c r="AP436" s="209"/>
    </row>
    <row r="437">
      <c r="A437" s="209"/>
      <c r="B437" s="209"/>
      <c r="C437" s="209"/>
      <c r="D437" s="209"/>
      <c r="E437" s="209"/>
      <c r="F437" s="209"/>
      <c r="G437" s="209"/>
      <c r="H437" s="209"/>
      <c r="I437" s="209"/>
      <c r="J437" s="313"/>
      <c r="K437" s="209"/>
      <c r="L437" s="209"/>
      <c r="M437" s="313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  <c r="AI437" s="209"/>
      <c r="AJ437" s="209"/>
      <c r="AK437" s="209"/>
      <c r="AL437" s="209"/>
      <c r="AM437" s="209"/>
      <c r="AN437" s="209"/>
      <c r="AO437" s="209"/>
      <c r="AP437" s="209"/>
    </row>
    <row r="438">
      <c r="A438" s="316" t="s">
        <v>2068</v>
      </c>
      <c r="B438" s="319" t="s">
        <v>2436</v>
      </c>
      <c r="C438" s="320"/>
      <c r="D438" s="403" t="s">
        <v>2437</v>
      </c>
      <c r="E438" s="336" t="s">
        <v>2415</v>
      </c>
      <c r="F438" s="320"/>
      <c r="G438" s="320"/>
      <c r="H438" s="285" t="s">
        <v>4369</v>
      </c>
      <c r="I438" s="285" t="s">
        <v>4370</v>
      </c>
      <c r="J438" s="438" t="str">
        <f>IF(COUNTIF(J439:J447, TRUE) = COUNTA(J439:J447), "Complete!", IF(COUNTIF(J439:J447, TRUE) &gt; 0, "Partial", "Not Started"))</f>
        <v>Complete!</v>
      </c>
      <c r="K438" s="334"/>
      <c r="L438" s="464" t="s">
        <v>889</v>
      </c>
      <c r="M438" s="465" t="str">
        <f>IF(COUNTIF(M439:M447, TRUE) = COUNTA(M439:M447), "Complete!", IF(COUNTIF(M439:M447, TRUE) &gt; 0, "Partial", "Not Started"))</f>
        <v>Not Started</v>
      </c>
      <c r="N438" s="280">
        <v>9.0</v>
      </c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  <c r="AI438" s="209"/>
      <c r="AJ438" s="209"/>
      <c r="AK438" s="209"/>
      <c r="AL438" s="209"/>
      <c r="AM438" s="209"/>
      <c r="AN438" s="209"/>
      <c r="AO438" s="209"/>
      <c r="AP438" s="209"/>
    </row>
    <row r="439">
      <c r="A439" s="291"/>
      <c r="B439" s="303" t="s">
        <v>2439</v>
      </c>
      <c r="C439" s="304" t="s">
        <v>440</v>
      </c>
      <c r="D439" s="304" t="s">
        <v>2440</v>
      </c>
      <c r="E439" s="307">
        <v>8.10115971559E11</v>
      </c>
      <c r="F439" s="209"/>
      <c r="G439" s="209"/>
      <c r="H439" s="209"/>
      <c r="I439" s="209"/>
      <c r="J439" s="300" t="b">
        <v>1</v>
      </c>
      <c r="K439" s="301" t="b">
        <v>0</v>
      </c>
      <c r="L439" s="419"/>
      <c r="M439" s="301" t="b">
        <v>0</v>
      </c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  <c r="AK439" s="209"/>
      <c r="AL439" s="209"/>
      <c r="AM439" s="209"/>
      <c r="AN439" s="209"/>
      <c r="AO439" s="209"/>
      <c r="AP439" s="209"/>
    </row>
    <row r="440">
      <c r="A440" s="291"/>
      <c r="B440" s="303" t="s">
        <v>2441</v>
      </c>
      <c r="C440" s="304" t="s">
        <v>2442</v>
      </c>
      <c r="D440" s="304" t="s">
        <v>2443</v>
      </c>
      <c r="E440" s="307">
        <v>8.10115970613E11</v>
      </c>
      <c r="F440" s="209"/>
      <c r="G440" s="209"/>
      <c r="H440" s="209"/>
      <c r="I440" s="209"/>
      <c r="J440" s="300" t="b">
        <v>1</v>
      </c>
      <c r="K440" s="301" t="b">
        <v>0</v>
      </c>
      <c r="L440" s="419"/>
      <c r="M440" s="301" t="b">
        <v>0</v>
      </c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  <c r="AI440" s="209"/>
      <c r="AJ440" s="209"/>
      <c r="AK440" s="209"/>
      <c r="AL440" s="209"/>
      <c r="AM440" s="209"/>
      <c r="AN440" s="209"/>
      <c r="AO440" s="209"/>
      <c r="AP440" s="209"/>
    </row>
    <row r="441">
      <c r="A441" s="291"/>
      <c r="B441" s="303" t="s">
        <v>2444</v>
      </c>
      <c r="C441" s="304" t="s">
        <v>529</v>
      </c>
      <c r="D441" s="304" t="s">
        <v>2445</v>
      </c>
      <c r="E441" s="307">
        <v>8.10115972457E11</v>
      </c>
      <c r="F441" s="209"/>
      <c r="G441" s="209"/>
      <c r="H441" s="209"/>
      <c r="I441" s="209"/>
      <c r="J441" s="300" t="b">
        <v>1</v>
      </c>
      <c r="K441" s="301" t="b">
        <v>0</v>
      </c>
      <c r="L441" s="419"/>
      <c r="M441" s="301" t="b">
        <v>0</v>
      </c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  <c r="AK441" s="209"/>
      <c r="AL441" s="209"/>
      <c r="AM441" s="209"/>
      <c r="AN441" s="209"/>
      <c r="AO441" s="209"/>
      <c r="AP441" s="209"/>
    </row>
    <row r="442">
      <c r="A442" s="291"/>
      <c r="B442" s="303" t="s">
        <v>2446</v>
      </c>
      <c r="C442" s="304" t="s">
        <v>547</v>
      </c>
      <c r="D442" s="304" t="s">
        <v>2447</v>
      </c>
      <c r="E442" s="307">
        <v>8.10115971603E11</v>
      </c>
      <c r="F442" s="209"/>
      <c r="G442" s="209"/>
      <c r="H442" s="209"/>
      <c r="I442" s="209"/>
      <c r="J442" s="300" t="b">
        <v>1</v>
      </c>
      <c r="K442" s="301" t="b">
        <v>0</v>
      </c>
      <c r="L442" s="419"/>
      <c r="M442" s="301" t="b">
        <v>0</v>
      </c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  <c r="AI442" s="209"/>
      <c r="AJ442" s="209"/>
      <c r="AK442" s="209"/>
      <c r="AL442" s="209"/>
      <c r="AM442" s="209"/>
      <c r="AN442" s="209"/>
      <c r="AO442" s="209"/>
      <c r="AP442" s="209"/>
    </row>
    <row r="443">
      <c r="A443" s="291"/>
      <c r="B443" s="303" t="s">
        <v>2448</v>
      </c>
      <c r="C443" s="304" t="s">
        <v>1049</v>
      </c>
      <c r="D443" s="304" t="s">
        <v>2449</v>
      </c>
      <c r="E443" s="307">
        <v>8.10115975892E11</v>
      </c>
      <c r="F443" s="209"/>
      <c r="G443" s="209"/>
      <c r="H443" s="209"/>
      <c r="I443" s="209"/>
      <c r="J443" s="300" t="b">
        <v>1</v>
      </c>
      <c r="K443" s="301" t="b">
        <v>0</v>
      </c>
      <c r="L443" s="419"/>
      <c r="M443" s="301" t="b">
        <v>0</v>
      </c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  <c r="AK443" s="209"/>
      <c r="AL443" s="209"/>
      <c r="AM443" s="209"/>
      <c r="AN443" s="209"/>
      <c r="AO443" s="209"/>
      <c r="AP443" s="209"/>
    </row>
    <row r="444">
      <c r="A444" s="291"/>
      <c r="B444" s="303" t="s">
        <v>2450</v>
      </c>
      <c r="C444" s="304" t="s">
        <v>2430</v>
      </c>
      <c r="D444" s="304" t="s">
        <v>2451</v>
      </c>
      <c r="E444" s="307">
        <v>8.10115975922E11</v>
      </c>
      <c r="F444" s="209"/>
      <c r="G444" s="209"/>
      <c r="H444" s="209"/>
      <c r="I444" s="209"/>
      <c r="J444" s="300" t="b">
        <v>1</v>
      </c>
      <c r="K444" s="301" t="b">
        <v>0</v>
      </c>
      <c r="L444" s="419"/>
      <c r="M444" s="301" t="b">
        <v>0</v>
      </c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  <c r="AK444" s="209"/>
      <c r="AL444" s="209"/>
      <c r="AM444" s="209"/>
      <c r="AN444" s="209"/>
      <c r="AO444" s="209"/>
      <c r="AP444" s="209"/>
    </row>
    <row r="445">
      <c r="A445" s="291"/>
      <c r="B445" s="303" t="s">
        <v>2452</v>
      </c>
      <c r="C445" s="304" t="s">
        <v>2433</v>
      </c>
      <c r="D445" s="304" t="s">
        <v>2453</v>
      </c>
      <c r="E445" s="307">
        <v>8.10115975946E11</v>
      </c>
      <c r="F445" s="209"/>
      <c r="G445" s="209"/>
      <c r="H445" s="209"/>
      <c r="I445" s="209"/>
      <c r="J445" s="300" t="b">
        <v>1</v>
      </c>
      <c r="K445" s="301" t="b">
        <v>0</v>
      </c>
      <c r="L445" s="419"/>
      <c r="M445" s="301" t="b">
        <v>0</v>
      </c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  <c r="AK445" s="209"/>
      <c r="AL445" s="209"/>
      <c r="AM445" s="209"/>
      <c r="AN445" s="209"/>
      <c r="AO445" s="209"/>
      <c r="AP445" s="209"/>
    </row>
    <row r="446">
      <c r="A446" s="291"/>
      <c r="B446" s="303" t="s">
        <v>2454</v>
      </c>
      <c r="C446" s="304" t="s">
        <v>2155</v>
      </c>
      <c r="D446" s="304" t="s">
        <v>2455</v>
      </c>
      <c r="E446" s="307">
        <v>8.10115972471E11</v>
      </c>
      <c r="F446" s="209"/>
      <c r="G446" s="209"/>
      <c r="H446" s="209"/>
      <c r="I446" s="209"/>
      <c r="J446" s="300" t="b">
        <v>1</v>
      </c>
      <c r="K446" s="301" t="b">
        <v>0</v>
      </c>
      <c r="L446" s="419"/>
      <c r="M446" s="301" t="b">
        <v>0</v>
      </c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  <c r="AI446" s="209"/>
      <c r="AJ446" s="209"/>
      <c r="AK446" s="209"/>
      <c r="AL446" s="209"/>
      <c r="AM446" s="209"/>
      <c r="AN446" s="209"/>
      <c r="AO446" s="209"/>
      <c r="AP446" s="209"/>
    </row>
    <row r="447">
      <c r="A447" s="309"/>
      <c r="B447" s="310" t="s">
        <v>2456</v>
      </c>
      <c r="C447" s="311" t="s">
        <v>2457</v>
      </c>
      <c r="D447" s="311" t="s">
        <v>2458</v>
      </c>
      <c r="E447" s="318">
        <v>8.10115971634E11</v>
      </c>
      <c r="F447" s="313"/>
      <c r="G447" s="313"/>
      <c r="H447" s="313"/>
      <c r="I447" s="313"/>
      <c r="J447" s="300" t="b">
        <v>1</v>
      </c>
      <c r="K447" s="314" t="b">
        <v>0</v>
      </c>
      <c r="L447" s="365"/>
      <c r="M447" s="314" t="b">
        <v>0</v>
      </c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  <c r="AI447" s="209"/>
      <c r="AJ447" s="209"/>
      <c r="AK447" s="209"/>
      <c r="AL447" s="209"/>
      <c r="AM447" s="209"/>
      <c r="AN447" s="209"/>
      <c r="AO447" s="209"/>
      <c r="AP447" s="209"/>
    </row>
    <row r="448">
      <c r="A448" s="209"/>
      <c r="B448" s="209"/>
      <c r="C448" s="209"/>
      <c r="D448" s="209"/>
      <c r="E448" s="209"/>
      <c r="F448" s="209"/>
      <c r="G448" s="209"/>
      <c r="H448" s="209"/>
      <c r="I448" s="209"/>
      <c r="J448" s="313"/>
      <c r="K448" s="209"/>
      <c r="L448" s="209"/>
      <c r="M448" s="313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  <c r="AI448" s="209"/>
      <c r="AJ448" s="209"/>
      <c r="AK448" s="209"/>
      <c r="AL448" s="209"/>
      <c r="AM448" s="209"/>
      <c r="AN448" s="209"/>
      <c r="AO448" s="209"/>
      <c r="AP448" s="209"/>
    </row>
    <row r="449">
      <c r="A449" s="316" t="s">
        <v>2330</v>
      </c>
      <c r="B449" s="490" t="s">
        <v>4371</v>
      </c>
      <c r="C449" s="320"/>
      <c r="D449" s="283" t="s">
        <v>2461</v>
      </c>
      <c r="E449" s="336" t="s">
        <v>2415</v>
      </c>
      <c r="F449" s="320"/>
      <c r="G449" s="320"/>
      <c r="H449" s="285" t="s">
        <v>572</v>
      </c>
      <c r="I449" s="285" t="s">
        <v>4372</v>
      </c>
      <c r="J449" s="438" t="str">
        <f>IF(COUNTIF(J450:J455, TRUE) = COUNTA(J450:J455), "Complete!", IF(COUNTIF(J450:J455, TRUE) &gt; 0, "Partial", "Not Started"))</f>
        <v>Complete!</v>
      </c>
      <c r="K449" s="334"/>
      <c r="L449" s="464" t="s">
        <v>889</v>
      </c>
      <c r="M449" s="465" t="str">
        <f>IF(COUNTIF(M450:M455, TRUE) = COUNTA(M450:M455), "Complete!", IF(COUNTIF(M450:M455, TRUE) &gt; 0, "Partial", "Not Started"))</f>
        <v>Not Started</v>
      </c>
      <c r="N449" s="280">
        <v>6.0</v>
      </c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  <c r="AK449" s="209"/>
      <c r="AL449" s="209"/>
      <c r="AM449" s="209"/>
      <c r="AN449" s="209"/>
      <c r="AO449" s="209"/>
      <c r="AP449" s="209"/>
    </row>
    <row r="450">
      <c r="A450" s="291"/>
      <c r="B450" s="303" t="s">
        <v>2463</v>
      </c>
      <c r="C450" s="304" t="s">
        <v>449</v>
      </c>
      <c r="D450" s="304" t="s">
        <v>2464</v>
      </c>
      <c r="E450" s="307">
        <v>8.10115971542E11</v>
      </c>
      <c r="F450" s="209"/>
      <c r="G450" s="209"/>
      <c r="H450" s="209"/>
      <c r="I450" s="209"/>
      <c r="J450" s="300" t="b">
        <v>1</v>
      </c>
      <c r="K450" s="301" t="b">
        <v>0</v>
      </c>
      <c r="L450" s="419"/>
      <c r="M450" s="301" t="b">
        <v>0</v>
      </c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  <c r="AI450" s="209"/>
      <c r="AJ450" s="209"/>
      <c r="AK450" s="209"/>
      <c r="AL450" s="209"/>
      <c r="AM450" s="209"/>
      <c r="AN450" s="209"/>
      <c r="AO450" s="209"/>
      <c r="AP450" s="209"/>
    </row>
    <row r="451">
      <c r="A451" s="291"/>
      <c r="B451" s="303" t="s">
        <v>2465</v>
      </c>
      <c r="C451" s="304" t="s">
        <v>487</v>
      </c>
      <c r="D451" s="304" t="s">
        <v>2466</v>
      </c>
      <c r="E451" s="307">
        <v>8.10115972389E11</v>
      </c>
      <c r="F451" s="209"/>
      <c r="G451" s="209"/>
      <c r="H451" s="209"/>
      <c r="I451" s="209"/>
      <c r="J451" s="300" t="b">
        <v>1</v>
      </c>
      <c r="K451" s="301" t="b">
        <v>0</v>
      </c>
      <c r="L451" s="419"/>
      <c r="M451" s="301" t="b">
        <v>0</v>
      </c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  <c r="AI451" s="209"/>
      <c r="AJ451" s="209"/>
      <c r="AK451" s="209"/>
      <c r="AL451" s="209"/>
      <c r="AM451" s="209"/>
      <c r="AN451" s="209"/>
      <c r="AO451" s="209"/>
      <c r="AP451" s="209"/>
    </row>
    <row r="452">
      <c r="A452" s="291"/>
      <c r="B452" s="303" t="s">
        <v>2467</v>
      </c>
      <c r="C452" s="304" t="s">
        <v>1916</v>
      </c>
      <c r="D452" s="304" t="s">
        <v>2468</v>
      </c>
      <c r="E452" s="307">
        <v>8.10115972396E11</v>
      </c>
      <c r="F452" s="209"/>
      <c r="G452" s="209"/>
      <c r="H452" s="209"/>
      <c r="I452" s="209"/>
      <c r="J452" s="300" t="b">
        <v>1</v>
      </c>
      <c r="K452" s="301" t="b">
        <v>0</v>
      </c>
      <c r="L452" s="419"/>
      <c r="M452" s="301" t="b">
        <v>0</v>
      </c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  <c r="AI452" s="209"/>
      <c r="AJ452" s="209"/>
      <c r="AK452" s="209"/>
      <c r="AL452" s="209"/>
      <c r="AM452" s="209"/>
      <c r="AN452" s="209"/>
      <c r="AO452" s="209"/>
      <c r="AP452" s="209"/>
    </row>
    <row r="453">
      <c r="A453" s="291"/>
      <c r="B453" s="303" t="s">
        <v>2469</v>
      </c>
      <c r="C453" s="304" t="s">
        <v>458</v>
      </c>
      <c r="D453" s="304" t="s">
        <v>2470</v>
      </c>
      <c r="E453" s="307">
        <v>8.10115971573E11</v>
      </c>
      <c r="F453" s="209"/>
      <c r="G453" s="209"/>
      <c r="H453" s="209"/>
      <c r="I453" s="209"/>
      <c r="J453" s="300" t="b">
        <v>1</v>
      </c>
      <c r="K453" s="301" t="b">
        <v>0</v>
      </c>
      <c r="L453" s="419"/>
      <c r="M453" s="301" t="b">
        <v>0</v>
      </c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  <c r="AI453" s="209"/>
      <c r="AJ453" s="209"/>
      <c r="AK453" s="209"/>
      <c r="AL453" s="209"/>
      <c r="AM453" s="209"/>
      <c r="AN453" s="209"/>
      <c r="AO453" s="209"/>
      <c r="AP453" s="209"/>
    </row>
    <row r="454">
      <c r="A454" s="291"/>
      <c r="B454" s="303" t="s">
        <v>2471</v>
      </c>
      <c r="C454" s="304" t="s">
        <v>522</v>
      </c>
      <c r="D454" s="304" t="s">
        <v>2472</v>
      </c>
      <c r="E454" s="307">
        <v>8.1011597158E11</v>
      </c>
      <c r="F454" s="209"/>
      <c r="G454" s="209"/>
      <c r="H454" s="209"/>
      <c r="I454" s="304" t="s">
        <v>351</v>
      </c>
      <c r="J454" s="300" t="b">
        <v>1</v>
      </c>
      <c r="K454" s="301" t="b">
        <v>0</v>
      </c>
      <c r="L454" s="419"/>
      <c r="M454" s="301" t="b">
        <v>0</v>
      </c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  <c r="AK454" s="209"/>
      <c r="AL454" s="209"/>
      <c r="AM454" s="209"/>
      <c r="AN454" s="209"/>
      <c r="AO454" s="209"/>
      <c r="AP454" s="209"/>
    </row>
    <row r="455">
      <c r="A455" s="309"/>
      <c r="B455" s="310" t="s">
        <v>2473</v>
      </c>
      <c r="C455" s="311" t="s">
        <v>1060</v>
      </c>
      <c r="D455" s="311" t="s">
        <v>2474</v>
      </c>
      <c r="E455" s="318">
        <v>8.1011597062E11</v>
      </c>
      <c r="F455" s="313"/>
      <c r="G455" s="313"/>
      <c r="H455" s="313"/>
      <c r="I455" s="313"/>
      <c r="J455" s="350" t="b">
        <v>1</v>
      </c>
      <c r="K455" s="314" t="b">
        <v>0</v>
      </c>
      <c r="L455" s="365"/>
      <c r="M455" s="314" t="b">
        <v>0</v>
      </c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  <c r="AI455" s="209"/>
      <c r="AJ455" s="209"/>
      <c r="AK455" s="209"/>
      <c r="AL455" s="209"/>
      <c r="AM455" s="209"/>
      <c r="AN455" s="209"/>
      <c r="AO455" s="209"/>
      <c r="AP455" s="209"/>
    </row>
    <row r="456">
      <c r="A456" s="209"/>
      <c r="B456" s="209"/>
      <c r="C456" s="209"/>
      <c r="D456" s="209"/>
      <c r="E456" s="209"/>
      <c r="F456" s="209"/>
      <c r="G456" s="209"/>
      <c r="H456" s="209"/>
      <c r="I456" s="209"/>
      <c r="J456" s="313"/>
      <c r="K456" s="209"/>
      <c r="L456" s="209"/>
      <c r="M456" s="313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  <c r="AI456" s="209"/>
      <c r="AJ456" s="209"/>
      <c r="AK456" s="209"/>
      <c r="AL456" s="209"/>
      <c r="AM456" s="209"/>
      <c r="AN456" s="209"/>
      <c r="AO456" s="209"/>
      <c r="AP456" s="209"/>
    </row>
    <row r="457">
      <c r="A457" s="316" t="s">
        <v>2348</v>
      </c>
      <c r="B457" s="490" t="s">
        <v>2476</v>
      </c>
      <c r="C457" s="320"/>
      <c r="D457" s="403" t="s">
        <v>4154</v>
      </c>
      <c r="E457" s="336" t="s">
        <v>2415</v>
      </c>
      <c r="F457" s="320"/>
      <c r="G457" s="320"/>
      <c r="H457" s="285" t="s">
        <v>572</v>
      </c>
      <c r="I457" s="285" t="s">
        <v>4373</v>
      </c>
      <c r="J457" s="438" t="str">
        <f>IF(COUNTIF(J458:J465, TRUE) = COUNTA(J458:J465), "Complete!", IF(COUNTIF(J458:J465, TRUE) &gt; 0, "Partial", "Not Started"))</f>
        <v>Complete!</v>
      </c>
      <c r="K457" s="334"/>
      <c r="L457" s="464" t="s">
        <v>889</v>
      </c>
      <c r="M457" s="465" t="str">
        <f>IF(COUNTIF(M458:M465, TRUE) = COUNTA(M458:M465), "Complete!", IF(COUNTIF(M458:M465, TRUE) &gt; 0, "Partial", "Not Started"))</f>
        <v>Not Started</v>
      </c>
      <c r="N457" s="280">
        <v>8.0</v>
      </c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  <c r="AI457" s="209"/>
      <c r="AJ457" s="209"/>
      <c r="AK457" s="209"/>
      <c r="AL457" s="209"/>
      <c r="AM457" s="209"/>
      <c r="AN457" s="209"/>
      <c r="AO457" s="209"/>
      <c r="AP457" s="209"/>
    </row>
    <row r="458">
      <c r="A458" s="291"/>
      <c r="B458" s="303" t="s">
        <v>2479</v>
      </c>
      <c r="C458" s="304" t="s">
        <v>400</v>
      </c>
      <c r="D458" s="304" t="s">
        <v>2480</v>
      </c>
      <c r="E458" s="307">
        <v>8.10115972358E11</v>
      </c>
      <c r="F458" s="209"/>
      <c r="G458" s="209"/>
      <c r="H458" s="209"/>
      <c r="I458" s="209"/>
      <c r="J458" s="300" t="b">
        <v>1</v>
      </c>
      <c r="K458" s="301" t="b">
        <v>0</v>
      </c>
      <c r="L458" s="419"/>
      <c r="M458" s="301" t="b">
        <v>0</v>
      </c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  <c r="AI458" s="209"/>
      <c r="AJ458" s="209"/>
      <c r="AK458" s="209"/>
      <c r="AL458" s="209"/>
      <c r="AM458" s="209"/>
      <c r="AN458" s="209"/>
      <c r="AO458" s="209"/>
      <c r="AP458" s="209"/>
    </row>
    <row r="459">
      <c r="A459" s="291"/>
      <c r="B459" s="303" t="s">
        <v>2481</v>
      </c>
      <c r="C459" s="304" t="s">
        <v>412</v>
      </c>
      <c r="D459" s="304" t="s">
        <v>2482</v>
      </c>
      <c r="E459" s="307">
        <v>8.10115972365E11</v>
      </c>
      <c r="F459" s="209"/>
      <c r="G459" s="209"/>
      <c r="H459" s="209"/>
      <c r="I459" s="209"/>
      <c r="J459" s="300" t="b">
        <v>1</v>
      </c>
      <c r="K459" s="301" t="b">
        <v>0</v>
      </c>
      <c r="L459" s="419"/>
      <c r="M459" s="301" t="b">
        <v>0</v>
      </c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  <c r="AK459" s="209"/>
      <c r="AL459" s="209"/>
      <c r="AM459" s="209"/>
      <c r="AN459" s="209"/>
      <c r="AO459" s="209"/>
      <c r="AP459" s="209"/>
    </row>
    <row r="460">
      <c r="A460" s="291"/>
      <c r="B460" s="303" t="s">
        <v>2483</v>
      </c>
      <c r="C460" s="304" t="s">
        <v>431</v>
      </c>
      <c r="D460" s="304" t="s">
        <v>2484</v>
      </c>
      <c r="E460" s="307">
        <v>8.10115970392E11</v>
      </c>
      <c r="F460" s="209"/>
      <c r="G460" s="209"/>
      <c r="H460" s="209"/>
      <c r="I460" s="209"/>
      <c r="J460" s="300" t="b">
        <v>1</v>
      </c>
      <c r="K460" s="301" t="b">
        <v>0</v>
      </c>
      <c r="L460" s="419"/>
      <c r="M460" s="301" t="b">
        <v>0</v>
      </c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  <c r="AI460" s="209"/>
      <c r="AJ460" s="209"/>
      <c r="AK460" s="209"/>
      <c r="AL460" s="209"/>
      <c r="AM460" s="209"/>
      <c r="AN460" s="209"/>
      <c r="AO460" s="209"/>
      <c r="AP460" s="209"/>
    </row>
    <row r="461">
      <c r="A461" s="291"/>
      <c r="B461" s="303" t="s">
        <v>2485</v>
      </c>
      <c r="C461" s="304" t="s">
        <v>421</v>
      </c>
      <c r="D461" s="304" t="s">
        <v>2486</v>
      </c>
      <c r="E461" s="307">
        <v>8.10115970408E11</v>
      </c>
      <c r="F461" s="401"/>
      <c r="G461" s="401"/>
      <c r="H461" s="401"/>
      <c r="I461" s="401"/>
      <c r="J461" s="300" t="b">
        <v>1</v>
      </c>
      <c r="K461" s="301" t="b">
        <v>0</v>
      </c>
      <c r="L461" s="491"/>
      <c r="M461" s="301" t="b">
        <v>0</v>
      </c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  <c r="AI461" s="209"/>
      <c r="AJ461" s="209"/>
      <c r="AK461" s="209"/>
      <c r="AL461" s="209"/>
      <c r="AM461" s="209"/>
      <c r="AN461" s="209"/>
      <c r="AO461" s="209"/>
      <c r="AP461" s="209"/>
    </row>
    <row r="462">
      <c r="A462" s="291"/>
      <c r="B462" s="303" t="s">
        <v>2487</v>
      </c>
      <c r="C462" s="304" t="s">
        <v>449</v>
      </c>
      <c r="D462" s="304" t="s">
        <v>2488</v>
      </c>
      <c r="E462" s="307">
        <v>8.10115970415E11</v>
      </c>
      <c r="F462" s="401"/>
      <c r="G462" s="401"/>
      <c r="H462" s="401"/>
      <c r="I462" s="401"/>
      <c r="J462" s="300" t="b">
        <v>1</v>
      </c>
      <c r="K462" s="301" t="b">
        <v>0</v>
      </c>
      <c r="L462" s="491"/>
      <c r="M462" s="301" t="b">
        <v>0</v>
      </c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  <c r="AI462" s="209"/>
      <c r="AJ462" s="209"/>
      <c r="AK462" s="209"/>
      <c r="AL462" s="209"/>
      <c r="AM462" s="209"/>
      <c r="AN462" s="209"/>
      <c r="AO462" s="209"/>
      <c r="AP462" s="209"/>
    </row>
    <row r="463">
      <c r="A463" s="291"/>
      <c r="B463" s="303" t="s">
        <v>2489</v>
      </c>
      <c r="C463" s="304" t="s">
        <v>440</v>
      </c>
      <c r="D463" s="304" t="s">
        <v>2490</v>
      </c>
      <c r="E463" s="307">
        <v>8.10115971627E11</v>
      </c>
      <c r="F463" s="209"/>
      <c r="G463" s="209"/>
      <c r="H463" s="209"/>
      <c r="I463" s="209"/>
      <c r="J463" s="300" t="b">
        <v>1</v>
      </c>
      <c r="K463" s="301" t="b">
        <v>0</v>
      </c>
      <c r="L463" s="419"/>
      <c r="M463" s="301" t="b">
        <v>0</v>
      </c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  <c r="AI463" s="209"/>
      <c r="AJ463" s="209"/>
      <c r="AK463" s="209"/>
      <c r="AL463" s="209"/>
      <c r="AM463" s="209"/>
      <c r="AN463" s="209"/>
      <c r="AO463" s="209"/>
      <c r="AP463" s="209"/>
    </row>
    <row r="464">
      <c r="A464" s="291"/>
      <c r="B464" s="303" t="s">
        <v>2491</v>
      </c>
      <c r="C464" s="304" t="s">
        <v>1916</v>
      </c>
      <c r="D464" s="304" t="s">
        <v>2492</v>
      </c>
      <c r="E464" s="307">
        <v>8.10115972419E11</v>
      </c>
      <c r="F464" s="209"/>
      <c r="G464" s="209"/>
      <c r="H464" s="209"/>
      <c r="I464" s="209"/>
      <c r="J464" s="300" t="b">
        <v>1</v>
      </c>
      <c r="K464" s="301" t="b">
        <v>0</v>
      </c>
      <c r="L464" s="419"/>
      <c r="M464" s="301" t="b">
        <v>0</v>
      </c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  <c r="AK464" s="209"/>
      <c r="AL464" s="209"/>
      <c r="AM464" s="209"/>
      <c r="AN464" s="209"/>
      <c r="AO464" s="209"/>
      <c r="AP464" s="209"/>
    </row>
    <row r="465">
      <c r="A465" s="309"/>
      <c r="B465" s="310" t="s">
        <v>2493</v>
      </c>
      <c r="C465" s="311" t="s">
        <v>458</v>
      </c>
      <c r="D465" s="311" t="s">
        <v>2494</v>
      </c>
      <c r="E465" s="318">
        <v>8.10115970422E11</v>
      </c>
      <c r="F465" s="313"/>
      <c r="G465" s="313"/>
      <c r="H465" s="313"/>
      <c r="I465" s="313"/>
      <c r="J465" s="300" t="b">
        <v>1</v>
      </c>
      <c r="K465" s="314" t="b">
        <v>0</v>
      </c>
      <c r="L465" s="365"/>
      <c r="M465" s="314" t="b">
        <v>0</v>
      </c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  <c r="AI465" s="209"/>
      <c r="AJ465" s="209"/>
      <c r="AK465" s="209"/>
      <c r="AL465" s="209"/>
      <c r="AM465" s="209"/>
      <c r="AN465" s="209"/>
      <c r="AO465" s="209"/>
      <c r="AP465" s="209"/>
    </row>
    <row r="466">
      <c r="A466" s="209"/>
      <c r="B466" s="209"/>
      <c r="C466" s="209"/>
      <c r="D466" s="209"/>
      <c r="E466" s="209"/>
      <c r="F466" s="209"/>
      <c r="G466" s="209"/>
      <c r="H466" s="209"/>
      <c r="I466" s="209"/>
      <c r="J466" s="313"/>
      <c r="K466" s="209"/>
      <c r="L466" s="209"/>
      <c r="M466" s="313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  <c r="AI466" s="209"/>
      <c r="AJ466" s="209"/>
      <c r="AK466" s="209"/>
      <c r="AL466" s="209"/>
      <c r="AM466" s="209"/>
      <c r="AN466" s="209"/>
      <c r="AO466" s="209"/>
      <c r="AP466" s="209"/>
    </row>
    <row r="467">
      <c r="A467" s="316" t="s">
        <v>2371</v>
      </c>
      <c r="B467" s="319" t="s">
        <v>2496</v>
      </c>
      <c r="C467" s="320"/>
      <c r="D467" s="403" t="s">
        <v>2497</v>
      </c>
      <c r="E467" s="336" t="s">
        <v>2415</v>
      </c>
      <c r="F467" s="320"/>
      <c r="G467" s="320"/>
      <c r="H467" s="285" t="s">
        <v>572</v>
      </c>
      <c r="I467" s="285" t="s">
        <v>4156</v>
      </c>
      <c r="J467" s="438" t="str">
        <f>IF(COUNTIF(J468:J475, TRUE) = COUNTA(J468:J475), "Complete!", IF(COUNTIF(J468:J475, TRUE) &gt; 0, "Partial", "Not Started"))</f>
        <v>Complete!</v>
      </c>
      <c r="K467" s="334"/>
      <c r="L467" s="464" t="s">
        <v>889</v>
      </c>
      <c r="M467" s="465" t="str">
        <f>IF(COUNTIF(M468:M475, TRUE) = COUNTA(M468:M475), "Complete!", IF(COUNTIF(M468:M475, TRUE) &gt; 0, "Partial", "Not Started"))</f>
        <v>Not Started</v>
      </c>
      <c r="N467" s="280">
        <v>9.0</v>
      </c>
      <c r="O467" s="209"/>
      <c r="P467" s="209"/>
      <c r="Q467" s="209"/>
      <c r="R467" s="209"/>
      <c r="S467" s="353"/>
      <c r="T467" s="209"/>
      <c r="U467" s="209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  <c r="AI467" s="209"/>
      <c r="AJ467" s="209"/>
      <c r="AK467" s="209"/>
      <c r="AL467" s="209"/>
      <c r="AM467" s="209"/>
      <c r="AN467" s="209"/>
      <c r="AO467" s="209"/>
      <c r="AP467" s="209"/>
    </row>
    <row r="468">
      <c r="A468" s="291"/>
      <c r="B468" s="292" t="s">
        <v>2498</v>
      </c>
      <c r="C468" s="304" t="s">
        <v>487</v>
      </c>
      <c r="D468" s="304" t="s">
        <v>2499</v>
      </c>
      <c r="E468" s="307">
        <v>8.10115972402E11</v>
      </c>
      <c r="F468" s="209"/>
      <c r="G468" s="209"/>
      <c r="H468" s="209"/>
      <c r="I468" s="295"/>
      <c r="J468" s="300" t="b">
        <v>1</v>
      </c>
      <c r="K468" s="301" t="b">
        <v>0</v>
      </c>
      <c r="L468" s="484"/>
      <c r="M468" s="301" t="b">
        <v>0</v>
      </c>
      <c r="N468" s="209"/>
      <c r="O468" s="209"/>
      <c r="P468" s="209"/>
      <c r="Q468" s="209"/>
      <c r="R468" s="209"/>
      <c r="S468" s="353"/>
      <c r="T468" s="209"/>
      <c r="U468" s="209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  <c r="AI468" s="209"/>
      <c r="AJ468" s="209"/>
      <c r="AK468" s="209"/>
      <c r="AL468" s="209"/>
      <c r="AM468" s="209"/>
      <c r="AN468" s="209"/>
      <c r="AO468" s="209"/>
      <c r="AP468" s="209"/>
    </row>
    <row r="469">
      <c r="A469" s="291"/>
      <c r="B469" s="303" t="s">
        <v>2500</v>
      </c>
      <c r="C469" s="304" t="s">
        <v>505</v>
      </c>
      <c r="D469" s="304" t="s">
        <v>2501</v>
      </c>
      <c r="E469" s="307">
        <v>8.10115970439E11</v>
      </c>
      <c r="F469" s="401"/>
      <c r="G469" s="401"/>
      <c r="H469" s="401"/>
      <c r="I469" s="401"/>
      <c r="J469" s="300" t="b">
        <v>1</v>
      </c>
      <c r="K469" s="301" t="b">
        <v>0</v>
      </c>
      <c r="L469" s="491"/>
      <c r="M469" s="301" t="b">
        <v>0</v>
      </c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  <c r="AI469" s="209"/>
      <c r="AJ469" s="209"/>
      <c r="AK469" s="209"/>
      <c r="AL469" s="209"/>
      <c r="AM469" s="209"/>
      <c r="AN469" s="209"/>
      <c r="AO469" s="209"/>
      <c r="AP469" s="209"/>
    </row>
    <row r="470">
      <c r="A470" s="291"/>
      <c r="B470" s="303" t="s">
        <v>2502</v>
      </c>
      <c r="C470" s="304" t="s">
        <v>522</v>
      </c>
      <c r="D470" s="304" t="s">
        <v>2503</v>
      </c>
      <c r="E470" s="307">
        <v>8.10115970446E11</v>
      </c>
      <c r="F470" s="401"/>
      <c r="G470" s="401"/>
      <c r="H470" s="401"/>
      <c r="I470" s="401"/>
      <c r="J470" s="300" t="b">
        <v>1</v>
      </c>
      <c r="K470" s="301" t="b">
        <v>0</v>
      </c>
      <c r="L470" s="491"/>
      <c r="M470" s="301" t="b">
        <v>0</v>
      </c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  <c r="AK470" s="209"/>
      <c r="AL470" s="209"/>
      <c r="AM470" s="209"/>
      <c r="AN470" s="209"/>
      <c r="AO470" s="209"/>
      <c r="AP470" s="209"/>
    </row>
    <row r="471">
      <c r="A471" s="291"/>
      <c r="B471" s="303" t="s">
        <v>2504</v>
      </c>
      <c r="C471" s="304" t="s">
        <v>529</v>
      </c>
      <c r="D471" s="304" t="s">
        <v>2505</v>
      </c>
      <c r="E471" s="307">
        <v>8.10115978251E11</v>
      </c>
      <c r="F471" s="209"/>
      <c r="G471" s="209"/>
      <c r="H471" s="209"/>
      <c r="I471" s="209"/>
      <c r="J471" s="300" t="b">
        <v>1</v>
      </c>
      <c r="K471" s="301" t="b">
        <v>0</v>
      </c>
      <c r="L471" s="419"/>
      <c r="M471" s="301" t="b">
        <v>0</v>
      </c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  <c r="AI471" s="209"/>
      <c r="AJ471" s="209"/>
      <c r="AK471" s="209"/>
      <c r="AL471" s="209"/>
      <c r="AM471" s="209"/>
      <c r="AN471" s="209"/>
      <c r="AO471" s="209"/>
      <c r="AP471" s="209"/>
    </row>
    <row r="472">
      <c r="A472" s="291"/>
      <c r="B472" s="303" t="s">
        <v>2506</v>
      </c>
      <c r="C472" s="304" t="s">
        <v>547</v>
      </c>
      <c r="D472" s="304" t="s">
        <v>2507</v>
      </c>
      <c r="E472" s="307">
        <v>8.10115970477E11</v>
      </c>
      <c r="F472" s="209"/>
      <c r="G472" s="209"/>
      <c r="H472" s="209"/>
      <c r="I472" s="209"/>
      <c r="J472" s="300" t="b">
        <v>1</v>
      </c>
      <c r="K472" s="301" t="b">
        <v>0</v>
      </c>
      <c r="L472" s="419"/>
      <c r="M472" s="301" t="b">
        <v>0</v>
      </c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  <c r="AI472" s="209"/>
      <c r="AJ472" s="209"/>
      <c r="AK472" s="209"/>
      <c r="AL472" s="209"/>
      <c r="AM472" s="209"/>
      <c r="AN472" s="209"/>
      <c r="AO472" s="209"/>
      <c r="AP472" s="209"/>
    </row>
    <row r="473">
      <c r="A473" s="291"/>
      <c r="B473" s="303" t="s">
        <v>2508</v>
      </c>
      <c r="C473" s="304" t="s">
        <v>1060</v>
      </c>
      <c r="D473" s="304" t="s">
        <v>2509</v>
      </c>
      <c r="E473" s="307">
        <v>8.10115970521E11</v>
      </c>
      <c r="F473" s="401"/>
      <c r="G473" s="401"/>
      <c r="H473" s="401"/>
      <c r="I473" s="209"/>
      <c r="J473" s="300" t="b">
        <v>1</v>
      </c>
      <c r="K473" s="301" t="b">
        <v>0</v>
      </c>
      <c r="L473" s="491"/>
      <c r="M473" s="301" t="b">
        <v>0</v>
      </c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  <c r="AI473" s="209"/>
      <c r="AJ473" s="209"/>
      <c r="AK473" s="209"/>
      <c r="AL473" s="209"/>
      <c r="AM473" s="209"/>
      <c r="AN473" s="209"/>
      <c r="AO473" s="209"/>
      <c r="AP473" s="209"/>
    </row>
    <row r="474">
      <c r="A474" s="291"/>
      <c r="B474" s="303" t="s">
        <v>2510</v>
      </c>
      <c r="C474" s="304" t="s">
        <v>2430</v>
      </c>
      <c r="D474" s="304" t="s">
        <v>2511</v>
      </c>
      <c r="E474" s="307">
        <v>8.10115975908E11</v>
      </c>
      <c r="F474" s="209"/>
      <c r="G474" s="209"/>
      <c r="H474" s="209"/>
      <c r="I474" s="209"/>
      <c r="J474" s="300" t="b">
        <v>1</v>
      </c>
      <c r="K474" s="301" t="b">
        <v>0</v>
      </c>
      <c r="L474" s="419"/>
      <c r="M474" s="301" t="b">
        <v>0</v>
      </c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  <c r="AI474" s="209"/>
      <c r="AJ474" s="209"/>
      <c r="AK474" s="209"/>
      <c r="AL474" s="209"/>
      <c r="AM474" s="209"/>
      <c r="AN474" s="209"/>
      <c r="AO474" s="209"/>
      <c r="AP474" s="209"/>
    </row>
    <row r="475">
      <c r="A475" s="291"/>
      <c r="B475" s="310" t="s">
        <v>2512</v>
      </c>
      <c r="C475" s="311" t="s">
        <v>2155</v>
      </c>
      <c r="D475" s="311" t="s">
        <v>2513</v>
      </c>
      <c r="E475" s="492">
        <v>8.10115972426E11</v>
      </c>
      <c r="F475" s="313"/>
      <c r="G475" s="313"/>
      <c r="H475" s="313"/>
      <c r="I475" s="313"/>
      <c r="J475" s="300" t="b">
        <v>1</v>
      </c>
      <c r="K475" s="314" t="b">
        <v>0</v>
      </c>
      <c r="L475" s="365"/>
      <c r="M475" s="314" t="b">
        <v>0</v>
      </c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  <c r="AK475" s="209"/>
      <c r="AL475" s="209"/>
      <c r="AM475" s="209"/>
      <c r="AN475" s="209"/>
      <c r="AO475" s="209"/>
      <c r="AP475" s="209"/>
    </row>
    <row r="476">
      <c r="A476" s="209"/>
      <c r="B476" s="209"/>
      <c r="C476" s="209"/>
      <c r="D476" s="209"/>
      <c r="E476" s="209"/>
      <c r="F476" s="209"/>
      <c r="G476" s="209"/>
      <c r="H476" s="209"/>
      <c r="I476" s="209"/>
      <c r="J476" s="313"/>
      <c r="K476" s="209"/>
      <c r="L476" s="209"/>
      <c r="M476" s="313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  <c r="AI476" s="209"/>
      <c r="AJ476" s="209"/>
      <c r="AK476" s="209"/>
      <c r="AL476" s="209"/>
      <c r="AM476" s="209"/>
      <c r="AN476" s="209"/>
      <c r="AO476" s="209"/>
      <c r="AP476" s="209"/>
    </row>
    <row r="477">
      <c r="A477" s="316" t="s">
        <v>2390</v>
      </c>
      <c r="B477" s="319" t="s">
        <v>2515</v>
      </c>
      <c r="C477" s="320"/>
      <c r="D477" s="403" t="s">
        <v>4158</v>
      </c>
      <c r="E477" s="336" t="s">
        <v>2415</v>
      </c>
      <c r="F477" s="320"/>
      <c r="G477" s="320"/>
      <c r="H477" s="285" t="s">
        <v>572</v>
      </c>
      <c r="I477" s="285" t="s">
        <v>4374</v>
      </c>
      <c r="J477" s="438" t="str">
        <f>IF(COUNTIF(J478:J484, TRUE) = COUNTA(J478:J484), "Complete!", IF(COUNTIF(J478:J484, TRUE) &gt; 0, "Partial", "Not Started"))</f>
        <v>Complete!</v>
      </c>
      <c r="K477" s="334"/>
      <c r="L477" s="464" t="s">
        <v>889</v>
      </c>
      <c r="M477" s="465" t="str">
        <f>IF(COUNTIF(M478:M484, TRUE) = COUNTA(M478:M484), "Complete!", IF(COUNTIF(M478:M484, TRUE) &gt; 0, "Partial", "Not Started"))</f>
        <v>Not Started</v>
      </c>
      <c r="N477" s="280">
        <v>7.0</v>
      </c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  <c r="AI477" s="209"/>
      <c r="AJ477" s="209"/>
      <c r="AK477" s="209"/>
      <c r="AL477" s="209"/>
      <c r="AM477" s="209"/>
      <c r="AN477" s="209"/>
      <c r="AO477" s="209"/>
      <c r="AP477" s="209"/>
    </row>
    <row r="478">
      <c r="A478" s="291"/>
      <c r="B478" s="303" t="s">
        <v>2518</v>
      </c>
      <c r="C478" s="304" t="s">
        <v>431</v>
      </c>
      <c r="D478" s="304" t="s">
        <v>2519</v>
      </c>
      <c r="E478" s="307">
        <v>8.10115971528E11</v>
      </c>
      <c r="F478" s="209"/>
      <c r="G478" s="209"/>
      <c r="H478" s="209"/>
      <c r="I478" s="209"/>
      <c r="J478" s="300" t="b">
        <v>1</v>
      </c>
      <c r="K478" s="301" t="b">
        <v>0</v>
      </c>
      <c r="L478" s="419"/>
      <c r="M478" s="301" t="b">
        <v>0</v>
      </c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  <c r="AI478" s="209"/>
      <c r="AJ478" s="209"/>
      <c r="AK478" s="209"/>
      <c r="AL478" s="209"/>
      <c r="AM478" s="209"/>
      <c r="AN478" s="209"/>
      <c r="AO478" s="209"/>
      <c r="AP478" s="209"/>
    </row>
    <row r="479">
      <c r="A479" s="291"/>
      <c r="B479" s="303" t="s">
        <v>2521</v>
      </c>
      <c r="C479" s="304" t="s">
        <v>421</v>
      </c>
      <c r="D479" s="304" t="s">
        <v>2522</v>
      </c>
      <c r="E479" s="307">
        <v>8.10115971535E11</v>
      </c>
      <c r="F479" s="209"/>
      <c r="G479" s="209"/>
      <c r="H479" s="209"/>
      <c r="I479" s="209"/>
      <c r="J479" s="300" t="b">
        <v>1</v>
      </c>
      <c r="K479" s="301" t="b">
        <v>0</v>
      </c>
      <c r="L479" s="419"/>
      <c r="M479" s="301" t="b">
        <v>0</v>
      </c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  <c r="AI479" s="209"/>
      <c r="AJ479" s="209"/>
      <c r="AK479" s="209"/>
      <c r="AL479" s="209"/>
      <c r="AM479" s="209"/>
      <c r="AN479" s="209"/>
      <c r="AO479" s="209"/>
      <c r="AP479" s="209"/>
    </row>
    <row r="480">
      <c r="A480" s="291"/>
      <c r="B480" s="303" t="s">
        <v>2523</v>
      </c>
      <c r="C480" s="304" t="s">
        <v>449</v>
      </c>
      <c r="D480" s="304" t="s">
        <v>2524</v>
      </c>
      <c r="E480" s="307">
        <v>8.10115970552E11</v>
      </c>
      <c r="F480" s="209"/>
      <c r="G480" s="209"/>
      <c r="H480" s="209"/>
      <c r="I480" s="209"/>
      <c r="J480" s="300" t="b">
        <v>1</v>
      </c>
      <c r="K480" s="301" t="b">
        <v>0</v>
      </c>
      <c r="L480" s="419"/>
      <c r="M480" s="301" t="b">
        <v>0</v>
      </c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  <c r="AK480" s="209"/>
      <c r="AL480" s="209"/>
      <c r="AM480" s="209"/>
      <c r="AN480" s="209"/>
      <c r="AO480" s="209"/>
      <c r="AP480" s="209"/>
    </row>
    <row r="481">
      <c r="A481" s="291"/>
      <c r="B481" s="303" t="s">
        <v>2525</v>
      </c>
      <c r="C481" s="304" t="s">
        <v>440</v>
      </c>
      <c r="D481" s="304" t="s">
        <v>2526</v>
      </c>
      <c r="E481" s="307">
        <v>8.10115971566E11</v>
      </c>
      <c r="F481" s="401"/>
      <c r="G481" s="401"/>
      <c r="H481" s="401"/>
      <c r="I481" s="401"/>
      <c r="J481" s="300" t="b">
        <v>1</v>
      </c>
      <c r="K481" s="301" t="b">
        <v>0</v>
      </c>
      <c r="L481" s="491"/>
      <c r="M481" s="301" t="b">
        <v>0</v>
      </c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  <c r="AI481" s="209"/>
      <c r="AJ481" s="209"/>
      <c r="AK481" s="209"/>
      <c r="AL481" s="209"/>
      <c r="AM481" s="209"/>
      <c r="AN481" s="209"/>
      <c r="AO481" s="209"/>
      <c r="AP481" s="209"/>
    </row>
    <row r="482">
      <c r="A482" s="291"/>
      <c r="B482" s="303" t="s">
        <v>2527</v>
      </c>
      <c r="C482" s="304" t="s">
        <v>458</v>
      </c>
      <c r="D482" s="304" t="s">
        <v>2528</v>
      </c>
      <c r="E482" s="307">
        <v>8.10115970583E11</v>
      </c>
      <c r="F482" s="401"/>
      <c r="G482" s="401"/>
      <c r="H482" s="401"/>
      <c r="I482" s="401"/>
      <c r="J482" s="300" t="b">
        <v>1</v>
      </c>
      <c r="K482" s="301" t="b">
        <v>0</v>
      </c>
      <c r="L482" s="491"/>
      <c r="M482" s="301" t="b">
        <v>0</v>
      </c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  <c r="AI482" s="209"/>
      <c r="AJ482" s="209"/>
      <c r="AK482" s="209"/>
      <c r="AL482" s="209"/>
      <c r="AM482" s="209"/>
      <c r="AN482" s="209"/>
      <c r="AO482" s="209"/>
      <c r="AP482" s="209"/>
    </row>
    <row r="483">
      <c r="A483" s="291"/>
      <c r="B483" s="303" t="s">
        <v>2529</v>
      </c>
      <c r="C483" s="304" t="s">
        <v>505</v>
      </c>
      <c r="D483" s="304" t="s">
        <v>2530</v>
      </c>
      <c r="E483" s="307">
        <v>8.1011597059E11</v>
      </c>
      <c r="F483" s="209"/>
      <c r="G483" s="209"/>
      <c r="H483" s="209"/>
      <c r="I483" s="209"/>
      <c r="J483" s="300" t="b">
        <v>1</v>
      </c>
      <c r="K483" s="301" t="b">
        <v>0</v>
      </c>
      <c r="L483" s="419"/>
      <c r="M483" s="301" t="b">
        <v>0</v>
      </c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  <c r="AI483" s="209"/>
      <c r="AJ483" s="209"/>
      <c r="AK483" s="209"/>
      <c r="AL483" s="209"/>
      <c r="AM483" s="209"/>
      <c r="AN483" s="209"/>
      <c r="AO483" s="209"/>
      <c r="AP483" s="209"/>
    </row>
    <row r="484">
      <c r="A484" s="309"/>
      <c r="B484" s="310" t="s">
        <v>2531</v>
      </c>
      <c r="C484" s="311" t="s">
        <v>522</v>
      </c>
      <c r="D484" s="311" t="s">
        <v>2532</v>
      </c>
      <c r="E484" s="318">
        <v>8.10115971597E11</v>
      </c>
      <c r="F484" s="313"/>
      <c r="G484" s="313"/>
      <c r="H484" s="313"/>
      <c r="I484" s="313"/>
      <c r="J484" s="350" t="b">
        <v>1</v>
      </c>
      <c r="K484" s="314" t="b">
        <v>0</v>
      </c>
      <c r="L484" s="365"/>
      <c r="M484" s="314" t="b">
        <v>0</v>
      </c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  <c r="AI484" s="209"/>
      <c r="AJ484" s="209"/>
      <c r="AK484" s="209"/>
      <c r="AL484" s="209"/>
      <c r="AM484" s="209"/>
      <c r="AN484" s="209"/>
      <c r="AO484" s="209"/>
      <c r="AP484" s="209"/>
    </row>
    <row r="485">
      <c r="A485" s="209"/>
      <c r="B485" s="209"/>
      <c r="C485" s="209"/>
      <c r="D485" s="209"/>
      <c r="E485" s="209"/>
      <c r="F485" s="209"/>
      <c r="G485" s="209"/>
      <c r="H485" s="209"/>
      <c r="I485" s="209"/>
      <c r="J485" s="313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  <c r="AK485" s="209"/>
      <c r="AL485" s="209"/>
      <c r="AM485" s="209"/>
      <c r="AN485" s="209"/>
      <c r="AO485" s="209"/>
      <c r="AP485" s="209"/>
    </row>
    <row r="486">
      <c r="A486" s="316" t="s">
        <v>2412</v>
      </c>
      <c r="B486" s="319" t="s">
        <v>3794</v>
      </c>
      <c r="C486" s="320"/>
      <c r="D486" s="283" t="s">
        <v>3795</v>
      </c>
      <c r="E486" s="336" t="s">
        <v>3796</v>
      </c>
      <c r="F486" s="320"/>
      <c r="G486" s="320"/>
      <c r="H486" s="285" t="s">
        <v>370</v>
      </c>
      <c r="I486" s="285" t="s">
        <v>4375</v>
      </c>
      <c r="J486" s="438" t="str">
        <f>IF(COUNTIF(J487:J496, TRUE) = COUNTA(J487:J496), "Complete!", IF(COUNTIF(J487:J496, TRUE) &gt; 0, "Partial", "Not Started"))</f>
        <v>Complete!</v>
      </c>
      <c r="K486" s="334"/>
      <c r="L486" s="464" t="s">
        <v>889</v>
      </c>
      <c r="M486" s="465" t="str">
        <f>IF(COUNTIF(M487:M496, TRUE) = COUNTA(M487:M496), "Complete!", IF(COUNTIF(M487:M496, TRUE) &gt; 0, "Partial", "Not Started"))</f>
        <v>Not Started</v>
      </c>
      <c r="N486" s="280">
        <v>20.0</v>
      </c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  <c r="AI486" s="209"/>
      <c r="AJ486" s="209"/>
      <c r="AK486" s="209"/>
      <c r="AL486" s="209"/>
      <c r="AM486" s="209"/>
      <c r="AN486" s="209"/>
      <c r="AO486" s="209"/>
      <c r="AP486" s="209"/>
    </row>
    <row r="487">
      <c r="A487" s="291"/>
      <c r="B487" s="292" t="s">
        <v>3798</v>
      </c>
      <c r="C487" s="293" t="s">
        <v>3799</v>
      </c>
      <c r="D487" s="304" t="s">
        <v>3800</v>
      </c>
      <c r="E487" s="302" t="s">
        <v>3801</v>
      </c>
      <c r="F487" s="209"/>
      <c r="G487" s="209"/>
      <c r="H487" s="209"/>
      <c r="I487" s="209"/>
      <c r="J487" s="300" t="b">
        <v>1</v>
      </c>
      <c r="K487" s="301" t="b">
        <v>0</v>
      </c>
      <c r="L487" s="419"/>
      <c r="M487" s="301" t="b">
        <v>0</v>
      </c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  <c r="AI487" s="209"/>
      <c r="AJ487" s="209"/>
      <c r="AK487" s="209"/>
      <c r="AL487" s="209"/>
      <c r="AM487" s="209"/>
      <c r="AN487" s="209"/>
      <c r="AO487" s="209"/>
      <c r="AP487" s="209"/>
    </row>
    <row r="488">
      <c r="A488" s="291"/>
      <c r="B488" s="303" t="s">
        <v>3802</v>
      </c>
      <c r="C488" s="293" t="s">
        <v>3799</v>
      </c>
      <c r="D488" s="304" t="s">
        <v>3803</v>
      </c>
      <c r="E488" s="308" t="s">
        <v>3804</v>
      </c>
      <c r="F488" s="304" t="s">
        <v>1432</v>
      </c>
      <c r="G488" s="209"/>
      <c r="H488" s="209"/>
      <c r="I488" s="209"/>
      <c r="J488" s="300" t="b">
        <v>1</v>
      </c>
      <c r="K488" s="301" t="b">
        <v>1</v>
      </c>
      <c r="L488" s="419"/>
      <c r="M488" s="301" t="b">
        <v>0</v>
      </c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  <c r="AI488" s="209"/>
      <c r="AJ488" s="209"/>
      <c r="AK488" s="209"/>
      <c r="AL488" s="209"/>
      <c r="AM488" s="209"/>
      <c r="AN488" s="209"/>
      <c r="AO488" s="209"/>
      <c r="AP488" s="209"/>
    </row>
    <row r="489">
      <c r="A489" s="291"/>
      <c r="B489" s="303" t="s">
        <v>3805</v>
      </c>
      <c r="C489" s="304" t="s">
        <v>400</v>
      </c>
      <c r="D489" s="304" t="s">
        <v>3806</v>
      </c>
      <c r="E489" s="308" t="s">
        <v>3807</v>
      </c>
      <c r="F489" s="209"/>
      <c r="G489" s="209"/>
      <c r="H489" s="209"/>
      <c r="I489" s="209"/>
      <c r="J489" s="300" t="b">
        <v>1</v>
      </c>
      <c r="K489" s="301" t="b">
        <v>0</v>
      </c>
      <c r="L489" s="209"/>
      <c r="M489" s="301" t="b">
        <v>0</v>
      </c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  <c r="AI489" s="209"/>
      <c r="AJ489" s="209"/>
      <c r="AK489" s="209"/>
      <c r="AL489" s="209"/>
      <c r="AM489" s="209"/>
      <c r="AN489" s="209"/>
      <c r="AO489" s="209"/>
      <c r="AP489" s="209"/>
    </row>
    <row r="490">
      <c r="A490" s="291"/>
      <c r="B490" s="303" t="s">
        <v>3808</v>
      </c>
      <c r="C490" s="304" t="s">
        <v>400</v>
      </c>
      <c r="D490" s="304" t="s">
        <v>3809</v>
      </c>
      <c r="E490" s="308" t="s">
        <v>3810</v>
      </c>
      <c r="F490" s="304" t="s">
        <v>1432</v>
      </c>
      <c r="G490" s="209"/>
      <c r="H490" s="209"/>
      <c r="I490" s="209"/>
      <c r="J490" s="300" t="b">
        <v>1</v>
      </c>
      <c r="K490" s="301" t="b">
        <v>1</v>
      </c>
      <c r="L490" s="209"/>
      <c r="M490" s="301" t="b">
        <v>0</v>
      </c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  <c r="AK490" s="209"/>
      <c r="AL490" s="209"/>
      <c r="AM490" s="209"/>
      <c r="AN490" s="209"/>
      <c r="AO490" s="209"/>
      <c r="AP490" s="209"/>
    </row>
    <row r="491">
      <c r="A491" s="291"/>
      <c r="B491" s="303" t="s">
        <v>3811</v>
      </c>
      <c r="C491" s="304" t="s">
        <v>705</v>
      </c>
      <c r="D491" s="304" t="s">
        <v>3812</v>
      </c>
      <c r="E491" s="308" t="s">
        <v>3813</v>
      </c>
      <c r="F491" s="304" t="s">
        <v>1432</v>
      </c>
      <c r="G491" s="209"/>
      <c r="H491" s="209"/>
      <c r="I491" s="209"/>
      <c r="J491" s="300" t="b">
        <v>1</v>
      </c>
      <c r="K491" s="301" t="b">
        <v>1</v>
      </c>
      <c r="L491" s="209"/>
      <c r="M491" s="301" t="b">
        <v>0</v>
      </c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  <c r="AI491" s="209"/>
      <c r="AJ491" s="209"/>
      <c r="AK491" s="209"/>
      <c r="AL491" s="209"/>
      <c r="AM491" s="209"/>
      <c r="AN491" s="209"/>
      <c r="AO491" s="209"/>
      <c r="AP491" s="209"/>
    </row>
    <row r="492">
      <c r="A492" s="291"/>
      <c r="B492" s="303" t="s">
        <v>3814</v>
      </c>
      <c r="C492" s="304" t="s">
        <v>705</v>
      </c>
      <c r="D492" s="304" t="s">
        <v>3815</v>
      </c>
      <c r="E492" s="308" t="s">
        <v>3816</v>
      </c>
      <c r="F492" s="304" t="s">
        <v>1432</v>
      </c>
      <c r="G492" s="209"/>
      <c r="H492" s="209"/>
      <c r="I492" s="209"/>
      <c r="J492" s="300" t="b">
        <v>1</v>
      </c>
      <c r="K492" s="301" t="b">
        <v>1</v>
      </c>
      <c r="L492" s="209"/>
      <c r="M492" s="301" t="b">
        <v>0</v>
      </c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  <c r="AI492" s="209"/>
      <c r="AJ492" s="209"/>
      <c r="AK492" s="209"/>
      <c r="AL492" s="209"/>
      <c r="AM492" s="209"/>
      <c r="AN492" s="209"/>
      <c r="AO492" s="209"/>
      <c r="AP492" s="209"/>
    </row>
    <row r="493">
      <c r="A493" s="291"/>
      <c r="B493" s="303" t="s">
        <v>3817</v>
      </c>
      <c r="C493" s="304" t="s">
        <v>431</v>
      </c>
      <c r="D493" s="304" t="s">
        <v>3818</v>
      </c>
      <c r="E493" s="308" t="s">
        <v>3816</v>
      </c>
      <c r="F493" s="304" t="s">
        <v>1432</v>
      </c>
      <c r="G493" s="209"/>
      <c r="H493" s="209"/>
      <c r="I493" s="209"/>
      <c r="J493" s="300" t="b">
        <v>1</v>
      </c>
      <c r="K493" s="301" t="b">
        <v>1</v>
      </c>
      <c r="L493" s="209"/>
      <c r="M493" s="301" t="b">
        <v>0</v>
      </c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  <c r="AI493" s="209"/>
      <c r="AJ493" s="209"/>
      <c r="AK493" s="209"/>
      <c r="AL493" s="209"/>
      <c r="AM493" s="209"/>
      <c r="AN493" s="209"/>
      <c r="AO493" s="209"/>
      <c r="AP493" s="209"/>
    </row>
    <row r="494">
      <c r="A494" s="291"/>
      <c r="B494" s="303" t="s">
        <v>3819</v>
      </c>
      <c r="C494" s="304" t="s">
        <v>431</v>
      </c>
      <c r="D494" s="304" t="s">
        <v>3820</v>
      </c>
      <c r="E494" s="308" t="s">
        <v>3821</v>
      </c>
      <c r="F494" s="304" t="s">
        <v>1432</v>
      </c>
      <c r="G494" s="209"/>
      <c r="H494" s="209"/>
      <c r="I494" s="209"/>
      <c r="J494" s="300" t="b">
        <v>1</v>
      </c>
      <c r="K494" s="301" t="b">
        <v>1</v>
      </c>
      <c r="L494" s="209"/>
      <c r="M494" s="301" t="b">
        <v>0</v>
      </c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  <c r="AI494" s="209"/>
      <c r="AJ494" s="209"/>
      <c r="AK494" s="209"/>
      <c r="AL494" s="209"/>
      <c r="AM494" s="209"/>
      <c r="AN494" s="209"/>
      <c r="AO494" s="209"/>
      <c r="AP494" s="209"/>
    </row>
    <row r="495">
      <c r="A495" s="291"/>
      <c r="B495" s="303" t="s">
        <v>3822</v>
      </c>
      <c r="C495" s="304" t="s">
        <v>1186</v>
      </c>
      <c r="D495" s="304" t="s">
        <v>3823</v>
      </c>
      <c r="E495" s="308" t="s">
        <v>3824</v>
      </c>
      <c r="F495" s="304" t="s">
        <v>1432</v>
      </c>
      <c r="G495" s="209"/>
      <c r="H495" s="209"/>
      <c r="I495" s="209"/>
      <c r="J495" s="300" t="b">
        <v>1</v>
      </c>
      <c r="K495" s="301" t="b">
        <v>1</v>
      </c>
      <c r="L495" s="209"/>
      <c r="M495" s="301" t="b">
        <v>0</v>
      </c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  <c r="AI495" s="209"/>
      <c r="AJ495" s="209"/>
      <c r="AK495" s="209"/>
      <c r="AL495" s="209"/>
      <c r="AM495" s="209"/>
      <c r="AN495" s="209"/>
      <c r="AO495" s="209"/>
      <c r="AP495" s="209"/>
    </row>
    <row r="496">
      <c r="A496" s="291"/>
      <c r="B496" s="303" t="s">
        <v>3825</v>
      </c>
      <c r="C496" s="304" t="s">
        <v>1186</v>
      </c>
      <c r="D496" s="304" t="s">
        <v>3826</v>
      </c>
      <c r="E496" s="308" t="s">
        <v>3827</v>
      </c>
      <c r="F496" s="304" t="s">
        <v>1432</v>
      </c>
      <c r="G496" s="209"/>
      <c r="H496" s="209"/>
      <c r="I496" s="209"/>
      <c r="J496" s="300" t="b">
        <v>1</v>
      </c>
      <c r="K496" s="301" t="b">
        <v>1</v>
      </c>
      <c r="L496" s="365"/>
      <c r="M496" s="314" t="b">
        <v>0</v>
      </c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  <c r="AI496" s="209"/>
      <c r="AJ496" s="209"/>
      <c r="AK496" s="209"/>
      <c r="AL496" s="209"/>
      <c r="AM496" s="209"/>
      <c r="AN496" s="209"/>
      <c r="AO496" s="209"/>
      <c r="AP496" s="209"/>
    </row>
    <row r="497">
      <c r="A497" s="291"/>
      <c r="B497" s="303" t="s">
        <v>3828</v>
      </c>
      <c r="C497" s="304" t="s">
        <v>390</v>
      </c>
      <c r="D497" s="304" t="s">
        <v>3829</v>
      </c>
      <c r="E497" s="308" t="s">
        <v>3830</v>
      </c>
      <c r="F497" s="209"/>
      <c r="G497" s="209"/>
      <c r="H497" s="209"/>
      <c r="I497" s="209"/>
      <c r="J497" s="300" t="b">
        <v>1</v>
      </c>
      <c r="K497" s="301" t="b">
        <v>0</v>
      </c>
      <c r="L497" s="419"/>
      <c r="M497" s="301" t="b">
        <v>0</v>
      </c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  <c r="AI497" s="209"/>
      <c r="AJ497" s="209"/>
      <c r="AK497" s="209"/>
      <c r="AL497" s="209"/>
      <c r="AM497" s="209"/>
      <c r="AN497" s="209"/>
      <c r="AO497" s="209"/>
      <c r="AP497" s="209"/>
    </row>
    <row r="498">
      <c r="A498" s="291"/>
      <c r="B498" s="303" t="s">
        <v>3831</v>
      </c>
      <c r="C498" s="304" t="s">
        <v>390</v>
      </c>
      <c r="D498" s="304" t="s">
        <v>3832</v>
      </c>
      <c r="E498" s="308" t="s">
        <v>3833</v>
      </c>
      <c r="F498" s="209"/>
      <c r="G498" s="209"/>
      <c r="H498" s="209"/>
      <c r="I498" s="209"/>
      <c r="J498" s="300" t="b">
        <v>1</v>
      </c>
      <c r="K498" s="301" t="b">
        <v>0</v>
      </c>
      <c r="L498" s="419"/>
      <c r="M498" s="301" t="b">
        <v>0</v>
      </c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  <c r="AI498" s="209"/>
      <c r="AJ498" s="209"/>
      <c r="AK498" s="209"/>
      <c r="AL498" s="209"/>
      <c r="AM498" s="209"/>
      <c r="AN498" s="209"/>
      <c r="AO498" s="209"/>
      <c r="AP498" s="209"/>
    </row>
    <row r="499">
      <c r="A499" s="291"/>
      <c r="B499" s="303" t="s">
        <v>3834</v>
      </c>
      <c r="C499" s="304" t="s">
        <v>400</v>
      </c>
      <c r="D499" s="304" t="s">
        <v>3835</v>
      </c>
      <c r="E499" s="308" t="s">
        <v>3836</v>
      </c>
      <c r="F499" s="209"/>
      <c r="G499" s="209"/>
      <c r="H499" s="209"/>
      <c r="I499" s="209"/>
      <c r="J499" s="300" t="b">
        <v>1</v>
      </c>
      <c r="K499" s="301" t="b">
        <v>0</v>
      </c>
      <c r="L499" s="209"/>
      <c r="M499" s="301" t="b">
        <v>0</v>
      </c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  <c r="AI499" s="209"/>
      <c r="AJ499" s="209"/>
      <c r="AK499" s="209"/>
      <c r="AL499" s="209"/>
      <c r="AM499" s="209"/>
      <c r="AN499" s="209"/>
      <c r="AO499" s="209"/>
      <c r="AP499" s="209"/>
    </row>
    <row r="500">
      <c r="A500" s="291"/>
      <c r="B500" s="303" t="s">
        <v>3837</v>
      </c>
      <c r="C500" s="304" t="s">
        <v>400</v>
      </c>
      <c r="D500" s="304" t="s">
        <v>3838</v>
      </c>
      <c r="E500" s="308" t="s">
        <v>3839</v>
      </c>
      <c r="F500" s="209"/>
      <c r="G500" s="209"/>
      <c r="H500" s="209"/>
      <c r="I500" s="209"/>
      <c r="J500" s="300" t="b">
        <v>1</v>
      </c>
      <c r="K500" s="301" t="b">
        <v>0</v>
      </c>
      <c r="L500" s="209"/>
      <c r="M500" s="301" t="b">
        <v>0</v>
      </c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  <c r="AI500" s="209"/>
      <c r="AJ500" s="209"/>
      <c r="AK500" s="209"/>
      <c r="AL500" s="209"/>
      <c r="AM500" s="209"/>
      <c r="AN500" s="209"/>
      <c r="AO500" s="209"/>
      <c r="AP500" s="209"/>
    </row>
    <row r="501">
      <c r="A501" s="291"/>
      <c r="B501" s="303" t="s">
        <v>3840</v>
      </c>
      <c r="C501" s="304" t="s">
        <v>705</v>
      </c>
      <c r="D501" s="304" t="s">
        <v>3841</v>
      </c>
      <c r="E501" s="308" t="s">
        <v>3842</v>
      </c>
      <c r="F501" s="209"/>
      <c r="G501" s="209"/>
      <c r="H501" s="209"/>
      <c r="I501" s="209"/>
      <c r="J501" s="300" t="b">
        <v>1</v>
      </c>
      <c r="K501" s="301" t="b">
        <v>0</v>
      </c>
      <c r="L501" s="209"/>
      <c r="M501" s="301" t="b">
        <v>0</v>
      </c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  <c r="AI501" s="209"/>
      <c r="AJ501" s="209"/>
      <c r="AK501" s="209"/>
      <c r="AL501" s="209"/>
      <c r="AM501" s="209"/>
      <c r="AN501" s="209"/>
      <c r="AO501" s="209"/>
      <c r="AP501" s="209"/>
    </row>
    <row r="502">
      <c r="A502" s="291"/>
      <c r="B502" s="303" t="s">
        <v>3843</v>
      </c>
      <c r="C502" s="304" t="s">
        <v>705</v>
      </c>
      <c r="D502" s="304" t="s">
        <v>3844</v>
      </c>
      <c r="E502" s="308" t="s">
        <v>3845</v>
      </c>
      <c r="F502" s="209"/>
      <c r="G502" s="209"/>
      <c r="H502" s="209"/>
      <c r="I502" s="209"/>
      <c r="J502" s="300" t="b">
        <v>1</v>
      </c>
      <c r="K502" s="301" t="b">
        <v>0</v>
      </c>
      <c r="L502" s="209"/>
      <c r="M502" s="301" t="b">
        <v>0</v>
      </c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  <c r="AH502" s="209"/>
      <c r="AI502" s="209"/>
      <c r="AJ502" s="209"/>
      <c r="AK502" s="209"/>
      <c r="AL502" s="209"/>
      <c r="AM502" s="209"/>
      <c r="AN502" s="209"/>
      <c r="AO502" s="209"/>
      <c r="AP502" s="209"/>
    </row>
    <row r="503">
      <c r="A503" s="291"/>
      <c r="B503" s="303" t="s">
        <v>3846</v>
      </c>
      <c r="C503" s="304" t="s">
        <v>431</v>
      </c>
      <c r="D503" s="304" t="s">
        <v>3847</v>
      </c>
      <c r="E503" s="308" t="s">
        <v>3848</v>
      </c>
      <c r="F503" s="304" t="s">
        <v>1432</v>
      </c>
      <c r="G503" s="209"/>
      <c r="H503" s="209"/>
      <c r="I503" s="209"/>
      <c r="J503" s="300" t="b">
        <v>1</v>
      </c>
      <c r="K503" s="301" t="b">
        <v>1</v>
      </c>
      <c r="L503" s="209"/>
      <c r="M503" s="301" t="b">
        <v>0</v>
      </c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  <c r="AH503" s="209"/>
      <c r="AI503" s="209"/>
      <c r="AJ503" s="209"/>
      <c r="AK503" s="209"/>
      <c r="AL503" s="209"/>
      <c r="AM503" s="209"/>
      <c r="AN503" s="209"/>
      <c r="AO503" s="209"/>
      <c r="AP503" s="209"/>
    </row>
    <row r="504">
      <c r="A504" s="291"/>
      <c r="B504" s="303" t="s">
        <v>3849</v>
      </c>
      <c r="C504" s="304" t="s">
        <v>431</v>
      </c>
      <c r="D504" s="304" t="s">
        <v>3850</v>
      </c>
      <c r="E504" s="308" t="s">
        <v>3851</v>
      </c>
      <c r="F504" s="209"/>
      <c r="G504" s="209"/>
      <c r="H504" s="209"/>
      <c r="I504" s="209"/>
      <c r="J504" s="300" t="b">
        <v>1</v>
      </c>
      <c r="K504" s="301" t="b">
        <v>0</v>
      </c>
      <c r="L504" s="209"/>
      <c r="M504" s="301" t="b">
        <v>0</v>
      </c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  <c r="AH504" s="209"/>
      <c r="AI504" s="209"/>
      <c r="AJ504" s="209"/>
      <c r="AK504" s="209"/>
      <c r="AL504" s="209"/>
      <c r="AM504" s="209"/>
      <c r="AN504" s="209"/>
      <c r="AO504" s="209"/>
      <c r="AP504" s="209"/>
    </row>
    <row r="505">
      <c r="A505" s="291"/>
      <c r="B505" s="303" t="s">
        <v>3852</v>
      </c>
      <c r="C505" s="304" t="s">
        <v>1186</v>
      </c>
      <c r="D505" s="304" t="s">
        <v>3853</v>
      </c>
      <c r="E505" s="308" t="s">
        <v>3854</v>
      </c>
      <c r="F505" s="209"/>
      <c r="G505" s="209"/>
      <c r="H505" s="209"/>
      <c r="I505" s="209"/>
      <c r="J505" s="300" t="b">
        <v>1</v>
      </c>
      <c r="K505" s="301" t="b">
        <v>0</v>
      </c>
      <c r="L505" s="209"/>
      <c r="M505" s="301" t="b">
        <v>0</v>
      </c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  <c r="AH505" s="209"/>
      <c r="AI505" s="209"/>
      <c r="AJ505" s="209"/>
      <c r="AK505" s="209"/>
      <c r="AL505" s="209"/>
      <c r="AM505" s="209"/>
      <c r="AN505" s="209"/>
      <c r="AO505" s="209"/>
      <c r="AP505" s="209"/>
    </row>
    <row r="506">
      <c r="A506" s="309"/>
      <c r="B506" s="310" t="s">
        <v>3855</v>
      </c>
      <c r="C506" s="311" t="s">
        <v>1186</v>
      </c>
      <c r="D506" s="311" t="s">
        <v>3856</v>
      </c>
      <c r="E506" s="335" t="s">
        <v>3857</v>
      </c>
      <c r="F506" s="313"/>
      <c r="G506" s="313"/>
      <c r="H506" s="313"/>
      <c r="I506" s="313"/>
      <c r="J506" s="300" t="b">
        <v>1</v>
      </c>
      <c r="K506" s="381" t="b">
        <v>0</v>
      </c>
      <c r="L506" s="365"/>
      <c r="M506" s="314" t="b">
        <v>0</v>
      </c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  <c r="AK506" s="209"/>
      <c r="AL506" s="209"/>
      <c r="AM506" s="209"/>
      <c r="AN506" s="209"/>
      <c r="AO506" s="209"/>
      <c r="AP506" s="209"/>
    </row>
    <row r="507">
      <c r="A507" s="209"/>
      <c r="B507" s="209"/>
      <c r="C507" s="209"/>
      <c r="D507" s="209"/>
      <c r="E507" s="209"/>
      <c r="F507" s="209"/>
      <c r="G507" s="209"/>
      <c r="H507" s="209"/>
      <c r="I507" s="209"/>
      <c r="J507" s="313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  <c r="AH507" s="209"/>
      <c r="AI507" s="209"/>
      <c r="AJ507" s="209"/>
      <c r="AK507" s="209"/>
      <c r="AL507" s="209"/>
      <c r="AM507" s="209"/>
      <c r="AN507" s="209"/>
      <c r="AO507" s="209"/>
      <c r="AP507" s="209"/>
    </row>
    <row r="508">
      <c r="A508" s="316" t="s">
        <v>2435</v>
      </c>
      <c r="B508" s="319" t="s">
        <v>3859</v>
      </c>
      <c r="C508" s="320"/>
      <c r="D508" s="283" t="s">
        <v>3860</v>
      </c>
      <c r="E508" s="336" t="s">
        <v>3861</v>
      </c>
      <c r="F508" s="320"/>
      <c r="G508" s="320"/>
      <c r="H508" s="285" t="s">
        <v>1796</v>
      </c>
      <c r="I508" s="285" t="s">
        <v>4061</v>
      </c>
      <c r="J508" s="438" t="str">
        <f>IF(COUNTIF(J509:J518, TRUE) = COUNTA(J509:J518), "Complete!", IF(COUNTIF(J509:J518, TRUE) &gt; 0, "Partial", "Not Started"))</f>
        <v>Complete!</v>
      </c>
      <c r="K508" s="334"/>
      <c r="L508" s="464" t="s">
        <v>889</v>
      </c>
      <c r="M508" s="465" t="str">
        <f>IF(COUNTIF(M509:M518, TRUE) = COUNTA(M509:M518), "Complete!", IF(COUNTIF(M509:M518, TRUE) &gt; 0, "Partial", "Not Started"))</f>
        <v>Not Started</v>
      </c>
      <c r="N508" s="280">
        <v>20.0</v>
      </c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  <c r="AH508" s="209"/>
      <c r="AI508" s="209"/>
      <c r="AJ508" s="209"/>
      <c r="AK508" s="209"/>
      <c r="AL508" s="209"/>
      <c r="AM508" s="209"/>
      <c r="AN508" s="209"/>
      <c r="AO508" s="209"/>
      <c r="AP508" s="209"/>
    </row>
    <row r="509">
      <c r="A509" s="291"/>
      <c r="B509" s="303" t="s">
        <v>3863</v>
      </c>
      <c r="C509" s="304" t="s">
        <v>390</v>
      </c>
      <c r="D509" s="304" t="s">
        <v>3864</v>
      </c>
      <c r="E509" s="308" t="s">
        <v>3865</v>
      </c>
      <c r="F509" s="209"/>
      <c r="G509" s="209"/>
      <c r="H509" s="209"/>
      <c r="I509" s="209"/>
      <c r="J509" s="300" t="b">
        <v>1</v>
      </c>
      <c r="K509" s="301" t="b">
        <v>0</v>
      </c>
      <c r="L509" s="419"/>
      <c r="M509" s="301" t="b">
        <v>0</v>
      </c>
      <c r="N509" s="209"/>
      <c r="O509" s="209"/>
      <c r="P509" s="209"/>
      <c r="Q509" s="209"/>
      <c r="R509" s="209"/>
      <c r="S509" s="353"/>
      <c r="T509" s="209"/>
      <c r="U509" s="209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  <c r="AH509" s="209"/>
      <c r="AI509" s="209"/>
      <c r="AJ509" s="209"/>
      <c r="AK509" s="209"/>
      <c r="AL509" s="209"/>
      <c r="AM509" s="209"/>
      <c r="AN509" s="209"/>
      <c r="AO509" s="209"/>
      <c r="AP509" s="209"/>
    </row>
    <row r="510">
      <c r="A510" s="291"/>
      <c r="B510" s="303" t="s">
        <v>3866</v>
      </c>
      <c r="C510" s="304" t="s">
        <v>390</v>
      </c>
      <c r="D510" s="304" t="s">
        <v>3867</v>
      </c>
      <c r="E510" s="308" t="s">
        <v>3868</v>
      </c>
      <c r="F510" s="209"/>
      <c r="G510" s="209"/>
      <c r="H510" s="209"/>
      <c r="I510" s="209"/>
      <c r="J510" s="300" t="b">
        <v>1</v>
      </c>
      <c r="K510" s="301" t="b">
        <v>0</v>
      </c>
      <c r="L510" s="419"/>
      <c r="M510" s="301" t="b">
        <v>0</v>
      </c>
      <c r="N510" s="209"/>
      <c r="O510" s="209"/>
      <c r="P510" s="209"/>
      <c r="Q510" s="209"/>
      <c r="R510" s="209"/>
      <c r="S510" s="353"/>
      <c r="T510" s="209"/>
      <c r="U510" s="209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  <c r="AH510" s="209"/>
      <c r="AI510" s="209"/>
      <c r="AJ510" s="209"/>
      <c r="AK510" s="209"/>
      <c r="AL510" s="209"/>
      <c r="AM510" s="209"/>
      <c r="AN510" s="209"/>
      <c r="AO510" s="209"/>
      <c r="AP510" s="209"/>
    </row>
    <row r="511">
      <c r="A511" s="291"/>
      <c r="B511" s="303" t="s">
        <v>3869</v>
      </c>
      <c r="C511" s="304" t="s">
        <v>400</v>
      </c>
      <c r="D511" s="304" t="s">
        <v>3870</v>
      </c>
      <c r="E511" s="308" t="s">
        <v>3871</v>
      </c>
      <c r="F511" s="304" t="s">
        <v>1432</v>
      </c>
      <c r="G511" s="209"/>
      <c r="H511" s="209"/>
      <c r="I511" s="209"/>
      <c r="J511" s="300" t="b">
        <v>1</v>
      </c>
      <c r="K511" s="301" t="b">
        <v>1</v>
      </c>
      <c r="L511" s="209"/>
      <c r="M511" s="301" t="b">
        <v>0</v>
      </c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  <c r="AK511" s="209"/>
      <c r="AL511" s="209"/>
      <c r="AM511" s="209"/>
      <c r="AN511" s="209"/>
      <c r="AO511" s="209"/>
      <c r="AP511" s="209"/>
    </row>
    <row r="512">
      <c r="A512" s="291"/>
      <c r="B512" s="303" t="s">
        <v>3872</v>
      </c>
      <c r="C512" s="304" t="s">
        <v>400</v>
      </c>
      <c r="D512" s="304" t="s">
        <v>3873</v>
      </c>
      <c r="E512" s="308" t="s">
        <v>3874</v>
      </c>
      <c r="F512" s="209"/>
      <c r="G512" s="209"/>
      <c r="H512" s="209"/>
      <c r="I512" s="209"/>
      <c r="J512" s="300" t="b">
        <v>1</v>
      </c>
      <c r="K512" s="301" t="b">
        <v>0</v>
      </c>
      <c r="L512" s="209"/>
      <c r="M512" s="301" t="b">
        <v>0</v>
      </c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  <c r="AH512" s="209"/>
      <c r="AI512" s="209"/>
      <c r="AJ512" s="209"/>
      <c r="AK512" s="209"/>
      <c r="AL512" s="209"/>
      <c r="AM512" s="209"/>
      <c r="AN512" s="209"/>
      <c r="AO512" s="209"/>
      <c r="AP512" s="209"/>
    </row>
    <row r="513">
      <c r="A513" s="291"/>
      <c r="B513" s="303" t="s">
        <v>3875</v>
      </c>
      <c r="C513" s="304" t="s">
        <v>705</v>
      </c>
      <c r="D513" s="304" t="s">
        <v>3876</v>
      </c>
      <c r="E513" s="308" t="s">
        <v>3877</v>
      </c>
      <c r="F513" s="209"/>
      <c r="G513" s="209"/>
      <c r="H513" s="209"/>
      <c r="I513" s="209"/>
      <c r="J513" s="300" t="b">
        <v>1</v>
      </c>
      <c r="K513" s="301" t="b">
        <v>0</v>
      </c>
      <c r="L513" s="209"/>
      <c r="M513" s="301" t="b">
        <v>0</v>
      </c>
      <c r="N513" s="209"/>
      <c r="O513" s="209"/>
      <c r="P513" s="209"/>
      <c r="Q513" s="209"/>
      <c r="R513" s="209"/>
      <c r="S513" s="353"/>
      <c r="T513" s="209"/>
      <c r="U513" s="209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  <c r="AH513" s="209"/>
      <c r="AI513" s="209"/>
      <c r="AJ513" s="209"/>
      <c r="AK513" s="209"/>
      <c r="AL513" s="209"/>
      <c r="AM513" s="209"/>
      <c r="AN513" s="209"/>
      <c r="AO513" s="209"/>
      <c r="AP513" s="209"/>
    </row>
    <row r="514">
      <c r="A514" s="291"/>
      <c r="B514" s="303" t="s">
        <v>3878</v>
      </c>
      <c r="C514" s="304" t="s">
        <v>705</v>
      </c>
      <c r="D514" s="304" t="s">
        <v>3879</v>
      </c>
      <c r="E514" s="308" t="s">
        <v>3880</v>
      </c>
      <c r="F514" s="209"/>
      <c r="G514" s="209"/>
      <c r="H514" s="209"/>
      <c r="I514" s="209"/>
      <c r="J514" s="300" t="b">
        <v>1</v>
      </c>
      <c r="K514" s="301" t="b">
        <v>0</v>
      </c>
      <c r="L514" s="209"/>
      <c r="M514" s="301" t="b">
        <v>0</v>
      </c>
      <c r="N514" s="209"/>
      <c r="O514" s="209"/>
      <c r="P514" s="209"/>
      <c r="Q514" s="209"/>
      <c r="R514" s="209"/>
      <c r="S514" s="353"/>
      <c r="T514" s="209"/>
      <c r="U514" s="209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  <c r="AH514" s="209"/>
      <c r="AI514" s="209"/>
      <c r="AJ514" s="209"/>
      <c r="AK514" s="209"/>
      <c r="AL514" s="209"/>
      <c r="AM514" s="209"/>
      <c r="AN514" s="209"/>
      <c r="AO514" s="209"/>
      <c r="AP514" s="209"/>
    </row>
    <row r="515">
      <c r="A515" s="291"/>
      <c r="B515" s="303" t="s">
        <v>3881</v>
      </c>
      <c r="C515" s="304" t="s">
        <v>431</v>
      </c>
      <c r="D515" s="304" t="s">
        <v>3882</v>
      </c>
      <c r="E515" s="308" t="s">
        <v>3883</v>
      </c>
      <c r="F515" s="209"/>
      <c r="G515" s="209"/>
      <c r="H515" s="209"/>
      <c r="I515" s="209"/>
      <c r="J515" s="300" t="b">
        <v>1</v>
      </c>
      <c r="K515" s="301" t="b">
        <v>0</v>
      </c>
      <c r="L515" s="209"/>
      <c r="M515" s="301" t="b">
        <v>0</v>
      </c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  <c r="AH515" s="209"/>
      <c r="AI515" s="209"/>
      <c r="AJ515" s="209"/>
      <c r="AK515" s="209"/>
      <c r="AL515" s="209"/>
      <c r="AM515" s="209"/>
      <c r="AN515" s="209"/>
      <c r="AO515" s="209"/>
      <c r="AP515" s="209"/>
    </row>
    <row r="516">
      <c r="A516" s="291"/>
      <c r="B516" s="303" t="s">
        <v>3884</v>
      </c>
      <c r="C516" s="304" t="s">
        <v>431</v>
      </c>
      <c r="D516" s="304" t="s">
        <v>3885</v>
      </c>
      <c r="E516" s="308" t="s">
        <v>3886</v>
      </c>
      <c r="F516" s="209"/>
      <c r="G516" s="209"/>
      <c r="H516" s="209"/>
      <c r="I516" s="209"/>
      <c r="J516" s="300" t="b">
        <v>1</v>
      </c>
      <c r="K516" s="301" t="b">
        <v>0</v>
      </c>
      <c r="L516" s="209"/>
      <c r="M516" s="301" t="b">
        <v>0</v>
      </c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  <c r="AK516" s="209"/>
      <c r="AL516" s="209"/>
      <c r="AM516" s="209"/>
      <c r="AN516" s="209"/>
      <c r="AO516" s="209"/>
      <c r="AP516" s="209"/>
    </row>
    <row r="517">
      <c r="A517" s="291"/>
      <c r="B517" s="303" t="s">
        <v>3887</v>
      </c>
      <c r="C517" s="304" t="s">
        <v>1186</v>
      </c>
      <c r="D517" s="304" t="s">
        <v>3888</v>
      </c>
      <c r="E517" s="308" t="s">
        <v>3889</v>
      </c>
      <c r="F517" s="209"/>
      <c r="G517" s="209"/>
      <c r="H517" s="209"/>
      <c r="I517" s="209"/>
      <c r="J517" s="300" t="b">
        <v>1</v>
      </c>
      <c r="K517" s="301" t="b">
        <v>0</v>
      </c>
      <c r="L517" s="209"/>
      <c r="M517" s="301" t="b">
        <v>0</v>
      </c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  <c r="AH517" s="209"/>
      <c r="AI517" s="209"/>
      <c r="AJ517" s="209"/>
      <c r="AK517" s="209"/>
      <c r="AL517" s="209"/>
      <c r="AM517" s="209"/>
      <c r="AN517" s="209"/>
      <c r="AO517" s="209"/>
      <c r="AP517" s="209"/>
    </row>
    <row r="518">
      <c r="A518" s="291"/>
      <c r="B518" s="303" t="s">
        <v>3890</v>
      </c>
      <c r="C518" s="304" t="s">
        <v>1186</v>
      </c>
      <c r="D518" s="304" t="s">
        <v>3891</v>
      </c>
      <c r="E518" s="308" t="s">
        <v>3892</v>
      </c>
      <c r="F518" s="209"/>
      <c r="G518" s="209"/>
      <c r="H518" s="209"/>
      <c r="I518" s="209"/>
      <c r="J518" s="300" t="b">
        <v>1</v>
      </c>
      <c r="K518" s="301" t="b">
        <v>0</v>
      </c>
      <c r="L518" s="365"/>
      <c r="M518" s="314" t="b">
        <v>0</v>
      </c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  <c r="AH518" s="209"/>
      <c r="AI518" s="209"/>
      <c r="AJ518" s="209"/>
      <c r="AK518" s="209"/>
      <c r="AL518" s="209"/>
      <c r="AM518" s="209"/>
      <c r="AN518" s="209"/>
      <c r="AO518" s="209"/>
      <c r="AP518" s="209"/>
    </row>
    <row r="519">
      <c r="A519" s="291"/>
      <c r="B519" s="303" t="s">
        <v>3893</v>
      </c>
      <c r="C519" s="304" t="s">
        <v>390</v>
      </c>
      <c r="D519" s="304" t="s">
        <v>3894</v>
      </c>
      <c r="E519" s="307">
        <v>8.10115972877E11</v>
      </c>
      <c r="F519" s="209"/>
      <c r="G519" s="209"/>
      <c r="H519" s="209"/>
      <c r="I519" s="209"/>
      <c r="J519" s="300" t="b">
        <v>1</v>
      </c>
      <c r="K519" s="301" t="b">
        <v>0</v>
      </c>
      <c r="L519" s="419"/>
      <c r="M519" s="301" t="b">
        <v>0</v>
      </c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  <c r="AH519" s="209"/>
      <c r="AI519" s="209"/>
      <c r="AJ519" s="209"/>
      <c r="AK519" s="209"/>
      <c r="AL519" s="209"/>
      <c r="AM519" s="209"/>
      <c r="AN519" s="209"/>
      <c r="AO519" s="209"/>
      <c r="AP519" s="209"/>
    </row>
    <row r="520">
      <c r="A520" s="291"/>
      <c r="B520" s="303" t="s">
        <v>3895</v>
      </c>
      <c r="C520" s="304" t="s">
        <v>390</v>
      </c>
      <c r="D520" s="304" t="s">
        <v>3896</v>
      </c>
      <c r="E520" s="308" t="s">
        <v>3897</v>
      </c>
      <c r="F520" s="209"/>
      <c r="G520" s="209"/>
      <c r="H520" s="209"/>
      <c r="I520" s="209"/>
      <c r="J520" s="300" t="b">
        <v>1</v>
      </c>
      <c r="K520" s="301" t="b">
        <v>0</v>
      </c>
      <c r="L520" s="419"/>
      <c r="M520" s="301" t="b">
        <v>0</v>
      </c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  <c r="AH520" s="209"/>
      <c r="AI520" s="209"/>
      <c r="AJ520" s="209"/>
      <c r="AK520" s="209"/>
      <c r="AL520" s="209"/>
      <c r="AM520" s="209"/>
      <c r="AN520" s="209"/>
      <c r="AO520" s="209"/>
      <c r="AP520" s="209"/>
    </row>
    <row r="521">
      <c r="A521" s="291"/>
      <c r="B521" s="303" t="s">
        <v>3898</v>
      </c>
      <c r="C521" s="304" t="s">
        <v>400</v>
      </c>
      <c r="D521" s="304" t="s">
        <v>3899</v>
      </c>
      <c r="E521" s="307">
        <v>8.10115972884E11</v>
      </c>
      <c r="F521" s="209"/>
      <c r="G521" s="209"/>
      <c r="H521" s="209"/>
      <c r="I521" s="209"/>
      <c r="J521" s="300" t="b">
        <v>1</v>
      </c>
      <c r="K521" s="301" t="b">
        <v>0</v>
      </c>
      <c r="L521" s="209"/>
      <c r="M521" s="301" t="b">
        <v>0</v>
      </c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  <c r="AK521" s="209"/>
      <c r="AL521" s="209"/>
      <c r="AM521" s="209"/>
      <c r="AN521" s="209"/>
      <c r="AO521" s="209"/>
      <c r="AP521" s="209"/>
    </row>
    <row r="522">
      <c r="A522" s="291"/>
      <c r="B522" s="303" t="s">
        <v>3900</v>
      </c>
      <c r="C522" s="304" t="s">
        <v>400</v>
      </c>
      <c r="D522" s="304" t="s">
        <v>3901</v>
      </c>
      <c r="E522" s="308" t="s">
        <v>3902</v>
      </c>
      <c r="F522" s="209"/>
      <c r="G522" s="209"/>
      <c r="H522" s="209"/>
      <c r="I522" s="209"/>
      <c r="J522" s="300" t="b">
        <v>1</v>
      </c>
      <c r="K522" s="301" t="b">
        <v>0</v>
      </c>
      <c r="L522" s="209"/>
      <c r="M522" s="301" t="b">
        <v>0</v>
      </c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  <c r="AH522" s="209"/>
      <c r="AI522" s="209"/>
      <c r="AJ522" s="209"/>
      <c r="AK522" s="209"/>
      <c r="AL522" s="209"/>
      <c r="AM522" s="209"/>
      <c r="AN522" s="209"/>
      <c r="AO522" s="209"/>
      <c r="AP522" s="209"/>
    </row>
    <row r="523">
      <c r="A523" s="291"/>
      <c r="B523" s="303" t="s">
        <v>3903</v>
      </c>
      <c r="C523" s="304" t="s">
        <v>705</v>
      </c>
      <c r="D523" s="304" t="s">
        <v>3904</v>
      </c>
      <c r="E523" s="307">
        <v>8.10115972891E11</v>
      </c>
      <c r="F523" s="209"/>
      <c r="G523" s="209"/>
      <c r="H523" s="209"/>
      <c r="I523" s="209"/>
      <c r="J523" s="300" t="b">
        <v>1</v>
      </c>
      <c r="K523" s="301" t="b">
        <v>0</v>
      </c>
      <c r="L523" s="209"/>
      <c r="M523" s="301" t="b">
        <v>0</v>
      </c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  <c r="AH523" s="209"/>
      <c r="AI523" s="209"/>
      <c r="AJ523" s="209"/>
      <c r="AK523" s="209"/>
      <c r="AL523" s="209"/>
      <c r="AM523" s="209"/>
      <c r="AN523" s="209"/>
      <c r="AO523" s="209"/>
      <c r="AP523" s="209"/>
    </row>
    <row r="524">
      <c r="A524" s="291"/>
      <c r="B524" s="303" t="s">
        <v>3905</v>
      </c>
      <c r="C524" s="304" t="s">
        <v>705</v>
      </c>
      <c r="D524" s="304" t="s">
        <v>3906</v>
      </c>
      <c r="E524" s="308" t="s">
        <v>3907</v>
      </c>
      <c r="F524" s="209"/>
      <c r="G524" s="209"/>
      <c r="H524" s="209"/>
      <c r="I524" s="209"/>
      <c r="J524" s="300" t="b">
        <v>1</v>
      </c>
      <c r="K524" s="301" t="b">
        <v>0</v>
      </c>
      <c r="L524" s="209"/>
      <c r="M524" s="301" t="b">
        <v>0</v>
      </c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  <c r="AH524" s="209"/>
      <c r="AI524" s="209"/>
      <c r="AJ524" s="209"/>
      <c r="AK524" s="209"/>
      <c r="AL524" s="209"/>
      <c r="AM524" s="209"/>
      <c r="AN524" s="209"/>
      <c r="AO524" s="209"/>
      <c r="AP524" s="209"/>
    </row>
    <row r="525">
      <c r="A525" s="291"/>
      <c r="B525" s="303" t="s">
        <v>3908</v>
      </c>
      <c r="C525" s="304" t="s">
        <v>431</v>
      </c>
      <c r="D525" s="304" t="s">
        <v>3909</v>
      </c>
      <c r="E525" s="307">
        <v>8.10115972907E11</v>
      </c>
      <c r="F525" s="209"/>
      <c r="G525" s="209"/>
      <c r="H525" s="209"/>
      <c r="I525" s="209"/>
      <c r="J525" s="300" t="b">
        <v>1</v>
      </c>
      <c r="K525" s="301" t="b">
        <v>0</v>
      </c>
      <c r="L525" s="209"/>
      <c r="M525" s="301" t="b">
        <v>0</v>
      </c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  <c r="AH525" s="209"/>
      <c r="AI525" s="209"/>
      <c r="AJ525" s="209"/>
      <c r="AK525" s="209"/>
      <c r="AL525" s="209"/>
      <c r="AM525" s="209"/>
      <c r="AN525" s="209"/>
      <c r="AO525" s="209"/>
      <c r="AP525" s="209"/>
    </row>
    <row r="526">
      <c r="A526" s="291"/>
      <c r="B526" s="303" t="s">
        <v>3910</v>
      </c>
      <c r="C526" s="304" t="s">
        <v>431</v>
      </c>
      <c r="D526" s="304" t="s">
        <v>3911</v>
      </c>
      <c r="E526" s="308" t="s">
        <v>3912</v>
      </c>
      <c r="F526" s="209"/>
      <c r="G526" s="209"/>
      <c r="H526" s="209"/>
      <c r="I526" s="209"/>
      <c r="J526" s="300" t="b">
        <v>1</v>
      </c>
      <c r="K526" s="301" t="b">
        <v>0</v>
      </c>
      <c r="L526" s="209"/>
      <c r="M526" s="301" t="b">
        <v>0</v>
      </c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  <c r="AK526" s="209"/>
      <c r="AL526" s="209"/>
      <c r="AM526" s="209"/>
      <c r="AN526" s="209"/>
      <c r="AO526" s="209"/>
      <c r="AP526" s="209"/>
    </row>
    <row r="527">
      <c r="A527" s="291"/>
      <c r="B527" s="303" t="s">
        <v>3913</v>
      </c>
      <c r="C527" s="304" t="s">
        <v>1186</v>
      </c>
      <c r="D527" s="304" t="s">
        <v>3914</v>
      </c>
      <c r="E527" s="307">
        <v>8.10115974116E11</v>
      </c>
      <c r="F527" s="209"/>
      <c r="G527" s="209"/>
      <c r="H527" s="209"/>
      <c r="I527" s="209"/>
      <c r="J527" s="300" t="b">
        <v>1</v>
      </c>
      <c r="K527" s="301" t="b">
        <v>0</v>
      </c>
      <c r="L527" s="209"/>
      <c r="M527" s="301" t="b">
        <v>0</v>
      </c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  <c r="AH527" s="209"/>
      <c r="AI527" s="209"/>
      <c r="AJ527" s="209"/>
      <c r="AK527" s="209"/>
      <c r="AL527" s="209"/>
      <c r="AM527" s="209"/>
      <c r="AN527" s="209"/>
      <c r="AO527" s="209"/>
      <c r="AP527" s="209"/>
    </row>
    <row r="528">
      <c r="A528" s="309"/>
      <c r="B528" s="310" t="s">
        <v>3915</v>
      </c>
      <c r="C528" s="311" t="s">
        <v>1186</v>
      </c>
      <c r="D528" s="311" t="s">
        <v>3916</v>
      </c>
      <c r="E528" s="335" t="s">
        <v>3917</v>
      </c>
      <c r="F528" s="313"/>
      <c r="G528" s="313"/>
      <c r="H528" s="313"/>
      <c r="I528" s="313"/>
      <c r="J528" s="300" t="b">
        <v>1</v>
      </c>
      <c r="K528" s="301" t="b">
        <v>0</v>
      </c>
      <c r="L528" s="365"/>
      <c r="M528" s="314" t="b">
        <v>0</v>
      </c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  <c r="AH528" s="209"/>
      <c r="AI528" s="209"/>
      <c r="AJ528" s="209"/>
      <c r="AK528" s="209"/>
      <c r="AL528" s="209"/>
      <c r="AM528" s="209"/>
      <c r="AN528" s="209"/>
      <c r="AO528" s="209"/>
      <c r="AP528" s="209"/>
    </row>
    <row r="529">
      <c r="A529" s="209"/>
      <c r="B529" s="209"/>
      <c r="C529" s="209"/>
      <c r="D529" s="209"/>
      <c r="E529" s="209"/>
      <c r="F529" s="209"/>
      <c r="G529" s="209"/>
      <c r="H529" s="209"/>
      <c r="I529" s="209"/>
      <c r="J529" s="313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  <c r="AH529" s="209"/>
      <c r="AI529" s="209"/>
      <c r="AJ529" s="209"/>
      <c r="AK529" s="209"/>
      <c r="AL529" s="209"/>
      <c r="AM529" s="209"/>
      <c r="AN529" s="209"/>
      <c r="AO529" s="209"/>
      <c r="AP529" s="209"/>
    </row>
    <row r="530">
      <c r="A530" s="316" t="s">
        <v>2459</v>
      </c>
      <c r="B530" s="319" t="s">
        <v>3919</v>
      </c>
      <c r="C530" s="320"/>
      <c r="D530" s="283" t="s">
        <v>3920</v>
      </c>
      <c r="E530" s="336" t="s">
        <v>3921</v>
      </c>
      <c r="F530" s="320"/>
      <c r="G530" s="320"/>
      <c r="H530" s="285" t="s">
        <v>370</v>
      </c>
      <c r="I530" s="285" t="s">
        <v>2605</v>
      </c>
      <c r="J530" s="438" t="str">
        <f>IF(COUNTIF(J531:J542, TRUE) = COUNTA(J531:J542), "Complete!", IF(COUNTIF(J531:J542, TRUE) &gt; 0, "Partial", "Not Started"))</f>
        <v>Complete!</v>
      </c>
      <c r="K530" s="334"/>
      <c r="L530" s="464" t="s">
        <v>889</v>
      </c>
      <c r="M530" s="465" t="str">
        <f>IF(COUNTIF(M531:M542, TRUE) = COUNTA(M531:M542), "Complete!", IF(COUNTIF(M531:M542, TRUE) &gt; 0, "Partial", "Not Started"))</f>
        <v>Not Started</v>
      </c>
      <c r="N530" s="280">
        <v>12.0</v>
      </c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  <c r="AH530" s="209"/>
      <c r="AI530" s="209"/>
      <c r="AJ530" s="209"/>
      <c r="AK530" s="209"/>
      <c r="AL530" s="209"/>
      <c r="AM530" s="209"/>
      <c r="AN530" s="209"/>
      <c r="AO530" s="209"/>
      <c r="AP530" s="209"/>
    </row>
    <row r="531">
      <c r="A531" s="291"/>
      <c r="B531" s="292" t="s">
        <v>3923</v>
      </c>
      <c r="C531" s="293" t="s">
        <v>404</v>
      </c>
      <c r="D531" s="304" t="s">
        <v>3924</v>
      </c>
      <c r="E531" s="299">
        <v>8.10115973928E11</v>
      </c>
      <c r="F531" s="295"/>
      <c r="G531" s="295"/>
      <c r="H531" s="295"/>
      <c r="I531" s="209"/>
      <c r="J531" s="296" t="b">
        <v>1</v>
      </c>
      <c r="K531" s="297" t="b">
        <v>0</v>
      </c>
      <c r="L531" s="419"/>
      <c r="M531" s="301" t="b">
        <v>0</v>
      </c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  <c r="AH531" s="209"/>
      <c r="AI531" s="209"/>
      <c r="AJ531" s="209"/>
      <c r="AK531" s="209"/>
      <c r="AL531" s="209"/>
      <c r="AM531" s="209"/>
      <c r="AN531" s="209"/>
      <c r="AO531" s="209"/>
      <c r="AP531" s="209"/>
    </row>
    <row r="532">
      <c r="A532" s="291"/>
      <c r="B532" s="303" t="s">
        <v>3925</v>
      </c>
      <c r="C532" s="304" t="s">
        <v>404</v>
      </c>
      <c r="D532" s="304" t="s">
        <v>3926</v>
      </c>
      <c r="E532" s="308" t="s">
        <v>3927</v>
      </c>
      <c r="F532" s="209"/>
      <c r="G532" s="209"/>
      <c r="H532" s="209"/>
      <c r="I532" s="209"/>
      <c r="J532" s="296" t="b">
        <v>1</v>
      </c>
      <c r="K532" s="301" t="b">
        <v>0</v>
      </c>
      <c r="L532" s="419"/>
      <c r="M532" s="301" t="b">
        <v>0</v>
      </c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  <c r="AH532" s="209"/>
      <c r="AI532" s="209"/>
      <c r="AJ532" s="209"/>
      <c r="AK532" s="209"/>
      <c r="AL532" s="209"/>
      <c r="AM532" s="209"/>
      <c r="AN532" s="209"/>
      <c r="AO532" s="209"/>
      <c r="AP532" s="209"/>
    </row>
    <row r="533">
      <c r="A533" s="291"/>
      <c r="B533" s="303" t="s">
        <v>3928</v>
      </c>
      <c r="C533" s="304" t="s">
        <v>390</v>
      </c>
      <c r="D533" s="304" t="s">
        <v>3929</v>
      </c>
      <c r="E533" s="307">
        <v>8.10115973942E11</v>
      </c>
      <c r="F533" s="209"/>
      <c r="G533" s="209"/>
      <c r="H533" s="209"/>
      <c r="I533" s="209"/>
      <c r="J533" s="296" t="b">
        <v>1</v>
      </c>
      <c r="K533" s="301" t="b">
        <v>0</v>
      </c>
      <c r="L533" s="209"/>
      <c r="M533" s="301" t="b">
        <v>0</v>
      </c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  <c r="AH533" s="209"/>
      <c r="AI533" s="209"/>
      <c r="AJ533" s="209"/>
      <c r="AK533" s="209"/>
      <c r="AL533" s="209"/>
      <c r="AM533" s="209"/>
      <c r="AN533" s="209"/>
      <c r="AO533" s="209"/>
      <c r="AP533" s="209"/>
    </row>
    <row r="534">
      <c r="A534" s="291"/>
      <c r="B534" s="303" t="s">
        <v>3930</v>
      </c>
      <c r="C534" s="304" t="s">
        <v>390</v>
      </c>
      <c r="D534" s="304" t="s">
        <v>3931</v>
      </c>
      <c r="E534" s="308" t="s">
        <v>3932</v>
      </c>
      <c r="F534" s="209"/>
      <c r="G534" s="209"/>
      <c r="H534" s="209"/>
      <c r="I534" s="209"/>
      <c r="J534" s="296" t="b">
        <v>1</v>
      </c>
      <c r="K534" s="301" t="b">
        <v>0</v>
      </c>
      <c r="L534" s="209"/>
      <c r="M534" s="301" t="b">
        <v>0</v>
      </c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  <c r="AH534" s="209"/>
      <c r="AI534" s="209"/>
      <c r="AJ534" s="209"/>
      <c r="AK534" s="209"/>
      <c r="AL534" s="209"/>
      <c r="AM534" s="209"/>
      <c r="AN534" s="209"/>
      <c r="AO534" s="209"/>
      <c r="AP534" s="209"/>
    </row>
    <row r="535">
      <c r="A535" s="291"/>
      <c r="B535" s="303" t="s">
        <v>3933</v>
      </c>
      <c r="C535" s="304" t="s">
        <v>400</v>
      </c>
      <c r="D535" s="304" t="s">
        <v>3934</v>
      </c>
      <c r="E535" s="307">
        <v>8.10115973966E11</v>
      </c>
      <c r="F535" s="209"/>
      <c r="G535" s="209"/>
      <c r="H535" s="209"/>
      <c r="I535" s="209"/>
      <c r="J535" s="296" t="b">
        <v>1</v>
      </c>
      <c r="K535" s="301" t="b">
        <v>0</v>
      </c>
      <c r="L535" s="209"/>
      <c r="M535" s="301" t="b">
        <v>0</v>
      </c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  <c r="AH535" s="209"/>
      <c r="AI535" s="209"/>
      <c r="AJ535" s="209"/>
      <c r="AK535" s="209"/>
      <c r="AL535" s="209"/>
      <c r="AM535" s="209"/>
      <c r="AN535" s="209"/>
      <c r="AO535" s="209"/>
      <c r="AP535" s="209"/>
    </row>
    <row r="536">
      <c r="A536" s="291"/>
      <c r="B536" s="303" t="s">
        <v>3935</v>
      </c>
      <c r="C536" s="304" t="s">
        <v>400</v>
      </c>
      <c r="D536" s="304" t="s">
        <v>3936</v>
      </c>
      <c r="E536" s="308" t="s">
        <v>3937</v>
      </c>
      <c r="F536" s="209"/>
      <c r="G536" s="209"/>
      <c r="H536" s="209"/>
      <c r="I536" s="209"/>
      <c r="J536" s="296" t="b">
        <v>1</v>
      </c>
      <c r="K536" s="301" t="b">
        <v>0</v>
      </c>
      <c r="L536" s="209"/>
      <c r="M536" s="301" t="b">
        <v>0</v>
      </c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  <c r="AH536" s="209"/>
      <c r="AI536" s="209"/>
      <c r="AJ536" s="209"/>
      <c r="AK536" s="209"/>
      <c r="AL536" s="209"/>
      <c r="AM536" s="209"/>
      <c r="AN536" s="209"/>
      <c r="AO536" s="209"/>
      <c r="AP536" s="209"/>
    </row>
    <row r="537">
      <c r="A537" s="291"/>
      <c r="B537" s="303" t="s">
        <v>3938</v>
      </c>
      <c r="C537" s="304" t="s">
        <v>412</v>
      </c>
      <c r="D537" s="304" t="s">
        <v>3939</v>
      </c>
      <c r="E537" s="307">
        <v>8.1011597398E11</v>
      </c>
      <c r="F537" s="209"/>
      <c r="G537" s="209"/>
      <c r="H537" s="209"/>
      <c r="I537" s="209"/>
      <c r="J537" s="296" t="b">
        <v>1</v>
      </c>
      <c r="K537" s="301" t="b">
        <v>0</v>
      </c>
      <c r="L537" s="209"/>
      <c r="M537" s="301" t="b">
        <v>0</v>
      </c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  <c r="AH537" s="209"/>
      <c r="AI537" s="209"/>
      <c r="AJ537" s="209"/>
      <c r="AK537" s="209"/>
      <c r="AL537" s="209"/>
      <c r="AM537" s="209"/>
      <c r="AN537" s="209"/>
      <c r="AO537" s="209"/>
      <c r="AP537" s="209"/>
    </row>
    <row r="538">
      <c r="A538" s="291"/>
      <c r="B538" s="303" t="s">
        <v>3940</v>
      </c>
      <c r="C538" s="304" t="s">
        <v>412</v>
      </c>
      <c r="D538" s="304" t="s">
        <v>3941</v>
      </c>
      <c r="E538" s="308" t="s">
        <v>3942</v>
      </c>
      <c r="F538" s="209"/>
      <c r="G538" s="209"/>
      <c r="H538" s="209"/>
      <c r="I538" s="209"/>
      <c r="J538" s="296" t="b">
        <v>1</v>
      </c>
      <c r="K538" s="301" t="b">
        <v>0</v>
      </c>
      <c r="L538" s="209"/>
      <c r="M538" s="301" t="b">
        <v>0</v>
      </c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  <c r="AH538" s="209"/>
      <c r="AI538" s="209"/>
      <c r="AJ538" s="209"/>
      <c r="AK538" s="209"/>
      <c r="AL538" s="209"/>
      <c r="AM538" s="209"/>
      <c r="AN538" s="209"/>
      <c r="AO538" s="209"/>
      <c r="AP538" s="209"/>
    </row>
    <row r="539">
      <c r="A539" s="291"/>
      <c r="B539" s="303" t="s">
        <v>3943</v>
      </c>
      <c r="C539" s="304" t="s">
        <v>431</v>
      </c>
      <c r="D539" s="304" t="s">
        <v>3944</v>
      </c>
      <c r="E539" s="308" t="s">
        <v>3945</v>
      </c>
      <c r="F539" s="209"/>
      <c r="G539" s="209"/>
      <c r="H539" s="209"/>
      <c r="I539" s="209"/>
      <c r="J539" s="296" t="b">
        <v>1</v>
      </c>
      <c r="K539" s="301" t="b">
        <v>0</v>
      </c>
      <c r="L539" s="209"/>
      <c r="M539" s="301" t="b">
        <v>0</v>
      </c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  <c r="AH539" s="209"/>
      <c r="AI539" s="209"/>
      <c r="AJ539" s="209"/>
      <c r="AK539" s="209"/>
      <c r="AL539" s="209"/>
      <c r="AM539" s="209"/>
      <c r="AN539" s="209"/>
      <c r="AO539" s="209"/>
      <c r="AP539" s="209"/>
    </row>
    <row r="540">
      <c r="A540" s="291"/>
      <c r="B540" s="303" t="s">
        <v>3946</v>
      </c>
      <c r="C540" s="304" t="s">
        <v>431</v>
      </c>
      <c r="D540" s="304" t="s">
        <v>3947</v>
      </c>
      <c r="E540" s="307">
        <v>8.10115974E11</v>
      </c>
      <c r="F540" s="209"/>
      <c r="G540" s="209"/>
      <c r="H540" s="209"/>
      <c r="I540" s="209"/>
      <c r="J540" s="296" t="b">
        <v>1</v>
      </c>
      <c r="K540" s="301" t="b">
        <v>0</v>
      </c>
      <c r="L540" s="209"/>
      <c r="M540" s="301" t="b">
        <v>0</v>
      </c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  <c r="AH540" s="209"/>
      <c r="AI540" s="209"/>
      <c r="AJ540" s="209"/>
      <c r="AK540" s="209"/>
      <c r="AL540" s="209"/>
      <c r="AM540" s="209"/>
      <c r="AN540" s="209"/>
      <c r="AO540" s="209"/>
      <c r="AP540" s="209"/>
    </row>
    <row r="541">
      <c r="A541" s="291"/>
      <c r="B541" s="303" t="s">
        <v>3948</v>
      </c>
      <c r="C541" s="304" t="s">
        <v>3949</v>
      </c>
      <c r="D541" s="304" t="s">
        <v>3950</v>
      </c>
      <c r="E541" s="308" t="s">
        <v>3951</v>
      </c>
      <c r="F541" s="209"/>
      <c r="G541" s="209"/>
      <c r="H541" s="209"/>
      <c r="I541" s="209"/>
      <c r="J541" s="296" t="b">
        <v>1</v>
      </c>
      <c r="K541" s="301" t="b">
        <v>0</v>
      </c>
      <c r="L541" s="209"/>
      <c r="M541" s="301" t="b">
        <v>0</v>
      </c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  <c r="AH541" s="209"/>
      <c r="AI541" s="209"/>
      <c r="AJ541" s="209"/>
      <c r="AK541" s="209"/>
      <c r="AL541" s="209"/>
      <c r="AM541" s="209"/>
      <c r="AN541" s="209"/>
      <c r="AO541" s="209"/>
      <c r="AP541" s="209"/>
    </row>
    <row r="542">
      <c r="A542" s="309"/>
      <c r="B542" s="310" t="s">
        <v>3952</v>
      </c>
      <c r="C542" s="311" t="s">
        <v>1186</v>
      </c>
      <c r="D542" s="311" t="s">
        <v>3953</v>
      </c>
      <c r="E542" s="318">
        <v>8.10115974024E11</v>
      </c>
      <c r="F542" s="313"/>
      <c r="G542" s="313"/>
      <c r="H542" s="313"/>
      <c r="I542" s="313"/>
      <c r="J542" s="296" t="b">
        <v>1</v>
      </c>
      <c r="K542" s="381" t="b">
        <v>0</v>
      </c>
      <c r="L542" s="365"/>
      <c r="M542" s="314" t="b">
        <v>0</v>
      </c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  <c r="AH542" s="209"/>
      <c r="AI542" s="209"/>
      <c r="AJ542" s="209"/>
      <c r="AK542" s="209"/>
      <c r="AL542" s="209"/>
      <c r="AM542" s="209"/>
      <c r="AN542" s="209"/>
      <c r="AO542" s="209"/>
      <c r="AP542" s="209"/>
    </row>
    <row r="543">
      <c r="A543" s="209"/>
      <c r="B543" s="209"/>
      <c r="C543" s="209"/>
      <c r="D543" s="209"/>
      <c r="E543" s="209"/>
      <c r="F543" s="209"/>
      <c r="G543" s="209"/>
      <c r="H543" s="209"/>
      <c r="I543" s="209"/>
      <c r="J543" s="313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  <c r="AH543" s="209"/>
      <c r="AI543" s="209"/>
      <c r="AJ543" s="209"/>
      <c r="AK543" s="209"/>
      <c r="AL543" s="209"/>
      <c r="AM543" s="209"/>
      <c r="AN543" s="209"/>
      <c r="AO543" s="209"/>
      <c r="AP543" s="209"/>
    </row>
    <row r="544">
      <c r="A544" s="316" t="s">
        <v>2475</v>
      </c>
      <c r="B544" s="319" t="s">
        <v>3955</v>
      </c>
      <c r="C544" s="320"/>
      <c r="D544" s="283" t="s">
        <v>3956</v>
      </c>
      <c r="E544" s="336" t="s">
        <v>3957</v>
      </c>
      <c r="F544" s="320"/>
      <c r="G544" s="320"/>
      <c r="H544" s="285" t="s">
        <v>370</v>
      </c>
      <c r="I544" s="285" t="s">
        <v>4182</v>
      </c>
      <c r="J544" s="333" t="str">
        <f>IF(COUNTIF(J545:J550, TRUE) = COUNTA(J545:J550), "Complete!", IF(COUNTIF(J545:J550, TRUE) &gt; 0, "Partial", "Not Started"))</f>
        <v>Complete!</v>
      </c>
      <c r="K544" s="334"/>
      <c r="L544" s="464" t="s">
        <v>889</v>
      </c>
      <c r="M544" s="465" t="str">
        <f>IF(COUNTIF(M545:M550, TRUE) = COUNTA(M545:M550), "Complete!", IF(COUNTIF(M545:M550, TRUE) &gt; 0, "Partial", "Not Started"))</f>
        <v>Not Started</v>
      </c>
      <c r="N544" s="280">
        <v>6.0</v>
      </c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  <c r="AH544" s="209"/>
      <c r="AI544" s="209"/>
      <c r="AJ544" s="209"/>
      <c r="AK544" s="209"/>
      <c r="AL544" s="209"/>
      <c r="AM544" s="209"/>
      <c r="AN544" s="209"/>
      <c r="AO544" s="209"/>
      <c r="AP544" s="209"/>
    </row>
    <row r="545">
      <c r="A545" s="291"/>
      <c r="B545" s="303" t="s">
        <v>3959</v>
      </c>
      <c r="C545" s="304" t="s">
        <v>1419</v>
      </c>
      <c r="D545" s="304" t="s">
        <v>3960</v>
      </c>
      <c r="E545" s="307">
        <v>8.10115979876E11</v>
      </c>
      <c r="F545" s="209"/>
      <c r="G545" s="209"/>
      <c r="H545" s="209"/>
      <c r="I545" s="209"/>
      <c r="J545" s="300" t="b">
        <v>1</v>
      </c>
      <c r="K545" s="301" t="b">
        <v>0</v>
      </c>
      <c r="L545" s="419"/>
      <c r="M545" s="301" t="b">
        <v>0</v>
      </c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419"/>
      <c r="AA545" s="301" t="b">
        <v>0</v>
      </c>
      <c r="AB545" s="209"/>
      <c r="AC545" s="209"/>
      <c r="AD545" s="209"/>
      <c r="AE545" s="209"/>
      <c r="AF545" s="209"/>
      <c r="AG545" s="209"/>
      <c r="AH545" s="209"/>
      <c r="AI545" s="209"/>
      <c r="AJ545" s="209"/>
      <c r="AK545" s="209"/>
      <c r="AL545" s="209"/>
      <c r="AM545" s="209"/>
      <c r="AN545" s="209"/>
      <c r="AO545" s="209"/>
      <c r="AP545" s="209"/>
    </row>
    <row r="546">
      <c r="A546" s="291"/>
      <c r="B546" s="303" t="s">
        <v>3961</v>
      </c>
      <c r="C546" s="304" t="s">
        <v>3962</v>
      </c>
      <c r="D546" s="304" t="s">
        <v>3963</v>
      </c>
      <c r="E546" s="308" t="s">
        <v>3964</v>
      </c>
      <c r="F546" s="209"/>
      <c r="G546" s="209"/>
      <c r="H546" s="209"/>
      <c r="I546" s="209"/>
      <c r="J546" s="300" t="b">
        <v>1</v>
      </c>
      <c r="K546" s="301" t="b">
        <v>0</v>
      </c>
      <c r="L546" s="419"/>
      <c r="M546" s="301" t="b">
        <v>0</v>
      </c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419"/>
      <c r="AA546" s="301" t="b">
        <v>0</v>
      </c>
      <c r="AB546" s="209"/>
      <c r="AC546" s="209"/>
      <c r="AD546" s="209"/>
      <c r="AE546" s="209"/>
      <c r="AF546" s="209"/>
      <c r="AG546" s="209"/>
      <c r="AH546" s="209"/>
      <c r="AI546" s="209"/>
      <c r="AJ546" s="209"/>
      <c r="AK546" s="209"/>
      <c r="AL546" s="209"/>
      <c r="AM546" s="209"/>
      <c r="AN546" s="209"/>
      <c r="AO546" s="209"/>
      <c r="AP546" s="209"/>
    </row>
    <row r="547">
      <c r="A547" s="291"/>
      <c r="B547" s="303" t="s">
        <v>3965</v>
      </c>
      <c r="C547" s="304" t="s">
        <v>1419</v>
      </c>
      <c r="D547" s="304" t="s">
        <v>3966</v>
      </c>
      <c r="E547" s="307">
        <v>8.1011597989E11</v>
      </c>
      <c r="F547" s="209"/>
      <c r="G547" s="209"/>
      <c r="H547" s="209"/>
      <c r="I547" s="209"/>
      <c r="J547" s="300" t="b">
        <v>1</v>
      </c>
      <c r="K547" s="301" t="b">
        <v>0</v>
      </c>
      <c r="L547" s="209"/>
      <c r="M547" s="301" t="b">
        <v>0</v>
      </c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419"/>
      <c r="AA547" s="301" t="b">
        <v>0</v>
      </c>
      <c r="AB547" s="209"/>
      <c r="AC547" s="209"/>
      <c r="AD547" s="209"/>
      <c r="AE547" s="209"/>
      <c r="AF547" s="209"/>
      <c r="AG547" s="209"/>
      <c r="AH547" s="209"/>
      <c r="AI547" s="209"/>
      <c r="AJ547" s="209"/>
      <c r="AK547" s="209"/>
      <c r="AL547" s="209"/>
      <c r="AM547" s="209"/>
      <c r="AN547" s="209"/>
      <c r="AO547" s="209"/>
      <c r="AP547" s="209"/>
    </row>
    <row r="548">
      <c r="A548" s="291"/>
      <c r="B548" s="303" t="s">
        <v>3967</v>
      </c>
      <c r="C548" s="304" t="s">
        <v>952</v>
      </c>
      <c r="D548" s="304" t="s">
        <v>3968</v>
      </c>
      <c r="E548" s="308" t="s">
        <v>3969</v>
      </c>
      <c r="F548" s="209"/>
      <c r="G548" s="209"/>
      <c r="H548" s="209"/>
      <c r="I548" s="209"/>
      <c r="J548" s="300" t="b">
        <v>1</v>
      </c>
      <c r="K548" s="301" t="b">
        <v>0</v>
      </c>
      <c r="L548" s="209"/>
      <c r="M548" s="301" t="b">
        <v>0</v>
      </c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419"/>
      <c r="AA548" s="301" t="b">
        <v>0</v>
      </c>
      <c r="AB548" s="209"/>
      <c r="AC548" s="209"/>
      <c r="AD548" s="209"/>
      <c r="AE548" s="209"/>
      <c r="AF548" s="209"/>
      <c r="AG548" s="209"/>
      <c r="AH548" s="209"/>
      <c r="AI548" s="209"/>
      <c r="AJ548" s="209"/>
      <c r="AK548" s="209"/>
      <c r="AL548" s="209"/>
      <c r="AM548" s="209"/>
      <c r="AN548" s="209"/>
      <c r="AO548" s="209"/>
      <c r="AP548" s="209"/>
    </row>
    <row r="549">
      <c r="A549" s="291"/>
      <c r="B549" s="303" t="s">
        <v>3970</v>
      </c>
      <c r="C549" s="304" t="s">
        <v>952</v>
      </c>
      <c r="D549" s="304" t="s">
        <v>3971</v>
      </c>
      <c r="E549" s="307">
        <v>8.10115979913E11</v>
      </c>
      <c r="F549" s="209"/>
      <c r="G549" s="209"/>
      <c r="H549" s="209"/>
      <c r="I549" s="209"/>
      <c r="J549" s="300" t="b">
        <v>1</v>
      </c>
      <c r="K549" s="301" t="b">
        <v>0</v>
      </c>
      <c r="L549" s="209"/>
      <c r="M549" s="301" t="b">
        <v>0</v>
      </c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419"/>
      <c r="AA549" s="301" t="b">
        <v>0</v>
      </c>
      <c r="AB549" s="209"/>
      <c r="AC549" s="209"/>
      <c r="AD549" s="209"/>
      <c r="AE549" s="209"/>
      <c r="AF549" s="209"/>
      <c r="AG549" s="209"/>
      <c r="AH549" s="209"/>
      <c r="AI549" s="209"/>
      <c r="AJ549" s="209"/>
      <c r="AK549" s="209"/>
      <c r="AL549" s="209"/>
      <c r="AM549" s="209"/>
      <c r="AN549" s="209"/>
      <c r="AO549" s="209"/>
      <c r="AP549" s="209"/>
    </row>
    <row r="550">
      <c r="A550" s="309"/>
      <c r="B550" s="310" t="s">
        <v>3972</v>
      </c>
      <c r="C550" s="311" t="s">
        <v>952</v>
      </c>
      <c r="D550" s="311" t="s">
        <v>3973</v>
      </c>
      <c r="E550" s="335" t="s">
        <v>3974</v>
      </c>
      <c r="F550" s="313"/>
      <c r="G550" s="313"/>
      <c r="H550" s="313"/>
      <c r="I550" s="313"/>
      <c r="J550" s="318" t="b">
        <v>1</v>
      </c>
      <c r="K550" s="381" t="b">
        <v>0</v>
      </c>
      <c r="L550" s="209"/>
      <c r="M550" s="301" t="b">
        <v>0</v>
      </c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419"/>
      <c r="AA550" s="301" t="b">
        <v>0</v>
      </c>
      <c r="AB550" s="209"/>
      <c r="AC550" s="209"/>
      <c r="AD550" s="209"/>
      <c r="AE550" s="209"/>
      <c r="AF550" s="209"/>
      <c r="AG550" s="209"/>
      <c r="AH550" s="209"/>
      <c r="AI550" s="209"/>
      <c r="AJ550" s="209"/>
      <c r="AK550" s="209"/>
      <c r="AL550" s="209"/>
      <c r="AM550" s="209"/>
      <c r="AN550" s="209"/>
      <c r="AO550" s="209"/>
      <c r="AP550" s="209"/>
    </row>
    <row r="55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88"/>
      <c r="M551" s="288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419"/>
      <c r="AA551" s="301" t="b">
        <v>0</v>
      </c>
      <c r="AB551" s="209"/>
      <c r="AC551" s="209"/>
      <c r="AD551" s="209"/>
      <c r="AE551" s="209"/>
      <c r="AF551" s="209"/>
      <c r="AG551" s="209"/>
      <c r="AH551" s="209"/>
      <c r="AI551" s="209"/>
      <c r="AJ551" s="209"/>
      <c r="AK551" s="209"/>
      <c r="AL551" s="209"/>
      <c r="AM551" s="209"/>
      <c r="AN551" s="209"/>
      <c r="AO551" s="209"/>
      <c r="AP551" s="209"/>
    </row>
    <row r="552">
      <c r="A552" s="316" t="s">
        <v>2495</v>
      </c>
      <c r="B552" s="282" t="s">
        <v>3976</v>
      </c>
      <c r="C552" s="273"/>
      <c r="D552" s="283" t="s">
        <v>3977</v>
      </c>
      <c r="E552" s="387" t="s">
        <v>3978</v>
      </c>
      <c r="F552" s="273"/>
      <c r="G552" s="273"/>
      <c r="H552" s="285" t="s">
        <v>376</v>
      </c>
      <c r="I552" s="285" t="s">
        <v>3922</v>
      </c>
      <c r="J552" s="278" t="str">
        <f>IF(COUNTIF(J553:J563, TRUE) = COUNTA(J553:J563), "Complete!", IF(COUNTIF(J553:J563, TRUE) &gt; 0, "Partial", "Not Started"))</f>
        <v>Complete!</v>
      </c>
      <c r="K552" s="279"/>
      <c r="L552" s="464" t="s">
        <v>889</v>
      </c>
      <c r="M552" s="465" t="str">
        <f>IF(COUNTIF(M553:M563, TRUE) = COUNTA(M553:M563), "Complete!", IF(COUNTIF(M553:M563, TRUE) &gt; 0, "Partial", "Not Started"))</f>
        <v>Not Started</v>
      </c>
      <c r="N552" s="280">
        <v>11.0</v>
      </c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419"/>
      <c r="AA552" s="301" t="b">
        <v>0</v>
      </c>
      <c r="AB552" s="209"/>
      <c r="AC552" s="209"/>
      <c r="AD552" s="209"/>
      <c r="AE552" s="209"/>
      <c r="AF552" s="209"/>
      <c r="AG552" s="209"/>
      <c r="AH552" s="209"/>
      <c r="AI552" s="209"/>
      <c r="AJ552" s="209"/>
      <c r="AK552" s="209"/>
      <c r="AL552" s="209"/>
      <c r="AM552" s="209"/>
      <c r="AN552" s="209"/>
      <c r="AO552" s="209"/>
      <c r="AP552" s="209"/>
    </row>
    <row r="553">
      <c r="A553" s="291"/>
      <c r="B553" s="292" t="s">
        <v>3980</v>
      </c>
      <c r="C553" s="293" t="s">
        <v>705</v>
      </c>
      <c r="D553" s="304" t="s">
        <v>3981</v>
      </c>
      <c r="E553" s="302" t="s">
        <v>3982</v>
      </c>
      <c r="F553" s="295"/>
      <c r="G553" s="295"/>
      <c r="H553" s="295"/>
      <c r="I553" s="295"/>
      <c r="J553" s="296" t="b">
        <v>1</v>
      </c>
      <c r="K553" s="297" t="b">
        <v>0</v>
      </c>
      <c r="L553" s="419"/>
      <c r="M553" s="301" t="b">
        <v>0</v>
      </c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419"/>
      <c r="AA553" s="301" t="b">
        <v>0</v>
      </c>
      <c r="AB553" s="209"/>
      <c r="AC553" s="209"/>
      <c r="AD553" s="209"/>
      <c r="AE553" s="209"/>
      <c r="AF553" s="209"/>
      <c r="AG553" s="209"/>
      <c r="AH553" s="209"/>
      <c r="AI553" s="209"/>
      <c r="AJ553" s="209"/>
      <c r="AK553" s="209"/>
      <c r="AL553" s="209"/>
      <c r="AM553" s="209"/>
      <c r="AN553" s="209"/>
      <c r="AO553" s="209"/>
      <c r="AP553" s="209"/>
    </row>
    <row r="554">
      <c r="A554" s="291"/>
      <c r="B554" s="303" t="s">
        <v>3983</v>
      </c>
      <c r="C554" s="304" t="s">
        <v>679</v>
      </c>
      <c r="D554" s="304" t="s">
        <v>3984</v>
      </c>
      <c r="E554" s="308" t="s">
        <v>3985</v>
      </c>
      <c r="F554" s="209"/>
      <c r="G554" s="209"/>
      <c r="H554" s="209"/>
      <c r="I554" s="209"/>
      <c r="J554" s="296" t="b">
        <v>1</v>
      </c>
      <c r="K554" s="301" t="b">
        <v>0</v>
      </c>
      <c r="L554" s="419"/>
      <c r="M554" s="301" t="b">
        <v>0</v>
      </c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419"/>
      <c r="AA554" s="301" t="b">
        <v>0</v>
      </c>
      <c r="AB554" s="209"/>
      <c r="AC554" s="209"/>
      <c r="AD554" s="209"/>
      <c r="AE554" s="209"/>
      <c r="AF554" s="209"/>
      <c r="AG554" s="209"/>
      <c r="AH554" s="209"/>
      <c r="AI554" s="209"/>
      <c r="AJ554" s="209"/>
      <c r="AK554" s="209"/>
      <c r="AL554" s="209"/>
      <c r="AM554" s="209"/>
      <c r="AN554" s="209"/>
      <c r="AO554" s="209"/>
      <c r="AP554" s="209"/>
    </row>
    <row r="555">
      <c r="A555" s="291"/>
      <c r="B555" s="303" t="s">
        <v>3986</v>
      </c>
      <c r="C555" s="304" t="s">
        <v>1186</v>
      </c>
      <c r="D555" s="304" t="s">
        <v>3987</v>
      </c>
      <c r="E555" s="308" t="s">
        <v>3988</v>
      </c>
      <c r="F555" s="209"/>
      <c r="G555" s="209"/>
      <c r="H555" s="209"/>
      <c r="I555" s="209"/>
      <c r="J555" s="296" t="b">
        <v>1</v>
      </c>
      <c r="K555" s="301" t="b">
        <v>0</v>
      </c>
      <c r="L555" s="209"/>
      <c r="M555" s="301" t="b">
        <v>0</v>
      </c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419"/>
      <c r="AA555" s="301" t="b">
        <v>0</v>
      </c>
      <c r="AB555" s="209"/>
      <c r="AC555" s="209"/>
      <c r="AD555" s="209"/>
      <c r="AE555" s="209"/>
      <c r="AF555" s="209"/>
      <c r="AG555" s="209"/>
      <c r="AH555" s="209"/>
      <c r="AI555" s="209"/>
      <c r="AJ555" s="209"/>
      <c r="AK555" s="209"/>
      <c r="AL555" s="209"/>
      <c r="AM555" s="209"/>
      <c r="AN555" s="209"/>
      <c r="AO555" s="209"/>
      <c r="AP555" s="209"/>
    </row>
    <row r="556">
      <c r="A556" s="291"/>
      <c r="B556" s="303" t="s">
        <v>3989</v>
      </c>
      <c r="C556" s="304" t="s">
        <v>952</v>
      </c>
      <c r="D556" s="304" t="s">
        <v>3990</v>
      </c>
      <c r="E556" s="308" t="s">
        <v>3991</v>
      </c>
      <c r="F556" s="209"/>
      <c r="G556" s="209"/>
      <c r="H556" s="209"/>
      <c r="I556" s="209"/>
      <c r="J556" s="296" t="b">
        <v>1</v>
      </c>
      <c r="K556" s="301" t="b">
        <v>0</v>
      </c>
      <c r="L556" s="209"/>
      <c r="M556" s="301" t="b">
        <v>0</v>
      </c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419"/>
      <c r="AA556" s="301" t="b">
        <v>0</v>
      </c>
      <c r="AB556" s="209"/>
      <c r="AC556" s="209"/>
      <c r="AD556" s="209"/>
      <c r="AE556" s="209"/>
      <c r="AF556" s="209"/>
      <c r="AG556" s="209"/>
      <c r="AH556" s="209"/>
      <c r="AI556" s="209"/>
      <c r="AJ556" s="209"/>
      <c r="AK556" s="209"/>
      <c r="AL556" s="209"/>
      <c r="AM556" s="209"/>
      <c r="AN556" s="209"/>
      <c r="AO556" s="209"/>
      <c r="AP556" s="209"/>
    </row>
    <row r="557">
      <c r="A557" s="291"/>
      <c r="B557" s="303" t="s">
        <v>3993</v>
      </c>
      <c r="C557" s="304" t="s">
        <v>952</v>
      </c>
      <c r="D557" s="304" t="s">
        <v>3994</v>
      </c>
      <c r="E557" s="308" t="s">
        <v>3995</v>
      </c>
      <c r="F557" s="209"/>
      <c r="G557" s="209"/>
      <c r="H557" s="209"/>
      <c r="I557" s="209"/>
      <c r="J557" s="296" t="b">
        <v>1</v>
      </c>
      <c r="K557" s="301" t="b">
        <v>0</v>
      </c>
      <c r="L557" s="209"/>
      <c r="M557" s="301" t="b">
        <v>0</v>
      </c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419"/>
      <c r="AA557" s="301" t="b">
        <v>0</v>
      </c>
      <c r="AB557" s="209"/>
      <c r="AC557" s="209"/>
      <c r="AD557" s="209"/>
      <c r="AE557" s="209"/>
      <c r="AF557" s="209"/>
      <c r="AG557" s="209"/>
      <c r="AH557" s="209"/>
      <c r="AI557" s="209"/>
      <c r="AJ557" s="209"/>
      <c r="AK557" s="209"/>
      <c r="AL557" s="209"/>
      <c r="AM557" s="209"/>
      <c r="AN557" s="209"/>
      <c r="AO557" s="209"/>
      <c r="AP557" s="209"/>
    </row>
    <row r="558">
      <c r="A558" s="291"/>
      <c r="B558" s="303" t="s">
        <v>3996</v>
      </c>
      <c r="C558" s="304" t="s">
        <v>3997</v>
      </c>
      <c r="D558" s="304" t="s">
        <v>3998</v>
      </c>
      <c r="E558" s="308" t="s">
        <v>3999</v>
      </c>
      <c r="F558" s="209"/>
      <c r="G558" s="209"/>
      <c r="H558" s="209"/>
      <c r="I558" s="209"/>
      <c r="J558" s="296" t="b">
        <v>1</v>
      </c>
      <c r="K558" s="301" t="b">
        <v>0</v>
      </c>
      <c r="L558" s="209"/>
      <c r="M558" s="301" t="b">
        <v>0</v>
      </c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419"/>
      <c r="AA558" s="301" t="b">
        <v>0</v>
      </c>
      <c r="AB558" s="209"/>
      <c r="AC558" s="209"/>
      <c r="AD558" s="209"/>
      <c r="AE558" s="209"/>
      <c r="AF558" s="209"/>
      <c r="AG558" s="209"/>
      <c r="AH558" s="209"/>
      <c r="AI558" s="209"/>
      <c r="AJ558" s="209"/>
      <c r="AK558" s="209"/>
      <c r="AL558" s="209"/>
      <c r="AM558" s="209"/>
      <c r="AN558" s="209"/>
      <c r="AO558" s="209"/>
      <c r="AP558" s="209"/>
    </row>
    <row r="559">
      <c r="A559" s="291"/>
      <c r="B559" s="303" t="s">
        <v>4000</v>
      </c>
      <c r="C559" s="304" t="s">
        <v>3997</v>
      </c>
      <c r="D559" s="304" t="s">
        <v>4001</v>
      </c>
      <c r="E559" s="308" t="s">
        <v>4002</v>
      </c>
      <c r="F559" s="209"/>
      <c r="G559" s="209"/>
      <c r="H559" s="209"/>
      <c r="I559" s="209"/>
      <c r="J559" s="296" t="b">
        <v>1</v>
      </c>
      <c r="K559" s="301" t="b">
        <v>0</v>
      </c>
      <c r="L559" s="209"/>
      <c r="M559" s="301" t="b">
        <v>0</v>
      </c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419"/>
      <c r="AA559" s="301" t="b">
        <v>0</v>
      </c>
      <c r="AB559" s="209"/>
      <c r="AC559" s="209"/>
      <c r="AD559" s="209"/>
      <c r="AE559" s="209"/>
      <c r="AF559" s="209"/>
      <c r="AG559" s="209"/>
      <c r="AH559" s="209"/>
      <c r="AI559" s="209"/>
      <c r="AJ559" s="209"/>
      <c r="AK559" s="209"/>
      <c r="AL559" s="209"/>
      <c r="AM559" s="209"/>
      <c r="AN559" s="209"/>
      <c r="AO559" s="209"/>
      <c r="AP559" s="209"/>
    </row>
    <row r="560">
      <c r="A560" s="291"/>
      <c r="B560" s="303" t="s">
        <v>4003</v>
      </c>
      <c r="C560" s="304" t="s">
        <v>522</v>
      </c>
      <c r="D560" s="304" t="s">
        <v>4004</v>
      </c>
      <c r="E560" s="308" t="s">
        <v>4005</v>
      </c>
      <c r="F560" s="209"/>
      <c r="G560" s="209"/>
      <c r="H560" s="209"/>
      <c r="I560" s="209"/>
      <c r="J560" s="296" t="b">
        <v>1</v>
      </c>
      <c r="K560" s="301" t="b">
        <v>0</v>
      </c>
      <c r="L560" s="209"/>
      <c r="M560" s="301" t="b">
        <v>0</v>
      </c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419"/>
      <c r="AA560" s="301" t="b">
        <v>0</v>
      </c>
      <c r="AB560" s="209"/>
      <c r="AC560" s="209"/>
      <c r="AD560" s="209"/>
      <c r="AE560" s="209"/>
      <c r="AF560" s="209"/>
      <c r="AG560" s="209"/>
      <c r="AH560" s="209"/>
      <c r="AI560" s="209"/>
      <c r="AJ560" s="209"/>
      <c r="AK560" s="209"/>
      <c r="AL560" s="209"/>
      <c r="AM560" s="209"/>
      <c r="AN560" s="209"/>
      <c r="AO560" s="209"/>
      <c r="AP560" s="209"/>
    </row>
    <row r="561">
      <c r="A561" s="291"/>
      <c r="B561" s="303" t="s">
        <v>4006</v>
      </c>
      <c r="C561" s="304" t="s">
        <v>522</v>
      </c>
      <c r="D561" s="304" t="s">
        <v>4007</v>
      </c>
      <c r="E561" s="308" t="s">
        <v>4008</v>
      </c>
      <c r="F561" s="209"/>
      <c r="G561" s="209"/>
      <c r="H561" s="209"/>
      <c r="I561" s="209"/>
      <c r="J561" s="296" t="b">
        <v>1</v>
      </c>
      <c r="K561" s="301" t="b">
        <v>0</v>
      </c>
      <c r="L561" s="209"/>
      <c r="M561" s="301" t="b">
        <v>0</v>
      </c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419"/>
      <c r="AA561" s="301" t="b">
        <v>0</v>
      </c>
      <c r="AB561" s="209"/>
      <c r="AC561" s="209"/>
      <c r="AD561" s="209"/>
      <c r="AE561" s="209"/>
      <c r="AF561" s="209"/>
      <c r="AG561" s="209"/>
      <c r="AH561" s="209"/>
      <c r="AI561" s="209"/>
      <c r="AJ561" s="209"/>
      <c r="AK561" s="209"/>
      <c r="AL561" s="209"/>
      <c r="AM561" s="209"/>
      <c r="AN561" s="209"/>
      <c r="AO561" s="209"/>
      <c r="AP561" s="209"/>
    </row>
    <row r="562">
      <c r="A562" s="291"/>
      <c r="B562" s="303" t="s">
        <v>4009</v>
      </c>
      <c r="C562" s="304" t="s">
        <v>547</v>
      </c>
      <c r="D562" s="304" t="s">
        <v>4010</v>
      </c>
      <c r="E562" s="308" t="s">
        <v>4011</v>
      </c>
      <c r="F562" s="209"/>
      <c r="G562" s="209"/>
      <c r="H562" s="209"/>
      <c r="I562" s="209"/>
      <c r="J562" s="296" t="b">
        <v>1</v>
      </c>
      <c r="K562" s="301" t="b">
        <v>0</v>
      </c>
      <c r="L562" s="209"/>
      <c r="M562" s="301" t="b">
        <v>0</v>
      </c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419"/>
      <c r="AA562" s="301" t="b">
        <v>0</v>
      </c>
      <c r="AB562" s="209"/>
      <c r="AC562" s="209"/>
      <c r="AD562" s="209"/>
      <c r="AE562" s="209"/>
      <c r="AF562" s="209"/>
      <c r="AG562" s="209"/>
      <c r="AH562" s="209"/>
      <c r="AI562" s="209"/>
      <c r="AJ562" s="209"/>
      <c r="AK562" s="209"/>
      <c r="AL562" s="209"/>
      <c r="AM562" s="209"/>
      <c r="AN562" s="209"/>
      <c r="AO562" s="209"/>
      <c r="AP562" s="209"/>
    </row>
    <row r="563">
      <c r="A563" s="309"/>
      <c r="B563" s="310" t="s">
        <v>4012</v>
      </c>
      <c r="C563" s="311" t="s">
        <v>547</v>
      </c>
      <c r="D563" s="311" t="s">
        <v>4013</v>
      </c>
      <c r="E563" s="335" t="s">
        <v>4014</v>
      </c>
      <c r="F563" s="209"/>
      <c r="G563" s="313"/>
      <c r="H563" s="313"/>
      <c r="I563" s="209"/>
      <c r="J563" s="296" t="b">
        <v>1</v>
      </c>
      <c r="K563" s="381" t="b">
        <v>0</v>
      </c>
      <c r="L563" s="365"/>
      <c r="M563" s="314" t="b">
        <v>0</v>
      </c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419"/>
      <c r="AA563" s="301" t="b">
        <v>0</v>
      </c>
      <c r="AB563" s="209"/>
      <c r="AC563" s="209"/>
      <c r="AD563" s="209"/>
      <c r="AE563" s="209"/>
      <c r="AF563" s="209"/>
      <c r="AG563" s="209"/>
      <c r="AH563" s="209"/>
      <c r="AI563" s="209"/>
      <c r="AJ563" s="209"/>
      <c r="AK563" s="209"/>
      <c r="AL563" s="209"/>
      <c r="AM563" s="209"/>
      <c r="AN563" s="209"/>
      <c r="AO563" s="209"/>
      <c r="AP563" s="209"/>
    </row>
    <row r="564">
      <c r="A564" s="209"/>
      <c r="B564" s="209"/>
      <c r="C564" s="209"/>
      <c r="D564" s="209"/>
      <c r="E564" s="209"/>
      <c r="F564" s="209"/>
      <c r="G564" s="209"/>
      <c r="H564" s="209"/>
      <c r="I564" s="209"/>
      <c r="J564" s="313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419"/>
      <c r="AA564" s="301" t="b">
        <v>0</v>
      </c>
      <c r="AB564" s="209"/>
      <c r="AC564" s="209"/>
      <c r="AD564" s="209"/>
      <c r="AE564" s="209"/>
      <c r="AF564" s="209"/>
      <c r="AG564" s="209"/>
      <c r="AH564" s="209"/>
      <c r="AI564" s="209"/>
      <c r="AJ564" s="209"/>
      <c r="AK564" s="209"/>
      <c r="AL564" s="209"/>
      <c r="AM564" s="209"/>
      <c r="AN564" s="209"/>
      <c r="AO564" s="209"/>
      <c r="AP564" s="209"/>
    </row>
    <row r="565">
      <c r="A565" s="316" t="s">
        <v>2514</v>
      </c>
      <c r="B565" s="319" t="s">
        <v>4016</v>
      </c>
      <c r="C565" s="320"/>
      <c r="D565" s="283" t="s">
        <v>4017</v>
      </c>
      <c r="E565" s="336" t="s">
        <v>4018</v>
      </c>
      <c r="F565" s="320"/>
      <c r="G565" s="320"/>
      <c r="H565" s="285" t="s">
        <v>1844</v>
      </c>
      <c r="I565" s="285" t="s">
        <v>4376</v>
      </c>
      <c r="J565" s="438" t="str">
        <f>IF(COUNTIF(J566:J570, TRUE) = COUNTA(J566:J570), "Complete!", IF(COUNTIF(J566:J570, TRUE) &gt; 0, "Partial", "Not Started"))</f>
        <v>Complete!</v>
      </c>
      <c r="K565" s="334"/>
      <c r="L565" s="464" t="s">
        <v>889</v>
      </c>
      <c r="M565" s="465" t="str">
        <f>IF(COUNTIF(M566:M570, TRUE) = COUNTA(M566:M570), "Complete!", IF(COUNTIF(M566:M570, TRUE) &gt; 0, "Partial", "Not Started"))</f>
        <v>Not Started</v>
      </c>
      <c r="N565" s="280">
        <v>5.0</v>
      </c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419"/>
      <c r="AA565" s="301" t="b">
        <v>0</v>
      </c>
      <c r="AB565" s="209"/>
      <c r="AC565" s="209"/>
      <c r="AD565" s="209"/>
      <c r="AE565" s="209"/>
      <c r="AF565" s="209"/>
      <c r="AG565" s="209"/>
      <c r="AH565" s="209"/>
      <c r="AI565" s="209"/>
      <c r="AJ565" s="209"/>
      <c r="AK565" s="209"/>
      <c r="AL565" s="209"/>
      <c r="AM565" s="209"/>
      <c r="AN565" s="209"/>
      <c r="AO565" s="209"/>
      <c r="AP565" s="209"/>
    </row>
    <row r="566">
      <c r="A566" s="291"/>
      <c r="B566" s="292" t="s">
        <v>4019</v>
      </c>
      <c r="C566" s="293" t="s">
        <v>4020</v>
      </c>
      <c r="D566" s="304" t="s">
        <v>4021</v>
      </c>
      <c r="E566" s="302" t="s">
        <v>4022</v>
      </c>
      <c r="F566" s="209"/>
      <c r="G566" s="209"/>
      <c r="H566" s="209"/>
      <c r="I566" s="209"/>
      <c r="J566" s="300" t="b">
        <v>1</v>
      </c>
      <c r="K566" s="301" t="b">
        <v>0</v>
      </c>
      <c r="L566" s="419"/>
      <c r="M566" s="301" t="b">
        <v>0</v>
      </c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419"/>
      <c r="AA566" s="301" t="b">
        <v>0</v>
      </c>
      <c r="AB566" s="209"/>
      <c r="AC566" s="209"/>
      <c r="AD566" s="209"/>
      <c r="AE566" s="209"/>
      <c r="AF566" s="209"/>
      <c r="AG566" s="209"/>
      <c r="AH566" s="209"/>
      <c r="AI566" s="209"/>
      <c r="AJ566" s="209"/>
      <c r="AK566" s="209"/>
      <c r="AL566" s="209"/>
      <c r="AM566" s="209"/>
      <c r="AN566" s="209"/>
      <c r="AO566" s="209"/>
      <c r="AP566" s="209"/>
    </row>
    <row r="567">
      <c r="A567" s="291"/>
      <c r="B567" s="303" t="s">
        <v>4023</v>
      </c>
      <c r="C567" s="304" t="s">
        <v>4024</v>
      </c>
      <c r="D567" s="304" t="s">
        <v>4025</v>
      </c>
      <c r="E567" s="308" t="s">
        <v>4026</v>
      </c>
      <c r="F567" s="209"/>
      <c r="G567" s="209"/>
      <c r="H567" s="209"/>
      <c r="I567" s="209"/>
      <c r="J567" s="300" t="b">
        <v>1</v>
      </c>
      <c r="K567" s="301" t="b">
        <v>0</v>
      </c>
      <c r="L567" s="419"/>
      <c r="M567" s="301" t="b">
        <v>0</v>
      </c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419"/>
      <c r="AA567" s="301" t="b">
        <v>0</v>
      </c>
      <c r="AB567" s="209"/>
      <c r="AC567" s="209"/>
      <c r="AD567" s="209"/>
      <c r="AE567" s="209"/>
      <c r="AF567" s="209"/>
      <c r="AG567" s="209"/>
      <c r="AH567" s="209"/>
      <c r="AI567" s="209"/>
      <c r="AJ567" s="209"/>
      <c r="AK567" s="209"/>
      <c r="AL567" s="209"/>
      <c r="AM567" s="209"/>
      <c r="AN567" s="209"/>
      <c r="AO567" s="209"/>
      <c r="AP567" s="209"/>
    </row>
    <row r="568">
      <c r="A568" s="291"/>
      <c r="B568" s="303" t="s">
        <v>4027</v>
      </c>
      <c r="C568" s="304" t="s">
        <v>4028</v>
      </c>
      <c r="D568" s="304" t="s">
        <v>4029</v>
      </c>
      <c r="E568" s="308" t="s">
        <v>4030</v>
      </c>
      <c r="F568" s="209"/>
      <c r="G568" s="209"/>
      <c r="H568" s="209"/>
      <c r="I568" s="209"/>
      <c r="J568" s="300" t="b">
        <v>1</v>
      </c>
      <c r="K568" s="301" t="b">
        <v>0</v>
      </c>
      <c r="L568" s="209"/>
      <c r="M568" s="301" t="b">
        <v>0</v>
      </c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419"/>
      <c r="AA568" s="301" t="b">
        <v>0</v>
      </c>
      <c r="AB568" s="209"/>
      <c r="AC568" s="209"/>
      <c r="AD568" s="209"/>
      <c r="AE568" s="209"/>
      <c r="AF568" s="209"/>
      <c r="AG568" s="209"/>
      <c r="AH568" s="209"/>
      <c r="AI568" s="209"/>
      <c r="AJ568" s="209"/>
      <c r="AK568" s="209"/>
      <c r="AL568" s="209"/>
      <c r="AM568" s="209"/>
      <c r="AN568" s="209"/>
      <c r="AO568" s="209"/>
      <c r="AP568" s="209"/>
    </row>
    <row r="569">
      <c r="A569" s="291"/>
      <c r="B569" s="303" t="s">
        <v>4031</v>
      </c>
      <c r="C569" s="304" t="s">
        <v>4032</v>
      </c>
      <c r="D569" s="304" t="s">
        <v>4033</v>
      </c>
      <c r="E569" s="308" t="s">
        <v>4034</v>
      </c>
      <c r="F569" s="209"/>
      <c r="G569" s="209"/>
      <c r="H569" s="209"/>
      <c r="I569" s="209"/>
      <c r="J569" s="300" t="b">
        <v>1</v>
      </c>
      <c r="K569" s="301" t="b">
        <v>0</v>
      </c>
      <c r="L569" s="209"/>
      <c r="M569" s="301" t="b">
        <v>0</v>
      </c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419"/>
      <c r="AA569" s="301" t="b">
        <v>0</v>
      </c>
      <c r="AB569" s="209"/>
      <c r="AC569" s="209"/>
      <c r="AD569" s="209"/>
      <c r="AE569" s="209"/>
      <c r="AF569" s="209"/>
      <c r="AG569" s="209"/>
      <c r="AH569" s="209"/>
      <c r="AI569" s="209"/>
      <c r="AJ569" s="209"/>
      <c r="AK569" s="209"/>
      <c r="AL569" s="209"/>
      <c r="AM569" s="209"/>
      <c r="AN569" s="209"/>
      <c r="AO569" s="209"/>
      <c r="AP569" s="209"/>
    </row>
    <row r="570">
      <c r="A570" s="309"/>
      <c r="B570" s="310" t="s">
        <v>4035</v>
      </c>
      <c r="C570" s="311" t="s">
        <v>4036</v>
      </c>
      <c r="D570" s="311" t="s">
        <v>4037</v>
      </c>
      <c r="E570" s="335" t="s">
        <v>4038</v>
      </c>
      <c r="F570" s="209"/>
      <c r="G570" s="313"/>
      <c r="H570" s="313"/>
      <c r="I570" s="209"/>
      <c r="J570" s="300" t="b">
        <v>1</v>
      </c>
      <c r="K570" s="381" t="b">
        <v>0</v>
      </c>
      <c r="L570" s="365"/>
      <c r="M570" s="314" t="b">
        <v>0</v>
      </c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419"/>
      <c r="AA570" s="301" t="b">
        <v>0</v>
      </c>
      <c r="AB570" s="209"/>
      <c r="AC570" s="209"/>
      <c r="AD570" s="209"/>
      <c r="AE570" s="209"/>
      <c r="AF570" s="209"/>
      <c r="AG570" s="209"/>
      <c r="AH570" s="209"/>
      <c r="AI570" s="209"/>
      <c r="AJ570" s="209"/>
      <c r="AK570" s="209"/>
      <c r="AL570" s="209"/>
      <c r="AM570" s="209"/>
      <c r="AN570" s="209"/>
      <c r="AO570" s="209"/>
      <c r="AP570" s="209"/>
    </row>
    <row r="571">
      <c r="A571" s="209"/>
      <c r="B571" s="209"/>
      <c r="C571" s="209"/>
      <c r="D571" s="209"/>
      <c r="E571" s="209"/>
      <c r="F571" s="209"/>
      <c r="G571" s="209"/>
      <c r="H571" s="209"/>
      <c r="I571" s="209"/>
      <c r="J571" s="313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419"/>
      <c r="AA571" s="301" t="b">
        <v>0</v>
      </c>
      <c r="AB571" s="209"/>
      <c r="AC571" s="209"/>
      <c r="AD571" s="209"/>
      <c r="AE571" s="209"/>
      <c r="AF571" s="209"/>
      <c r="AG571" s="209"/>
      <c r="AH571" s="209"/>
      <c r="AI571" s="209"/>
      <c r="AJ571" s="209"/>
      <c r="AK571" s="209"/>
      <c r="AL571" s="209"/>
      <c r="AM571" s="209"/>
      <c r="AN571" s="209"/>
      <c r="AO571" s="209"/>
      <c r="AP571" s="209"/>
    </row>
    <row r="572">
      <c r="A572" s="316" t="s">
        <v>2533</v>
      </c>
      <c r="B572" s="319" t="s">
        <v>2534</v>
      </c>
      <c r="C572" s="320"/>
      <c r="D572" s="283" t="s">
        <v>2535</v>
      </c>
      <c r="E572" s="336" t="s">
        <v>2536</v>
      </c>
      <c r="F572" s="320"/>
      <c r="G572" s="320"/>
      <c r="H572" s="285" t="s">
        <v>370</v>
      </c>
      <c r="I572" s="285" t="s">
        <v>4377</v>
      </c>
      <c r="J572" s="438" t="str">
        <f>IF(COUNTIF(J573:J578, TRUE) = COUNTA(J573:J578), "Complete!", IF(COUNTIF(J573:J578, TRUE) &gt; 0, "Partial", "Not Started"))</f>
        <v>Complete!</v>
      </c>
      <c r="K572" s="334"/>
      <c r="L572" s="464" t="s">
        <v>889</v>
      </c>
      <c r="M572" s="465" t="str">
        <f>IF(COUNTIF(M573:M578, TRUE) = COUNTA(M573:M578), "Complete!", IF(COUNTIF(M573:M578, TRUE) &gt; 0, "Partial", "Not Started"))</f>
        <v>Not Started</v>
      </c>
      <c r="N572" s="280">
        <v>6.0</v>
      </c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419"/>
      <c r="AA572" s="301" t="b">
        <v>0</v>
      </c>
      <c r="AB572" s="209"/>
      <c r="AC572" s="209"/>
      <c r="AD572" s="209"/>
      <c r="AE572" s="209"/>
      <c r="AF572" s="209"/>
      <c r="AG572" s="209"/>
      <c r="AH572" s="209"/>
      <c r="AI572" s="209"/>
      <c r="AJ572" s="209"/>
      <c r="AK572" s="209"/>
      <c r="AL572" s="209"/>
      <c r="AM572" s="209"/>
      <c r="AN572" s="209"/>
      <c r="AO572" s="209"/>
      <c r="AP572" s="209"/>
    </row>
    <row r="573">
      <c r="A573" s="291"/>
      <c r="B573" s="376" t="s">
        <v>2537</v>
      </c>
      <c r="C573" s="377" t="s">
        <v>2538</v>
      </c>
      <c r="D573" s="304" t="s">
        <v>2539</v>
      </c>
      <c r="E573" s="488">
        <v>8.10115978411E11</v>
      </c>
      <c r="F573" s="209"/>
      <c r="G573" s="209"/>
      <c r="H573" s="209"/>
      <c r="I573" s="209"/>
      <c r="J573" s="300" t="b">
        <v>1</v>
      </c>
      <c r="K573" s="301" t="b">
        <v>0</v>
      </c>
      <c r="L573" s="419"/>
      <c r="M573" s="301" t="b">
        <v>0</v>
      </c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419"/>
      <c r="AA573" s="301" t="b">
        <v>0</v>
      </c>
      <c r="AB573" s="209"/>
      <c r="AC573" s="209"/>
      <c r="AD573" s="209"/>
      <c r="AE573" s="209"/>
      <c r="AF573" s="209"/>
      <c r="AG573" s="209"/>
      <c r="AH573" s="209"/>
      <c r="AI573" s="209"/>
      <c r="AJ573" s="209"/>
      <c r="AK573" s="209"/>
      <c r="AL573" s="209"/>
      <c r="AM573" s="209"/>
      <c r="AN573" s="209"/>
      <c r="AO573" s="209"/>
      <c r="AP573" s="209"/>
    </row>
    <row r="574">
      <c r="A574" s="291"/>
      <c r="B574" s="376" t="s">
        <v>2540</v>
      </c>
      <c r="C574" s="377" t="s">
        <v>2541</v>
      </c>
      <c r="D574" s="304" t="s">
        <v>2542</v>
      </c>
      <c r="E574" s="488">
        <v>8.10115978428E11</v>
      </c>
      <c r="F574" s="209"/>
      <c r="G574" s="209"/>
      <c r="H574" s="209"/>
      <c r="I574" s="209"/>
      <c r="J574" s="300" t="b">
        <v>1</v>
      </c>
      <c r="K574" s="301" t="b">
        <v>0</v>
      </c>
      <c r="L574" s="419"/>
      <c r="M574" s="301" t="b">
        <v>0</v>
      </c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419"/>
      <c r="AA574" s="301" t="b">
        <v>0</v>
      </c>
      <c r="AB574" s="209"/>
      <c r="AC574" s="209"/>
      <c r="AD574" s="209"/>
      <c r="AE574" s="209"/>
      <c r="AF574" s="209"/>
      <c r="AG574" s="209"/>
      <c r="AH574" s="209"/>
      <c r="AI574" s="209"/>
      <c r="AJ574" s="209"/>
      <c r="AK574" s="209"/>
      <c r="AL574" s="209"/>
      <c r="AM574" s="209"/>
      <c r="AN574" s="209"/>
      <c r="AO574" s="209"/>
      <c r="AP574" s="209"/>
    </row>
    <row r="575">
      <c r="A575" s="291"/>
      <c r="B575" s="376" t="s">
        <v>2543</v>
      </c>
      <c r="C575" s="377" t="s">
        <v>2544</v>
      </c>
      <c r="D575" s="304" t="s">
        <v>2545</v>
      </c>
      <c r="E575" s="488">
        <v>8.10115978435E11</v>
      </c>
      <c r="F575" s="209"/>
      <c r="G575" s="209"/>
      <c r="H575" s="209"/>
      <c r="I575" s="209"/>
      <c r="J575" s="300" t="b">
        <v>1</v>
      </c>
      <c r="K575" s="301" t="b">
        <v>0</v>
      </c>
      <c r="L575" s="419"/>
      <c r="M575" s="301" t="b">
        <v>0</v>
      </c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419"/>
      <c r="AA575" s="301" t="b">
        <v>0</v>
      </c>
      <c r="AB575" s="209"/>
      <c r="AC575" s="209"/>
      <c r="AD575" s="209"/>
      <c r="AE575" s="209"/>
      <c r="AF575" s="209"/>
      <c r="AG575" s="209"/>
      <c r="AH575" s="209"/>
      <c r="AI575" s="209"/>
      <c r="AJ575" s="209"/>
      <c r="AK575" s="209"/>
      <c r="AL575" s="209"/>
      <c r="AM575" s="209"/>
      <c r="AN575" s="209"/>
      <c r="AO575" s="209"/>
      <c r="AP575" s="209"/>
    </row>
    <row r="576">
      <c r="A576" s="291"/>
      <c r="B576" s="376" t="s">
        <v>2546</v>
      </c>
      <c r="C576" s="377" t="s">
        <v>2547</v>
      </c>
      <c r="D576" s="304" t="s">
        <v>2548</v>
      </c>
      <c r="E576" s="488">
        <v>8.10115978442E11</v>
      </c>
      <c r="F576" s="209"/>
      <c r="G576" s="209"/>
      <c r="H576" s="209"/>
      <c r="I576" s="209"/>
      <c r="J576" s="300" t="b">
        <v>1</v>
      </c>
      <c r="K576" s="301" t="b">
        <v>0</v>
      </c>
      <c r="L576" s="419"/>
      <c r="M576" s="301" t="b">
        <v>0</v>
      </c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419"/>
      <c r="AA576" s="301" t="b">
        <v>0</v>
      </c>
      <c r="AB576" s="209"/>
      <c r="AC576" s="209"/>
      <c r="AD576" s="209"/>
      <c r="AE576" s="209"/>
      <c r="AF576" s="209"/>
      <c r="AG576" s="209"/>
      <c r="AH576" s="209"/>
      <c r="AI576" s="209"/>
      <c r="AJ576" s="209"/>
      <c r="AK576" s="209"/>
      <c r="AL576" s="209"/>
      <c r="AM576" s="209"/>
      <c r="AN576" s="209"/>
      <c r="AO576" s="209"/>
      <c r="AP576" s="209"/>
    </row>
    <row r="577">
      <c r="A577" s="291"/>
      <c r="B577" s="376" t="s">
        <v>2549</v>
      </c>
      <c r="C577" s="377" t="s">
        <v>2550</v>
      </c>
      <c r="D577" s="304" t="s">
        <v>2551</v>
      </c>
      <c r="E577" s="307">
        <v>8.10115975861E11</v>
      </c>
      <c r="F577" s="209"/>
      <c r="G577" s="209"/>
      <c r="H577" s="209"/>
      <c r="I577" s="209"/>
      <c r="J577" s="300" t="b">
        <v>1</v>
      </c>
      <c r="K577" s="301" t="b">
        <v>0</v>
      </c>
      <c r="L577" s="419"/>
      <c r="M577" s="301" t="b">
        <v>0</v>
      </c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419"/>
      <c r="AA577" s="301" t="b">
        <v>0</v>
      </c>
      <c r="AB577" s="209"/>
      <c r="AC577" s="209"/>
      <c r="AD577" s="209"/>
      <c r="AE577" s="209"/>
      <c r="AF577" s="209"/>
      <c r="AG577" s="209"/>
      <c r="AH577" s="209"/>
      <c r="AI577" s="209"/>
      <c r="AJ577" s="209"/>
      <c r="AK577" s="209"/>
      <c r="AL577" s="209"/>
      <c r="AM577" s="209"/>
      <c r="AN577" s="209"/>
      <c r="AO577" s="209"/>
      <c r="AP577" s="209"/>
    </row>
    <row r="578">
      <c r="A578" s="309"/>
      <c r="B578" s="378" t="s">
        <v>2552</v>
      </c>
      <c r="C578" s="379" t="s">
        <v>2553</v>
      </c>
      <c r="D578" s="304" t="s">
        <v>2554</v>
      </c>
      <c r="E578" s="493">
        <v>8.10115975878E11</v>
      </c>
      <c r="F578" s="313"/>
      <c r="G578" s="313"/>
      <c r="H578" s="313"/>
      <c r="I578" s="313"/>
      <c r="J578" s="300" t="b">
        <v>1</v>
      </c>
      <c r="K578" s="314" t="b">
        <v>0</v>
      </c>
      <c r="L578" s="365"/>
      <c r="M578" s="314" t="b">
        <v>0</v>
      </c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419"/>
      <c r="AA578" s="301" t="b">
        <v>0</v>
      </c>
      <c r="AB578" s="209"/>
      <c r="AC578" s="209"/>
      <c r="AD578" s="209"/>
      <c r="AE578" s="209"/>
      <c r="AF578" s="209"/>
      <c r="AG578" s="209"/>
      <c r="AH578" s="209"/>
      <c r="AI578" s="209"/>
      <c r="AJ578" s="209"/>
      <c r="AK578" s="209"/>
      <c r="AL578" s="209"/>
      <c r="AM578" s="209"/>
      <c r="AN578" s="209"/>
      <c r="AO578" s="209"/>
      <c r="AP578" s="209"/>
    </row>
    <row r="579">
      <c r="A579" s="209"/>
      <c r="B579" s="209"/>
      <c r="C579" s="209"/>
      <c r="D579" s="295"/>
      <c r="E579" s="295"/>
      <c r="F579" s="295"/>
      <c r="G579" s="295"/>
      <c r="H579" s="295"/>
      <c r="I579" s="209"/>
      <c r="J579" s="295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419"/>
      <c r="AA579" s="301" t="b">
        <v>0</v>
      </c>
      <c r="AB579" s="209"/>
      <c r="AC579" s="209"/>
      <c r="AD579" s="209"/>
      <c r="AE579" s="209"/>
      <c r="AF579" s="209"/>
      <c r="AG579" s="209"/>
      <c r="AH579" s="209"/>
      <c r="AI579" s="209"/>
      <c r="AJ579" s="209"/>
      <c r="AK579" s="209"/>
      <c r="AL579" s="209"/>
      <c r="AM579" s="209"/>
      <c r="AN579" s="209"/>
      <c r="AO579" s="209"/>
      <c r="AP579" s="209"/>
    </row>
    <row r="580">
      <c r="A580" s="316" t="s">
        <v>2555</v>
      </c>
      <c r="B580" s="282" t="s">
        <v>2556</v>
      </c>
      <c r="C580" s="273"/>
      <c r="D580" s="283" t="s">
        <v>2557</v>
      </c>
      <c r="E580" s="387" t="s">
        <v>1118</v>
      </c>
      <c r="F580" s="273"/>
      <c r="G580" s="273"/>
      <c r="H580" s="276" t="s">
        <v>572</v>
      </c>
      <c r="I580" s="276" t="s">
        <v>4378</v>
      </c>
      <c r="J580" s="278" t="str">
        <f>IF(COUNTIF(J581:J586, TRUE) = COUNTA(J581:J586), "Complete!", IF(COUNTIF(J581:J586, TRUE) &gt; 0, "Partial", "Not Started"))</f>
        <v>Complete!</v>
      </c>
      <c r="K580" s="279"/>
      <c r="L580" s="464" t="s">
        <v>889</v>
      </c>
      <c r="M580" s="465" t="str">
        <f>IF(COUNTIF(M581:M583, TRUE) = COUNTA(M581:M583), "Complete!", IF(COUNTIF(M581:M583, TRUE) &gt; 0, "Partial", "Not Started"))</f>
        <v>Not Started</v>
      </c>
      <c r="N580" s="280">
        <v>6.0</v>
      </c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419"/>
      <c r="AA580" s="301" t="b">
        <v>0</v>
      </c>
      <c r="AB580" s="209"/>
      <c r="AC580" s="209"/>
      <c r="AD580" s="209"/>
      <c r="AE580" s="209"/>
      <c r="AF580" s="209"/>
      <c r="AG580" s="209"/>
      <c r="AH580" s="209"/>
      <c r="AI580" s="209"/>
      <c r="AJ580" s="209"/>
      <c r="AK580" s="209"/>
      <c r="AL580" s="209"/>
      <c r="AM580" s="209"/>
      <c r="AN580" s="209"/>
      <c r="AO580" s="209"/>
      <c r="AP580" s="209"/>
    </row>
    <row r="581">
      <c r="A581" s="291"/>
      <c r="B581" s="292" t="s">
        <v>2559</v>
      </c>
      <c r="C581" s="293" t="s">
        <v>2560</v>
      </c>
      <c r="D581" s="304" t="s">
        <v>2561</v>
      </c>
      <c r="E581" s="299">
        <v>8.10115971016E11</v>
      </c>
      <c r="F581" s="295"/>
      <c r="G581" s="295"/>
      <c r="H581" s="295"/>
      <c r="I581" s="295"/>
      <c r="J581" s="296" t="b">
        <v>1</v>
      </c>
      <c r="K581" s="297" t="b">
        <v>0</v>
      </c>
      <c r="L581" s="419"/>
      <c r="M581" s="301" t="b">
        <v>0</v>
      </c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419"/>
      <c r="AA581" s="301" t="b">
        <v>0</v>
      </c>
      <c r="AB581" s="209"/>
      <c r="AC581" s="209"/>
      <c r="AD581" s="209"/>
      <c r="AE581" s="209"/>
      <c r="AF581" s="209"/>
      <c r="AG581" s="209"/>
      <c r="AH581" s="209"/>
      <c r="AI581" s="209"/>
      <c r="AJ581" s="209"/>
      <c r="AK581" s="209"/>
      <c r="AL581" s="209"/>
      <c r="AM581" s="209"/>
      <c r="AN581" s="209"/>
      <c r="AO581" s="209"/>
      <c r="AP581" s="209"/>
    </row>
    <row r="582">
      <c r="A582" s="291"/>
      <c r="B582" s="303" t="s">
        <v>2562</v>
      </c>
      <c r="C582" s="304" t="s">
        <v>2563</v>
      </c>
      <c r="D582" s="304" t="s">
        <v>2564</v>
      </c>
      <c r="E582" s="307">
        <v>8.10115971023E11</v>
      </c>
      <c r="F582" s="209"/>
      <c r="G582" s="209"/>
      <c r="H582" s="209"/>
      <c r="I582" s="209"/>
      <c r="J582" s="296" t="b">
        <v>1</v>
      </c>
      <c r="K582" s="301" t="b">
        <v>0</v>
      </c>
      <c r="L582" s="419"/>
      <c r="M582" s="301" t="b">
        <v>0</v>
      </c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419"/>
      <c r="AA582" s="301" t="b">
        <v>0</v>
      </c>
      <c r="AB582" s="209"/>
      <c r="AC582" s="209"/>
      <c r="AD582" s="209"/>
      <c r="AE582" s="209"/>
      <c r="AF582" s="209"/>
      <c r="AG582" s="209"/>
      <c r="AH582" s="209"/>
      <c r="AI582" s="209"/>
      <c r="AJ582" s="209"/>
      <c r="AK582" s="209"/>
      <c r="AL582" s="209"/>
      <c r="AM582" s="209"/>
      <c r="AN582" s="209"/>
      <c r="AO582" s="209"/>
      <c r="AP582" s="209"/>
    </row>
    <row r="583">
      <c r="A583" s="291"/>
      <c r="B583" s="303" t="s">
        <v>2565</v>
      </c>
      <c r="C583" s="304" t="s">
        <v>2566</v>
      </c>
      <c r="D583" s="304" t="s">
        <v>2567</v>
      </c>
      <c r="E583" s="307">
        <v>8.1011597103E11</v>
      </c>
      <c r="F583" s="209"/>
      <c r="G583" s="209"/>
      <c r="H583" s="209"/>
      <c r="I583" s="209"/>
      <c r="J583" s="296" t="b">
        <v>1</v>
      </c>
      <c r="K583" s="301" t="b">
        <v>0</v>
      </c>
      <c r="L583" s="419"/>
      <c r="M583" s="301" t="b">
        <v>0</v>
      </c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419"/>
      <c r="AA583" s="301" t="b">
        <v>0</v>
      </c>
      <c r="AB583" s="209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</row>
    <row r="584">
      <c r="A584" s="291"/>
      <c r="B584" s="303" t="s">
        <v>2568</v>
      </c>
      <c r="C584" s="304" t="s">
        <v>2569</v>
      </c>
      <c r="D584" s="304" t="s">
        <v>2570</v>
      </c>
      <c r="E584" s="307">
        <v>8.10115971047E11</v>
      </c>
      <c r="F584" s="209"/>
      <c r="G584" s="209"/>
      <c r="H584" s="209"/>
      <c r="I584" s="209"/>
      <c r="J584" s="296" t="b">
        <v>1</v>
      </c>
      <c r="K584" s="301" t="b">
        <v>0</v>
      </c>
      <c r="L584" s="419"/>
      <c r="M584" s="301" t="b">
        <v>0</v>
      </c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419"/>
      <c r="AA584" s="301" t="b">
        <v>0</v>
      </c>
      <c r="AB584" s="209"/>
      <c r="AC584" s="209"/>
      <c r="AD584" s="209"/>
      <c r="AE584" s="209"/>
      <c r="AF584" s="209"/>
      <c r="AG584" s="209"/>
      <c r="AH584" s="209"/>
      <c r="AI584" s="209"/>
      <c r="AJ584" s="209"/>
      <c r="AK584" s="209"/>
      <c r="AL584" s="209"/>
      <c r="AM584" s="209"/>
      <c r="AN584" s="209"/>
      <c r="AO584" s="209"/>
      <c r="AP584" s="209"/>
    </row>
    <row r="585">
      <c r="A585" s="291"/>
      <c r="B585" s="303" t="s">
        <v>2571</v>
      </c>
      <c r="C585" s="304" t="s">
        <v>2572</v>
      </c>
      <c r="D585" s="304" t="s">
        <v>2573</v>
      </c>
      <c r="E585" s="307">
        <v>8.10115971054E11</v>
      </c>
      <c r="F585" s="209"/>
      <c r="G585" s="209"/>
      <c r="H585" s="209"/>
      <c r="I585" s="209"/>
      <c r="J585" s="296" t="b">
        <v>1</v>
      </c>
      <c r="K585" s="301" t="b">
        <v>0</v>
      </c>
      <c r="L585" s="419"/>
      <c r="M585" s="301" t="b">
        <v>0</v>
      </c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419"/>
      <c r="AA585" s="301" t="b">
        <v>0</v>
      </c>
      <c r="AB585" s="209"/>
      <c r="AC585" s="209"/>
      <c r="AD585" s="209"/>
      <c r="AE585" s="209"/>
      <c r="AF585" s="209"/>
      <c r="AG585" s="209"/>
      <c r="AH585" s="209"/>
      <c r="AI585" s="209"/>
      <c r="AJ585" s="209"/>
      <c r="AK585" s="209"/>
      <c r="AL585" s="209"/>
      <c r="AM585" s="209"/>
      <c r="AN585" s="209"/>
      <c r="AO585" s="209"/>
      <c r="AP585" s="209"/>
    </row>
    <row r="586">
      <c r="A586" s="309"/>
      <c r="B586" s="310" t="s">
        <v>2574</v>
      </c>
      <c r="C586" s="311" t="s">
        <v>2575</v>
      </c>
      <c r="D586" s="311" t="s">
        <v>2576</v>
      </c>
      <c r="E586" s="318">
        <v>8.10115971061E11</v>
      </c>
      <c r="F586" s="313"/>
      <c r="G586" s="313"/>
      <c r="H586" s="313"/>
      <c r="I586" s="313"/>
      <c r="J586" s="296" t="b">
        <v>1</v>
      </c>
      <c r="K586" s="314" t="b">
        <v>0</v>
      </c>
      <c r="L586" s="365"/>
      <c r="M586" s="314" t="b">
        <v>0</v>
      </c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419"/>
      <c r="AA586" s="301" t="b">
        <v>0</v>
      </c>
      <c r="AB586" s="209"/>
      <c r="AC586" s="209"/>
      <c r="AD586" s="209"/>
      <c r="AE586" s="209"/>
      <c r="AF586" s="209"/>
      <c r="AG586" s="209"/>
      <c r="AH586" s="209"/>
      <c r="AI586" s="209"/>
      <c r="AJ586" s="209"/>
      <c r="AK586" s="209"/>
      <c r="AL586" s="209"/>
      <c r="AM586" s="209"/>
      <c r="AN586" s="209"/>
      <c r="AO586" s="209"/>
      <c r="AP586" s="209"/>
    </row>
    <row r="587">
      <c r="A587" s="209"/>
      <c r="B587" s="209"/>
      <c r="C587" s="209"/>
      <c r="D587" s="209"/>
      <c r="E587" s="209"/>
      <c r="F587" s="209"/>
      <c r="G587" s="209"/>
      <c r="H587" s="209"/>
      <c r="I587" s="209"/>
      <c r="J587" s="313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419"/>
      <c r="AA587" s="301" t="b">
        <v>0</v>
      </c>
      <c r="AB587" s="209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</row>
    <row r="588">
      <c r="A588" s="316" t="s">
        <v>2602</v>
      </c>
      <c r="B588" s="319" t="s">
        <v>2578</v>
      </c>
      <c r="C588" s="320"/>
      <c r="D588" s="283" t="s">
        <v>2579</v>
      </c>
      <c r="E588" s="336" t="s">
        <v>2580</v>
      </c>
      <c r="F588" s="320"/>
      <c r="G588" s="320"/>
      <c r="H588" s="285" t="s">
        <v>376</v>
      </c>
      <c r="I588" s="285" t="s">
        <v>4161</v>
      </c>
      <c r="J588" s="333" t="str">
        <f>IF(COUNTIF(J589:J594, TRUE) = COUNTA(J589:J594), "Complete!", IF(COUNTIF(J589:J594, TRUE) &gt; 0, "Partial", "Not Started"))</f>
        <v>Complete!</v>
      </c>
      <c r="K588" s="334"/>
      <c r="L588" s="464" t="s">
        <v>889</v>
      </c>
      <c r="M588" s="465" t="str">
        <f>IF(COUNTIF(M589:M594, TRUE) = COUNTA(M589:M594), "Complete!", IF(COUNTIF(M589:M594, TRUE) &gt; 0, "Partial", "Not Started"))</f>
        <v>Not Started</v>
      </c>
      <c r="N588" s="280">
        <v>6.0</v>
      </c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419"/>
      <c r="AA588" s="301" t="b">
        <v>0</v>
      </c>
      <c r="AB588" s="209"/>
      <c r="AC588" s="209"/>
      <c r="AD588" s="209"/>
      <c r="AE588" s="209"/>
      <c r="AF588" s="209"/>
      <c r="AG588" s="209"/>
      <c r="AH588" s="209"/>
      <c r="AI588" s="209"/>
      <c r="AJ588" s="209"/>
      <c r="AK588" s="209"/>
      <c r="AL588" s="209"/>
      <c r="AM588" s="209"/>
      <c r="AN588" s="209"/>
      <c r="AO588" s="209"/>
      <c r="AP588" s="209"/>
    </row>
    <row r="589">
      <c r="A589" s="291"/>
      <c r="B589" s="408" t="s">
        <v>2582</v>
      </c>
      <c r="C589" s="409" t="s">
        <v>437</v>
      </c>
      <c r="D589" s="304" t="s">
        <v>2583</v>
      </c>
      <c r="E589" s="302" t="s">
        <v>2584</v>
      </c>
      <c r="F589" s="209"/>
      <c r="G589" s="209"/>
      <c r="H589" s="209"/>
      <c r="I589" s="209"/>
      <c r="J589" s="300" t="b">
        <v>1</v>
      </c>
      <c r="K589" s="301" t="b">
        <v>0</v>
      </c>
      <c r="L589" s="419"/>
      <c r="M589" s="301" t="b">
        <v>0</v>
      </c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419"/>
      <c r="AA589" s="301" t="b">
        <v>0</v>
      </c>
      <c r="AB589" s="209"/>
      <c r="AC589" s="209"/>
      <c r="AD589" s="209"/>
      <c r="AE589" s="209"/>
      <c r="AF589" s="209"/>
      <c r="AG589" s="209"/>
      <c r="AH589" s="209"/>
      <c r="AI589" s="209"/>
      <c r="AJ589" s="209"/>
      <c r="AK589" s="209"/>
      <c r="AL589" s="209"/>
      <c r="AM589" s="209"/>
      <c r="AN589" s="209"/>
      <c r="AO589" s="209"/>
      <c r="AP589" s="209"/>
    </row>
    <row r="590">
      <c r="A590" s="291"/>
      <c r="B590" s="376" t="s">
        <v>2585</v>
      </c>
      <c r="C590" s="377" t="s">
        <v>437</v>
      </c>
      <c r="D590" s="304" t="s">
        <v>2586</v>
      </c>
      <c r="E590" s="308" t="s">
        <v>2587</v>
      </c>
      <c r="F590" s="209"/>
      <c r="G590" s="209"/>
      <c r="H590" s="209"/>
      <c r="I590" s="209"/>
      <c r="J590" s="300" t="b">
        <v>1</v>
      </c>
      <c r="K590" s="301" t="b">
        <v>0</v>
      </c>
      <c r="L590" s="419"/>
      <c r="M590" s="301" t="b">
        <v>0</v>
      </c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419"/>
      <c r="AA590" s="301" t="b">
        <v>0</v>
      </c>
      <c r="AB590" s="209"/>
      <c r="AC590" s="209"/>
      <c r="AD590" s="209"/>
      <c r="AE590" s="209"/>
      <c r="AF590" s="209"/>
      <c r="AG590" s="209"/>
      <c r="AH590" s="209"/>
      <c r="AI590" s="209"/>
      <c r="AJ590" s="209"/>
      <c r="AK590" s="209"/>
      <c r="AL590" s="209"/>
      <c r="AM590" s="209"/>
      <c r="AN590" s="209"/>
      <c r="AO590" s="209"/>
      <c r="AP590" s="209"/>
    </row>
    <row r="591">
      <c r="A591" s="291"/>
      <c r="B591" s="376" t="s">
        <v>2588</v>
      </c>
      <c r="C591" s="377" t="s">
        <v>2589</v>
      </c>
      <c r="D591" s="304" t="s">
        <v>2590</v>
      </c>
      <c r="E591" s="308" t="s">
        <v>2591</v>
      </c>
      <c r="F591" s="209"/>
      <c r="G591" s="209"/>
      <c r="H591" s="209"/>
      <c r="I591" s="209"/>
      <c r="J591" s="300" t="b">
        <v>1</v>
      </c>
      <c r="K591" s="301" t="b">
        <v>0</v>
      </c>
      <c r="L591" s="419"/>
      <c r="M591" s="301" t="b">
        <v>0</v>
      </c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419"/>
      <c r="AA591" s="301" t="b">
        <v>0</v>
      </c>
      <c r="AB591" s="209"/>
      <c r="AC591" s="209"/>
      <c r="AD591" s="209"/>
      <c r="AE591" s="209"/>
      <c r="AF591" s="209"/>
      <c r="AG591" s="209"/>
      <c r="AH591" s="209"/>
      <c r="AI591" s="209"/>
      <c r="AJ591" s="209"/>
      <c r="AK591" s="209"/>
      <c r="AL591" s="209"/>
      <c r="AM591" s="209"/>
      <c r="AN591" s="209"/>
      <c r="AO591" s="209"/>
      <c r="AP591" s="209"/>
    </row>
    <row r="592">
      <c r="A592" s="291"/>
      <c r="B592" s="376" t="s">
        <v>2592</v>
      </c>
      <c r="C592" s="410" t="s">
        <v>437</v>
      </c>
      <c r="D592" s="304" t="s">
        <v>2593</v>
      </c>
      <c r="E592" s="308" t="s">
        <v>2594</v>
      </c>
      <c r="F592" s="209"/>
      <c r="G592" s="209"/>
      <c r="H592" s="209"/>
      <c r="I592" s="209"/>
      <c r="J592" s="300" t="b">
        <v>1</v>
      </c>
      <c r="K592" s="301" t="b">
        <v>0</v>
      </c>
      <c r="L592" s="419"/>
      <c r="M592" s="301" t="b">
        <v>0</v>
      </c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419"/>
      <c r="AA592" s="301" t="b">
        <v>0</v>
      </c>
      <c r="AB592" s="209"/>
      <c r="AC592" s="209"/>
      <c r="AD592" s="209"/>
      <c r="AE592" s="209"/>
      <c r="AF592" s="209"/>
      <c r="AG592" s="209"/>
      <c r="AH592" s="209"/>
      <c r="AI592" s="209"/>
      <c r="AJ592" s="209"/>
      <c r="AK592" s="209"/>
      <c r="AL592" s="209"/>
      <c r="AM592" s="209"/>
      <c r="AN592" s="209"/>
      <c r="AO592" s="209"/>
      <c r="AP592" s="209"/>
    </row>
    <row r="593">
      <c r="A593" s="291"/>
      <c r="B593" s="376" t="s">
        <v>2595</v>
      </c>
      <c r="C593" s="377" t="s">
        <v>2596</v>
      </c>
      <c r="D593" s="304" t="s">
        <v>2597</v>
      </c>
      <c r="E593" s="308" t="s">
        <v>2598</v>
      </c>
      <c r="F593" s="209"/>
      <c r="G593" s="209"/>
      <c r="H593" s="209"/>
      <c r="I593" s="209"/>
      <c r="J593" s="300" t="b">
        <v>1</v>
      </c>
      <c r="K593" s="301" t="b">
        <v>0</v>
      </c>
      <c r="L593" s="419"/>
      <c r="M593" s="301" t="b">
        <v>0</v>
      </c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419"/>
      <c r="AA593" s="301" t="b">
        <v>0</v>
      </c>
      <c r="AB593" s="209"/>
      <c r="AC593" s="209"/>
      <c r="AD593" s="209"/>
      <c r="AE593" s="209"/>
      <c r="AF593" s="209"/>
      <c r="AG593" s="209"/>
      <c r="AH593" s="209"/>
      <c r="AI593" s="209"/>
      <c r="AJ593" s="209"/>
      <c r="AK593" s="209"/>
      <c r="AL593" s="209"/>
      <c r="AM593" s="209"/>
      <c r="AN593" s="209"/>
      <c r="AO593" s="209"/>
      <c r="AP593" s="209"/>
    </row>
    <row r="594">
      <c r="A594" s="291"/>
      <c r="B594" s="378" t="s">
        <v>2599</v>
      </c>
      <c r="C594" s="379" t="s">
        <v>2589</v>
      </c>
      <c r="D594" s="311" t="s">
        <v>2600</v>
      </c>
      <c r="E594" s="335" t="s">
        <v>2601</v>
      </c>
      <c r="F594" s="313"/>
      <c r="G594" s="313"/>
      <c r="H594" s="313"/>
      <c r="I594" s="313"/>
      <c r="J594" s="300" t="b">
        <v>1</v>
      </c>
      <c r="K594" s="314" t="b">
        <v>0</v>
      </c>
      <c r="L594" s="365"/>
      <c r="M594" s="314" t="b">
        <v>0</v>
      </c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419"/>
      <c r="AA594" s="301" t="b">
        <v>0</v>
      </c>
      <c r="AB594" s="209"/>
      <c r="AC594" s="209"/>
      <c r="AD594" s="209"/>
      <c r="AE594" s="209"/>
      <c r="AF594" s="209"/>
      <c r="AG594" s="209"/>
      <c r="AH594" s="209"/>
      <c r="AI594" s="209"/>
      <c r="AJ594" s="209"/>
      <c r="AK594" s="209"/>
      <c r="AL594" s="209"/>
      <c r="AM594" s="209"/>
      <c r="AN594" s="209"/>
      <c r="AO594" s="209"/>
      <c r="AP594" s="209"/>
    </row>
    <row r="595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419"/>
      <c r="AA595" s="301" t="b">
        <v>0</v>
      </c>
      <c r="AB595" s="209"/>
      <c r="AC595" s="209"/>
      <c r="AD595" s="209"/>
      <c r="AE595" s="209"/>
      <c r="AF595" s="209"/>
      <c r="AG595" s="209"/>
      <c r="AH595" s="209"/>
      <c r="AI595" s="209"/>
      <c r="AJ595" s="209"/>
      <c r="AK595" s="209"/>
      <c r="AL595" s="209"/>
      <c r="AM595" s="209"/>
      <c r="AN595" s="209"/>
      <c r="AO595" s="209"/>
      <c r="AP595" s="209"/>
    </row>
    <row r="596">
      <c r="A596" s="316" t="s">
        <v>2627</v>
      </c>
      <c r="B596" s="319" t="s">
        <v>2603</v>
      </c>
      <c r="C596" s="320"/>
      <c r="D596" s="283" t="s">
        <v>2604</v>
      </c>
      <c r="E596" s="336" t="s">
        <v>2580</v>
      </c>
      <c r="F596" s="320"/>
      <c r="G596" s="320"/>
      <c r="H596" s="285" t="s">
        <v>572</v>
      </c>
      <c r="I596" s="285" t="s">
        <v>4379</v>
      </c>
      <c r="J596" s="333" t="str">
        <f>IF(COUNTIF(J597:J606, TRUE) = COUNTA(J597:J606), "Complete!", IF(COUNTIF(J597:J606, TRUE) &gt; 0, "Partial", "Not Started"))</f>
        <v>Complete!</v>
      </c>
      <c r="K596" s="334"/>
      <c r="L596" s="464" t="s">
        <v>889</v>
      </c>
      <c r="M596" s="465" t="str">
        <f>IF(COUNTIF(M597:M606, TRUE) = COUNTA(M597:M606), "Complete!", IF(COUNTIF(M597:M606, TRUE) &gt; 0, "Partial", "Not Started"))</f>
        <v>Not Started</v>
      </c>
      <c r="N596" s="280">
        <v>10.0</v>
      </c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419"/>
      <c r="AA596" s="301" t="b">
        <v>0</v>
      </c>
      <c r="AB596" s="209"/>
      <c r="AC596" s="209"/>
      <c r="AD596" s="209"/>
      <c r="AE596" s="209"/>
      <c r="AF596" s="209"/>
      <c r="AG596" s="209"/>
      <c r="AH596" s="209"/>
      <c r="AI596" s="209"/>
      <c r="AJ596" s="209"/>
      <c r="AK596" s="209"/>
      <c r="AL596" s="209"/>
      <c r="AM596" s="209"/>
      <c r="AN596" s="209"/>
      <c r="AO596" s="209"/>
      <c r="AP596" s="209"/>
    </row>
    <row r="597">
      <c r="A597" s="291"/>
      <c r="B597" s="376" t="s">
        <v>2606</v>
      </c>
      <c r="C597" s="377" t="s">
        <v>2607</v>
      </c>
      <c r="D597" s="304" t="s">
        <v>2608</v>
      </c>
      <c r="E597" s="488">
        <v>8.1011597851E11</v>
      </c>
      <c r="F597" s="209"/>
      <c r="G597" s="209"/>
      <c r="H597" s="209"/>
      <c r="I597" s="209"/>
      <c r="J597" s="300" t="b">
        <v>1</v>
      </c>
      <c r="K597" s="301" t="b">
        <v>0</v>
      </c>
      <c r="L597" s="419"/>
      <c r="M597" s="301" t="b">
        <v>0</v>
      </c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419"/>
      <c r="AA597" s="301" t="b">
        <v>0</v>
      </c>
      <c r="AB597" s="209"/>
      <c r="AC597" s="209"/>
      <c r="AD597" s="209"/>
      <c r="AE597" s="209"/>
      <c r="AF597" s="209"/>
      <c r="AG597" s="209"/>
      <c r="AH597" s="209"/>
      <c r="AI597" s="209"/>
      <c r="AJ597" s="209"/>
      <c r="AK597" s="209"/>
      <c r="AL597" s="209"/>
      <c r="AM597" s="209"/>
      <c r="AN597" s="209"/>
      <c r="AO597" s="209"/>
      <c r="AP597" s="209"/>
    </row>
    <row r="598">
      <c r="A598" s="291"/>
      <c r="B598" s="376" t="s">
        <v>2609</v>
      </c>
      <c r="C598" s="377" t="s">
        <v>2607</v>
      </c>
      <c r="D598" s="304" t="s">
        <v>2610</v>
      </c>
      <c r="E598" s="488">
        <v>8.10115978527E11</v>
      </c>
      <c r="F598" s="209"/>
      <c r="G598" s="209"/>
      <c r="H598" s="209"/>
      <c r="I598" s="209"/>
      <c r="J598" s="300" t="b">
        <v>1</v>
      </c>
      <c r="K598" s="301" t="b">
        <v>0</v>
      </c>
      <c r="L598" s="419"/>
      <c r="M598" s="301" t="b">
        <v>0</v>
      </c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419"/>
      <c r="AA598" s="301" t="b">
        <v>0</v>
      </c>
      <c r="AB598" s="209"/>
      <c r="AC598" s="209"/>
      <c r="AD598" s="209"/>
      <c r="AE598" s="209"/>
      <c r="AF598" s="209"/>
      <c r="AG598" s="209"/>
      <c r="AH598" s="209"/>
      <c r="AI598" s="209"/>
      <c r="AJ598" s="209"/>
      <c r="AK598" s="209"/>
      <c r="AL598" s="209"/>
      <c r="AM598" s="209"/>
      <c r="AN598" s="209"/>
      <c r="AO598" s="209"/>
      <c r="AP598" s="209"/>
    </row>
    <row r="599">
      <c r="A599" s="291"/>
      <c r="B599" s="376" t="s">
        <v>2611</v>
      </c>
      <c r="C599" s="377" t="s">
        <v>2607</v>
      </c>
      <c r="D599" s="304" t="s">
        <v>2612</v>
      </c>
      <c r="E599" s="488">
        <v>8.10115978534E11</v>
      </c>
      <c r="F599" s="209"/>
      <c r="G599" s="209"/>
      <c r="H599" s="209"/>
      <c r="I599" s="209"/>
      <c r="J599" s="300" t="b">
        <v>1</v>
      </c>
      <c r="K599" s="301" t="b">
        <v>0</v>
      </c>
      <c r="L599" s="419"/>
      <c r="M599" s="301" t="b">
        <v>0</v>
      </c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419"/>
      <c r="AA599" s="301" t="b">
        <v>0</v>
      </c>
      <c r="AB599" s="209"/>
      <c r="AC599" s="209"/>
      <c r="AD599" s="209"/>
      <c r="AE599" s="209"/>
      <c r="AF599" s="209"/>
      <c r="AG599" s="209"/>
      <c r="AH599" s="209"/>
      <c r="AI599" s="209"/>
      <c r="AJ599" s="209"/>
      <c r="AK599" s="209"/>
      <c r="AL599" s="209"/>
      <c r="AM599" s="209"/>
      <c r="AN599" s="209"/>
      <c r="AO599" s="209"/>
      <c r="AP599" s="209"/>
    </row>
    <row r="600">
      <c r="A600" s="291"/>
      <c r="B600" s="376" t="s">
        <v>2613</v>
      </c>
      <c r="C600" s="377" t="s">
        <v>2607</v>
      </c>
      <c r="D600" s="304" t="s">
        <v>2614</v>
      </c>
      <c r="E600" s="488">
        <v>8.10115978541E11</v>
      </c>
      <c r="F600" s="209"/>
      <c r="G600" s="209"/>
      <c r="H600" s="209"/>
      <c r="I600" s="209"/>
      <c r="J600" s="300" t="b">
        <v>1</v>
      </c>
      <c r="K600" s="301" t="b">
        <v>0</v>
      </c>
      <c r="L600" s="419"/>
      <c r="M600" s="301" t="b">
        <v>0</v>
      </c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419"/>
      <c r="AA600" s="301" t="b">
        <v>0</v>
      </c>
      <c r="AB600" s="209"/>
      <c r="AC600" s="209"/>
      <c r="AD600" s="209"/>
      <c r="AE600" s="209"/>
      <c r="AF600" s="209"/>
      <c r="AG600" s="209"/>
      <c r="AH600" s="209"/>
      <c r="AI600" s="209"/>
      <c r="AJ600" s="209"/>
      <c r="AK600" s="209"/>
      <c r="AL600" s="209"/>
      <c r="AM600" s="209"/>
      <c r="AN600" s="209"/>
      <c r="AO600" s="209"/>
      <c r="AP600" s="209"/>
    </row>
    <row r="601">
      <c r="A601" s="291"/>
      <c r="B601" s="376" t="s">
        <v>2615</v>
      </c>
      <c r="C601" s="377" t="s">
        <v>2607</v>
      </c>
      <c r="D601" s="304" t="s">
        <v>2616</v>
      </c>
      <c r="E601" s="488">
        <v>8.10115978558E11</v>
      </c>
      <c r="F601" s="209"/>
      <c r="G601" s="209"/>
      <c r="H601" s="209"/>
      <c r="I601" s="209"/>
      <c r="J601" s="300" t="b">
        <v>1</v>
      </c>
      <c r="K601" s="301" t="b">
        <v>0</v>
      </c>
      <c r="L601" s="419"/>
      <c r="M601" s="301" t="b">
        <v>0</v>
      </c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419"/>
      <c r="AA601" s="301" t="b">
        <v>0</v>
      </c>
      <c r="AB601" s="209"/>
      <c r="AC601" s="209"/>
      <c r="AD601" s="209"/>
      <c r="AE601" s="209"/>
      <c r="AF601" s="209"/>
      <c r="AG601" s="209"/>
      <c r="AH601" s="209"/>
      <c r="AI601" s="209"/>
      <c r="AJ601" s="209"/>
      <c r="AK601" s="209"/>
      <c r="AL601" s="209"/>
      <c r="AM601" s="209"/>
      <c r="AN601" s="209"/>
      <c r="AO601" s="209"/>
      <c r="AP601" s="209"/>
    </row>
    <row r="602">
      <c r="A602" s="291"/>
      <c r="B602" s="377" t="s">
        <v>2617</v>
      </c>
      <c r="C602" s="377" t="s">
        <v>2607</v>
      </c>
      <c r="D602" s="304" t="s">
        <v>2618</v>
      </c>
      <c r="E602" s="488">
        <v>8.10115978565E11</v>
      </c>
      <c r="F602" s="209"/>
      <c r="G602" s="209"/>
      <c r="H602" s="209"/>
      <c r="I602" s="209"/>
      <c r="J602" s="300" t="b">
        <v>1</v>
      </c>
      <c r="K602" s="301" t="b">
        <v>0</v>
      </c>
      <c r="L602" s="419"/>
      <c r="M602" s="301" t="b">
        <v>0</v>
      </c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419"/>
      <c r="AA602" s="301" t="b">
        <v>0</v>
      </c>
      <c r="AB602" s="209"/>
      <c r="AC602" s="209"/>
      <c r="AD602" s="209"/>
      <c r="AE602" s="209"/>
      <c r="AF602" s="209"/>
      <c r="AG602" s="209"/>
      <c r="AH602" s="209"/>
      <c r="AI602" s="209"/>
      <c r="AJ602" s="209"/>
      <c r="AK602" s="209"/>
      <c r="AL602" s="209"/>
      <c r="AM602" s="209"/>
      <c r="AN602" s="209"/>
      <c r="AO602" s="209"/>
      <c r="AP602" s="209"/>
    </row>
    <row r="603">
      <c r="A603" s="291"/>
      <c r="B603" s="303" t="s">
        <v>2619</v>
      </c>
      <c r="C603" s="377" t="s">
        <v>2607</v>
      </c>
      <c r="D603" s="304" t="s">
        <v>2620</v>
      </c>
      <c r="E603" s="307">
        <v>8.10115976073E11</v>
      </c>
      <c r="F603" s="325"/>
      <c r="G603" s="325"/>
      <c r="H603" s="325"/>
      <c r="I603" s="325"/>
      <c r="J603" s="300" t="b">
        <v>1</v>
      </c>
      <c r="K603" s="301" t="b">
        <v>0</v>
      </c>
      <c r="L603" s="494"/>
      <c r="M603" s="301" t="b">
        <v>0</v>
      </c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419"/>
      <c r="AA603" s="301" t="b">
        <v>0</v>
      </c>
      <c r="AB603" s="209"/>
      <c r="AC603" s="209"/>
      <c r="AD603" s="209"/>
      <c r="AE603" s="209"/>
      <c r="AF603" s="209"/>
      <c r="AG603" s="209"/>
      <c r="AH603" s="209"/>
      <c r="AI603" s="209"/>
      <c r="AJ603" s="209"/>
      <c r="AK603" s="209"/>
      <c r="AL603" s="209"/>
      <c r="AM603" s="209"/>
      <c r="AN603" s="209"/>
      <c r="AO603" s="209"/>
      <c r="AP603" s="209"/>
    </row>
    <row r="604">
      <c r="A604" s="291"/>
      <c r="B604" s="303" t="s">
        <v>2621</v>
      </c>
      <c r="C604" s="377" t="s">
        <v>2607</v>
      </c>
      <c r="D604" s="304" t="s">
        <v>2622</v>
      </c>
      <c r="E604" s="307">
        <v>8.1011597608E11</v>
      </c>
      <c r="F604" s="325"/>
      <c r="G604" s="325"/>
      <c r="H604" s="325"/>
      <c r="I604" s="325"/>
      <c r="J604" s="300" t="b">
        <v>1</v>
      </c>
      <c r="K604" s="301" t="b">
        <v>0</v>
      </c>
      <c r="L604" s="494"/>
      <c r="M604" s="301" t="b">
        <v>0</v>
      </c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419"/>
      <c r="AA604" s="301" t="b">
        <v>0</v>
      </c>
      <c r="AB604" s="209"/>
      <c r="AC604" s="209"/>
      <c r="AD604" s="209"/>
      <c r="AE604" s="209"/>
      <c r="AF604" s="209"/>
      <c r="AG604" s="209"/>
      <c r="AH604" s="209"/>
      <c r="AI604" s="209"/>
      <c r="AJ604" s="209"/>
      <c r="AK604" s="209"/>
      <c r="AL604" s="209"/>
      <c r="AM604" s="209"/>
      <c r="AN604" s="209"/>
      <c r="AO604" s="209"/>
      <c r="AP604" s="209"/>
    </row>
    <row r="605">
      <c r="A605" s="291"/>
      <c r="B605" s="303" t="s">
        <v>2623</v>
      </c>
      <c r="C605" s="377" t="s">
        <v>2607</v>
      </c>
      <c r="D605" s="304" t="s">
        <v>2624</v>
      </c>
      <c r="E605" s="307">
        <v>8.10115976097E11</v>
      </c>
      <c r="F605" s="325"/>
      <c r="G605" s="325"/>
      <c r="H605" s="325"/>
      <c r="I605" s="325"/>
      <c r="J605" s="300" t="b">
        <v>1</v>
      </c>
      <c r="K605" s="301" t="b">
        <v>0</v>
      </c>
      <c r="L605" s="494"/>
      <c r="M605" s="301" t="b">
        <v>0</v>
      </c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419"/>
      <c r="AA605" s="301" t="b">
        <v>0</v>
      </c>
      <c r="AB605" s="209"/>
      <c r="AC605" s="209"/>
      <c r="AD605" s="209"/>
      <c r="AE605" s="209"/>
      <c r="AF605" s="209"/>
      <c r="AG605" s="209"/>
      <c r="AH605" s="209"/>
      <c r="AI605" s="209"/>
      <c r="AJ605" s="209"/>
      <c r="AK605" s="209"/>
      <c r="AL605" s="209"/>
      <c r="AM605" s="209"/>
      <c r="AN605" s="209"/>
      <c r="AO605" s="209"/>
      <c r="AP605" s="209"/>
    </row>
    <row r="606">
      <c r="A606" s="309"/>
      <c r="B606" s="310" t="s">
        <v>2625</v>
      </c>
      <c r="C606" s="379" t="s">
        <v>2607</v>
      </c>
      <c r="D606" s="311" t="s">
        <v>2626</v>
      </c>
      <c r="E606" s="318">
        <v>8.1011597611E11</v>
      </c>
      <c r="F606" s="331"/>
      <c r="G606" s="331"/>
      <c r="H606" s="331"/>
      <c r="I606" s="331"/>
      <c r="J606" s="300" t="b">
        <v>1</v>
      </c>
      <c r="K606" s="314" t="b">
        <v>0</v>
      </c>
      <c r="L606" s="495"/>
      <c r="M606" s="314" t="b">
        <v>0</v>
      </c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419"/>
      <c r="AA606" s="301" t="b">
        <v>0</v>
      </c>
      <c r="AB606" s="209"/>
      <c r="AC606" s="209"/>
      <c r="AD606" s="209"/>
      <c r="AE606" s="209"/>
      <c r="AF606" s="209"/>
      <c r="AG606" s="209"/>
      <c r="AH606" s="209"/>
      <c r="AI606" s="209"/>
      <c r="AJ606" s="209"/>
      <c r="AK606" s="209"/>
      <c r="AL606" s="209"/>
      <c r="AM606" s="209"/>
      <c r="AN606" s="209"/>
      <c r="AO606" s="209"/>
      <c r="AP606" s="209"/>
    </row>
    <row r="607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419"/>
      <c r="AA607" s="301" t="b">
        <v>0</v>
      </c>
      <c r="AB607" s="209"/>
      <c r="AC607" s="209"/>
      <c r="AD607" s="209"/>
      <c r="AE607" s="209"/>
      <c r="AF607" s="209"/>
      <c r="AG607" s="209"/>
      <c r="AH607" s="209"/>
      <c r="AI607" s="209"/>
      <c r="AJ607" s="209"/>
      <c r="AK607" s="209"/>
      <c r="AL607" s="209"/>
      <c r="AM607" s="209"/>
      <c r="AN607" s="209"/>
      <c r="AO607" s="209"/>
      <c r="AP607" s="209"/>
    </row>
    <row r="608">
      <c r="A608" s="316" t="s">
        <v>2658</v>
      </c>
      <c r="B608" s="282" t="s">
        <v>2628</v>
      </c>
      <c r="C608" s="273"/>
      <c r="D608" s="274" t="s">
        <v>2629</v>
      </c>
      <c r="E608" s="387" t="s">
        <v>374</v>
      </c>
      <c r="F608" s="273"/>
      <c r="G608" s="273"/>
      <c r="H608" s="276" t="s">
        <v>4380</v>
      </c>
      <c r="I608" s="276" t="s">
        <v>4163</v>
      </c>
      <c r="J608" s="278" t="str">
        <f>IF(COUNTIF(J609:J614, TRUE) = COUNTA(J609:J614), "Complete!", IF(COUNTIF(J609:J614, TRUE) &gt; 0, "Partial", "Not Started"))</f>
        <v>Complete!</v>
      </c>
      <c r="K608" s="279"/>
      <c r="L608" s="209"/>
      <c r="M608" s="209"/>
      <c r="N608" s="280">
        <v>10.0</v>
      </c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419"/>
      <c r="AA608" s="301" t="b">
        <v>0</v>
      </c>
      <c r="AB608" s="209"/>
      <c r="AC608" s="209"/>
      <c r="AD608" s="209"/>
      <c r="AE608" s="209"/>
      <c r="AF608" s="209"/>
      <c r="AG608" s="209"/>
      <c r="AH608" s="209"/>
      <c r="AI608" s="209"/>
      <c r="AJ608" s="209"/>
      <c r="AK608" s="209"/>
      <c r="AL608" s="209"/>
      <c r="AM608" s="209"/>
      <c r="AN608" s="209"/>
      <c r="AO608" s="209"/>
      <c r="AP608" s="209"/>
    </row>
    <row r="609">
      <c r="A609" s="291"/>
      <c r="B609" s="292" t="s">
        <v>2631</v>
      </c>
      <c r="C609" s="293" t="s">
        <v>944</v>
      </c>
      <c r="D609" s="293" t="s">
        <v>2632</v>
      </c>
      <c r="E609" s="299">
        <v>8.40472501328E11</v>
      </c>
      <c r="F609" s="295"/>
      <c r="G609" s="295"/>
      <c r="H609" s="295"/>
      <c r="I609" s="295"/>
      <c r="J609" s="296" t="b">
        <v>1</v>
      </c>
      <c r="K609" s="297" t="b">
        <v>0</v>
      </c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419"/>
      <c r="AA609" s="301" t="b">
        <v>0</v>
      </c>
      <c r="AB609" s="209"/>
      <c r="AC609" s="209"/>
      <c r="AD609" s="209"/>
      <c r="AE609" s="209"/>
      <c r="AF609" s="209"/>
      <c r="AG609" s="209"/>
      <c r="AH609" s="209"/>
      <c r="AI609" s="209"/>
      <c r="AJ609" s="209"/>
      <c r="AK609" s="209"/>
      <c r="AL609" s="209"/>
      <c r="AM609" s="209"/>
      <c r="AN609" s="209"/>
      <c r="AO609" s="209"/>
      <c r="AP609" s="209"/>
    </row>
    <row r="610">
      <c r="A610" s="291"/>
      <c r="B610" s="303" t="s">
        <v>2633</v>
      </c>
      <c r="C610" s="304" t="s">
        <v>826</v>
      </c>
      <c r="D610" s="304" t="s">
        <v>2634</v>
      </c>
      <c r="E610" s="307">
        <v>8.40472501342E11</v>
      </c>
      <c r="F610" s="209"/>
      <c r="G610" s="209"/>
      <c r="H610" s="209"/>
      <c r="I610" s="209"/>
      <c r="J610" s="296" t="b">
        <v>1</v>
      </c>
      <c r="K610" s="301" t="b">
        <v>0</v>
      </c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  <c r="AI610" s="209"/>
      <c r="AJ610" s="209"/>
      <c r="AK610" s="209"/>
      <c r="AL610" s="209"/>
      <c r="AM610" s="209"/>
      <c r="AN610" s="209"/>
      <c r="AO610" s="209"/>
      <c r="AP610" s="209"/>
    </row>
    <row r="611">
      <c r="A611" s="291"/>
      <c r="B611" s="303" t="s">
        <v>2635</v>
      </c>
      <c r="C611" s="304" t="s">
        <v>499</v>
      </c>
      <c r="D611" s="304" t="s">
        <v>2636</v>
      </c>
      <c r="E611" s="307">
        <v>8.40472501359E11</v>
      </c>
      <c r="F611" s="209"/>
      <c r="G611" s="209"/>
      <c r="H611" s="209"/>
      <c r="I611" s="209"/>
      <c r="J611" s="296" t="b">
        <v>1</v>
      </c>
      <c r="K611" s="301" t="b">
        <v>0</v>
      </c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  <c r="AI611" s="209"/>
      <c r="AJ611" s="209"/>
      <c r="AK611" s="209"/>
      <c r="AL611" s="209"/>
      <c r="AM611" s="209"/>
      <c r="AN611" s="209"/>
      <c r="AO611" s="209"/>
      <c r="AP611" s="209"/>
    </row>
    <row r="612">
      <c r="A612" s="291"/>
      <c r="B612" s="303" t="s">
        <v>2637</v>
      </c>
      <c r="C612" s="304" t="s">
        <v>499</v>
      </c>
      <c r="D612" s="304" t="s">
        <v>2638</v>
      </c>
      <c r="E612" s="307">
        <v>8.40472501366E11</v>
      </c>
      <c r="F612" s="209"/>
      <c r="G612" s="209"/>
      <c r="H612" s="209"/>
      <c r="I612" s="209"/>
      <c r="J612" s="296" t="b">
        <v>1</v>
      </c>
      <c r="K612" s="301" t="b">
        <v>0</v>
      </c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  <c r="AI612" s="209"/>
      <c r="AJ612" s="209"/>
      <c r="AK612" s="209"/>
      <c r="AL612" s="209"/>
      <c r="AM612" s="209"/>
      <c r="AN612" s="209"/>
      <c r="AO612" s="209"/>
      <c r="AP612" s="209"/>
    </row>
    <row r="613">
      <c r="A613" s="291"/>
      <c r="B613" s="303" t="s">
        <v>2639</v>
      </c>
      <c r="C613" s="304" t="s">
        <v>617</v>
      </c>
      <c r="D613" s="304" t="s">
        <v>2640</v>
      </c>
      <c r="E613" s="308" t="s">
        <v>2641</v>
      </c>
      <c r="F613" s="209"/>
      <c r="G613" s="209"/>
      <c r="H613" s="209"/>
      <c r="I613" s="209"/>
      <c r="J613" s="296" t="b">
        <v>1</v>
      </c>
      <c r="K613" s="301" t="b">
        <v>0</v>
      </c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  <c r="AI613" s="209"/>
      <c r="AJ613" s="209"/>
      <c r="AK613" s="209"/>
      <c r="AL613" s="209"/>
      <c r="AM613" s="209"/>
      <c r="AN613" s="209"/>
      <c r="AO613" s="209"/>
      <c r="AP613" s="209"/>
    </row>
    <row r="614">
      <c r="A614" s="291"/>
      <c r="B614" s="303" t="s">
        <v>2642</v>
      </c>
      <c r="C614" s="304" t="s">
        <v>826</v>
      </c>
      <c r="D614" s="304" t="s">
        <v>2643</v>
      </c>
      <c r="E614" s="308" t="s">
        <v>2644</v>
      </c>
      <c r="F614" s="209"/>
      <c r="G614" s="209"/>
      <c r="H614" s="209"/>
      <c r="I614" s="209"/>
      <c r="J614" s="296" t="b">
        <v>1</v>
      </c>
      <c r="K614" s="301" t="b">
        <v>0</v>
      </c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  <c r="AI614" s="209"/>
      <c r="AJ614" s="209"/>
      <c r="AK614" s="209"/>
      <c r="AL614" s="209"/>
      <c r="AM614" s="209"/>
      <c r="AN614" s="209"/>
      <c r="AO614" s="209"/>
      <c r="AP614" s="209"/>
    </row>
    <row r="615">
      <c r="A615" s="291"/>
      <c r="B615" s="303" t="s">
        <v>2645</v>
      </c>
      <c r="C615" s="304" t="s">
        <v>2646</v>
      </c>
      <c r="D615" s="304" t="s">
        <v>2647</v>
      </c>
      <c r="E615" s="307">
        <v>8.40472501304E11</v>
      </c>
      <c r="F615" s="209"/>
      <c r="G615" s="209"/>
      <c r="H615" s="209"/>
      <c r="I615" s="209"/>
      <c r="J615" s="296" t="b">
        <v>1</v>
      </c>
      <c r="K615" s="301" t="b">
        <v>0</v>
      </c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  <c r="AI615" s="209"/>
      <c r="AJ615" s="209"/>
      <c r="AK615" s="209"/>
      <c r="AL615" s="209"/>
      <c r="AM615" s="209"/>
      <c r="AN615" s="209"/>
      <c r="AO615" s="209"/>
      <c r="AP615" s="209"/>
    </row>
    <row r="616">
      <c r="A616" s="291"/>
      <c r="B616" s="303" t="s">
        <v>2648</v>
      </c>
      <c r="C616" s="304" t="s">
        <v>2649</v>
      </c>
      <c r="D616" s="304" t="s">
        <v>2650</v>
      </c>
      <c r="E616" s="308" t="s">
        <v>2651</v>
      </c>
      <c r="F616" s="325"/>
      <c r="G616" s="325"/>
      <c r="H616" s="325"/>
      <c r="I616" s="325"/>
      <c r="J616" s="296" t="b">
        <v>1</v>
      </c>
      <c r="K616" s="301" t="b">
        <v>0</v>
      </c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  <c r="AI616" s="209"/>
      <c r="AJ616" s="209"/>
      <c r="AK616" s="209"/>
      <c r="AL616" s="209"/>
      <c r="AM616" s="209"/>
      <c r="AN616" s="209"/>
      <c r="AO616" s="209"/>
      <c r="AP616" s="209"/>
    </row>
    <row r="617">
      <c r="A617" s="291"/>
      <c r="B617" s="303" t="s">
        <v>2652</v>
      </c>
      <c r="C617" s="304" t="s">
        <v>437</v>
      </c>
      <c r="D617" s="304" t="s">
        <v>2653</v>
      </c>
      <c r="E617" s="308" t="s">
        <v>2654</v>
      </c>
      <c r="F617" s="325"/>
      <c r="G617" s="325"/>
      <c r="H617" s="325"/>
      <c r="I617" s="325"/>
      <c r="J617" s="296" t="b">
        <v>1</v>
      </c>
      <c r="K617" s="301" t="b">
        <v>0</v>
      </c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  <c r="AI617" s="209"/>
      <c r="AJ617" s="209"/>
      <c r="AK617" s="209"/>
      <c r="AL617" s="209"/>
      <c r="AM617" s="209"/>
      <c r="AN617" s="209"/>
      <c r="AO617" s="209"/>
      <c r="AP617" s="209"/>
    </row>
    <row r="618">
      <c r="A618" s="309"/>
      <c r="B618" s="310" t="s">
        <v>2655</v>
      </c>
      <c r="C618" s="311" t="s">
        <v>836</v>
      </c>
      <c r="D618" s="311" t="s">
        <v>2656</v>
      </c>
      <c r="E618" s="335" t="s">
        <v>2657</v>
      </c>
      <c r="F618" s="331"/>
      <c r="G618" s="331"/>
      <c r="H618" s="331"/>
      <c r="I618" s="331"/>
      <c r="J618" s="296" t="b">
        <v>1</v>
      </c>
      <c r="K618" s="314" t="b">
        <v>0</v>
      </c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  <c r="AI618" s="209"/>
      <c r="AJ618" s="209"/>
      <c r="AK618" s="209"/>
      <c r="AL618" s="209"/>
      <c r="AM618" s="209"/>
      <c r="AN618" s="209"/>
      <c r="AO618" s="209"/>
      <c r="AP618" s="209"/>
    </row>
    <row r="619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  <c r="AI619" s="209"/>
      <c r="AJ619" s="209"/>
      <c r="AK619" s="209"/>
      <c r="AL619" s="209"/>
      <c r="AM619" s="209"/>
      <c r="AN619" s="209"/>
      <c r="AO619" s="209"/>
      <c r="AP619" s="209"/>
    </row>
    <row r="620">
      <c r="A620" s="316" t="s">
        <v>2679</v>
      </c>
      <c r="B620" s="282" t="s">
        <v>4381</v>
      </c>
      <c r="C620" s="273"/>
      <c r="D620" s="274" t="s">
        <v>4382</v>
      </c>
      <c r="E620" s="387" t="s">
        <v>374</v>
      </c>
      <c r="F620" s="273"/>
      <c r="G620" s="273"/>
      <c r="H620" s="276" t="s">
        <v>4380</v>
      </c>
      <c r="I620" s="276" t="s">
        <v>3346</v>
      </c>
      <c r="J620" s="278" t="str">
        <f>IF(COUNTIF(J621:J624, TRUE) = COUNTA(J621:J624), "Complete!", IF(COUNTIF(J621:J624, TRUE) &gt; 0, "Partial", "Not Started"))</f>
        <v>Complete!</v>
      </c>
      <c r="K620" s="279"/>
      <c r="L620" s="209"/>
      <c r="M620" s="209"/>
      <c r="N620" s="280">
        <v>3.0</v>
      </c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  <c r="AI620" s="209"/>
      <c r="AJ620" s="209"/>
      <c r="AK620" s="209"/>
      <c r="AL620" s="209"/>
      <c r="AM620" s="209"/>
      <c r="AN620" s="209"/>
      <c r="AO620" s="209"/>
      <c r="AP620" s="209"/>
    </row>
    <row r="621">
      <c r="A621" s="291"/>
      <c r="B621" s="292" t="s">
        <v>2661</v>
      </c>
      <c r="C621" s="293" t="s">
        <v>2662</v>
      </c>
      <c r="D621" s="293" t="s">
        <v>2663</v>
      </c>
      <c r="E621" s="299">
        <v>8.10115975076E11</v>
      </c>
      <c r="F621" s="295"/>
      <c r="G621" s="295"/>
      <c r="H621" s="295"/>
      <c r="I621" s="295"/>
      <c r="J621" s="296" t="b">
        <v>1</v>
      </c>
      <c r="K621" s="297" t="b">
        <v>0</v>
      </c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  <c r="AI621" s="209"/>
      <c r="AJ621" s="209"/>
      <c r="AK621" s="209"/>
      <c r="AL621" s="209"/>
      <c r="AM621" s="209"/>
      <c r="AN621" s="209"/>
      <c r="AO621" s="209"/>
      <c r="AP621" s="209"/>
    </row>
    <row r="622">
      <c r="A622" s="291"/>
      <c r="B622" s="303" t="s">
        <v>2703</v>
      </c>
      <c r="C622" s="304" t="s">
        <v>2662</v>
      </c>
      <c r="D622" s="304" t="s">
        <v>2704</v>
      </c>
      <c r="E622" s="307">
        <v>8.4047250138E11</v>
      </c>
      <c r="F622" s="209"/>
      <c r="G622" s="209"/>
      <c r="H622" s="209"/>
      <c r="I622" s="209"/>
      <c r="J622" s="300" t="b">
        <v>1</v>
      </c>
      <c r="K622" s="301" t="b">
        <v>0</v>
      </c>
      <c r="L622" s="209"/>
      <c r="M622" s="209"/>
      <c r="N622" s="209"/>
      <c r="O622" s="209"/>
      <c r="P622" s="304" t="s">
        <v>4383</v>
      </c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  <c r="AI622" s="209"/>
      <c r="AJ622" s="209"/>
      <c r="AK622" s="209"/>
      <c r="AL622" s="209"/>
      <c r="AM622" s="209"/>
      <c r="AN622" s="209"/>
      <c r="AO622" s="209"/>
      <c r="AP622" s="209"/>
    </row>
    <row r="623">
      <c r="A623" s="309"/>
      <c r="B623" s="310" t="s">
        <v>2705</v>
      </c>
      <c r="C623" s="311" t="s">
        <v>2662</v>
      </c>
      <c r="D623" s="311" t="s">
        <v>2706</v>
      </c>
      <c r="E623" s="318">
        <v>8.40472501373E11</v>
      </c>
      <c r="F623" s="313"/>
      <c r="G623" s="313"/>
      <c r="H623" s="313"/>
      <c r="I623" s="313"/>
      <c r="J623" s="350" t="b">
        <v>1</v>
      </c>
      <c r="K623" s="314" t="b">
        <v>0</v>
      </c>
      <c r="L623" s="209"/>
      <c r="M623" s="209"/>
      <c r="N623" s="209"/>
      <c r="O623" s="209"/>
      <c r="P623" s="496" t="s">
        <v>4040</v>
      </c>
      <c r="Q623" s="304" t="s">
        <v>4041</v>
      </c>
      <c r="R623" s="304" t="s">
        <v>4042</v>
      </c>
      <c r="S623" s="308" t="s">
        <v>4043</v>
      </c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  <c r="AI623" s="209"/>
      <c r="AJ623" s="209"/>
      <c r="AK623" s="209"/>
      <c r="AL623" s="209"/>
      <c r="AM623" s="209"/>
      <c r="AN623" s="209"/>
      <c r="AO623" s="209"/>
      <c r="AP623" s="209"/>
    </row>
    <row r="624">
      <c r="A624" s="209"/>
      <c r="B624" s="209"/>
      <c r="C624" s="209"/>
      <c r="D624" s="209"/>
      <c r="E624" s="353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  <c r="AI624" s="209"/>
      <c r="AJ624" s="209"/>
      <c r="AK624" s="209"/>
      <c r="AL624" s="209"/>
      <c r="AM624" s="209"/>
      <c r="AN624" s="209"/>
      <c r="AO624" s="209"/>
      <c r="AP624" s="209"/>
    </row>
    <row r="625">
      <c r="A625" s="316" t="s">
        <v>2699</v>
      </c>
      <c r="B625" s="282" t="s">
        <v>4384</v>
      </c>
      <c r="C625" s="273"/>
      <c r="D625" s="274" t="s">
        <v>4385</v>
      </c>
      <c r="E625" s="387" t="s">
        <v>374</v>
      </c>
      <c r="F625" s="273"/>
      <c r="G625" s="273"/>
      <c r="H625" s="276" t="s">
        <v>563</v>
      </c>
      <c r="I625" s="276" t="s">
        <v>3223</v>
      </c>
      <c r="J625" s="278" t="str">
        <f>IF(COUNTIF(J626:J631, TRUE) = COUNTA(J626:J631), "Complete!", IF(COUNTIF(J626:J631, TRUE) &gt; 0, "Partial", "Not Started"))</f>
        <v>Complete!</v>
      </c>
      <c r="K625" s="279"/>
      <c r="L625" s="209"/>
      <c r="M625" s="209"/>
      <c r="N625" s="280">
        <v>9.0</v>
      </c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  <c r="AI625" s="209"/>
      <c r="AJ625" s="209"/>
      <c r="AK625" s="209"/>
      <c r="AL625" s="209"/>
      <c r="AM625" s="209"/>
      <c r="AN625" s="209"/>
      <c r="AO625" s="209"/>
      <c r="AP625" s="209"/>
    </row>
    <row r="626">
      <c r="A626" s="291"/>
      <c r="B626" s="292" t="s">
        <v>2664</v>
      </c>
      <c r="C626" s="293" t="s">
        <v>2665</v>
      </c>
      <c r="D626" s="293" t="s">
        <v>2666</v>
      </c>
      <c r="E626" s="299">
        <v>8.10115975083E11</v>
      </c>
      <c r="F626" s="295"/>
      <c r="G626" s="295"/>
      <c r="H626" s="295"/>
      <c r="I626" s="295"/>
      <c r="J626" s="296" t="b">
        <v>1</v>
      </c>
      <c r="K626" s="297" t="b">
        <v>0</v>
      </c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  <c r="AI626" s="209"/>
      <c r="AJ626" s="209"/>
      <c r="AK626" s="209"/>
      <c r="AL626" s="209"/>
      <c r="AM626" s="209"/>
      <c r="AN626" s="209"/>
      <c r="AO626" s="209"/>
      <c r="AP626" s="209"/>
    </row>
    <row r="627">
      <c r="A627" s="291"/>
      <c r="B627" s="303" t="s">
        <v>2740</v>
      </c>
      <c r="C627" s="304" t="s">
        <v>736</v>
      </c>
      <c r="D627" s="304" t="s">
        <v>2741</v>
      </c>
      <c r="E627" s="307">
        <v>8.1011597509E11</v>
      </c>
      <c r="F627" s="209"/>
      <c r="G627" s="209"/>
      <c r="H627" s="209"/>
      <c r="I627" s="209"/>
      <c r="J627" s="296" t="b">
        <v>1</v>
      </c>
      <c r="K627" s="301" t="b">
        <v>0</v>
      </c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  <c r="AI627" s="209"/>
      <c r="AJ627" s="209"/>
      <c r="AK627" s="209"/>
      <c r="AL627" s="209"/>
      <c r="AM627" s="209"/>
      <c r="AN627" s="209"/>
      <c r="AO627" s="209"/>
      <c r="AP627" s="209"/>
    </row>
    <row r="628">
      <c r="A628" s="291"/>
      <c r="B628" s="303" t="s">
        <v>2752</v>
      </c>
      <c r="C628" s="304" t="s">
        <v>2683</v>
      </c>
      <c r="D628" s="304" t="s">
        <v>2753</v>
      </c>
      <c r="E628" s="307">
        <v>8.10115975106E11</v>
      </c>
      <c r="F628" s="209"/>
      <c r="G628" s="209"/>
      <c r="H628" s="209"/>
      <c r="I628" s="209"/>
      <c r="J628" s="296" t="b">
        <v>1</v>
      </c>
      <c r="K628" s="301" t="b">
        <v>0</v>
      </c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  <c r="AI628" s="209"/>
      <c r="AJ628" s="209"/>
      <c r="AK628" s="209"/>
      <c r="AL628" s="209"/>
      <c r="AM628" s="209"/>
      <c r="AN628" s="209"/>
      <c r="AO628" s="209"/>
      <c r="AP628" s="209"/>
    </row>
    <row r="629">
      <c r="A629" s="291"/>
      <c r="B629" s="303" t="s">
        <v>2682</v>
      </c>
      <c r="C629" s="304" t="s">
        <v>2683</v>
      </c>
      <c r="D629" s="304" t="s">
        <v>2684</v>
      </c>
      <c r="E629" s="307">
        <v>8.4047250141E11</v>
      </c>
      <c r="F629" s="209"/>
      <c r="G629" s="209"/>
      <c r="H629" s="209"/>
      <c r="I629" s="209"/>
      <c r="J629" s="296" t="b">
        <v>1</v>
      </c>
      <c r="K629" s="301" t="b">
        <v>0</v>
      </c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  <c r="AI629" s="209"/>
      <c r="AJ629" s="209"/>
      <c r="AK629" s="209"/>
      <c r="AL629" s="209"/>
      <c r="AM629" s="209"/>
      <c r="AN629" s="209"/>
      <c r="AO629" s="209"/>
      <c r="AP629" s="209"/>
    </row>
    <row r="630">
      <c r="A630" s="291"/>
      <c r="B630" s="303" t="s">
        <v>2685</v>
      </c>
      <c r="C630" s="304" t="s">
        <v>736</v>
      </c>
      <c r="D630" s="304" t="s">
        <v>2686</v>
      </c>
      <c r="E630" s="307">
        <v>8.40472501403E11</v>
      </c>
      <c r="F630" s="209"/>
      <c r="G630" s="209"/>
      <c r="H630" s="209"/>
      <c r="I630" s="209"/>
      <c r="J630" s="296" t="b">
        <v>1</v>
      </c>
      <c r="K630" s="301" t="b">
        <v>0</v>
      </c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  <c r="AI630" s="209"/>
      <c r="AJ630" s="209"/>
      <c r="AK630" s="209"/>
      <c r="AL630" s="209"/>
      <c r="AM630" s="209"/>
      <c r="AN630" s="209"/>
      <c r="AO630" s="209"/>
      <c r="AP630" s="209"/>
    </row>
    <row r="631">
      <c r="A631" s="291"/>
      <c r="B631" s="303" t="s">
        <v>2688</v>
      </c>
      <c r="C631" s="304" t="s">
        <v>2665</v>
      </c>
      <c r="D631" s="304" t="s">
        <v>2689</v>
      </c>
      <c r="E631" s="307">
        <v>8.40472501397E11</v>
      </c>
      <c r="F631" s="209"/>
      <c r="G631" s="209"/>
      <c r="H631" s="209"/>
      <c r="I631" s="209"/>
      <c r="J631" s="296" t="b">
        <v>1</v>
      </c>
      <c r="K631" s="301" t="b">
        <v>0</v>
      </c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  <c r="AI631" s="209"/>
      <c r="AJ631" s="209"/>
      <c r="AK631" s="209"/>
      <c r="AL631" s="209"/>
      <c r="AM631" s="209"/>
      <c r="AN631" s="209"/>
      <c r="AO631" s="209"/>
      <c r="AP631" s="209"/>
    </row>
    <row r="632">
      <c r="A632" s="291"/>
      <c r="B632" s="303" t="s">
        <v>2690</v>
      </c>
      <c r="C632" s="304" t="s">
        <v>2683</v>
      </c>
      <c r="D632" s="304" t="s">
        <v>2691</v>
      </c>
      <c r="E632" s="307">
        <v>8.40472503865E11</v>
      </c>
      <c r="F632" s="209"/>
      <c r="G632" s="209"/>
      <c r="H632" s="209"/>
      <c r="I632" s="209"/>
      <c r="J632" s="296" t="b">
        <v>1</v>
      </c>
      <c r="K632" s="301" t="b">
        <v>0</v>
      </c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  <c r="AI632" s="209"/>
      <c r="AJ632" s="209"/>
      <c r="AK632" s="209"/>
      <c r="AL632" s="209"/>
      <c r="AM632" s="209"/>
      <c r="AN632" s="209"/>
      <c r="AO632" s="209"/>
      <c r="AP632" s="209"/>
    </row>
    <row r="633">
      <c r="A633" s="291"/>
      <c r="B633" s="303" t="s">
        <v>2692</v>
      </c>
      <c r="C633" s="304" t="s">
        <v>2665</v>
      </c>
      <c r="D633" s="304" t="s">
        <v>2693</v>
      </c>
      <c r="E633" s="308" t="s">
        <v>2694</v>
      </c>
      <c r="F633" s="325"/>
      <c r="G633" s="325"/>
      <c r="H633" s="325"/>
      <c r="I633" s="325"/>
      <c r="J633" s="296" t="b">
        <v>1</v>
      </c>
      <c r="K633" s="301" t="b">
        <v>0</v>
      </c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  <c r="AI633" s="209"/>
      <c r="AJ633" s="209"/>
      <c r="AK633" s="209"/>
      <c r="AL633" s="209"/>
      <c r="AM633" s="209"/>
      <c r="AN633" s="209"/>
      <c r="AO633" s="209"/>
      <c r="AP633" s="209"/>
    </row>
    <row r="634">
      <c r="A634" s="309"/>
      <c r="B634" s="310" t="s">
        <v>2695</v>
      </c>
      <c r="C634" s="311" t="s">
        <v>2696</v>
      </c>
      <c r="D634" s="311" t="s">
        <v>2697</v>
      </c>
      <c r="E634" s="335" t="s">
        <v>2698</v>
      </c>
      <c r="F634" s="331"/>
      <c r="G634" s="331"/>
      <c r="H634" s="331"/>
      <c r="I634" s="331"/>
      <c r="J634" s="296" t="b">
        <v>1</v>
      </c>
      <c r="K634" s="314" t="b">
        <v>0</v>
      </c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  <c r="AI634" s="209"/>
      <c r="AJ634" s="209"/>
      <c r="AK634" s="209"/>
      <c r="AL634" s="209"/>
      <c r="AM634" s="209"/>
      <c r="AN634" s="209"/>
      <c r="AO634" s="209"/>
      <c r="AP634" s="209"/>
    </row>
    <row r="635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209"/>
      <c r="AJ635" s="209"/>
      <c r="AK635" s="209"/>
      <c r="AL635" s="209"/>
      <c r="AM635" s="209"/>
      <c r="AN635" s="209"/>
      <c r="AO635" s="209"/>
      <c r="AP635" s="209"/>
    </row>
    <row r="636">
      <c r="A636" s="316" t="s">
        <v>2723</v>
      </c>
      <c r="B636" s="319" t="s">
        <v>4386</v>
      </c>
      <c r="C636" s="320"/>
      <c r="D636" s="388" t="s">
        <v>4387</v>
      </c>
      <c r="E636" s="336" t="s">
        <v>4226</v>
      </c>
      <c r="F636" s="436"/>
      <c r="G636" s="320"/>
      <c r="H636" s="285" t="s">
        <v>900</v>
      </c>
      <c r="I636" s="285" t="s">
        <v>4189</v>
      </c>
      <c r="J636" s="333" t="str">
        <f>IF(COUNTIF(#REF!, TRUE) = COUNTA(#REF!), "Complete!", IF(COUNTIF(#REF!, TRUE) &gt; 0, "Partial", "Not Started"))</f>
        <v>#REF!</v>
      </c>
      <c r="K636" s="334"/>
      <c r="L636" s="209"/>
      <c r="M636" s="209"/>
      <c r="N636" s="280">
        <v>13.0</v>
      </c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  <c r="AI636" s="209"/>
      <c r="AJ636" s="209"/>
      <c r="AK636" s="209"/>
      <c r="AL636" s="209"/>
      <c r="AM636" s="209"/>
      <c r="AN636" s="209"/>
      <c r="AO636" s="209"/>
      <c r="AP636" s="209"/>
    </row>
    <row r="637">
      <c r="A637" s="291"/>
      <c r="B637" s="292" t="s">
        <v>2707</v>
      </c>
      <c r="C637" s="293" t="s">
        <v>685</v>
      </c>
      <c r="D637" s="293" t="s">
        <v>2708</v>
      </c>
      <c r="E637" s="299">
        <v>8.40472501465E11</v>
      </c>
      <c r="F637" s="295"/>
      <c r="G637" s="295"/>
      <c r="H637" s="295"/>
      <c r="I637" s="295"/>
      <c r="J637" s="296" t="b">
        <v>1</v>
      </c>
      <c r="K637" s="297" t="b">
        <v>0</v>
      </c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  <c r="AI637" s="209"/>
      <c r="AJ637" s="209"/>
      <c r="AK637" s="209"/>
      <c r="AL637" s="209"/>
      <c r="AM637" s="209"/>
      <c r="AN637" s="209"/>
      <c r="AO637" s="209"/>
      <c r="AP637" s="209"/>
    </row>
    <row r="638">
      <c r="A638" s="291"/>
      <c r="B638" s="303" t="s">
        <v>2709</v>
      </c>
      <c r="C638" s="304" t="s">
        <v>588</v>
      </c>
      <c r="D638" s="304" t="s">
        <v>2710</v>
      </c>
      <c r="E638" s="307">
        <v>8.40472501496E11</v>
      </c>
      <c r="F638" s="209"/>
      <c r="G638" s="209"/>
      <c r="H638" s="209"/>
      <c r="I638" s="209"/>
      <c r="J638" s="296" t="b">
        <v>1</v>
      </c>
      <c r="K638" s="301" t="b">
        <v>0</v>
      </c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  <c r="AI638" s="209"/>
      <c r="AJ638" s="209"/>
      <c r="AK638" s="209"/>
      <c r="AL638" s="209"/>
      <c r="AM638" s="209"/>
      <c r="AN638" s="209"/>
      <c r="AO638" s="209"/>
      <c r="AP638" s="209"/>
    </row>
    <row r="639">
      <c r="A639" s="291"/>
      <c r="B639" s="303" t="s">
        <v>2667</v>
      </c>
      <c r="C639" s="304" t="s">
        <v>685</v>
      </c>
      <c r="D639" s="304" t="s">
        <v>2668</v>
      </c>
      <c r="E639" s="307">
        <v>8.40472501472E11</v>
      </c>
      <c r="F639" s="209"/>
      <c r="G639" s="209"/>
      <c r="H639" s="209"/>
      <c r="I639" s="209"/>
      <c r="J639" s="296" t="b">
        <v>1</v>
      </c>
      <c r="K639" s="301" t="b">
        <v>0</v>
      </c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  <c r="AI639" s="209"/>
      <c r="AJ639" s="209"/>
      <c r="AK639" s="209"/>
      <c r="AL639" s="209"/>
      <c r="AM639" s="209"/>
      <c r="AN639" s="209"/>
      <c r="AO639" s="209"/>
      <c r="AP639" s="209"/>
    </row>
    <row r="640">
      <c r="A640" s="291"/>
      <c r="B640" s="303" t="s">
        <v>2711</v>
      </c>
      <c r="C640" s="304" t="s">
        <v>685</v>
      </c>
      <c r="D640" s="304" t="s">
        <v>2712</v>
      </c>
      <c r="E640" s="209"/>
      <c r="F640" s="209"/>
      <c r="G640" s="209"/>
      <c r="H640" s="209"/>
      <c r="I640" s="209"/>
      <c r="J640" s="296" t="b">
        <v>1</v>
      </c>
      <c r="K640" s="301" t="b">
        <v>0</v>
      </c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  <c r="AI640" s="209"/>
      <c r="AJ640" s="209"/>
      <c r="AK640" s="209"/>
      <c r="AL640" s="209"/>
      <c r="AM640" s="209"/>
      <c r="AN640" s="209"/>
      <c r="AO640" s="209"/>
      <c r="AP640" s="209"/>
    </row>
    <row r="641">
      <c r="A641" s="291"/>
      <c r="B641" s="303" t="s">
        <v>2669</v>
      </c>
      <c r="C641" s="304" t="s">
        <v>588</v>
      </c>
      <c r="D641" s="304" t="s">
        <v>2670</v>
      </c>
      <c r="E641" s="307">
        <v>8.40472501502E11</v>
      </c>
      <c r="F641" s="209"/>
      <c r="G641" s="209"/>
      <c r="H641" s="209"/>
      <c r="I641" s="209"/>
      <c r="J641" s="296" t="b">
        <v>1</v>
      </c>
      <c r="K641" s="301" t="b">
        <v>0</v>
      </c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  <c r="AI641" s="209"/>
      <c r="AJ641" s="209"/>
      <c r="AK641" s="209"/>
      <c r="AL641" s="209"/>
      <c r="AM641" s="209"/>
      <c r="AN641" s="209"/>
      <c r="AO641" s="209"/>
      <c r="AP641" s="209"/>
    </row>
    <row r="642">
      <c r="A642" s="291"/>
      <c r="B642" s="303" t="s">
        <v>2713</v>
      </c>
      <c r="C642" s="304" t="s">
        <v>394</v>
      </c>
      <c r="D642" s="304" t="s">
        <v>2714</v>
      </c>
      <c r="E642" s="209"/>
      <c r="F642" s="209"/>
      <c r="G642" s="209"/>
      <c r="H642" s="209"/>
      <c r="I642" s="209"/>
      <c r="J642" s="296" t="b">
        <v>1</v>
      </c>
      <c r="K642" s="301" t="b">
        <v>0</v>
      </c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  <c r="AI642" s="209"/>
      <c r="AJ642" s="209"/>
      <c r="AK642" s="209"/>
      <c r="AL642" s="209"/>
      <c r="AM642" s="209"/>
      <c r="AN642" s="209"/>
      <c r="AO642" s="209"/>
      <c r="AP642" s="209"/>
    </row>
    <row r="643">
      <c r="A643" s="291"/>
      <c r="B643" s="303" t="s">
        <v>2758</v>
      </c>
      <c r="C643" s="304" t="s">
        <v>394</v>
      </c>
      <c r="D643" s="304" t="s">
        <v>2759</v>
      </c>
      <c r="E643" s="307">
        <v>8.4047250154E11</v>
      </c>
      <c r="F643" s="209"/>
      <c r="G643" s="209"/>
      <c r="H643" s="209"/>
      <c r="I643" s="209"/>
      <c r="J643" s="296" t="b">
        <v>1</v>
      </c>
      <c r="K643" s="301" t="b">
        <v>0</v>
      </c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  <c r="AI643" s="209"/>
      <c r="AJ643" s="209"/>
      <c r="AK643" s="209"/>
      <c r="AL643" s="209"/>
      <c r="AM643" s="209"/>
      <c r="AN643" s="209"/>
      <c r="AO643" s="209"/>
      <c r="AP643" s="209"/>
    </row>
    <row r="644">
      <c r="A644" s="291"/>
      <c r="B644" s="303" t="s">
        <v>2715</v>
      </c>
      <c r="C644" s="304" t="s">
        <v>662</v>
      </c>
      <c r="D644" s="304" t="s">
        <v>2716</v>
      </c>
      <c r="E644" s="307">
        <v>8.40472501564E11</v>
      </c>
      <c r="F644" s="209"/>
      <c r="G644" s="209"/>
      <c r="H644" s="209"/>
      <c r="I644" s="209"/>
      <c r="J644" s="296" t="b">
        <v>1</v>
      </c>
      <c r="K644" s="301" t="b">
        <v>0</v>
      </c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  <c r="AI644" s="209"/>
      <c r="AJ644" s="209"/>
      <c r="AK644" s="209"/>
      <c r="AL644" s="209"/>
      <c r="AM644" s="209"/>
      <c r="AN644" s="209"/>
      <c r="AO644" s="209"/>
      <c r="AP644" s="209"/>
    </row>
    <row r="645">
      <c r="A645" s="291"/>
      <c r="B645" s="303" t="s">
        <v>2717</v>
      </c>
      <c r="C645" s="304" t="s">
        <v>394</v>
      </c>
      <c r="D645" s="304" t="s">
        <v>2718</v>
      </c>
      <c r="E645" s="307">
        <v>8.40472501533E11</v>
      </c>
      <c r="F645" s="209"/>
      <c r="G645" s="209"/>
      <c r="H645" s="209"/>
      <c r="I645" s="209"/>
      <c r="J645" s="296" t="b">
        <v>1</v>
      </c>
      <c r="K645" s="301" t="b">
        <v>0</v>
      </c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  <c r="AI645" s="209"/>
      <c r="AJ645" s="209"/>
      <c r="AK645" s="209"/>
      <c r="AL645" s="209"/>
      <c r="AM645" s="209"/>
      <c r="AN645" s="209"/>
      <c r="AO645" s="209"/>
      <c r="AP645" s="209"/>
    </row>
    <row r="646">
      <c r="A646" s="291"/>
      <c r="B646" s="303" t="s">
        <v>2750</v>
      </c>
      <c r="C646" s="304" t="s">
        <v>662</v>
      </c>
      <c r="D646" s="304" t="s">
        <v>2751</v>
      </c>
      <c r="E646" s="307">
        <v>8.40472501571E11</v>
      </c>
      <c r="F646" s="209"/>
      <c r="G646" s="209"/>
      <c r="H646" s="209"/>
      <c r="I646" s="209"/>
      <c r="J646" s="296" t="b">
        <v>1</v>
      </c>
      <c r="K646" s="301" t="b">
        <v>0</v>
      </c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  <c r="AI646" s="209"/>
      <c r="AJ646" s="209"/>
      <c r="AK646" s="209"/>
      <c r="AL646" s="209"/>
      <c r="AM646" s="209"/>
      <c r="AN646" s="209"/>
      <c r="AO646" s="209"/>
      <c r="AP646" s="209"/>
    </row>
    <row r="647">
      <c r="A647" s="291"/>
      <c r="B647" s="303" t="s">
        <v>2719</v>
      </c>
      <c r="C647" s="304" t="s">
        <v>588</v>
      </c>
      <c r="D647" s="304" t="s">
        <v>2720</v>
      </c>
      <c r="E647" s="209"/>
      <c r="F647" s="209"/>
      <c r="G647" s="209"/>
      <c r="H647" s="209"/>
      <c r="I647" s="209"/>
      <c r="J647" s="296" t="b">
        <v>1</v>
      </c>
      <c r="K647" s="301" t="b">
        <v>0</v>
      </c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  <c r="AI647" s="209"/>
      <c r="AJ647" s="209"/>
      <c r="AK647" s="209"/>
      <c r="AL647" s="209"/>
      <c r="AM647" s="209"/>
      <c r="AN647" s="209"/>
      <c r="AO647" s="209"/>
      <c r="AP647" s="209"/>
    </row>
    <row r="648">
      <c r="A648" s="309"/>
      <c r="B648" s="310" t="s">
        <v>2721</v>
      </c>
      <c r="C648" s="311" t="s">
        <v>662</v>
      </c>
      <c r="D648" s="311" t="s">
        <v>2722</v>
      </c>
      <c r="E648" s="313"/>
      <c r="F648" s="313"/>
      <c r="G648" s="313"/>
      <c r="H648" s="313"/>
      <c r="I648" s="313"/>
      <c r="J648" s="296" t="b">
        <v>1</v>
      </c>
      <c r="K648" s="314" t="b">
        <v>0</v>
      </c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  <c r="AI648" s="209"/>
      <c r="AJ648" s="209"/>
      <c r="AK648" s="209"/>
      <c r="AL648" s="209"/>
      <c r="AM648" s="209"/>
      <c r="AN648" s="209"/>
      <c r="AO648" s="209"/>
      <c r="AP648" s="209"/>
    </row>
    <row r="649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  <c r="AI649" s="209"/>
      <c r="AJ649" s="209"/>
      <c r="AK649" s="209"/>
      <c r="AL649" s="209"/>
      <c r="AM649" s="209"/>
      <c r="AN649" s="209"/>
      <c r="AO649" s="209"/>
      <c r="AP649" s="209"/>
    </row>
    <row r="650">
      <c r="A650" s="316" t="s">
        <v>2746</v>
      </c>
      <c r="B650" s="319" t="s">
        <v>4388</v>
      </c>
      <c r="C650" s="320"/>
      <c r="D650" s="283" t="s">
        <v>4389</v>
      </c>
      <c r="E650" s="387" t="s">
        <v>374</v>
      </c>
      <c r="F650" s="436"/>
      <c r="G650" s="320"/>
      <c r="H650" s="285" t="s">
        <v>962</v>
      </c>
      <c r="I650" s="285" t="s">
        <v>4390</v>
      </c>
      <c r="J650" s="333" t="str">
        <f>IF(COUNTIF(#REF!, TRUE) = COUNTA(#REF!), "Complete!", IF(COUNTIF(#REF!, TRUE) &gt; 0, "Partial", "Not Started"))</f>
        <v>#REF!</v>
      </c>
      <c r="K650" s="334"/>
      <c r="L650" s="209"/>
      <c r="M650" s="209"/>
      <c r="N650" s="280">
        <v>6.0</v>
      </c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  <c r="AI650" s="209"/>
      <c r="AJ650" s="209"/>
      <c r="AK650" s="209"/>
      <c r="AL650" s="209"/>
      <c r="AM650" s="209"/>
      <c r="AN650" s="209"/>
      <c r="AO650" s="209"/>
      <c r="AP650" s="209"/>
    </row>
    <row r="651">
      <c r="A651" s="291"/>
      <c r="B651" s="292" t="s">
        <v>2727</v>
      </c>
      <c r="C651" s="293" t="s">
        <v>2728</v>
      </c>
      <c r="D651" s="293" t="s">
        <v>2729</v>
      </c>
      <c r="E651" s="299">
        <v>8.40472501427E11</v>
      </c>
      <c r="F651" s="295"/>
      <c r="G651" s="295"/>
      <c r="H651" s="295"/>
      <c r="I651" s="295"/>
      <c r="J651" s="296" t="b">
        <v>1</v>
      </c>
      <c r="K651" s="297" t="b">
        <v>0</v>
      </c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  <c r="AI651" s="209"/>
      <c r="AJ651" s="209"/>
      <c r="AK651" s="209"/>
      <c r="AL651" s="209"/>
      <c r="AM651" s="209"/>
      <c r="AN651" s="209"/>
      <c r="AO651" s="209"/>
      <c r="AP651" s="209"/>
    </row>
    <row r="652">
      <c r="A652" s="291"/>
      <c r="B652" s="303" t="s">
        <v>2671</v>
      </c>
      <c r="C652" s="304" t="s">
        <v>668</v>
      </c>
      <c r="D652" s="304" t="s">
        <v>2672</v>
      </c>
      <c r="E652" s="307">
        <v>8.40472501434E11</v>
      </c>
      <c r="F652" s="209"/>
      <c r="G652" s="209"/>
      <c r="H652" s="209"/>
      <c r="I652" s="209"/>
      <c r="J652" s="300" t="b">
        <v>1</v>
      </c>
      <c r="K652" s="301" t="b">
        <v>0</v>
      </c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  <c r="AI652" s="209"/>
      <c r="AJ652" s="209"/>
      <c r="AK652" s="209"/>
      <c r="AL652" s="209"/>
      <c r="AM652" s="209"/>
      <c r="AN652" s="209"/>
      <c r="AO652" s="209"/>
      <c r="AP652" s="209"/>
    </row>
    <row r="653">
      <c r="A653" s="291"/>
      <c r="B653" s="303" t="s">
        <v>2673</v>
      </c>
      <c r="C653" s="304" t="s">
        <v>659</v>
      </c>
      <c r="D653" s="304" t="s">
        <v>2674</v>
      </c>
      <c r="E653" s="307">
        <v>8.40472501441E11</v>
      </c>
      <c r="F653" s="209"/>
      <c r="G653" s="209"/>
      <c r="H653" s="209"/>
      <c r="I653" s="209"/>
      <c r="J653" s="300" t="b">
        <v>1</v>
      </c>
      <c r="K653" s="301" t="b">
        <v>0</v>
      </c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  <c r="AI653" s="209"/>
      <c r="AJ653" s="209"/>
      <c r="AK653" s="209"/>
      <c r="AL653" s="209"/>
      <c r="AM653" s="209"/>
      <c r="AN653" s="209"/>
      <c r="AO653" s="209"/>
      <c r="AP653" s="209"/>
    </row>
    <row r="654">
      <c r="A654" s="291"/>
      <c r="B654" s="303" t="s">
        <v>2730</v>
      </c>
      <c r="C654" s="304" t="s">
        <v>542</v>
      </c>
      <c r="D654" s="304" t="s">
        <v>2731</v>
      </c>
      <c r="E654" s="307">
        <v>8.40472503964E11</v>
      </c>
      <c r="F654" s="304" t="s">
        <v>1062</v>
      </c>
      <c r="G654" s="209"/>
      <c r="H654" s="209"/>
      <c r="I654" s="209"/>
      <c r="J654" s="300" t="b">
        <v>1</v>
      </c>
      <c r="K654" s="301" t="b">
        <v>0</v>
      </c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  <c r="AI654" s="209"/>
      <c r="AJ654" s="209"/>
      <c r="AK654" s="209"/>
      <c r="AL654" s="209"/>
      <c r="AM654" s="209"/>
      <c r="AN654" s="209"/>
      <c r="AO654" s="209"/>
      <c r="AP654" s="209"/>
    </row>
    <row r="655">
      <c r="A655" s="291"/>
      <c r="B655" s="303" t="s">
        <v>2732</v>
      </c>
      <c r="C655" s="304" t="s">
        <v>595</v>
      </c>
      <c r="D655" s="304" t="s">
        <v>2733</v>
      </c>
      <c r="E655" s="307">
        <v>8.40472503971E11</v>
      </c>
      <c r="F655" s="304" t="s">
        <v>1062</v>
      </c>
      <c r="G655" s="209"/>
      <c r="H655" s="209"/>
      <c r="I655" s="209"/>
      <c r="J655" s="300" t="b">
        <v>1</v>
      </c>
      <c r="K655" s="301" t="b">
        <v>0</v>
      </c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  <c r="AI655" s="209"/>
      <c r="AJ655" s="209"/>
      <c r="AK655" s="209"/>
      <c r="AL655" s="209"/>
      <c r="AM655" s="209"/>
      <c r="AN655" s="209"/>
      <c r="AO655" s="209"/>
      <c r="AP655" s="209"/>
    </row>
    <row r="656">
      <c r="A656" s="309"/>
      <c r="B656" s="310" t="s">
        <v>2734</v>
      </c>
      <c r="C656" s="311" t="s">
        <v>2735</v>
      </c>
      <c r="D656" s="311" t="s">
        <v>2736</v>
      </c>
      <c r="E656" s="318">
        <v>8.40472503995E11</v>
      </c>
      <c r="F656" s="311" t="s">
        <v>1062</v>
      </c>
      <c r="G656" s="313"/>
      <c r="H656" s="313"/>
      <c r="I656" s="313"/>
      <c r="J656" s="350" t="b">
        <v>1</v>
      </c>
      <c r="K656" s="314" t="b">
        <v>0</v>
      </c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  <c r="AI656" s="209"/>
      <c r="AJ656" s="209"/>
      <c r="AK656" s="209"/>
      <c r="AL656" s="209"/>
      <c r="AM656" s="209"/>
      <c r="AN656" s="209"/>
      <c r="AO656" s="209"/>
      <c r="AP656" s="209"/>
    </row>
    <row r="657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  <c r="AI657" s="209"/>
      <c r="AJ657" s="209"/>
      <c r="AK657" s="209"/>
      <c r="AL657" s="209"/>
      <c r="AM657" s="209"/>
      <c r="AN657" s="209"/>
      <c r="AO657" s="209"/>
      <c r="AP657" s="209"/>
    </row>
    <row r="658">
      <c r="A658" s="316" t="s">
        <v>2767</v>
      </c>
      <c r="B658" s="319" t="s">
        <v>4391</v>
      </c>
      <c r="C658" s="320"/>
      <c r="D658" s="283" t="s">
        <v>4392</v>
      </c>
      <c r="E658" s="336" t="s">
        <v>374</v>
      </c>
      <c r="F658" s="436"/>
      <c r="G658" s="320"/>
      <c r="H658" s="285" t="s">
        <v>376</v>
      </c>
      <c r="I658" s="285" t="s">
        <v>4393</v>
      </c>
      <c r="J658" s="333" t="str">
        <f>IF(COUNTIF(#REF!, TRUE) = COUNTA(#REF!), "Complete!", IF(COUNTIF(#REF!, TRUE) &gt; 0, "Partial", "Not Started"))</f>
        <v>#REF!</v>
      </c>
      <c r="K658" s="334"/>
      <c r="L658" s="209"/>
      <c r="M658" s="209"/>
      <c r="N658" s="280">
        <v>5.0</v>
      </c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  <c r="AI658" s="209"/>
      <c r="AJ658" s="209"/>
      <c r="AK658" s="209"/>
      <c r="AL658" s="209"/>
      <c r="AM658" s="209"/>
      <c r="AN658" s="209"/>
      <c r="AO658" s="209"/>
      <c r="AP658" s="209"/>
    </row>
    <row r="659">
      <c r="A659" s="291"/>
      <c r="B659" s="292" t="s">
        <v>2675</v>
      </c>
      <c r="C659" s="293" t="s">
        <v>745</v>
      </c>
      <c r="D659" s="293" t="s">
        <v>2676</v>
      </c>
      <c r="E659" s="299">
        <v>8.4047250394E11</v>
      </c>
      <c r="F659" s="293" t="s">
        <v>1062</v>
      </c>
      <c r="G659" s="295"/>
      <c r="H659" s="295"/>
      <c r="I659" s="293" t="s">
        <v>4394</v>
      </c>
      <c r="J659" s="296" t="b">
        <v>1</v>
      </c>
      <c r="K659" s="297" t="b">
        <v>0</v>
      </c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  <c r="AI659" s="209"/>
      <c r="AJ659" s="209"/>
      <c r="AK659" s="209"/>
      <c r="AL659" s="209"/>
      <c r="AM659" s="209"/>
      <c r="AN659" s="209"/>
      <c r="AO659" s="209"/>
      <c r="AP659" s="209"/>
    </row>
    <row r="660">
      <c r="A660" s="291"/>
      <c r="B660" s="303" t="s">
        <v>2677</v>
      </c>
      <c r="C660" s="304" t="s">
        <v>390</v>
      </c>
      <c r="D660" s="304" t="s">
        <v>2678</v>
      </c>
      <c r="E660" s="307">
        <v>8.40472503957E11</v>
      </c>
      <c r="F660" s="304" t="s">
        <v>1062</v>
      </c>
      <c r="G660" s="209"/>
      <c r="H660" s="209"/>
      <c r="I660" s="209"/>
      <c r="J660" s="296" t="b">
        <v>1</v>
      </c>
      <c r="K660" s="301" t="b">
        <v>0</v>
      </c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  <c r="AI660" s="209"/>
      <c r="AJ660" s="209"/>
      <c r="AK660" s="209"/>
      <c r="AL660" s="209"/>
      <c r="AM660" s="209"/>
      <c r="AN660" s="209"/>
      <c r="AO660" s="209"/>
      <c r="AP660" s="209"/>
    </row>
    <row r="661">
      <c r="A661" s="291"/>
      <c r="B661" s="303" t="s">
        <v>2742</v>
      </c>
      <c r="C661" s="304" t="s">
        <v>782</v>
      </c>
      <c r="D661" s="304" t="s">
        <v>2743</v>
      </c>
      <c r="E661" s="307">
        <v>8.40472503988E11</v>
      </c>
      <c r="F661" s="304" t="s">
        <v>1062</v>
      </c>
      <c r="G661" s="209"/>
      <c r="H661" s="209"/>
      <c r="I661" s="209"/>
      <c r="J661" s="296" t="b">
        <v>1</v>
      </c>
      <c r="K661" s="301" t="b">
        <v>0</v>
      </c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  <c r="AI661" s="209"/>
      <c r="AJ661" s="209"/>
      <c r="AK661" s="209"/>
      <c r="AL661" s="209"/>
      <c r="AM661" s="209"/>
      <c r="AN661" s="209"/>
      <c r="AO661" s="209"/>
      <c r="AP661" s="209"/>
    </row>
    <row r="662">
      <c r="A662" s="291"/>
      <c r="B662" s="303" t="s">
        <v>2754</v>
      </c>
      <c r="C662" s="304" t="s">
        <v>826</v>
      </c>
      <c r="D662" s="304" t="s">
        <v>2755</v>
      </c>
      <c r="E662" s="209"/>
      <c r="F662" s="209"/>
      <c r="G662" s="209"/>
      <c r="H662" s="209"/>
      <c r="I662" s="209"/>
      <c r="J662" s="296" t="b">
        <v>1</v>
      </c>
      <c r="K662" s="301" t="b">
        <v>0</v>
      </c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  <c r="AI662" s="209"/>
      <c r="AJ662" s="209"/>
      <c r="AK662" s="209"/>
      <c r="AL662" s="209"/>
      <c r="AM662" s="209"/>
      <c r="AN662" s="209"/>
      <c r="AO662" s="209"/>
      <c r="AP662" s="209"/>
    </row>
    <row r="663">
      <c r="A663" s="291"/>
      <c r="B663" s="303" t="s">
        <v>2777</v>
      </c>
      <c r="C663" s="304" t="s">
        <v>400</v>
      </c>
      <c r="D663" s="304" t="s">
        <v>2778</v>
      </c>
      <c r="E663" s="307">
        <v>8.40472503872E11</v>
      </c>
      <c r="F663" s="304" t="s">
        <v>1062</v>
      </c>
      <c r="G663" s="209"/>
      <c r="H663" s="209"/>
      <c r="I663" s="209"/>
      <c r="J663" s="296" t="b">
        <v>1</v>
      </c>
      <c r="K663" s="301" t="b">
        <v>0</v>
      </c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  <c r="AI663" s="209"/>
      <c r="AJ663" s="209"/>
      <c r="AK663" s="209"/>
      <c r="AL663" s="209"/>
      <c r="AM663" s="209"/>
      <c r="AN663" s="209"/>
      <c r="AO663" s="209"/>
      <c r="AP663" s="209"/>
    </row>
    <row r="664">
      <c r="A664" s="309"/>
      <c r="B664" s="310" t="s">
        <v>4170</v>
      </c>
      <c r="C664" s="311" t="s">
        <v>400</v>
      </c>
      <c r="D664" s="311" t="s">
        <v>4171</v>
      </c>
      <c r="E664" s="318">
        <v>8.40472503896E11</v>
      </c>
      <c r="F664" s="311" t="s">
        <v>1062</v>
      </c>
      <c r="G664" s="313"/>
      <c r="H664" s="313"/>
      <c r="I664" s="313"/>
      <c r="J664" s="296" t="b">
        <v>1</v>
      </c>
      <c r="K664" s="314" t="b">
        <v>0</v>
      </c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  <c r="AI664" s="209"/>
      <c r="AJ664" s="209"/>
      <c r="AK664" s="209"/>
      <c r="AL664" s="209"/>
      <c r="AM664" s="209"/>
      <c r="AN664" s="209"/>
      <c r="AO664" s="209"/>
      <c r="AP664" s="209"/>
    </row>
    <row r="665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  <c r="AI665" s="209"/>
      <c r="AJ665" s="209"/>
      <c r="AK665" s="209"/>
      <c r="AL665" s="209"/>
      <c r="AM665" s="209"/>
      <c r="AN665" s="209"/>
      <c r="AO665" s="209"/>
      <c r="AP665" s="209"/>
    </row>
    <row r="666">
      <c r="A666" s="316" t="s">
        <v>2787</v>
      </c>
      <c r="B666" s="319" t="s">
        <v>4395</v>
      </c>
      <c r="C666" s="320"/>
      <c r="D666" s="283" t="s">
        <v>4396</v>
      </c>
      <c r="E666" s="336" t="s">
        <v>374</v>
      </c>
      <c r="F666" s="436"/>
      <c r="G666" s="320"/>
      <c r="H666" s="285" t="s">
        <v>888</v>
      </c>
      <c r="I666" s="285" t="s">
        <v>889</v>
      </c>
      <c r="J666" s="333" t="str">
        <f>IF(COUNTIF(#REF!, TRUE) = COUNTA(#REF!), "Complete!", IF(COUNTIF(#REF!, TRUE) &gt; 0, "Partial", "Not Started"))</f>
        <v>#REF!</v>
      </c>
      <c r="K666" s="334"/>
      <c r="L666" s="209"/>
      <c r="M666" s="209"/>
      <c r="N666" s="280">
        <v>5.0</v>
      </c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  <c r="AI666" s="209"/>
      <c r="AJ666" s="209"/>
      <c r="AK666" s="209"/>
      <c r="AL666" s="209"/>
      <c r="AM666" s="209"/>
      <c r="AN666" s="209"/>
      <c r="AO666" s="209"/>
      <c r="AP666" s="209"/>
    </row>
    <row r="667">
      <c r="A667" s="291"/>
      <c r="B667" s="292" t="s">
        <v>2771</v>
      </c>
      <c r="C667" s="293" t="s">
        <v>2761</v>
      </c>
      <c r="D667" s="293" t="s">
        <v>2772</v>
      </c>
      <c r="E667" s="299">
        <v>8.40472503834E11</v>
      </c>
      <c r="F667" s="293" t="s">
        <v>1062</v>
      </c>
      <c r="G667" s="295"/>
      <c r="H667" s="295"/>
      <c r="I667" s="293" t="s">
        <v>4397</v>
      </c>
      <c r="J667" s="296" t="b">
        <v>1</v>
      </c>
      <c r="K667" s="297" t="b">
        <v>0</v>
      </c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  <c r="AI667" s="209"/>
      <c r="AJ667" s="209"/>
      <c r="AK667" s="209"/>
      <c r="AL667" s="209"/>
      <c r="AM667" s="209"/>
      <c r="AN667" s="209"/>
      <c r="AO667" s="209"/>
      <c r="AP667" s="209"/>
    </row>
    <row r="668">
      <c r="A668" s="291"/>
      <c r="B668" s="303" t="s">
        <v>2773</v>
      </c>
      <c r="C668" s="304" t="s">
        <v>617</v>
      </c>
      <c r="D668" s="304" t="s">
        <v>2774</v>
      </c>
      <c r="E668" s="307">
        <v>8.40472503841E11</v>
      </c>
      <c r="F668" s="304" t="s">
        <v>1062</v>
      </c>
      <c r="G668" s="209"/>
      <c r="H668" s="209"/>
      <c r="I668" s="293" t="s">
        <v>4397</v>
      </c>
      <c r="J668" s="296" t="b">
        <v>1</v>
      </c>
      <c r="K668" s="301" t="b">
        <v>0</v>
      </c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  <c r="AI668" s="209"/>
      <c r="AJ668" s="209"/>
      <c r="AK668" s="209"/>
      <c r="AL668" s="209"/>
      <c r="AM668" s="209"/>
      <c r="AN668" s="209"/>
      <c r="AO668" s="209"/>
      <c r="AP668" s="209"/>
    </row>
    <row r="669">
      <c r="A669" s="291"/>
      <c r="B669" s="303" t="s">
        <v>2775</v>
      </c>
      <c r="C669" s="304" t="s">
        <v>944</v>
      </c>
      <c r="D669" s="304" t="s">
        <v>2776</v>
      </c>
      <c r="E669" s="307">
        <v>8.40472503858E11</v>
      </c>
      <c r="F669" s="304" t="s">
        <v>1062</v>
      </c>
      <c r="G669" s="209"/>
      <c r="H669" s="209"/>
      <c r="I669" s="293" t="s">
        <v>4397</v>
      </c>
      <c r="J669" s="296" t="b">
        <v>1</v>
      </c>
      <c r="K669" s="301" t="b">
        <v>0</v>
      </c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  <c r="AI669" s="209"/>
      <c r="AJ669" s="209"/>
      <c r="AK669" s="209"/>
      <c r="AL669" s="209"/>
      <c r="AM669" s="209"/>
      <c r="AN669" s="209"/>
      <c r="AO669" s="209"/>
      <c r="AP669" s="209"/>
    </row>
    <row r="670">
      <c r="A670" s="291"/>
      <c r="B670" s="303" t="s">
        <v>4168</v>
      </c>
      <c r="C670" s="304" t="s">
        <v>400</v>
      </c>
      <c r="D670" s="304" t="s">
        <v>4169</v>
      </c>
      <c r="E670" s="307">
        <v>8.40472503919E11</v>
      </c>
      <c r="F670" s="304" t="s">
        <v>1062</v>
      </c>
      <c r="G670" s="209"/>
      <c r="H670" s="209"/>
      <c r="I670" s="293" t="s">
        <v>4397</v>
      </c>
      <c r="J670" s="296" t="b">
        <v>1</v>
      </c>
      <c r="K670" s="301" t="b">
        <v>0</v>
      </c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  <c r="AI670" s="209"/>
      <c r="AJ670" s="209"/>
      <c r="AK670" s="209"/>
      <c r="AL670" s="209"/>
      <c r="AM670" s="209"/>
      <c r="AN670" s="209"/>
      <c r="AO670" s="209"/>
      <c r="AP670" s="209"/>
    </row>
    <row r="671">
      <c r="A671" s="309"/>
      <c r="B671" s="310" t="s">
        <v>4172</v>
      </c>
      <c r="C671" s="311" t="s">
        <v>400</v>
      </c>
      <c r="D671" s="311" t="s">
        <v>4173</v>
      </c>
      <c r="E671" s="318">
        <v>8.40472503933E11</v>
      </c>
      <c r="F671" s="311" t="s">
        <v>1062</v>
      </c>
      <c r="G671" s="313"/>
      <c r="H671" s="313"/>
      <c r="I671" s="293" t="s">
        <v>4397</v>
      </c>
      <c r="J671" s="296" t="b">
        <v>1</v>
      </c>
      <c r="K671" s="314" t="b">
        <v>0</v>
      </c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  <c r="AI671" s="209"/>
      <c r="AJ671" s="209"/>
      <c r="AK671" s="209"/>
      <c r="AL671" s="209"/>
      <c r="AM671" s="209"/>
      <c r="AN671" s="209"/>
      <c r="AO671" s="209"/>
      <c r="AP671" s="209"/>
    </row>
    <row r="672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320"/>
      <c r="AA672" s="334"/>
      <c r="AB672" s="209"/>
      <c r="AC672" s="209"/>
      <c r="AD672" s="209"/>
      <c r="AE672" s="209"/>
      <c r="AF672" s="209"/>
      <c r="AG672" s="209"/>
      <c r="AH672" s="209"/>
      <c r="AI672" s="209"/>
      <c r="AJ672" s="209"/>
      <c r="AK672" s="209"/>
      <c r="AL672" s="209"/>
      <c r="AM672" s="209"/>
      <c r="AN672" s="209"/>
      <c r="AO672" s="209"/>
      <c r="AP672" s="209"/>
    </row>
    <row r="673">
      <c r="A673" s="316" t="s">
        <v>2800</v>
      </c>
      <c r="B673" s="319" t="s">
        <v>4398</v>
      </c>
      <c r="C673" s="320"/>
      <c r="D673" s="283" t="s">
        <v>4399</v>
      </c>
      <c r="E673" s="336" t="s">
        <v>374</v>
      </c>
      <c r="F673" s="436"/>
      <c r="G673" s="320"/>
      <c r="H673" s="285" t="s">
        <v>370</v>
      </c>
      <c r="I673" s="285" t="s">
        <v>4400</v>
      </c>
      <c r="J673" s="333" t="str">
        <f>IF(COUNTIF(#REF!, TRUE) = COUNTA(#REF!), "Complete!", IF(COUNTIF(#REF!, TRUE) &gt; 0, "Partial", "Not Started"))</f>
        <v>#REF!</v>
      </c>
      <c r="K673" s="334"/>
      <c r="L673" s="209"/>
      <c r="M673" s="209"/>
      <c r="N673" s="280">
        <v>6.0</v>
      </c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419"/>
      <c r="AA673" s="390"/>
      <c r="AB673" s="209"/>
      <c r="AC673" s="209"/>
      <c r="AD673" s="209"/>
      <c r="AE673" s="209"/>
      <c r="AF673" s="209"/>
      <c r="AG673" s="209"/>
      <c r="AH673" s="209"/>
      <c r="AI673" s="209"/>
      <c r="AJ673" s="209"/>
      <c r="AK673" s="209"/>
      <c r="AL673" s="209"/>
      <c r="AM673" s="209"/>
      <c r="AN673" s="209"/>
      <c r="AO673" s="209"/>
      <c r="AP673" s="209"/>
    </row>
    <row r="674">
      <c r="A674" s="291"/>
      <c r="B674" s="292" t="s">
        <v>2760</v>
      </c>
      <c r="C674" s="293" t="s">
        <v>2761</v>
      </c>
      <c r="D674" s="293" t="s">
        <v>2762</v>
      </c>
      <c r="E674" s="295"/>
      <c r="F674" s="295"/>
      <c r="G674" s="295"/>
      <c r="H674" s="295"/>
      <c r="I674" s="295"/>
      <c r="J674" s="296" t="b">
        <v>1</v>
      </c>
      <c r="K674" s="297" t="b">
        <v>0</v>
      </c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419"/>
      <c r="AA674" s="301" t="b">
        <v>0</v>
      </c>
      <c r="AB674" s="209"/>
      <c r="AC674" s="209"/>
      <c r="AD674" s="209"/>
      <c r="AE674" s="209"/>
      <c r="AF674" s="209"/>
      <c r="AG674" s="209"/>
      <c r="AH674" s="209"/>
      <c r="AI674" s="209"/>
      <c r="AJ674" s="209"/>
      <c r="AK674" s="209"/>
      <c r="AL674" s="209"/>
      <c r="AM674" s="209"/>
      <c r="AN674" s="209"/>
      <c r="AO674" s="209"/>
      <c r="AP674" s="209"/>
    </row>
    <row r="675">
      <c r="A675" s="291"/>
      <c r="B675" s="303" t="s">
        <v>2763</v>
      </c>
      <c r="C675" s="304" t="s">
        <v>617</v>
      </c>
      <c r="D675" s="304" t="s">
        <v>2764</v>
      </c>
      <c r="E675" s="209"/>
      <c r="F675" s="209"/>
      <c r="G675" s="209"/>
      <c r="H675" s="209"/>
      <c r="I675" s="209"/>
      <c r="J675" s="296" t="b">
        <v>1</v>
      </c>
      <c r="K675" s="301" t="b">
        <v>0</v>
      </c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365"/>
      <c r="AA675" s="314" t="b">
        <v>0</v>
      </c>
      <c r="AB675" s="209"/>
      <c r="AC675" s="209"/>
      <c r="AD675" s="209"/>
      <c r="AE675" s="209"/>
      <c r="AF675" s="209"/>
      <c r="AG675" s="209"/>
      <c r="AH675" s="209"/>
      <c r="AI675" s="209"/>
      <c r="AJ675" s="209"/>
      <c r="AK675" s="209"/>
      <c r="AL675" s="209"/>
      <c r="AM675" s="209"/>
      <c r="AN675" s="209"/>
      <c r="AO675" s="209"/>
      <c r="AP675" s="209"/>
    </row>
    <row r="676">
      <c r="A676" s="291"/>
      <c r="B676" s="303" t="s">
        <v>2765</v>
      </c>
      <c r="C676" s="304" t="s">
        <v>944</v>
      </c>
      <c r="D676" s="304" t="s">
        <v>2766</v>
      </c>
      <c r="E676" s="209"/>
      <c r="F676" s="209"/>
      <c r="G676" s="209"/>
      <c r="H676" s="209"/>
      <c r="I676" s="209"/>
      <c r="J676" s="296" t="b">
        <v>1</v>
      </c>
      <c r="K676" s="301" t="b">
        <v>0</v>
      </c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  <c r="AI676" s="209"/>
      <c r="AJ676" s="209"/>
      <c r="AK676" s="209"/>
      <c r="AL676" s="209"/>
      <c r="AM676" s="209"/>
      <c r="AN676" s="209"/>
      <c r="AO676" s="209"/>
      <c r="AP676" s="209"/>
    </row>
    <row r="677">
      <c r="A677" s="291"/>
      <c r="B677" s="303" t="s">
        <v>2744</v>
      </c>
      <c r="C677" s="304" t="s">
        <v>972</v>
      </c>
      <c r="D677" s="304" t="s">
        <v>2745</v>
      </c>
      <c r="E677" s="209"/>
      <c r="F677" s="209"/>
      <c r="G677" s="209"/>
      <c r="H677" s="209"/>
      <c r="I677" s="209"/>
      <c r="J677" s="296" t="b">
        <v>1</v>
      </c>
      <c r="K677" s="301" t="b">
        <v>0</v>
      </c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  <c r="AI677" s="209"/>
      <c r="AJ677" s="209"/>
      <c r="AK677" s="209"/>
      <c r="AL677" s="209"/>
      <c r="AM677" s="209"/>
      <c r="AN677" s="209"/>
      <c r="AO677" s="209"/>
      <c r="AP677" s="209"/>
    </row>
    <row r="678">
      <c r="A678" s="291"/>
      <c r="B678" s="303" t="s">
        <v>2783</v>
      </c>
      <c r="C678" s="304" t="s">
        <v>400</v>
      </c>
      <c r="D678" s="304" t="s">
        <v>2784</v>
      </c>
      <c r="E678" s="307">
        <v>8.40472503889E11</v>
      </c>
      <c r="F678" s="304" t="s">
        <v>1062</v>
      </c>
      <c r="G678" s="209"/>
      <c r="H678" s="209"/>
      <c r="I678" s="209"/>
      <c r="J678" s="296" t="b">
        <v>1</v>
      </c>
      <c r="K678" s="301" t="b">
        <v>0</v>
      </c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  <c r="AI678" s="209"/>
      <c r="AJ678" s="209"/>
      <c r="AK678" s="209"/>
      <c r="AL678" s="209"/>
      <c r="AM678" s="209"/>
      <c r="AN678" s="209"/>
      <c r="AO678" s="209"/>
      <c r="AP678" s="209"/>
    </row>
    <row r="679">
      <c r="A679" s="309"/>
      <c r="B679" s="310" t="s">
        <v>4174</v>
      </c>
      <c r="C679" s="311" t="s">
        <v>400</v>
      </c>
      <c r="D679" s="311" t="s">
        <v>4175</v>
      </c>
      <c r="E679" s="313"/>
      <c r="F679" s="311" t="s">
        <v>1062</v>
      </c>
      <c r="G679" s="313"/>
      <c r="H679" s="313"/>
      <c r="I679" s="313"/>
      <c r="J679" s="296" t="b">
        <v>1</v>
      </c>
      <c r="K679" s="314" t="b">
        <v>0</v>
      </c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  <c r="AI679" s="209"/>
      <c r="AJ679" s="209"/>
      <c r="AK679" s="209"/>
      <c r="AL679" s="209"/>
      <c r="AM679" s="209"/>
      <c r="AN679" s="209"/>
      <c r="AO679" s="209"/>
      <c r="AP679" s="209"/>
    </row>
    <row r="680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  <c r="AI680" s="209"/>
      <c r="AJ680" s="209"/>
      <c r="AK680" s="209"/>
      <c r="AL680" s="209"/>
      <c r="AM680" s="209"/>
      <c r="AN680" s="209"/>
      <c r="AO680" s="209"/>
      <c r="AP680" s="209"/>
    </row>
    <row r="681">
      <c r="A681" s="316" t="s">
        <v>2819</v>
      </c>
      <c r="B681" s="319" t="s">
        <v>2788</v>
      </c>
      <c r="C681" s="320"/>
      <c r="D681" s="283" t="s">
        <v>2789</v>
      </c>
      <c r="E681" s="336" t="s">
        <v>1067</v>
      </c>
      <c r="F681" s="320"/>
      <c r="G681" s="320"/>
      <c r="H681" s="285" t="s">
        <v>4176</v>
      </c>
      <c r="I681" s="285" t="s">
        <v>3346</v>
      </c>
      <c r="J681" s="333" t="str">
        <f>IF(COUNTIF(J682:J684, TRUE) = COUNTA(J682:J684), "Complete!", IF(COUNTIF(J682:J684, TRUE) &gt; 0, "Partial", "Not Started"))</f>
        <v>Complete!</v>
      </c>
      <c r="K681" s="334"/>
      <c r="L681" s="464" t="s">
        <v>889</v>
      </c>
      <c r="M681" s="465" t="str">
        <f>IF(COUNTIF(M682:M684, TRUE) = COUNTA(M682:M684), "Complete!", IF(COUNTIF(M682:M684, TRUE) &gt; 0, "Partial", "Not Started"))</f>
        <v>Not Started</v>
      </c>
      <c r="N681" s="280">
        <v>3.0</v>
      </c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  <c r="AI681" s="209"/>
      <c r="AJ681" s="209"/>
      <c r="AK681" s="209"/>
      <c r="AL681" s="209"/>
      <c r="AM681" s="209"/>
      <c r="AN681" s="209"/>
      <c r="AO681" s="209"/>
      <c r="AP681" s="209"/>
    </row>
    <row r="682">
      <c r="A682" s="291"/>
      <c r="B682" s="292" t="s">
        <v>2791</v>
      </c>
      <c r="C682" s="293" t="s">
        <v>944</v>
      </c>
      <c r="D682" s="304" t="s">
        <v>2792</v>
      </c>
      <c r="E682" s="302" t="s">
        <v>2793</v>
      </c>
      <c r="F682" s="209"/>
      <c r="G682" s="209"/>
      <c r="H682" s="209"/>
      <c r="I682" s="209"/>
      <c r="J682" s="300" t="b">
        <v>1</v>
      </c>
      <c r="K682" s="301" t="b">
        <v>0</v>
      </c>
      <c r="L682" s="419"/>
      <c r="M682" s="301" t="b">
        <v>0</v>
      </c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  <c r="AI682" s="209"/>
      <c r="AJ682" s="209"/>
      <c r="AK682" s="209"/>
      <c r="AL682" s="209"/>
      <c r="AM682" s="209"/>
      <c r="AN682" s="209"/>
      <c r="AO682" s="209"/>
      <c r="AP682" s="209"/>
    </row>
    <row r="683">
      <c r="A683" s="291"/>
      <c r="B683" s="303" t="s">
        <v>2794</v>
      </c>
      <c r="C683" s="304" t="s">
        <v>726</v>
      </c>
      <c r="D683" s="304" t="s">
        <v>2795</v>
      </c>
      <c r="E683" s="308" t="s">
        <v>2796</v>
      </c>
      <c r="F683" s="209"/>
      <c r="G683" s="209"/>
      <c r="H683" s="209"/>
      <c r="I683" s="209"/>
      <c r="J683" s="300" t="b">
        <v>1</v>
      </c>
      <c r="K683" s="301" t="b">
        <v>0</v>
      </c>
      <c r="L683" s="419"/>
      <c r="M683" s="301" t="b">
        <v>0</v>
      </c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  <c r="AI683" s="209"/>
      <c r="AJ683" s="209"/>
      <c r="AK683" s="209"/>
      <c r="AL683" s="209"/>
      <c r="AM683" s="209"/>
      <c r="AN683" s="209"/>
      <c r="AO683" s="209"/>
      <c r="AP683" s="209"/>
    </row>
    <row r="684">
      <c r="A684" s="309"/>
      <c r="B684" s="310" t="s">
        <v>2797</v>
      </c>
      <c r="C684" s="311" t="s">
        <v>736</v>
      </c>
      <c r="D684" s="311" t="s">
        <v>2798</v>
      </c>
      <c r="E684" s="335" t="s">
        <v>2799</v>
      </c>
      <c r="F684" s="313"/>
      <c r="G684" s="313"/>
      <c r="H684" s="313"/>
      <c r="I684" s="313"/>
      <c r="J684" s="318" t="b">
        <v>1</v>
      </c>
      <c r="K684" s="381" t="b">
        <v>0</v>
      </c>
      <c r="L684" s="365"/>
      <c r="M684" s="314" t="b">
        <v>0</v>
      </c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  <c r="AI684" s="209"/>
      <c r="AJ684" s="209"/>
      <c r="AK684" s="209"/>
      <c r="AL684" s="209"/>
      <c r="AM684" s="209"/>
      <c r="AN684" s="209"/>
      <c r="AO684" s="209"/>
      <c r="AP684" s="209"/>
    </row>
    <row r="685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</row>
    <row r="686">
      <c r="A686" s="316" t="s">
        <v>2832</v>
      </c>
      <c r="B686" s="282" t="s">
        <v>2801</v>
      </c>
      <c r="C686" s="273"/>
      <c r="D686" s="274" t="s">
        <v>4401</v>
      </c>
      <c r="E686" s="387" t="s">
        <v>1067</v>
      </c>
      <c r="F686" s="273"/>
      <c r="G686" s="273"/>
      <c r="H686" s="276" t="s">
        <v>468</v>
      </c>
      <c r="I686" s="276" t="s">
        <v>4190</v>
      </c>
      <c r="J686" s="278" t="str">
        <f>IF(COUNTIF(J687:J690, TRUE) = COUNTA(J687:J690), "Complete!", IF(COUNTIF(J687:J690, TRUE) &gt; 0, "Partial", "Not Started"))</f>
        <v>Complete!</v>
      </c>
      <c r="K686" s="279"/>
      <c r="L686" s="464" t="s">
        <v>889</v>
      </c>
      <c r="M686" s="465" t="str">
        <f>IF(COUNTIF(M687:M690, TRUE) = COUNTA(M687:M690), "Complete!", IF(COUNTIF(M687:M690, TRUE) &gt; 0, "Partial", "Not Started"))</f>
        <v>Not Started</v>
      </c>
      <c r="N686" s="280">
        <v>7.0</v>
      </c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  <c r="AI686" s="209"/>
      <c r="AJ686" s="209"/>
      <c r="AK686" s="209"/>
      <c r="AL686" s="209"/>
      <c r="AM686" s="209"/>
      <c r="AN686" s="209"/>
      <c r="AO686" s="209"/>
      <c r="AP686" s="209"/>
    </row>
    <row r="687">
      <c r="A687" s="291"/>
      <c r="B687" s="408" t="s">
        <v>2805</v>
      </c>
      <c r="C687" s="409" t="s">
        <v>400</v>
      </c>
      <c r="D687" s="293" t="s">
        <v>2806</v>
      </c>
      <c r="E687" s="497">
        <v>8.10115978619E11</v>
      </c>
      <c r="F687" s="295"/>
      <c r="G687" s="295"/>
      <c r="H687" s="295"/>
      <c r="I687" s="295"/>
      <c r="J687" s="296" t="b">
        <v>1</v>
      </c>
      <c r="K687" s="297" t="b">
        <v>0</v>
      </c>
      <c r="L687" s="209"/>
      <c r="M687" s="301" t="b">
        <v>0</v>
      </c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  <c r="AI687" s="209"/>
      <c r="AJ687" s="209"/>
      <c r="AK687" s="209"/>
      <c r="AL687" s="209"/>
      <c r="AM687" s="209"/>
      <c r="AN687" s="209"/>
      <c r="AO687" s="209"/>
      <c r="AP687" s="209"/>
    </row>
    <row r="688">
      <c r="A688" s="291"/>
      <c r="B688" s="376" t="s">
        <v>2807</v>
      </c>
      <c r="C688" s="377" t="s">
        <v>400</v>
      </c>
      <c r="D688" s="304" t="s">
        <v>2808</v>
      </c>
      <c r="E688" s="488">
        <v>8.10115978589E11</v>
      </c>
      <c r="F688" s="209"/>
      <c r="G688" s="209"/>
      <c r="H688" s="209"/>
      <c r="I688" s="209"/>
      <c r="J688" s="296" t="b">
        <v>1</v>
      </c>
      <c r="K688" s="301" t="b">
        <v>0</v>
      </c>
      <c r="L688" s="209"/>
      <c r="M688" s="301" t="b">
        <v>0</v>
      </c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  <c r="AI688" s="209"/>
      <c r="AJ688" s="209"/>
      <c r="AK688" s="209"/>
      <c r="AL688" s="209"/>
      <c r="AM688" s="209"/>
      <c r="AN688" s="209"/>
      <c r="AO688" s="209"/>
      <c r="AP688" s="209"/>
    </row>
    <row r="689">
      <c r="A689" s="291"/>
      <c r="B689" s="376" t="s">
        <v>2809</v>
      </c>
      <c r="C689" s="377" t="s">
        <v>400</v>
      </c>
      <c r="D689" s="304" t="s">
        <v>2810</v>
      </c>
      <c r="E689" s="488">
        <v>8.10115978602E11</v>
      </c>
      <c r="F689" s="209"/>
      <c r="G689" s="209"/>
      <c r="H689" s="209"/>
      <c r="I689" s="209"/>
      <c r="J689" s="296" t="b">
        <v>1</v>
      </c>
      <c r="K689" s="301" t="b">
        <v>0</v>
      </c>
      <c r="L689" s="209"/>
      <c r="M689" s="301" t="b">
        <v>0</v>
      </c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  <c r="AI689" s="209"/>
      <c r="AJ689" s="209"/>
      <c r="AK689" s="209"/>
      <c r="AL689" s="209"/>
      <c r="AM689" s="209"/>
      <c r="AN689" s="209"/>
      <c r="AO689" s="209"/>
      <c r="AP689" s="209"/>
    </row>
    <row r="690">
      <c r="A690" s="291"/>
      <c r="B690" s="376" t="s">
        <v>2811</v>
      </c>
      <c r="C690" s="377" t="s">
        <v>400</v>
      </c>
      <c r="D690" s="304" t="s">
        <v>2812</v>
      </c>
      <c r="E690" s="488">
        <v>8.10115978596E11</v>
      </c>
      <c r="F690" s="209"/>
      <c r="G690" s="209"/>
      <c r="H690" s="209"/>
      <c r="I690" s="209"/>
      <c r="J690" s="296" t="b">
        <v>1</v>
      </c>
      <c r="K690" s="301" t="b">
        <v>0</v>
      </c>
      <c r="L690" s="313"/>
      <c r="M690" s="314" t="b">
        <v>0</v>
      </c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  <c r="AI690" s="209"/>
      <c r="AJ690" s="209"/>
      <c r="AK690" s="209"/>
      <c r="AL690" s="209"/>
      <c r="AM690" s="209"/>
      <c r="AN690" s="209"/>
      <c r="AO690" s="209"/>
      <c r="AP690" s="209"/>
    </row>
    <row r="691">
      <c r="A691" s="291"/>
      <c r="B691" s="303" t="s">
        <v>2813</v>
      </c>
      <c r="C691" s="377" t="s">
        <v>400</v>
      </c>
      <c r="D691" s="304" t="s">
        <v>2814</v>
      </c>
      <c r="E691" s="307">
        <v>8.40472501908E11</v>
      </c>
      <c r="F691" s="304" t="s">
        <v>656</v>
      </c>
      <c r="G691" s="209"/>
      <c r="H691" s="209"/>
      <c r="I691" s="304" t="s">
        <v>4248</v>
      </c>
      <c r="J691" s="296" t="b">
        <v>1</v>
      </c>
      <c r="K691" s="301" t="b">
        <v>1</v>
      </c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  <c r="AI691" s="209"/>
      <c r="AJ691" s="209"/>
      <c r="AK691" s="209"/>
      <c r="AL691" s="209"/>
      <c r="AM691" s="209"/>
      <c r="AN691" s="209"/>
      <c r="AO691" s="209"/>
      <c r="AP691" s="209"/>
    </row>
    <row r="692">
      <c r="A692" s="291"/>
      <c r="B692" s="303" t="s">
        <v>2815</v>
      </c>
      <c r="C692" s="377" t="s">
        <v>400</v>
      </c>
      <c r="D692" s="304" t="s">
        <v>2816</v>
      </c>
      <c r="E692" s="307">
        <v>8.40472501915E11</v>
      </c>
      <c r="F692" s="304" t="s">
        <v>656</v>
      </c>
      <c r="G692" s="209"/>
      <c r="H692" s="209"/>
      <c r="I692" s="304" t="s">
        <v>4248</v>
      </c>
      <c r="J692" s="296" t="b">
        <v>1</v>
      </c>
      <c r="K692" s="301" t="b">
        <v>1</v>
      </c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  <c r="AI692" s="209"/>
      <c r="AJ692" s="209"/>
      <c r="AK692" s="209"/>
      <c r="AL692" s="209"/>
      <c r="AM692" s="209"/>
      <c r="AN692" s="209"/>
      <c r="AO692" s="209"/>
      <c r="AP692" s="209"/>
    </row>
    <row r="693">
      <c r="A693" s="309"/>
      <c r="B693" s="310" t="s">
        <v>2817</v>
      </c>
      <c r="C693" s="379" t="s">
        <v>400</v>
      </c>
      <c r="D693" s="311" t="s">
        <v>2818</v>
      </c>
      <c r="E693" s="318">
        <v>8.40472502974E11</v>
      </c>
      <c r="F693" s="304" t="s">
        <v>656</v>
      </c>
      <c r="G693" s="313"/>
      <c r="H693" s="313"/>
      <c r="I693" s="304" t="s">
        <v>4248</v>
      </c>
      <c r="J693" s="296" t="b">
        <v>1</v>
      </c>
      <c r="K693" s="314" t="b">
        <v>1</v>
      </c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  <c r="AI693" s="209"/>
      <c r="AJ693" s="209"/>
      <c r="AK693" s="209"/>
      <c r="AL693" s="209"/>
      <c r="AM693" s="209"/>
      <c r="AN693" s="209"/>
      <c r="AO693" s="209"/>
      <c r="AP693" s="209"/>
    </row>
    <row r="694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  <c r="AI694" s="209"/>
      <c r="AJ694" s="209"/>
      <c r="AK694" s="209"/>
      <c r="AL694" s="209"/>
      <c r="AM694" s="209"/>
      <c r="AN694" s="209"/>
      <c r="AO694" s="209"/>
      <c r="AP694" s="209"/>
    </row>
    <row r="695">
      <c r="A695" s="316" t="s">
        <v>2848</v>
      </c>
      <c r="B695" s="319" t="s">
        <v>2820</v>
      </c>
      <c r="C695" s="320"/>
      <c r="D695" s="283" t="s">
        <v>2821</v>
      </c>
      <c r="E695" s="336" t="s">
        <v>1067</v>
      </c>
      <c r="F695" s="320"/>
      <c r="G695" s="320"/>
      <c r="H695" s="285" t="s">
        <v>4195</v>
      </c>
      <c r="I695" s="285" t="s">
        <v>4402</v>
      </c>
      <c r="J695" s="333" t="str">
        <f>IF(COUNTIF(J696:J699, TRUE) = COUNTA(J696:J699), "Complete!", IF(COUNTIF(J696:J699, TRUE) &gt; 0, "Partial", "Not Started"))</f>
        <v>Complete!</v>
      </c>
      <c r="K695" s="334"/>
      <c r="L695" s="209"/>
      <c r="M695" s="209"/>
      <c r="N695" s="280">
        <v>5.0</v>
      </c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</row>
    <row r="696">
      <c r="A696" s="291"/>
      <c r="B696" s="292" t="s">
        <v>2822</v>
      </c>
      <c r="C696" s="293" t="s">
        <v>400</v>
      </c>
      <c r="D696" s="293" t="s">
        <v>2823</v>
      </c>
      <c r="E696" s="299">
        <v>8.40472504022E11</v>
      </c>
      <c r="F696" s="293" t="s">
        <v>1062</v>
      </c>
      <c r="G696" s="295"/>
      <c r="H696" s="295"/>
      <c r="I696" s="295"/>
      <c r="J696" s="296" t="b">
        <v>1</v>
      </c>
      <c r="K696" s="297" t="b">
        <v>0</v>
      </c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  <c r="AI696" s="209"/>
      <c r="AJ696" s="209"/>
      <c r="AK696" s="209"/>
      <c r="AL696" s="209"/>
      <c r="AM696" s="209"/>
      <c r="AN696" s="209"/>
      <c r="AO696" s="209"/>
      <c r="AP696" s="209"/>
    </row>
    <row r="697">
      <c r="A697" s="291"/>
      <c r="B697" s="303" t="s">
        <v>2824</v>
      </c>
      <c r="C697" s="304" t="s">
        <v>400</v>
      </c>
      <c r="D697" s="304" t="s">
        <v>2825</v>
      </c>
      <c r="E697" s="209"/>
      <c r="F697" s="209"/>
      <c r="G697" s="209"/>
      <c r="H697" s="209"/>
      <c r="I697" s="209"/>
      <c r="J697" s="300" t="b">
        <v>1</v>
      </c>
      <c r="K697" s="301" t="b">
        <v>0</v>
      </c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  <c r="AI697" s="209"/>
      <c r="AJ697" s="209"/>
      <c r="AK697" s="209"/>
      <c r="AL697" s="209"/>
      <c r="AM697" s="209"/>
      <c r="AN697" s="209"/>
      <c r="AO697" s="209"/>
      <c r="AP697" s="209"/>
    </row>
    <row r="698">
      <c r="A698" s="291"/>
      <c r="B698" s="303" t="s">
        <v>2826</v>
      </c>
      <c r="C698" s="304" t="s">
        <v>400</v>
      </c>
      <c r="D698" s="304" t="s">
        <v>2827</v>
      </c>
      <c r="E698" s="307">
        <v>8.40472504008E11</v>
      </c>
      <c r="F698" s="304" t="s">
        <v>1062</v>
      </c>
      <c r="G698" s="209"/>
      <c r="H698" s="209"/>
      <c r="I698" s="209"/>
      <c r="J698" s="300" t="b">
        <v>1</v>
      </c>
      <c r="K698" s="301" t="b">
        <v>0</v>
      </c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  <c r="AI698" s="209"/>
      <c r="AJ698" s="209"/>
      <c r="AK698" s="209"/>
      <c r="AL698" s="209"/>
      <c r="AM698" s="209"/>
      <c r="AN698" s="209"/>
      <c r="AO698" s="209"/>
      <c r="AP698" s="209"/>
    </row>
    <row r="699">
      <c r="A699" s="291"/>
      <c r="B699" s="303" t="s">
        <v>2828</v>
      </c>
      <c r="C699" s="304" t="s">
        <v>400</v>
      </c>
      <c r="D699" s="304" t="s">
        <v>2829</v>
      </c>
      <c r="E699" s="307">
        <v>8.40472504015E11</v>
      </c>
      <c r="F699" s="304" t="s">
        <v>1062</v>
      </c>
      <c r="G699" s="209"/>
      <c r="H699" s="209"/>
      <c r="I699" s="209"/>
      <c r="J699" s="300" t="b">
        <v>1</v>
      </c>
      <c r="K699" s="301" t="b">
        <v>0</v>
      </c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  <c r="AI699" s="209"/>
      <c r="AJ699" s="209"/>
      <c r="AK699" s="209"/>
      <c r="AL699" s="209"/>
      <c r="AM699" s="209"/>
      <c r="AN699" s="209"/>
      <c r="AO699" s="209"/>
      <c r="AP699" s="209"/>
    </row>
    <row r="700">
      <c r="A700" s="309"/>
      <c r="B700" s="310" t="s">
        <v>2830</v>
      </c>
      <c r="C700" s="311" t="s">
        <v>400</v>
      </c>
      <c r="D700" s="311" t="s">
        <v>2831</v>
      </c>
      <c r="E700" s="318">
        <v>8.40472504039E11</v>
      </c>
      <c r="F700" s="311" t="s">
        <v>1062</v>
      </c>
      <c r="G700" s="313"/>
      <c r="H700" s="313"/>
      <c r="I700" s="313"/>
      <c r="J700" s="350" t="b">
        <v>1</v>
      </c>
      <c r="K700" s="314" t="b">
        <v>0</v>
      </c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</row>
    <row r="70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  <c r="AI701" s="209"/>
      <c r="AJ701" s="209"/>
      <c r="AK701" s="209"/>
      <c r="AL701" s="209"/>
      <c r="AM701" s="209"/>
      <c r="AN701" s="209"/>
      <c r="AO701" s="209"/>
      <c r="AP701" s="209"/>
    </row>
    <row r="702">
      <c r="A702" s="316" t="s">
        <v>2923</v>
      </c>
      <c r="B702" s="319" t="s">
        <v>2833</v>
      </c>
      <c r="C702" s="320"/>
      <c r="D702" s="283" t="s">
        <v>2834</v>
      </c>
      <c r="E702" s="336" t="s">
        <v>2835</v>
      </c>
      <c r="F702" s="320"/>
      <c r="G702" s="320"/>
      <c r="H702" s="285" t="s">
        <v>888</v>
      </c>
      <c r="I702" s="285" t="s">
        <v>889</v>
      </c>
      <c r="J702" s="333" t="str">
        <f>IF(COUNTIF(J703:J707, TRUE) = COUNTA(J703:J707), "Complete!", IF(COUNTIF(J703:J707, TRUE) &gt; 0, "Partial", "Not Started"))</f>
        <v>Complete!</v>
      </c>
      <c r="K702" s="334"/>
      <c r="L702" s="209"/>
      <c r="M702" s="209"/>
      <c r="N702" s="280">
        <v>5.0</v>
      </c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  <c r="AI702" s="209"/>
      <c r="AJ702" s="209"/>
      <c r="AK702" s="209"/>
      <c r="AL702" s="209"/>
      <c r="AM702" s="209"/>
      <c r="AN702" s="209"/>
      <c r="AO702" s="209"/>
      <c r="AP702" s="209"/>
    </row>
    <row r="703">
      <c r="A703" s="291"/>
      <c r="B703" s="292" t="s">
        <v>2836</v>
      </c>
      <c r="C703" s="293" t="s">
        <v>1297</v>
      </c>
      <c r="D703" s="293" t="s">
        <v>2837</v>
      </c>
      <c r="E703" s="299">
        <v>8.4047250378E11</v>
      </c>
      <c r="F703" s="293" t="s">
        <v>1062</v>
      </c>
      <c r="G703" s="295"/>
      <c r="H703" s="295"/>
      <c r="I703" s="295"/>
      <c r="J703" s="296" t="b">
        <v>1</v>
      </c>
      <c r="K703" s="297" t="b">
        <v>0</v>
      </c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  <c r="AI703" s="209"/>
      <c r="AJ703" s="209"/>
      <c r="AK703" s="209"/>
      <c r="AL703" s="209"/>
      <c r="AM703" s="209"/>
      <c r="AN703" s="209"/>
      <c r="AO703" s="209"/>
      <c r="AP703" s="209"/>
    </row>
    <row r="704">
      <c r="A704" s="291"/>
      <c r="B704" s="303" t="s">
        <v>2838</v>
      </c>
      <c r="C704" s="304" t="s">
        <v>1303</v>
      </c>
      <c r="D704" s="304" t="s">
        <v>2839</v>
      </c>
      <c r="E704" s="307">
        <v>8.40472503797E11</v>
      </c>
      <c r="F704" s="304" t="s">
        <v>1062</v>
      </c>
      <c r="G704" s="295"/>
      <c r="H704" s="209"/>
      <c r="I704" s="295"/>
      <c r="J704" s="300" t="b">
        <v>1</v>
      </c>
      <c r="K704" s="301" t="b">
        <v>0</v>
      </c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  <c r="AI704" s="209"/>
      <c r="AJ704" s="209"/>
      <c r="AK704" s="209"/>
      <c r="AL704" s="209"/>
      <c r="AM704" s="209"/>
      <c r="AN704" s="209"/>
      <c r="AO704" s="209"/>
      <c r="AP704" s="209"/>
    </row>
    <row r="705">
      <c r="A705" s="291"/>
      <c r="B705" s="303" t="s">
        <v>2840</v>
      </c>
      <c r="C705" s="304" t="s">
        <v>1309</v>
      </c>
      <c r="D705" s="304" t="s">
        <v>2841</v>
      </c>
      <c r="E705" s="307">
        <v>8.40472503803E11</v>
      </c>
      <c r="F705" s="304" t="s">
        <v>1062</v>
      </c>
      <c r="G705" s="295"/>
      <c r="H705" s="209"/>
      <c r="I705" s="295"/>
      <c r="J705" s="300" t="b">
        <v>1</v>
      </c>
      <c r="K705" s="301" t="b">
        <v>0</v>
      </c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</row>
    <row r="706">
      <c r="A706" s="291"/>
      <c r="B706" s="303" t="s">
        <v>2842</v>
      </c>
      <c r="C706" s="304" t="s">
        <v>400</v>
      </c>
      <c r="D706" s="304" t="s">
        <v>2843</v>
      </c>
      <c r="E706" s="307">
        <v>8.4047250381E11</v>
      </c>
      <c r="F706" s="304" t="s">
        <v>1062</v>
      </c>
      <c r="G706" s="295"/>
      <c r="H706" s="209"/>
      <c r="I706" s="295"/>
      <c r="J706" s="300" t="b">
        <v>1</v>
      </c>
      <c r="K706" s="301" t="b">
        <v>0</v>
      </c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  <c r="AI706" s="209"/>
      <c r="AJ706" s="209"/>
      <c r="AK706" s="209"/>
      <c r="AL706" s="209"/>
      <c r="AM706" s="209"/>
      <c r="AN706" s="209"/>
      <c r="AO706" s="209"/>
      <c r="AP706" s="209"/>
    </row>
    <row r="707">
      <c r="A707" s="309"/>
      <c r="B707" s="310" t="s">
        <v>2845</v>
      </c>
      <c r="C707" s="311" t="s">
        <v>2846</v>
      </c>
      <c r="D707" s="311" t="s">
        <v>2847</v>
      </c>
      <c r="E707" s="318">
        <v>8.40472503827E11</v>
      </c>
      <c r="F707" s="311" t="s">
        <v>1062</v>
      </c>
      <c r="G707" s="295"/>
      <c r="H707" s="313"/>
      <c r="I707" s="295"/>
      <c r="J707" s="350" t="b">
        <v>1</v>
      </c>
      <c r="K707" s="314" t="b">
        <v>0</v>
      </c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  <c r="AI707" s="209"/>
      <c r="AJ707" s="209"/>
      <c r="AK707" s="209"/>
      <c r="AL707" s="209"/>
      <c r="AM707" s="209"/>
      <c r="AN707" s="209"/>
      <c r="AO707" s="209"/>
      <c r="AP707" s="209"/>
    </row>
    <row r="708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  <c r="AI708" s="209"/>
      <c r="AJ708" s="209"/>
      <c r="AK708" s="209"/>
      <c r="AL708" s="209"/>
      <c r="AM708" s="209"/>
      <c r="AN708" s="209"/>
      <c r="AO708" s="209"/>
      <c r="AP708" s="209"/>
    </row>
    <row r="709">
      <c r="A709" s="316" t="s">
        <v>2848</v>
      </c>
      <c r="B709" s="319" t="s">
        <v>2849</v>
      </c>
      <c r="C709" s="320"/>
      <c r="D709" s="283" t="s">
        <v>2850</v>
      </c>
      <c r="E709" s="336" t="s">
        <v>116</v>
      </c>
      <c r="F709" s="320"/>
      <c r="G709" s="320"/>
      <c r="H709" s="285" t="s">
        <v>376</v>
      </c>
      <c r="I709" s="285" t="s">
        <v>4403</v>
      </c>
      <c r="J709" s="333" t="str">
        <f>IF(COUNTIF(J710:J741, TRUE) = COUNTA(J710:J741), "Complete!", IF(COUNTIF(J710:J741, TRUE) &gt; 0, "Partial", "Not Started"))</f>
        <v>Complete!</v>
      </c>
      <c r="K709" s="334"/>
      <c r="L709" s="464" t="s">
        <v>889</v>
      </c>
      <c r="M709" s="465" t="str">
        <f>IF(COUNTIF(M710:M732, TRUE) = COUNTA(M710:M732), "Complete!", IF(COUNTIF(M710:M732, TRUE) &gt; 0, "Partial", "Not Started"))</f>
        <v>Not Started</v>
      </c>
      <c r="N709" s="280">
        <v>32.0</v>
      </c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  <c r="AI709" s="209"/>
      <c r="AJ709" s="209"/>
      <c r="AK709" s="209"/>
      <c r="AL709" s="209"/>
      <c r="AM709" s="209"/>
      <c r="AN709" s="209"/>
      <c r="AO709" s="209"/>
      <c r="AP709" s="209"/>
    </row>
    <row r="710">
      <c r="A710" s="291"/>
      <c r="B710" s="377" t="s">
        <v>2852</v>
      </c>
      <c r="C710" s="377" t="s">
        <v>659</v>
      </c>
      <c r="D710" s="304" t="s">
        <v>2853</v>
      </c>
      <c r="E710" s="307">
        <v>8.10115975267E11</v>
      </c>
      <c r="F710" s="209"/>
      <c r="G710" s="209"/>
      <c r="H710" s="209"/>
      <c r="I710" s="209"/>
      <c r="J710" s="300" t="b">
        <v>1</v>
      </c>
      <c r="K710" s="301" t="b">
        <v>0</v>
      </c>
      <c r="L710" s="419"/>
      <c r="M710" s="301" t="b">
        <v>0</v>
      </c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</row>
    <row r="711">
      <c r="A711" s="291"/>
      <c r="B711" s="304" t="s">
        <v>2854</v>
      </c>
      <c r="C711" s="304" t="s">
        <v>659</v>
      </c>
      <c r="D711" s="304" t="s">
        <v>2855</v>
      </c>
      <c r="E711" s="307">
        <v>8.10115975274E11</v>
      </c>
      <c r="F711" s="209"/>
      <c r="G711" s="209"/>
      <c r="H711" s="209"/>
      <c r="I711" s="209"/>
      <c r="J711" s="300" t="b">
        <v>1</v>
      </c>
      <c r="K711" s="301" t="b">
        <v>0</v>
      </c>
      <c r="L711" s="419"/>
      <c r="M711" s="301" t="b">
        <v>0</v>
      </c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  <c r="AI711" s="209"/>
      <c r="AJ711" s="209"/>
      <c r="AK711" s="209"/>
      <c r="AL711" s="209"/>
      <c r="AM711" s="209"/>
      <c r="AN711" s="209"/>
      <c r="AO711" s="209"/>
      <c r="AP711" s="209"/>
    </row>
    <row r="712">
      <c r="A712" s="291"/>
      <c r="B712" s="304" t="s">
        <v>2856</v>
      </c>
      <c r="C712" s="410" t="s">
        <v>659</v>
      </c>
      <c r="D712" s="304" t="s">
        <v>2857</v>
      </c>
      <c r="E712" s="307">
        <v>8.10115975564E11</v>
      </c>
      <c r="F712" s="209"/>
      <c r="G712" s="209"/>
      <c r="H712" s="209"/>
      <c r="I712" s="209"/>
      <c r="J712" s="300" t="b">
        <v>1</v>
      </c>
      <c r="K712" s="301" t="b">
        <v>0</v>
      </c>
      <c r="L712" s="419"/>
      <c r="M712" s="301" t="b">
        <v>0</v>
      </c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  <c r="AI712" s="209"/>
      <c r="AJ712" s="209"/>
      <c r="AK712" s="209"/>
      <c r="AL712" s="209"/>
      <c r="AM712" s="209"/>
      <c r="AN712" s="209"/>
      <c r="AO712" s="209"/>
      <c r="AP712" s="209"/>
    </row>
    <row r="713">
      <c r="A713" s="291"/>
      <c r="B713" s="304" t="s">
        <v>2858</v>
      </c>
      <c r="C713" s="410" t="s">
        <v>659</v>
      </c>
      <c r="D713" s="304" t="s">
        <v>2859</v>
      </c>
      <c r="E713" s="307">
        <v>8.10115975281E11</v>
      </c>
      <c r="F713" s="209"/>
      <c r="G713" s="209"/>
      <c r="H713" s="209"/>
      <c r="I713" s="209"/>
      <c r="J713" s="300" t="b">
        <v>1</v>
      </c>
      <c r="K713" s="301" t="b">
        <v>0</v>
      </c>
      <c r="L713" s="419"/>
      <c r="M713" s="301" t="b">
        <v>0</v>
      </c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  <c r="AI713" s="209"/>
      <c r="AJ713" s="209"/>
      <c r="AK713" s="209"/>
      <c r="AL713" s="209"/>
      <c r="AM713" s="209"/>
      <c r="AN713" s="209"/>
      <c r="AO713" s="209"/>
      <c r="AP713" s="209"/>
    </row>
    <row r="714">
      <c r="A714" s="291"/>
      <c r="B714" s="304" t="s">
        <v>2860</v>
      </c>
      <c r="C714" s="304" t="s">
        <v>2861</v>
      </c>
      <c r="D714" s="304" t="s">
        <v>2862</v>
      </c>
      <c r="E714" s="307">
        <v>8.10115974567E11</v>
      </c>
      <c r="F714" s="209"/>
      <c r="G714" s="209"/>
      <c r="H714" s="209"/>
      <c r="I714" s="209"/>
      <c r="J714" s="300" t="b">
        <v>1</v>
      </c>
      <c r="K714" s="301" t="b">
        <v>0</v>
      </c>
      <c r="L714" s="419"/>
      <c r="M714" s="301" t="b">
        <v>0</v>
      </c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  <c r="AI714" s="209"/>
      <c r="AJ714" s="209"/>
      <c r="AK714" s="209"/>
      <c r="AL714" s="209"/>
      <c r="AM714" s="209"/>
      <c r="AN714" s="209"/>
      <c r="AO714" s="209"/>
      <c r="AP714" s="209"/>
    </row>
    <row r="715">
      <c r="A715" s="291"/>
      <c r="B715" s="304" t="s">
        <v>2863</v>
      </c>
      <c r="C715" s="304" t="s">
        <v>2861</v>
      </c>
      <c r="D715" s="304" t="s">
        <v>2864</v>
      </c>
      <c r="E715" s="308" t="s">
        <v>2865</v>
      </c>
      <c r="F715" s="209"/>
      <c r="G715" s="209"/>
      <c r="H715" s="209"/>
      <c r="I715" s="209"/>
      <c r="J715" s="300" t="b">
        <v>1</v>
      </c>
      <c r="K715" s="301" t="b">
        <v>0</v>
      </c>
      <c r="L715" s="419"/>
      <c r="M715" s="301" t="b">
        <v>0</v>
      </c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  <c r="AI715" s="209"/>
      <c r="AJ715" s="209"/>
      <c r="AK715" s="209"/>
      <c r="AL715" s="209"/>
      <c r="AM715" s="209"/>
      <c r="AN715" s="209"/>
      <c r="AO715" s="209"/>
      <c r="AP715" s="209"/>
    </row>
    <row r="716">
      <c r="A716" s="291"/>
      <c r="B716" s="304" t="s">
        <v>2866</v>
      </c>
      <c r="C716" s="304" t="s">
        <v>2861</v>
      </c>
      <c r="D716" s="304" t="s">
        <v>2867</v>
      </c>
      <c r="E716" s="308" t="s">
        <v>2868</v>
      </c>
      <c r="F716" s="209"/>
      <c r="G716" s="209"/>
      <c r="H716" s="209"/>
      <c r="I716" s="209"/>
      <c r="J716" s="300" t="b">
        <v>1</v>
      </c>
      <c r="K716" s="301" t="b">
        <v>0</v>
      </c>
      <c r="L716" s="419"/>
      <c r="M716" s="301" t="b">
        <v>0</v>
      </c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  <c r="AI716" s="209"/>
      <c r="AJ716" s="209"/>
      <c r="AK716" s="209"/>
      <c r="AL716" s="209"/>
      <c r="AM716" s="209"/>
      <c r="AN716" s="209"/>
      <c r="AO716" s="209"/>
      <c r="AP716" s="209"/>
    </row>
    <row r="717">
      <c r="A717" s="291"/>
      <c r="B717" s="304" t="s">
        <v>2869</v>
      </c>
      <c r="C717" s="304" t="s">
        <v>2861</v>
      </c>
      <c r="D717" s="304" t="s">
        <v>2870</v>
      </c>
      <c r="E717" s="307">
        <v>8.10115974581E11</v>
      </c>
      <c r="F717" s="209"/>
      <c r="G717" s="209"/>
      <c r="H717" s="209"/>
      <c r="I717" s="209"/>
      <c r="J717" s="300" t="b">
        <v>1</v>
      </c>
      <c r="K717" s="301" t="b">
        <v>0</v>
      </c>
      <c r="L717" s="419"/>
      <c r="M717" s="301" t="b">
        <v>0</v>
      </c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  <c r="AI717" s="209"/>
      <c r="AJ717" s="209"/>
      <c r="AK717" s="209"/>
      <c r="AL717" s="209"/>
      <c r="AM717" s="209"/>
      <c r="AN717" s="209"/>
      <c r="AO717" s="209"/>
      <c r="AP717" s="209"/>
    </row>
    <row r="718">
      <c r="A718" s="291"/>
      <c r="B718" s="377" t="s">
        <v>2871</v>
      </c>
      <c r="C718" s="377" t="s">
        <v>813</v>
      </c>
      <c r="D718" s="304" t="s">
        <v>2872</v>
      </c>
      <c r="E718" s="307">
        <v>8.10115975113E11</v>
      </c>
      <c r="F718" s="209"/>
      <c r="G718" s="209"/>
      <c r="H718" s="209"/>
      <c r="I718" s="209"/>
      <c r="J718" s="300" t="b">
        <v>1</v>
      </c>
      <c r="K718" s="301" t="b">
        <v>0</v>
      </c>
      <c r="L718" s="419"/>
      <c r="M718" s="301" t="b">
        <v>0</v>
      </c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  <c r="AI718" s="209"/>
      <c r="AJ718" s="209"/>
      <c r="AK718" s="209"/>
      <c r="AL718" s="209"/>
      <c r="AM718" s="209"/>
      <c r="AN718" s="209"/>
      <c r="AO718" s="209"/>
      <c r="AP718" s="209"/>
    </row>
    <row r="719">
      <c r="A719" s="291"/>
      <c r="B719" s="304" t="s">
        <v>2873</v>
      </c>
      <c r="C719" s="377" t="s">
        <v>813</v>
      </c>
      <c r="D719" s="304" t="s">
        <v>2874</v>
      </c>
      <c r="E719" s="307">
        <v>8.1011597512E11</v>
      </c>
      <c r="F719" s="209"/>
      <c r="G719" s="209"/>
      <c r="H719" s="209"/>
      <c r="I719" s="209"/>
      <c r="J719" s="300" t="b">
        <v>1</v>
      </c>
      <c r="K719" s="301" t="b">
        <v>0</v>
      </c>
      <c r="L719" s="419"/>
      <c r="M719" s="301" t="b">
        <v>0</v>
      </c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  <c r="AI719" s="209"/>
      <c r="AJ719" s="209"/>
      <c r="AK719" s="209"/>
      <c r="AL719" s="209"/>
      <c r="AM719" s="209"/>
      <c r="AN719" s="209"/>
      <c r="AO719" s="209"/>
      <c r="AP719" s="209"/>
    </row>
    <row r="720">
      <c r="A720" s="291"/>
      <c r="B720" s="304" t="s">
        <v>2875</v>
      </c>
      <c r="C720" s="377" t="s">
        <v>813</v>
      </c>
      <c r="D720" s="304" t="s">
        <v>2876</v>
      </c>
      <c r="E720" s="307">
        <v>8.10115975519E11</v>
      </c>
      <c r="F720" s="209"/>
      <c r="G720" s="209"/>
      <c r="H720" s="209"/>
      <c r="I720" s="209"/>
      <c r="J720" s="300" t="b">
        <v>1</v>
      </c>
      <c r="K720" s="301" t="b">
        <v>0</v>
      </c>
      <c r="L720" s="419"/>
      <c r="M720" s="301" t="b">
        <v>0</v>
      </c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  <c r="AI720" s="209"/>
      <c r="AJ720" s="209"/>
      <c r="AK720" s="209"/>
      <c r="AL720" s="209"/>
      <c r="AM720" s="209"/>
      <c r="AN720" s="209"/>
      <c r="AO720" s="209"/>
      <c r="AP720" s="209"/>
    </row>
    <row r="721">
      <c r="A721" s="291"/>
      <c r="B721" s="304" t="s">
        <v>2877</v>
      </c>
      <c r="C721" s="377" t="s">
        <v>813</v>
      </c>
      <c r="D721" s="304" t="s">
        <v>2878</v>
      </c>
      <c r="E721" s="307">
        <v>8.10115975137E11</v>
      </c>
      <c r="F721" s="209"/>
      <c r="G721" s="209"/>
      <c r="H721" s="209"/>
      <c r="I721" s="209"/>
      <c r="J721" s="300" t="b">
        <v>1</v>
      </c>
      <c r="K721" s="301" t="b">
        <v>0</v>
      </c>
      <c r="L721" s="419"/>
      <c r="M721" s="301" t="b">
        <v>0</v>
      </c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  <c r="AI721" s="209"/>
      <c r="AJ721" s="209"/>
      <c r="AK721" s="209"/>
      <c r="AL721" s="209"/>
      <c r="AM721" s="209"/>
      <c r="AN721" s="209"/>
      <c r="AO721" s="209"/>
      <c r="AP721" s="209"/>
    </row>
    <row r="722">
      <c r="A722" s="291"/>
      <c r="B722" s="377" t="s">
        <v>2879</v>
      </c>
      <c r="C722" s="377" t="s">
        <v>2880</v>
      </c>
      <c r="D722" s="304" t="s">
        <v>2881</v>
      </c>
      <c r="E722" s="307">
        <v>8.10115974659E11</v>
      </c>
      <c r="F722" s="209"/>
      <c r="G722" s="209"/>
      <c r="H722" s="209"/>
      <c r="I722" s="209"/>
      <c r="J722" s="300" t="b">
        <v>1</v>
      </c>
      <c r="K722" s="301" t="b">
        <v>0</v>
      </c>
      <c r="L722" s="419"/>
      <c r="M722" s="301" t="b">
        <v>0</v>
      </c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  <c r="AI722" s="209"/>
      <c r="AJ722" s="209"/>
      <c r="AK722" s="209"/>
      <c r="AL722" s="209"/>
      <c r="AM722" s="209"/>
      <c r="AN722" s="209"/>
      <c r="AO722" s="209"/>
      <c r="AP722" s="209"/>
    </row>
    <row r="723">
      <c r="A723" s="291"/>
      <c r="B723" s="304" t="s">
        <v>2882</v>
      </c>
      <c r="C723" s="410" t="s">
        <v>2880</v>
      </c>
      <c r="D723" s="304" t="s">
        <v>2883</v>
      </c>
      <c r="E723" s="307">
        <v>8.10115974666E11</v>
      </c>
      <c r="F723" s="209"/>
      <c r="G723" s="209"/>
      <c r="H723" s="209"/>
      <c r="I723" s="209"/>
      <c r="J723" s="300" t="b">
        <v>1</v>
      </c>
      <c r="K723" s="301" t="b">
        <v>0</v>
      </c>
      <c r="L723" s="419"/>
      <c r="M723" s="301" t="b">
        <v>0</v>
      </c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  <c r="AI723" s="209"/>
      <c r="AJ723" s="209"/>
      <c r="AK723" s="209"/>
      <c r="AL723" s="209"/>
      <c r="AM723" s="209"/>
      <c r="AN723" s="209"/>
      <c r="AO723" s="209"/>
      <c r="AP723" s="209"/>
    </row>
    <row r="724">
      <c r="A724" s="291"/>
      <c r="B724" s="304" t="s">
        <v>2884</v>
      </c>
      <c r="C724" s="410" t="s">
        <v>2880</v>
      </c>
      <c r="D724" s="304" t="s">
        <v>2885</v>
      </c>
      <c r="E724" s="307">
        <v>8.10115975373E11</v>
      </c>
      <c r="F724" s="209"/>
      <c r="G724" s="209"/>
      <c r="H724" s="209"/>
      <c r="I724" s="209"/>
      <c r="J724" s="300" t="b">
        <v>1</v>
      </c>
      <c r="K724" s="301" t="b">
        <v>0</v>
      </c>
      <c r="L724" s="419"/>
      <c r="M724" s="301" t="b">
        <v>0</v>
      </c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  <c r="AI724" s="209"/>
      <c r="AJ724" s="209"/>
      <c r="AK724" s="209"/>
      <c r="AL724" s="209"/>
      <c r="AM724" s="209"/>
      <c r="AN724" s="209"/>
      <c r="AO724" s="209"/>
      <c r="AP724" s="209"/>
    </row>
    <row r="725">
      <c r="A725" s="291"/>
      <c r="B725" s="304" t="s">
        <v>2886</v>
      </c>
      <c r="C725" s="410" t="s">
        <v>2880</v>
      </c>
      <c r="D725" s="304" t="s">
        <v>2887</v>
      </c>
      <c r="E725" s="307">
        <v>8.10115974673E11</v>
      </c>
      <c r="F725" s="209"/>
      <c r="G725" s="209"/>
      <c r="H725" s="209"/>
      <c r="I725" s="209"/>
      <c r="J725" s="300" t="b">
        <v>1</v>
      </c>
      <c r="K725" s="301" t="b">
        <v>0</v>
      </c>
      <c r="L725" s="419"/>
      <c r="M725" s="301" t="b">
        <v>0</v>
      </c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  <c r="AI725" s="209"/>
      <c r="AJ725" s="209"/>
      <c r="AK725" s="209"/>
      <c r="AL725" s="209"/>
      <c r="AM725" s="209"/>
      <c r="AN725" s="209"/>
      <c r="AO725" s="209"/>
      <c r="AP725" s="209"/>
    </row>
    <row r="726">
      <c r="A726" s="291"/>
      <c r="B726" s="377" t="s">
        <v>2888</v>
      </c>
      <c r="C726" s="377" t="s">
        <v>2889</v>
      </c>
      <c r="D726" s="304" t="s">
        <v>2890</v>
      </c>
      <c r="E726" s="307">
        <v>8.1011597864E11</v>
      </c>
      <c r="F726" s="209"/>
      <c r="G726" s="209"/>
      <c r="H726" s="209"/>
      <c r="I726" s="209"/>
      <c r="J726" s="300" t="b">
        <v>1</v>
      </c>
      <c r="K726" s="301" t="b">
        <v>0</v>
      </c>
      <c r="L726" s="419"/>
      <c r="M726" s="301" t="b">
        <v>0</v>
      </c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  <c r="AI726" s="209"/>
      <c r="AJ726" s="209"/>
      <c r="AK726" s="209"/>
      <c r="AL726" s="209"/>
      <c r="AM726" s="209"/>
      <c r="AN726" s="209"/>
      <c r="AO726" s="209"/>
      <c r="AP726" s="209"/>
    </row>
    <row r="727">
      <c r="A727" s="291"/>
      <c r="B727" s="377" t="s">
        <v>2891</v>
      </c>
      <c r="C727" s="410" t="s">
        <v>2889</v>
      </c>
      <c r="D727" s="304" t="s">
        <v>2892</v>
      </c>
      <c r="E727" s="488">
        <v>8.10115978756E11</v>
      </c>
      <c r="F727" s="209"/>
      <c r="G727" s="209"/>
      <c r="H727" s="209"/>
      <c r="I727" s="209"/>
      <c r="J727" s="300" t="b">
        <v>1</v>
      </c>
      <c r="K727" s="301" t="b">
        <v>0</v>
      </c>
      <c r="L727" s="419"/>
      <c r="M727" s="301" t="b">
        <v>0</v>
      </c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  <c r="AI727" s="209"/>
      <c r="AJ727" s="209"/>
      <c r="AK727" s="209"/>
      <c r="AL727" s="209"/>
      <c r="AM727" s="209"/>
      <c r="AN727" s="209"/>
      <c r="AO727" s="209"/>
      <c r="AP727" s="209"/>
    </row>
    <row r="728">
      <c r="A728" s="291"/>
      <c r="B728" s="304" t="s">
        <v>2893</v>
      </c>
      <c r="C728" s="410" t="s">
        <v>2889</v>
      </c>
      <c r="D728" s="304" t="s">
        <v>2894</v>
      </c>
      <c r="E728" s="307">
        <v>8.1011597707E11</v>
      </c>
      <c r="F728" s="209"/>
      <c r="G728" s="209"/>
      <c r="H728" s="209"/>
      <c r="I728" s="209"/>
      <c r="J728" s="300" t="b">
        <v>1</v>
      </c>
      <c r="K728" s="301" t="b">
        <v>0</v>
      </c>
      <c r="L728" s="419"/>
      <c r="M728" s="301" t="b">
        <v>0</v>
      </c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  <c r="AI728" s="209"/>
      <c r="AJ728" s="209"/>
      <c r="AK728" s="209"/>
      <c r="AL728" s="209"/>
      <c r="AM728" s="209"/>
      <c r="AN728" s="209"/>
      <c r="AO728" s="209"/>
      <c r="AP728" s="209"/>
    </row>
    <row r="729">
      <c r="A729" s="291"/>
      <c r="B729" s="377" t="s">
        <v>2895</v>
      </c>
      <c r="C729" s="410" t="s">
        <v>2889</v>
      </c>
      <c r="D729" s="304" t="s">
        <v>2896</v>
      </c>
      <c r="E729" s="488">
        <v>8.10115978657E11</v>
      </c>
      <c r="F729" s="209"/>
      <c r="G729" s="209"/>
      <c r="H729" s="209"/>
      <c r="I729" s="209"/>
      <c r="J729" s="300" t="b">
        <v>1</v>
      </c>
      <c r="K729" s="301" t="b">
        <v>0</v>
      </c>
      <c r="L729" s="419"/>
      <c r="M729" s="301" t="b">
        <v>0</v>
      </c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  <c r="AI729" s="209"/>
      <c r="AJ729" s="209"/>
      <c r="AK729" s="209"/>
      <c r="AL729" s="209"/>
      <c r="AM729" s="209"/>
      <c r="AN729" s="209"/>
      <c r="AO729" s="209"/>
      <c r="AP729" s="209"/>
    </row>
    <row r="730">
      <c r="A730" s="291"/>
      <c r="B730" s="377" t="s">
        <v>2897</v>
      </c>
      <c r="C730" s="410" t="s">
        <v>775</v>
      </c>
      <c r="D730" s="304" t="s">
        <v>2898</v>
      </c>
      <c r="E730" s="307">
        <v>8.10115978664E11</v>
      </c>
      <c r="F730" s="209"/>
      <c r="G730" s="209"/>
      <c r="H730" s="209"/>
      <c r="I730" s="209"/>
      <c r="J730" s="300" t="b">
        <v>1</v>
      </c>
      <c r="K730" s="301" t="b">
        <v>0</v>
      </c>
      <c r="L730" s="419"/>
      <c r="M730" s="301" t="b">
        <v>0</v>
      </c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  <c r="AI730" s="209"/>
      <c r="AJ730" s="209"/>
      <c r="AK730" s="209"/>
      <c r="AL730" s="209"/>
      <c r="AM730" s="209"/>
      <c r="AN730" s="209"/>
      <c r="AO730" s="209"/>
      <c r="AP730" s="209"/>
    </row>
    <row r="731">
      <c r="A731" s="291"/>
      <c r="B731" s="304" t="s">
        <v>2899</v>
      </c>
      <c r="C731" s="410" t="s">
        <v>775</v>
      </c>
      <c r="D731" s="304" t="s">
        <v>2900</v>
      </c>
      <c r="E731" s="307">
        <v>8.10115978763E11</v>
      </c>
      <c r="F731" s="209"/>
      <c r="G731" s="209"/>
      <c r="H731" s="209"/>
      <c r="I731" s="209"/>
      <c r="J731" s="300" t="b">
        <v>1</v>
      </c>
      <c r="K731" s="301" t="b">
        <v>0</v>
      </c>
      <c r="L731" s="419"/>
      <c r="M731" s="301" t="b">
        <v>0</v>
      </c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  <c r="AI731" s="209"/>
      <c r="AJ731" s="209"/>
      <c r="AK731" s="209"/>
      <c r="AL731" s="209"/>
      <c r="AM731" s="209"/>
      <c r="AN731" s="209"/>
      <c r="AO731" s="209"/>
      <c r="AP731" s="209"/>
    </row>
    <row r="732">
      <c r="A732" s="291"/>
      <c r="B732" s="304" t="s">
        <v>2901</v>
      </c>
      <c r="C732" s="410" t="s">
        <v>775</v>
      </c>
      <c r="D732" s="304" t="s">
        <v>2902</v>
      </c>
      <c r="E732" s="307">
        <v>8.10115977087E11</v>
      </c>
      <c r="F732" s="209"/>
      <c r="G732" s="209"/>
      <c r="H732" s="209"/>
      <c r="I732" s="209"/>
      <c r="J732" s="300" t="b">
        <v>1</v>
      </c>
      <c r="K732" s="301" t="b">
        <v>0</v>
      </c>
      <c r="L732" s="365"/>
      <c r="M732" s="314" t="b">
        <v>0</v>
      </c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  <c r="AI732" s="209"/>
      <c r="AJ732" s="209"/>
      <c r="AK732" s="209"/>
      <c r="AL732" s="209"/>
      <c r="AM732" s="209"/>
      <c r="AN732" s="209"/>
      <c r="AO732" s="209"/>
      <c r="AP732" s="209"/>
    </row>
    <row r="733">
      <c r="A733" s="291"/>
      <c r="B733" s="304" t="s">
        <v>2903</v>
      </c>
      <c r="C733" s="410" t="s">
        <v>775</v>
      </c>
      <c r="D733" s="304" t="s">
        <v>2904</v>
      </c>
      <c r="E733" s="307">
        <v>8.10115978671E11</v>
      </c>
      <c r="F733" s="209"/>
      <c r="G733" s="209"/>
      <c r="H733" s="209"/>
      <c r="I733" s="209"/>
      <c r="J733" s="300" t="b">
        <v>1</v>
      </c>
      <c r="K733" s="301" t="b">
        <v>0</v>
      </c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  <c r="AI733" s="209"/>
      <c r="AJ733" s="209"/>
      <c r="AK733" s="209"/>
      <c r="AL733" s="209"/>
      <c r="AM733" s="209"/>
      <c r="AN733" s="209"/>
      <c r="AO733" s="209"/>
      <c r="AP733" s="209"/>
    </row>
    <row r="734">
      <c r="A734" s="291"/>
      <c r="B734" s="377" t="s">
        <v>2905</v>
      </c>
      <c r="C734" s="410" t="s">
        <v>2906</v>
      </c>
      <c r="D734" s="304" t="s">
        <v>2907</v>
      </c>
      <c r="E734" s="307">
        <v>8.10115975014E11</v>
      </c>
      <c r="F734" s="209"/>
      <c r="G734" s="209"/>
      <c r="H734" s="209"/>
      <c r="I734" s="209"/>
      <c r="J734" s="300" t="b">
        <v>1</v>
      </c>
      <c r="K734" s="301" t="b">
        <v>0</v>
      </c>
      <c r="L734" s="344"/>
      <c r="M734" s="344"/>
      <c r="N734" s="344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  <c r="AI734" s="209"/>
      <c r="AJ734" s="209"/>
      <c r="AK734" s="209"/>
      <c r="AL734" s="209"/>
      <c r="AM734" s="209"/>
      <c r="AN734" s="209"/>
      <c r="AO734" s="209"/>
      <c r="AP734" s="209"/>
    </row>
    <row r="735">
      <c r="A735" s="291"/>
      <c r="B735" s="304" t="s">
        <v>2908</v>
      </c>
      <c r="C735" s="410" t="s">
        <v>2906</v>
      </c>
      <c r="D735" s="304" t="s">
        <v>2909</v>
      </c>
      <c r="E735" s="307">
        <v>8.10115975021E11</v>
      </c>
      <c r="F735" s="209"/>
      <c r="G735" s="209"/>
      <c r="H735" s="209"/>
      <c r="I735" s="209"/>
      <c r="J735" s="300" t="b">
        <v>1</v>
      </c>
      <c r="K735" s="301" t="b">
        <v>0</v>
      </c>
      <c r="L735" s="344"/>
      <c r="M735" s="344"/>
      <c r="N735" s="344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  <c r="AI735" s="209"/>
      <c r="AJ735" s="209"/>
      <c r="AK735" s="209"/>
      <c r="AL735" s="209"/>
      <c r="AM735" s="209"/>
      <c r="AN735" s="209"/>
      <c r="AO735" s="209"/>
      <c r="AP735" s="209"/>
    </row>
    <row r="736">
      <c r="A736" s="291"/>
      <c r="B736" s="304" t="s">
        <v>2910</v>
      </c>
      <c r="C736" s="410" t="s">
        <v>2906</v>
      </c>
      <c r="D736" s="304" t="s">
        <v>2911</v>
      </c>
      <c r="E736" s="307">
        <v>8.10115975496E11</v>
      </c>
      <c r="F736" s="209"/>
      <c r="G736" s="209"/>
      <c r="H736" s="209"/>
      <c r="I736" s="209"/>
      <c r="J736" s="300" t="b">
        <v>1</v>
      </c>
      <c r="K736" s="301" t="b">
        <v>0</v>
      </c>
      <c r="L736" s="344"/>
      <c r="M736" s="344"/>
      <c r="N736" s="344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  <c r="AI736" s="209"/>
      <c r="AJ736" s="209"/>
      <c r="AK736" s="209"/>
      <c r="AL736" s="209"/>
      <c r="AM736" s="209"/>
      <c r="AN736" s="209"/>
      <c r="AO736" s="209"/>
      <c r="AP736" s="209"/>
    </row>
    <row r="737">
      <c r="A737" s="291"/>
      <c r="B737" s="304" t="s">
        <v>2912</v>
      </c>
      <c r="C737" s="410" t="s">
        <v>2906</v>
      </c>
      <c r="D737" s="304" t="s">
        <v>2913</v>
      </c>
      <c r="E737" s="307">
        <v>8.10115975038E11</v>
      </c>
      <c r="F737" s="209"/>
      <c r="G737" s="209"/>
      <c r="H737" s="209"/>
      <c r="I737" s="209"/>
      <c r="J737" s="300" t="b">
        <v>1</v>
      </c>
      <c r="K737" s="301" t="b">
        <v>0</v>
      </c>
      <c r="L737" s="344"/>
      <c r="M737" s="344"/>
      <c r="N737" s="344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  <c r="AI737" s="209"/>
      <c r="AJ737" s="209"/>
      <c r="AK737" s="209"/>
      <c r="AL737" s="209"/>
      <c r="AM737" s="209"/>
      <c r="AN737" s="209"/>
      <c r="AO737" s="209"/>
      <c r="AP737" s="209"/>
    </row>
    <row r="738">
      <c r="A738" s="291"/>
      <c r="B738" s="304" t="s">
        <v>2914</v>
      </c>
      <c r="C738" s="410" t="s">
        <v>2915</v>
      </c>
      <c r="D738" s="304" t="s">
        <v>2916</v>
      </c>
      <c r="E738" s="307">
        <v>8.10115978688E11</v>
      </c>
      <c r="F738" s="209"/>
      <c r="G738" s="209"/>
      <c r="H738" s="209"/>
      <c r="I738" s="209"/>
      <c r="J738" s="300" t="b">
        <v>1</v>
      </c>
      <c r="K738" s="301" t="b">
        <v>0</v>
      </c>
      <c r="L738" s="344"/>
      <c r="M738" s="344"/>
      <c r="N738" s="344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  <c r="AI738" s="209"/>
      <c r="AJ738" s="209"/>
      <c r="AK738" s="209"/>
      <c r="AL738" s="209"/>
      <c r="AM738" s="209"/>
      <c r="AN738" s="209"/>
      <c r="AO738" s="209"/>
      <c r="AP738" s="209"/>
    </row>
    <row r="739">
      <c r="A739" s="291"/>
      <c r="B739" s="304" t="s">
        <v>2917</v>
      </c>
      <c r="C739" s="410" t="s">
        <v>2915</v>
      </c>
      <c r="D739" s="304" t="s">
        <v>2918</v>
      </c>
      <c r="E739" s="307">
        <v>8.1011597877E11</v>
      </c>
      <c r="F739" s="209"/>
      <c r="G739" s="209"/>
      <c r="H739" s="209"/>
      <c r="I739" s="209"/>
      <c r="J739" s="300" t="b">
        <v>1</v>
      </c>
      <c r="K739" s="301" t="b">
        <v>0</v>
      </c>
      <c r="L739" s="344"/>
      <c r="M739" s="344"/>
      <c r="N739" s="344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  <c r="AI739" s="209"/>
      <c r="AJ739" s="209"/>
      <c r="AK739" s="209"/>
      <c r="AL739" s="209"/>
      <c r="AM739" s="209"/>
      <c r="AN739" s="209"/>
      <c r="AO739" s="209"/>
      <c r="AP739" s="209"/>
    </row>
    <row r="740">
      <c r="A740" s="291"/>
      <c r="B740" s="304" t="s">
        <v>2919</v>
      </c>
      <c r="C740" s="410" t="s">
        <v>2915</v>
      </c>
      <c r="D740" s="304" t="s">
        <v>2920</v>
      </c>
      <c r="E740" s="307">
        <v>8.101159771E11</v>
      </c>
      <c r="F740" s="209"/>
      <c r="G740" s="209"/>
      <c r="H740" s="209"/>
      <c r="I740" s="209"/>
      <c r="J740" s="300" t="b">
        <v>1</v>
      </c>
      <c r="K740" s="301" t="b">
        <v>0</v>
      </c>
      <c r="L740" s="344"/>
      <c r="M740" s="344"/>
      <c r="N740" s="344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  <c r="AI740" s="209"/>
      <c r="AJ740" s="209"/>
      <c r="AK740" s="209"/>
      <c r="AL740" s="209"/>
      <c r="AM740" s="209"/>
      <c r="AN740" s="209"/>
      <c r="AO740" s="209"/>
      <c r="AP740" s="209"/>
    </row>
    <row r="741">
      <c r="A741" s="309"/>
      <c r="B741" s="311" t="s">
        <v>2921</v>
      </c>
      <c r="C741" s="423" t="s">
        <v>2915</v>
      </c>
      <c r="D741" s="311" t="s">
        <v>2922</v>
      </c>
      <c r="E741" s="318">
        <v>8.10115978695E11</v>
      </c>
      <c r="F741" s="313"/>
      <c r="G741" s="313"/>
      <c r="H741" s="313"/>
      <c r="I741" s="313"/>
      <c r="J741" s="300" t="b">
        <v>1</v>
      </c>
      <c r="K741" s="314" t="b">
        <v>0</v>
      </c>
      <c r="L741" s="344"/>
      <c r="M741" s="344"/>
      <c r="N741" s="344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  <c r="AI741" s="209"/>
      <c r="AJ741" s="209"/>
      <c r="AK741" s="209"/>
      <c r="AL741" s="209"/>
      <c r="AM741" s="209"/>
      <c r="AN741" s="209"/>
      <c r="AO741" s="209"/>
      <c r="AP741" s="209"/>
    </row>
    <row r="742">
      <c r="A742" s="344"/>
      <c r="B742" s="344"/>
      <c r="C742" s="344"/>
      <c r="D742" s="344"/>
      <c r="E742" s="344"/>
      <c r="F742" s="344"/>
      <c r="G742" s="344"/>
      <c r="H742" s="344"/>
      <c r="I742" s="209"/>
      <c r="J742" s="344"/>
      <c r="K742" s="344"/>
      <c r="L742" s="344"/>
      <c r="M742" s="344"/>
      <c r="N742" s="344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  <c r="AI742" s="209"/>
      <c r="AJ742" s="209"/>
      <c r="AK742" s="209"/>
      <c r="AL742" s="209"/>
      <c r="AM742" s="209"/>
      <c r="AN742" s="209"/>
      <c r="AO742" s="209"/>
      <c r="AP742" s="209"/>
    </row>
    <row r="743">
      <c r="A743" s="316" t="s">
        <v>2923</v>
      </c>
      <c r="B743" s="319" t="s">
        <v>2924</v>
      </c>
      <c r="C743" s="320"/>
      <c r="D743" s="283" t="s">
        <v>2925</v>
      </c>
      <c r="E743" s="336" t="s">
        <v>116</v>
      </c>
      <c r="F743" s="320"/>
      <c r="G743" s="320"/>
      <c r="H743" s="285" t="s">
        <v>2803</v>
      </c>
      <c r="I743" s="285" t="s">
        <v>4404</v>
      </c>
      <c r="J743" s="333" t="str">
        <f>IF(COUNTIF(J744:J775, TRUE) = COUNTA(J744:J775), "Complete!", IF(COUNTIF(J744:J775, TRUE) &gt; 0, "Partial", "Not Started"))</f>
        <v>Complete!</v>
      </c>
      <c r="K743" s="334"/>
      <c r="L743" s="464" t="s">
        <v>889</v>
      </c>
      <c r="M743" s="465" t="str">
        <f>IF(COUNTIF(M744:M766, TRUE) = COUNTA(M744:M766), "Complete!", IF(COUNTIF(M744:M766, TRUE) &gt; 0, "Partial", "Not Started"))</f>
        <v>Not Started</v>
      </c>
      <c r="N743" s="280">
        <v>32.0</v>
      </c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325"/>
      <c r="Z743" s="209"/>
      <c r="AA743" s="209"/>
      <c r="AB743" s="209"/>
      <c r="AC743" s="209"/>
      <c r="AD743" s="209"/>
      <c r="AE743" s="209"/>
      <c r="AF743" s="209"/>
      <c r="AG743" s="209"/>
      <c r="AH743" s="209"/>
      <c r="AI743" s="209"/>
      <c r="AJ743" s="209"/>
      <c r="AK743" s="209"/>
      <c r="AL743" s="209"/>
      <c r="AM743" s="209"/>
      <c r="AN743" s="209"/>
      <c r="AO743" s="209"/>
      <c r="AP743" s="209"/>
    </row>
    <row r="744">
      <c r="A744" s="291"/>
      <c r="B744" s="377" t="s">
        <v>2927</v>
      </c>
      <c r="C744" s="377" t="s">
        <v>1134</v>
      </c>
      <c r="D744" s="304" t="s">
        <v>2928</v>
      </c>
      <c r="E744" s="307">
        <v>8.10115978701E11</v>
      </c>
      <c r="F744" s="209"/>
      <c r="G744" s="209"/>
      <c r="H744" s="209"/>
      <c r="I744" s="209"/>
      <c r="J744" s="300" t="b">
        <v>1</v>
      </c>
      <c r="K744" s="301" t="b">
        <v>0</v>
      </c>
      <c r="L744" s="419"/>
      <c r="M744" s="301" t="b">
        <v>0</v>
      </c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325"/>
      <c r="Z744" s="209"/>
      <c r="AA744" s="209"/>
      <c r="AB744" s="209"/>
      <c r="AC744" s="209"/>
      <c r="AD744" s="209"/>
      <c r="AE744" s="209"/>
      <c r="AF744" s="209"/>
      <c r="AG744" s="209"/>
      <c r="AH744" s="209"/>
      <c r="AI744" s="209"/>
      <c r="AJ744" s="209"/>
      <c r="AK744" s="209"/>
      <c r="AL744" s="209"/>
      <c r="AM744" s="209"/>
      <c r="AN744" s="209"/>
      <c r="AO744" s="209"/>
      <c r="AP744" s="209"/>
    </row>
    <row r="745">
      <c r="A745" s="291"/>
      <c r="B745" s="304" t="s">
        <v>2929</v>
      </c>
      <c r="C745" s="304" t="s">
        <v>685</v>
      </c>
      <c r="D745" s="304" t="s">
        <v>2930</v>
      </c>
      <c r="E745" s="307">
        <v>8.10115978787E11</v>
      </c>
      <c r="F745" s="209"/>
      <c r="G745" s="209"/>
      <c r="H745" s="209"/>
      <c r="I745" s="209"/>
      <c r="J745" s="300" t="b">
        <v>1</v>
      </c>
      <c r="K745" s="301" t="b">
        <v>0</v>
      </c>
      <c r="L745" s="419"/>
      <c r="M745" s="301" t="b">
        <v>0</v>
      </c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  <c r="AI745" s="209"/>
      <c r="AJ745" s="209"/>
      <c r="AK745" s="209"/>
      <c r="AL745" s="209"/>
      <c r="AM745" s="209"/>
      <c r="AN745" s="209"/>
      <c r="AO745" s="209"/>
      <c r="AP745" s="209"/>
    </row>
    <row r="746">
      <c r="A746" s="291"/>
      <c r="B746" s="304" t="s">
        <v>2931</v>
      </c>
      <c r="C746" s="410" t="s">
        <v>685</v>
      </c>
      <c r="D746" s="304" t="s">
        <v>2932</v>
      </c>
      <c r="E746" s="307">
        <v>8.10115977049E11</v>
      </c>
      <c r="F746" s="209"/>
      <c r="G746" s="209"/>
      <c r="H746" s="209"/>
      <c r="I746" s="209"/>
      <c r="J746" s="300" t="b">
        <v>1</v>
      </c>
      <c r="K746" s="301" t="b">
        <v>0</v>
      </c>
      <c r="L746" s="419"/>
      <c r="M746" s="301" t="b">
        <v>0</v>
      </c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  <c r="AI746" s="209"/>
      <c r="AJ746" s="209"/>
      <c r="AK746" s="209"/>
      <c r="AL746" s="209"/>
      <c r="AM746" s="209"/>
      <c r="AN746" s="209"/>
      <c r="AO746" s="209"/>
      <c r="AP746" s="209"/>
    </row>
    <row r="747">
      <c r="A747" s="291"/>
      <c r="B747" s="304" t="s">
        <v>2933</v>
      </c>
      <c r="C747" s="410" t="s">
        <v>685</v>
      </c>
      <c r="D747" s="304" t="s">
        <v>2934</v>
      </c>
      <c r="E747" s="307">
        <v>8.10115978718E11</v>
      </c>
      <c r="F747" s="209"/>
      <c r="G747" s="209"/>
      <c r="H747" s="209"/>
      <c r="I747" s="209"/>
      <c r="J747" s="300" t="b">
        <v>1</v>
      </c>
      <c r="K747" s="301" t="b">
        <v>0</v>
      </c>
      <c r="L747" s="419"/>
      <c r="M747" s="301" t="b">
        <v>0</v>
      </c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  <c r="AI747" s="209"/>
      <c r="AJ747" s="209"/>
      <c r="AK747" s="209"/>
      <c r="AL747" s="209"/>
      <c r="AM747" s="209"/>
      <c r="AN747" s="209"/>
      <c r="AO747" s="209"/>
      <c r="AP747" s="209"/>
    </row>
    <row r="748">
      <c r="A748" s="291"/>
      <c r="B748" s="304" t="s">
        <v>2935</v>
      </c>
      <c r="C748" s="304" t="s">
        <v>2936</v>
      </c>
      <c r="D748" s="304" t="s">
        <v>2937</v>
      </c>
      <c r="E748" s="307">
        <v>8.10115974536E11</v>
      </c>
      <c r="F748" s="209"/>
      <c r="G748" s="209"/>
      <c r="H748" s="209"/>
      <c r="I748" s="209"/>
      <c r="J748" s="300" t="b">
        <v>1</v>
      </c>
      <c r="K748" s="301" t="b">
        <v>0</v>
      </c>
      <c r="L748" s="419"/>
      <c r="M748" s="301" t="b">
        <v>0</v>
      </c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  <c r="AI748" s="209"/>
      <c r="AJ748" s="209"/>
      <c r="AK748" s="209"/>
      <c r="AL748" s="209"/>
      <c r="AM748" s="209"/>
      <c r="AN748" s="209"/>
      <c r="AO748" s="209"/>
      <c r="AP748" s="209"/>
    </row>
    <row r="749">
      <c r="A749" s="291"/>
      <c r="B749" s="377" t="s">
        <v>2938</v>
      </c>
      <c r="C749" s="377" t="s">
        <v>2936</v>
      </c>
      <c r="D749" s="304" t="s">
        <v>2939</v>
      </c>
      <c r="E749" s="488">
        <v>8.10115974543E11</v>
      </c>
      <c r="F749" s="209"/>
      <c r="G749" s="209"/>
      <c r="H749" s="209"/>
      <c r="I749" s="209"/>
      <c r="J749" s="300" t="b">
        <v>1</v>
      </c>
      <c r="K749" s="301" t="b">
        <v>0</v>
      </c>
      <c r="L749" s="419"/>
      <c r="M749" s="301" t="b">
        <v>0</v>
      </c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  <c r="AI749" s="209"/>
      <c r="AJ749" s="209"/>
      <c r="AK749" s="209"/>
      <c r="AL749" s="209"/>
      <c r="AM749" s="209"/>
      <c r="AN749" s="209"/>
      <c r="AO749" s="209"/>
      <c r="AP749" s="209"/>
    </row>
    <row r="750">
      <c r="A750" s="291"/>
      <c r="B750" s="377" t="s">
        <v>2940</v>
      </c>
      <c r="C750" s="377" t="s">
        <v>2936</v>
      </c>
      <c r="D750" s="304" t="s">
        <v>2941</v>
      </c>
      <c r="E750" s="488">
        <v>8.10115975335E11</v>
      </c>
      <c r="F750" s="209"/>
      <c r="G750" s="209"/>
      <c r="H750" s="209"/>
      <c r="I750" s="209"/>
      <c r="J750" s="300" t="b">
        <v>1</v>
      </c>
      <c r="K750" s="301" t="b">
        <v>0</v>
      </c>
      <c r="L750" s="419"/>
      <c r="M750" s="301" t="b">
        <v>0</v>
      </c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</row>
    <row r="751">
      <c r="A751" s="291"/>
      <c r="B751" s="377" t="s">
        <v>2942</v>
      </c>
      <c r="C751" s="377" t="s">
        <v>2936</v>
      </c>
      <c r="D751" s="304" t="s">
        <v>2943</v>
      </c>
      <c r="E751" s="488">
        <v>8.1011597455E11</v>
      </c>
      <c r="F751" s="209"/>
      <c r="G751" s="209"/>
      <c r="H751" s="209"/>
      <c r="I751" s="209"/>
      <c r="J751" s="300" t="b">
        <v>1</v>
      </c>
      <c r="K751" s="301" t="b">
        <v>0</v>
      </c>
      <c r="L751" s="419"/>
      <c r="M751" s="301" t="b">
        <v>0</v>
      </c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  <c r="AI751" s="209"/>
      <c r="AJ751" s="209"/>
      <c r="AK751" s="209"/>
      <c r="AL751" s="209"/>
      <c r="AM751" s="209"/>
      <c r="AN751" s="209"/>
      <c r="AO751" s="209"/>
      <c r="AP751" s="209"/>
    </row>
    <row r="752">
      <c r="A752" s="291"/>
      <c r="B752" s="377" t="s">
        <v>2944</v>
      </c>
      <c r="C752" s="377" t="s">
        <v>588</v>
      </c>
      <c r="D752" s="304" t="s">
        <v>2945</v>
      </c>
      <c r="E752" s="307">
        <v>8.10115978732E11</v>
      </c>
      <c r="F752" s="209"/>
      <c r="G752" s="209"/>
      <c r="H752" s="209"/>
      <c r="I752" s="209"/>
      <c r="J752" s="300" t="b">
        <v>1</v>
      </c>
      <c r="K752" s="301" t="b">
        <v>0</v>
      </c>
      <c r="L752" s="419"/>
      <c r="M752" s="301" t="b">
        <v>0</v>
      </c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  <c r="AI752" s="209"/>
      <c r="AJ752" s="209"/>
      <c r="AK752" s="209"/>
      <c r="AL752" s="209"/>
      <c r="AM752" s="209"/>
      <c r="AN752" s="209"/>
      <c r="AO752" s="209"/>
      <c r="AP752" s="209"/>
    </row>
    <row r="753">
      <c r="A753" s="291"/>
      <c r="B753" s="304" t="s">
        <v>2946</v>
      </c>
      <c r="C753" s="304" t="s">
        <v>588</v>
      </c>
      <c r="D753" s="304" t="s">
        <v>2947</v>
      </c>
      <c r="E753" s="307">
        <v>8.10115978794E11</v>
      </c>
      <c r="F753" s="209"/>
      <c r="G753" s="209"/>
      <c r="H753" s="209"/>
      <c r="I753" s="209"/>
      <c r="J753" s="300" t="b">
        <v>1</v>
      </c>
      <c r="K753" s="301" t="b">
        <v>0</v>
      </c>
      <c r="L753" s="419"/>
      <c r="M753" s="301" t="b">
        <v>0</v>
      </c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  <c r="AI753" s="209"/>
      <c r="AJ753" s="209"/>
      <c r="AK753" s="209"/>
      <c r="AL753" s="209"/>
      <c r="AM753" s="209"/>
      <c r="AN753" s="209"/>
      <c r="AO753" s="209"/>
      <c r="AP753" s="209"/>
    </row>
    <row r="754">
      <c r="A754" s="291"/>
      <c r="B754" s="377" t="s">
        <v>2948</v>
      </c>
      <c r="C754" s="410" t="s">
        <v>588</v>
      </c>
      <c r="D754" s="304" t="s">
        <v>2949</v>
      </c>
      <c r="E754" s="488">
        <v>8.10115977056E11</v>
      </c>
      <c r="F754" s="209"/>
      <c r="G754" s="209"/>
      <c r="H754" s="209"/>
      <c r="I754" s="209"/>
      <c r="J754" s="300" t="b">
        <v>1</v>
      </c>
      <c r="K754" s="301" t="b">
        <v>0</v>
      </c>
      <c r="L754" s="419"/>
      <c r="M754" s="301" t="b">
        <v>0</v>
      </c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  <c r="AI754" s="209"/>
      <c r="AJ754" s="209"/>
      <c r="AK754" s="209"/>
      <c r="AL754" s="209"/>
      <c r="AM754" s="209"/>
      <c r="AN754" s="209"/>
      <c r="AO754" s="209"/>
      <c r="AP754" s="209"/>
    </row>
    <row r="755">
      <c r="A755" s="291"/>
      <c r="B755" s="377" t="s">
        <v>2950</v>
      </c>
      <c r="C755" s="410" t="s">
        <v>588</v>
      </c>
      <c r="D755" s="304" t="s">
        <v>2951</v>
      </c>
      <c r="E755" s="488">
        <v>8.10115978725E11</v>
      </c>
      <c r="F755" s="209"/>
      <c r="G755" s="209"/>
      <c r="H755" s="209"/>
      <c r="I755" s="209"/>
      <c r="J755" s="300" t="b">
        <v>1</v>
      </c>
      <c r="K755" s="301" t="b">
        <v>0</v>
      </c>
      <c r="L755" s="419"/>
      <c r="M755" s="301" t="b">
        <v>0</v>
      </c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  <c r="AI755" s="209"/>
      <c r="AJ755" s="209"/>
      <c r="AK755" s="209"/>
      <c r="AL755" s="209"/>
      <c r="AM755" s="209"/>
      <c r="AN755" s="209"/>
      <c r="AO755" s="209"/>
      <c r="AP755" s="209"/>
    </row>
    <row r="756">
      <c r="A756" s="291"/>
      <c r="B756" s="377" t="s">
        <v>2952</v>
      </c>
      <c r="C756" s="410" t="s">
        <v>944</v>
      </c>
      <c r="D756" s="304" t="s">
        <v>2953</v>
      </c>
      <c r="E756" s="307">
        <v>8.10115978626E11</v>
      </c>
      <c r="F756" s="209"/>
      <c r="G756" s="209"/>
      <c r="H756" s="209"/>
      <c r="I756" s="209"/>
      <c r="J756" s="300" t="b">
        <v>1</v>
      </c>
      <c r="K756" s="301" t="b">
        <v>0</v>
      </c>
      <c r="L756" s="419"/>
      <c r="M756" s="301" t="b">
        <v>0</v>
      </c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  <c r="AI756" s="209"/>
      <c r="AJ756" s="209"/>
      <c r="AK756" s="209"/>
      <c r="AL756" s="209"/>
      <c r="AM756" s="209"/>
      <c r="AN756" s="209"/>
      <c r="AO756" s="209"/>
      <c r="AP756" s="209"/>
    </row>
    <row r="757">
      <c r="A757" s="291"/>
      <c r="B757" s="377" t="s">
        <v>2955</v>
      </c>
      <c r="C757" s="410" t="s">
        <v>944</v>
      </c>
      <c r="D757" s="304" t="s">
        <v>2956</v>
      </c>
      <c r="E757" s="488">
        <v>8.10115978749E11</v>
      </c>
      <c r="F757" s="209"/>
      <c r="G757" s="209"/>
      <c r="H757" s="209"/>
      <c r="I757" s="209"/>
      <c r="J757" s="300" t="b">
        <v>1</v>
      </c>
      <c r="K757" s="301" t="b">
        <v>0</v>
      </c>
      <c r="L757" s="419"/>
      <c r="M757" s="301" t="b">
        <v>0</v>
      </c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  <c r="AI757" s="209"/>
      <c r="AJ757" s="209"/>
      <c r="AK757" s="209"/>
      <c r="AL757" s="209"/>
      <c r="AM757" s="209"/>
      <c r="AN757" s="209"/>
      <c r="AO757" s="209"/>
      <c r="AP757" s="209"/>
    </row>
    <row r="758">
      <c r="A758" s="291"/>
      <c r="B758" s="377" t="s">
        <v>2957</v>
      </c>
      <c r="C758" s="410" t="s">
        <v>944</v>
      </c>
      <c r="D758" s="304" t="s">
        <v>2958</v>
      </c>
      <c r="E758" s="488">
        <v>8.10115977063E11</v>
      </c>
      <c r="F758" s="209"/>
      <c r="G758" s="209"/>
      <c r="H758" s="209"/>
      <c r="I758" s="209"/>
      <c r="J758" s="300" t="b">
        <v>1</v>
      </c>
      <c r="K758" s="301" t="b">
        <v>0</v>
      </c>
      <c r="L758" s="419"/>
      <c r="M758" s="301" t="b">
        <v>0</v>
      </c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  <c r="AI758" s="209"/>
      <c r="AJ758" s="209"/>
      <c r="AK758" s="209"/>
      <c r="AL758" s="209"/>
      <c r="AM758" s="209"/>
      <c r="AN758" s="209"/>
      <c r="AO758" s="209"/>
      <c r="AP758" s="209"/>
    </row>
    <row r="759">
      <c r="A759" s="291"/>
      <c r="B759" s="377" t="s">
        <v>2959</v>
      </c>
      <c r="C759" s="410" t="s">
        <v>944</v>
      </c>
      <c r="D759" s="304" t="s">
        <v>2960</v>
      </c>
      <c r="E759" s="488">
        <v>8.10115978633E11</v>
      </c>
      <c r="F759" s="209"/>
      <c r="G759" s="209"/>
      <c r="H759" s="209"/>
      <c r="I759" s="209"/>
      <c r="J759" s="300" t="b">
        <v>1</v>
      </c>
      <c r="K759" s="301" t="b">
        <v>0</v>
      </c>
      <c r="L759" s="419"/>
      <c r="M759" s="301" t="b">
        <v>0</v>
      </c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  <c r="AI759" s="209"/>
      <c r="AJ759" s="209"/>
      <c r="AK759" s="209"/>
      <c r="AL759" s="209"/>
      <c r="AM759" s="209"/>
      <c r="AN759" s="209"/>
      <c r="AO759" s="209"/>
      <c r="AP759" s="209"/>
    </row>
    <row r="760">
      <c r="A760" s="291"/>
      <c r="B760" s="377" t="s">
        <v>2961</v>
      </c>
      <c r="C760" s="410" t="s">
        <v>2005</v>
      </c>
      <c r="D760" s="304" t="s">
        <v>2962</v>
      </c>
      <c r="E760" s="307">
        <v>8.10115974505E11</v>
      </c>
      <c r="F760" s="209"/>
      <c r="G760" s="209"/>
      <c r="H760" s="209"/>
      <c r="I760" s="209"/>
      <c r="J760" s="300" t="b">
        <v>1</v>
      </c>
      <c r="K760" s="301" t="b">
        <v>0</v>
      </c>
      <c r="L760" s="419"/>
      <c r="M760" s="301" t="b">
        <v>0</v>
      </c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  <c r="AI760" s="209"/>
      <c r="AJ760" s="209"/>
      <c r="AK760" s="209"/>
      <c r="AL760" s="209"/>
      <c r="AM760" s="209"/>
      <c r="AN760" s="209"/>
      <c r="AO760" s="209"/>
      <c r="AP760" s="209"/>
    </row>
    <row r="761">
      <c r="A761" s="291"/>
      <c r="B761" s="304" t="s">
        <v>2963</v>
      </c>
      <c r="C761" s="410" t="s">
        <v>2005</v>
      </c>
      <c r="D761" s="304" t="s">
        <v>2964</v>
      </c>
      <c r="E761" s="308" t="s">
        <v>2965</v>
      </c>
      <c r="F761" s="209"/>
      <c r="G761" s="209"/>
      <c r="H761" s="209"/>
      <c r="I761" s="209"/>
      <c r="J761" s="300" t="b">
        <v>1</v>
      </c>
      <c r="K761" s="301" t="b">
        <v>0</v>
      </c>
      <c r="L761" s="419"/>
      <c r="M761" s="301" t="b">
        <v>0</v>
      </c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209"/>
      <c r="AJ761" s="209"/>
      <c r="AK761" s="209"/>
      <c r="AL761" s="209"/>
      <c r="AM761" s="209"/>
      <c r="AN761" s="209"/>
      <c r="AO761" s="209"/>
      <c r="AP761" s="209"/>
    </row>
    <row r="762">
      <c r="A762" s="291"/>
      <c r="B762" s="304" t="s">
        <v>2966</v>
      </c>
      <c r="C762" s="410" t="s">
        <v>2005</v>
      </c>
      <c r="D762" s="304" t="s">
        <v>2967</v>
      </c>
      <c r="E762" s="308" t="s">
        <v>2968</v>
      </c>
      <c r="F762" s="209"/>
      <c r="G762" s="209"/>
      <c r="H762" s="209"/>
      <c r="I762" s="209"/>
      <c r="J762" s="300" t="b">
        <v>1</v>
      </c>
      <c r="K762" s="301" t="b">
        <v>0</v>
      </c>
      <c r="L762" s="419"/>
      <c r="M762" s="301" t="b">
        <v>0</v>
      </c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  <c r="AI762" s="209"/>
      <c r="AJ762" s="209"/>
      <c r="AK762" s="209"/>
      <c r="AL762" s="209"/>
      <c r="AM762" s="209"/>
      <c r="AN762" s="209"/>
      <c r="AO762" s="209"/>
      <c r="AP762" s="209"/>
    </row>
    <row r="763">
      <c r="A763" s="291"/>
      <c r="B763" s="304" t="s">
        <v>2969</v>
      </c>
      <c r="C763" s="410" t="s">
        <v>2005</v>
      </c>
      <c r="D763" s="304" t="s">
        <v>2970</v>
      </c>
      <c r="E763" s="307">
        <v>8.10115974529E11</v>
      </c>
      <c r="F763" s="209"/>
      <c r="G763" s="209"/>
      <c r="H763" s="209"/>
      <c r="I763" s="209"/>
      <c r="J763" s="300" t="b">
        <v>1</v>
      </c>
      <c r="K763" s="301" t="b">
        <v>0</v>
      </c>
      <c r="L763" s="419"/>
      <c r="M763" s="301" t="b">
        <v>0</v>
      </c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  <c r="AI763" s="209"/>
      <c r="AJ763" s="209"/>
      <c r="AK763" s="209"/>
      <c r="AL763" s="209"/>
      <c r="AM763" s="209"/>
      <c r="AN763" s="209"/>
      <c r="AO763" s="209"/>
      <c r="AP763" s="209"/>
    </row>
    <row r="764">
      <c r="A764" s="291"/>
      <c r="B764" s="304" t="s">
        <v>2971</v>
      </c>
      <c r="C764" s="410" t="s">
        <v>2972</v>
      </c>
      <c r="D764" s="304" t="s">
        <v>2973</v>
      </c>
      <c r="E764" s="307">
        <v>8.10115974741E11</v>
      </c>
      <c r="F764" s="209"/>
      <c r="G764" s="209"/>
      <c r="H764" s="209"/>
      <c r="I764" s="209"/>
      <c r="J764" s="300" t="b">
        <v>1</v>
      </c>
      <c r="K764" s="301" t="b">
        <v>0</v>
      </c>
      <c r="L764" s="419"/>
      <c r="M764" s="301" t="b">
        <v>0</v>
      </c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  <c r="AI764" s="209"/>
      <c r="AJ764" s="209"/>
      <c r="AK764" s="209"/>
      <c r="AL764" s="209"/>
      <c r="AM764" s="209"/>
      <c r="AN764" s="209"/>
      <c r="AO764" s="209"/>
      <c r="AP764" s="209"/>
    </row>
    <row r="765">
      <c r="A765" s="291"/>
      <c r="B765" s="377" t="s">
        <v>2974</v>
      </c>
      <c r="C765" s="410" t="s">
        <v>2972</v>
      </c>
      <c r="D765" s="304" t="s">
        <v>2975</v>
      </c>
      <c r="E765" s="498" t="s">
        <v>2976</v>
      </c>
      <c r="F765" s="209"/>
      <c r="G765" s="209"/>
      <c r="H765" s="209"/>
      <c r="I765" s="209"/>
      <c r="J765" s="300" t="b">
        <v>1</v>
      </c>
      <c r="K765" s="301" t="b">
        <v>0</v>
      </c>
      <c r="L765" s="419"/>
      <c r="M765" s="301" t="b">
        <v>0</v>
      </c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  <c r="AI765" s="209"/>
      <c r="AJ765" s="209"/>
      <c r="AK765" s="209"/>
      <c r="AL765" s="209"/>
      <c r="AM765" s="209"/>
      <c r="AN765" s="209"/>
      <c r="AO765" s="209"/>
      <c r="AP765" s="209"/>
    </row>
    <row r="766">
      <c r="A766" s="291"/>
      <c r="B766" s="377" t="s">
        <v>2977</v>
      </c>
      <c r="C766" s="410" t="s">
        <v>2972</v>
      </c>
      <c r="D766" s="304" t="s">
        <v>2978</v>
      </c>
      <c r="E766" s="498" t="s">
        <v>2979</v>
      </c>
      <c r="F766" s="209"/>
      <c r="G766" s="209"/>
      <c r="H766" s="209"/>
      <c r="I766" s="209"/>
      <c r="J766" s="300" t="b">
        <v>1</v>
      </c>
      <c r="K766" s="301" t="b">
        <v>0</v>
      </c>
      <c r="L766" s="365"/>
      <c r="M766" s="314" t="b">
        <v>0</v>
      </c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  <c r="AI766" s="209"/>
      <c r="AJ766" s="209"/>
      <c r="AK766" s="209"/>
      <c r="AL766" s="209"/>
      <c r="AM766" s="209"/>
      <c r="AN766" s="209"/>
      <c r="AO766" s="209"/>
      <c r="AP766" s="209"/>
    </row>
    <row r="767">
      <c r="A767" s="291"/>
      <c r="B767" s="377" t="s">
        <v>2980</v>
      </c>
      <c r="C767" s="410" t="s">
        <v>2972</v>
      </c>
      <c r="D767" s="304" t="s">
        <v>2981</v>
      </c>
      <c r="E767" s="488">
        <v>8.10115974765E11</v>
      </c>
      <c r="F767" s="209"/>
      <c r="G767" s="209"/>
      <c r="H767" s="209"/>
      <c r="I767" s="209"/>
      <c r="J767" s="300" t="b">
        <v>1</v>
      </c>
      <c r="K767" s="301" t="b">
        <v>0</v>
      </c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  <c r="AI767" s="209"/>
      <c r="AJ767" s="209"/>
      <c r="AK767" s="209"/>
      <c r="AL767" s="209"/>
      <c r="AM767" s="209"/>
      <c r="AN767" s="209"/>
      <c r="AO767" s="209"/>
      <c r="AP767" s="209"/>
    </row>
    <row r="768">
      <c r="A768" s="291"/>
      <c r="B768" s="377" t="s">
        <v>2982</v>
      </c>
      <c r="C768" s="410" t="s">
        <v>2983</v>
      </c>
      <c r="D768" s="304" t="s">
        <v>2984</v>
      </c>
      <c r="E768" s="307">
        <v>8.10115974833E11</v>
      </c>
      <c r="F768" s="209"/>
      <c r="G768" s="209"/>
      <c r="H768" s="209"/>
      <c r="I768" s="209"/>
      <c r="J768" s="300" t="b">
        <v>1</v>
      </c>
      <c r="K768" s="301" t="b">
        <v>0</v>
      </c>
      <c r="L768" s="344"/>
      <c r="M768" s="344"/>
      <c r="N768" s="344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  <c r="AI768" s="209"/>
      <c r="AJ768" s="209"/>
      <c r="AK768" s="209"/>
      <c r="AL768" s="209"/>
      <c r="AM768" s="209"/>
      <c r="AN768" s="209"/>
      <c r="AO768" s="209"/>
      <c r="AP768" s="209"/>
    </row>
    <row r="769">
      <c r="A769" s="291"/>
      <c r="B769" s="304" t="s">
        <v>2985</v>
      </c>
      <c r="C769" s="410" t="s">
        <v>2983</v>
      </c>
      <c r="D769" s="304" t="s">
        <v>2986</v>
      </c>
      <c r="E769" s="308" t="s">
        <v>2987</v>
      </c>
      <c r="F769" s="209"/>
      <c r="G769" s="209"/>
      <c r="H769" s="209"/>
      <c r="I769" s="209"/>
      <c r="J769" s="300" t="b">
        <v>1</v>
      </c>
      <c r="K769" s="301" t="b">
        <v>0</v>
      </c>
      <c r="L769" s="344"/>
      <c r="M769" s="344"/>
      <c r="N769" s="344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  <c r="AI769" s="209"/>
      <c r="AJ769" s="209"/>
      <c r="AK769" s="209"/>
      <c r="AL769" s="209"/>
      <c r="AM769" s="209"/>
      <c r="AN769" s="209"/>
      <c r="AO769" s="209"/>
      <c r="AP769" s="209"/>
    </row>
    <row r="770">
      <c r="A770" s="291"/>
      <c r="B770" s="304" t="s">
        <v>2988</v>
      </c>
      <c r="C770" s="410" t="s">
        <v>2983</v>
      </c>
      <c r="D770" s="304" t="s">
        <v>2989</v>
      </c>
      <c r="E770" s="308" t="s">
        <v>2990</v>
      </c>
      <c r="F770" s="209"/>
      <c r="G770" s="209"/>
      <c r="H770" s="209"/>
      <c r="I770" s="209"/>
      <c r="J770" s="300" t="b">
        <v>1</v>
      </c>
      <c r="K770" s="301" t="b">
        <v>0</v>
      </c>
      <c r="L770" s="344"/>
      <c r="M770" s="344"/>
      <c r="N770" s="344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  <c r="AI770" s="209"/>
      <c r="AJ770" s="209"/>
      <c r="AK770" s="209"/>
      <c r="AL770" s="209"/>
      <c r="AM770" s="209"/>
      <c r="AN770" s="209"/>
      <c r="AO770" s="209"/>
      <c r="AP770" s="209"/>
    </row>
    <row r="771">
      <c r="A771" s="291"/>
      <c r="B771" s="304" t="s">
        <v>2991</v>
      </c>
      <c r="C771" s="410" t="s">
        <v>2983</v>
      </c>
      <c r="D771" s="304" t="s">
        <v>2992</v>
      </c>
      <c r="E771" s="307">
        <v>8.10115974857E11</v>
      </c>
      <c r="F771" s="209"/>
      <c r="G771" s="209"/>
      <c r="H771" s="209"/>
      <c r="I771" s="209"/>
      <c r="J771" s="300" t="b">
        <v>1</v>
      </c>
      <c r="K771" s="301" t="b">
        <v>0</v>
      </c>
      <c r="L771" s="344"/>
      <c r="M771" s="344"/>
      <c r="N771" s="344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  <c r="AI771" s="209"/>
      <c r="AJ771" s="209"/>
      <c r="AK771" s="209"/>
      <c r="AL771" s="209"/>
      <c r="AM771" s="209"/>
      <c r="AN771" s="209"/>
      <c r="AO771" s="209"/>
      <c r="AP771" s="209"/>
    </row>
    <row r="772">
      <c r="A772" s="291"/>
      <c r="B772" s="377" t="s">
        <v>2993</v>
      </c>
      <c r="C772" s="410" t="s">
        <v>2994</v>
      </c>
      <c r="D772" s="304" t="s">
        <v>2995</v>
      </c>
      <c r="E772" s="307">
        <v>8.10115974895E11</v>
      </c>
      <c r="F772" s="209"/>
      <c r="G772" s="209"/>
      <c r="H772" s="209"/>
      <c r="I772" s="209"/>
      <c r="J772" s="300" t="b">
        <v>1</v>
      </c>
      <c r="K772" s="301" t="b">
        <v>0</v>
      </c>
      <c r="L772" s="344"/>
      <c r="M772" s="344"/>
      <c r="N772" s="344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  <c r="AI772" s="209"/>
      <c r="AJ772" s="209"/>
      <c r="AK772" s="209"/>
      <c r="AL772" s="209"/>
      <c r="AM772" s="209"/>
      <c r="AN772" s="209"/>
      <c r="AO772" s="209"/>
      <c r="AP772" s="209"/>
    </row>
    <row r="773">
      <c r="A773" s="291"/>
      <c r="B773" s="304" t="s">
        <v>2996</v>
      </c>
      <c r="C773" s="410" t="s">
        <v>2994</v>
      </c>
      <c r="D773" s="304" t="s">
        <v>2997</v>
      </c>
      <c r="E773" s="308" t="s">
        <v>2998</v>
      </c>
      <c r="F773" s="209"/>
      <c r="G773" s="209"/>
      <c r="H773" s="209"/>
      <c r="I773" s="209"/>
      <c r="J773" s="300" t="b">
        <v>1</v>
      </c>
      <c r="K773" s="301" t="b">
        <v>0</v>
      </c>
      <c r="L773" s="344"/>
      <c r="M773" s="344"/>
      <c r="N773" s="344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  <c r="AI773" s="209"/>
      <c r="AJ773" s="209"/>
      <c r="AK773" s="209"/>
      <c r="AL773" s="209"/>
      <c r="AM773" s="209"/>
      <c r="AN773" s="209"/>
      <c r="AO773" s="209"/>
      <c r="AP773" s="209"/>
    </row>
    <row r="774">
      <c r="A774" s="291"/>
      <c r="B774" s="304" t="s">
        <v>2999</v>
      </c>
      <c r="C774" s="410" t="s">
        <v>2994</v>
      </c>
      <c r="D774" s="304" t="s">
        <v>3000</v>
      </c>
      <c r="E774" s="308" t="s">
        <v>3001</v>
      </c>
      <c r="F774" s="209"/>
      <c r="G774" s="209"/>
      <c r="H774" s="209"/>
      <c r="I774" s="209"/>
      <c r="J774" s="300" t="b">
        <v>1</v>
      </c>
      <c r="K774" s="301" t="b">
        <v>0</v>
      </c>
      <c r="L774" s="344"/>
      <c r="M774" s="344"/>
      <c r="N774" s="344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  <c r="AI774" s="209"/>
      <c r="AJ774" s="209"/>
      <c r="AK774" s="209"/>
      <c r="AL774" s="209"/>
      <c r="AM774" s="209"/>
      <c r="AN774" s="209"/>
      <c r="AO774" s="209"/>
      <c r="AP774" s="209"/>
    </row>
    <row r="775">
      <c r="A775" s="309"/>
      <c r="B775" s="311" t="s">
        <v>3002</v>
      </c>
      <c r="C775" s="423" t="s">
        <v>2994</v>
      </c>
      <c r="D775" s="311" t="s">
        <v>3003</v>
      </c>
      <c r="E775" s="318">
        <v>8.10115974918E11</v>
      </c>
      <c r="F775" s="313"/>
      <c r="G775" s="313"/>
      <c r="H775" s="313"/>
      <c r="I775" s="313"/>
      <c r="J775" s="300" t="b">
        <v>1</v>
      </c>
      <c r="K775" s="314" t="b">
        <v>0</v>
      </c>
      <c r="L775" s="344"/>
      <c r="M775" s="344"/>
      <c r="N775" s="344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  <c r="AI775" s="209"/>
      <c r="AJ775" s="209"/>
      <c r="AK775" s="209"/>
      <c r="AL775" s="209"/>
      <c r="AM775" s="209"/>
      <c r="AN775" s="209"/>
      <c r="AO775" s="209"/>
      <c r="AP775" s="209"/>
    </row>
    <row r="776">
      <c r="A776" s="344"/>
      <c r="B776" s="344"/>
      <c r="C776" s="344"/>
      <c r="D776" s="344"/>
      <c r="E776" s="344"/>
      <c r="F776" s="344"/>
      <c r="G776" s="344"/>
      <c r="H776" s="344"/>
      <c r="I776" s="209"/>
      <c r="J776" s="344"/>
      <c r="K776" s="344"/>
      <c r="L776" s="344"/>
      <c r="M776" s="344"/>
      <c r="N776" s="344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  <c r="AI776" s="209"/>
      <c r="AJ776" s="209"/>
      <c r="AK776" s="209"/>
      <c r="AL776" s="209"/>
      <c r="AM776" s="209"/>
      <c r="AN776" s="209"/>
      <c r="AO776" s="209"/>
      <c r="AP776" s="209"/>
    </row>
    <row r="777">
      <c r="A777" s="316" t="s">
        <v>3004</v>
      </c>
      <c r="B777" s="319" t="s">
        <v>3005</v>
      </c>
      <c r="C777" s="320"/>
      <c r="D777" s="283" t="s">
        <v>3006</v>
      </c>
      <c r="E777" s="336" t="s">
        <v>116</v>
      </c>
      <c r="F777" s="320"/>
      <c r="G777" s="320"/>
      <c r="H777" s="285" t="s">
        <v>376</v>
      </c>
      <c r="I777" s="285" t="s">
        <v>4405</v>
      </c>
      <c r="J777" s="333" t="str">
        <f>IF(COUNTIF(J778:J789, TRUE) = COUNTA(J778:J789), "Complete!", IF(COUNTIF(J778:J789, TRUE) &gt; 0, "Partial", "Not Started"))</f>
        <v>Complete!</v>
      </c>
      <c r="K777" s="334"/>
      <c r="L777" s="464" t="s">
        <v>889</v>
      </c>
      <c r="M777" s="465" t="str">
        <f>IF(COUNTIF(M778:M789, TRUE) = COUNTA(M778:M789), "Complete!", IF(COUNTIF(M778:M789, TRUE) &gt; 0, "Partial", "Not Started"))</f>
        <v>Not Started</v>
      </c>
      <c r="N777" s="280">
        <v>12.0</v>
      </c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  <c r="AI777" s="209"/>
      <c r="AJ777" s="209"/>
      <c r="AK777" s="209"/>
      <c r="AL777" s="209"/>
      <c r="AM777" s="209"/>
      <c r="AN777" s="209"/>
      <c r="AO777" s="209"/>
      <c r="AP777" s="209"/>
    </row>
    <row r="778">
      <c r="A778" s="291"/>
      <c r="B778" s="377" t="s">
        <v>3008</v>
      </c>
      <c r="C778" s="377" t="s">
        <v>3009</v>
      </c>
      <c r="D778" s="304" t="s">
        <v>3010</v>
      </c>
      <c r="E778" s="307">
        <v>8.10115975236E11</v>
      </c>
      <c r="F778" s="209"/>
      <c r="G778" s="209"/>
      <c r="H778" s="209"/>
      <c r="I778" s="209"/>
      <c r="J778" s="300" t="b">
        <v>1</v>
      </c>
      <c r="K778" s="301" t="b">
        <v>0</v>
      </c>
      <c r="L778" s="419"/>
      <c r="M778" s="301" t="b">
        <v>0</v>
      </c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  <c r="AI778" s="209"/>
      <c r="AJ778" s="209"/>
      <c r="AK778" s="209"/>
      <c r="AL778" s="209"/>
      <c r="AM778" s="209"/>
      <c r="AN778" s="209"/>
      <c r="AO778" s="209"/>
      <c r="AP778" s="209"/>
    </row>
    <row r="779">
      <c r="A779" s="291"/>
      <c r="B779" s="304" t="s">
        <v>3011</v>
      </c>
      <c r="C779" s="410" t="s">
        <v>3009</v>
      </c>
      <c r="D779" s="304" t="s">
        <v>3012</v>
      </c>
      <c r="E779" s="307">
        <v>8.10115975243E11</v>
      </c>
      <c r="F779" s="209"/>
      <c r="G779" s="209"/>
      <c r="H779" s="209"/>
      <c r="I779" s="209"/>
      <c r="J779" s="300" t="b">
        <v>1</v>
      </c>
      <c r="K779" s="301" t="b">
        <v>0</v>
      </c>
      <c r="L779" s="419"/>
      <c r="M779" s="301" t="b">
        <v>0</v>
      </c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  <c r="AI779" s="209"/>
      <c r="AJ779" s="209"/>
      <c r="AK779" s="209"/>
      <c r="AL779" s="209"/>
      <c r="AM779" s="209"/>
      <c r="AN779" s="209"/>
      <c r="AO779" s="209"/>
      <c r="AP779" s="209"/>
    </row>
    <row r="780">
      <c r="A780" s="291"/>
      <c r="B780" s="304" t="s">
        <v>3013</v>
      </c>
      <c r="C780" s="410" t="s">
        <v>3009</v>
      </c>
      <c r="D780" s="304" t="s">
        <v>3014</v>
      </c>
      <c r="E780" s="307">
        <v>8.10115975557E11</v>
      </c>
      <c r="F780" s="209"/>
      <c r="G780" s="209"/>
      <c r="H780" s="209"/>
      <c r="I780" s="209"/>
      <c r="J780" s="300" t="b">
        <v>1</v>
      </c>
      <c r="K780" s="301" t="b">
        <v>0</v>
      </c>
      <c r="L780" s="419"/>
      <c r="M780" s="301" t="b">
        <v>0</v>
      </c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  <c r="AI780" s="209"/>
      <c r="AJ780" s="209"/>
      <c r="AK780" s="209"/>
      <c r="AL780" s="209"/>
      <c r="AM780" s="209"/>
      <c r="AN780" s="209"/>
      <c r="AO780" s="209"/>
      <c r="AP780" s="209"/>
    </row>
    <row r="781">
      <c r="A781" s="291"/>
      <c r="B781" s="304" t="s">
        <v>3015</v>
      </c>
      <c r="C781" s="410" t="s">
        <v>3009</v>
      </c>
      <c r="D781" s="304" t="s">
        <v>3016</v>
      </c>
      <c r="E781" s="307">
        <v>8.1011597525E11</v>
      </c>
      <c r="F781" s="209"/>
      <c r="G781" s="209"/>
      <c r="H781" s="209"/>
      <c r="I781" s="209"/>
      <c r="J781" s="300" t="b">
        <v>1</v>
      </c>
      <c r="K781" s="301" t="b">
        <v>0</v>
      </c>
      <c r="L781" s="419"/>
      <c r="M781" s="301" t="b">
        <v>0</v>
      </c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  <c r="AI781" s="209"/>
      <c r="AJ781" s="209"/>
      <c r="AK781" s="209"/>
      <c r="AL781" s="209"/>
      <c r="AM781" s="209"/>
      <c r="AN781" s="209"/>
      <c r="AO781" s="209"/>
      <c r="AP781" s="209"/>
    </row>
    <row r="782">
      <c r="A782" s="291"/>
      <c r="B782" s="304" t="s">
        <v>3017</v>
      </c>
      <c r="C782" s="410" t="s">
        <v>3018</v>
      </c>
      <c r="D782" s="304" t="s">
        <v>3019</v>
      </c>
      <c r="E782" s="307">
        <v>8.1011597471E11</v>
      </c>
      <c r="F782" s="209"/>
      <c r="G782" s="209"/>
      <c r="H782" s="209"/>
      <c r="I782" s="209"/>
      <c r="J782" s="300" t="b">
        <v>1</v>
      </c>
      <c r="K782" s="301" t="b">
        <v>0</v>
      </c>
      <c r="L782" s="419"/>
      <c r="M782" s="301" t="b">
        <v>0</v>
      </c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  <c r="AI782" s="209"/>
      <c r="AJ782" s="209"/>
      <c r="AK782" s="209"/>
      <c r="AL782" s="209"/>
      <c r="AM782" s="209"/>
      <c r="AN782" s="209"/>
      <c r="AO782" s="209"/>
      <c r="AP782" s="209"/>
    </row>
    <row r="783">
      <c r="A783" s="291"/>
      <c r="B783" s="377" t="s">
        <v>3020</v>
      </c>
      <c r="C783" s="410" t="s">
        <v>3018</v>
      </c>
      <c r="D783" s="304" t="s">
        <v>3021</v>
      </c>
      <c r="E783" s="488">
        <v>8.10115974727E11</v>
      </c>
      <c r="F783" s="209"/>
      <c r="G783" s="209"/>
      <c r="H783" s="209"/>
      <c r="I783" s="209"/>
      <c r="J783" s="300" t="b">
        <v>1</v>
      </c>
      <c r="K783" s="301" t="b">
        <v>0</v>
      </c>
      <c r="L783" s="419"/>
      <c r="M783" s="301" t="b">
        <v>0</v>
      </c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  <c r="AI783" s="209"/>
      <c r="AJ783" s="209"/>
      <c r="AK783" s="209"/>
      <c r="AL783" s="209"/>
      <c r="AM783" s="209"/>
      <c r="AN783" s="209"/>
      <c r="AO783" s="209"/>
      <c r="AP783" s="209"/>
    </row>
    <row r="784">
      <c r="A784" s="291"/>
      <c r="B784" s="304" t="s">
        <v>3022</v>
      </c>
      <c r="C784" s="410" t="s">
        <v>3018</v>
      </c>
      <c r="D784" s="304" t="s">
        <v>3023</v>
      </c>
      <c r="E784" s="307">
        <v>8.10115975397E11</v>
      </c>
      <c r="F784" s="209"/>
      <c r="G784" s="209"/>
      <c r="H784" s="209"/>
      <c r="I784" s="209"/>
      <c r="J784" s="300" t="b">
        <v>1</v>
      </c>
      <c r="K784" s="301" t="b">
        <v>0</v>
      </c>
      <c r="L784" s="419"/>
      <c r="M784" s="301" t="b">
        <v>0</v>
      </c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  <c r="AI784" s="209"/>
      <c r="AJ784" s="209"/>
      <c r="AK784" s="209"/>
      <c r="AL784" s="209"/>
      <c r="AM784" s="209"/>
      <c r="AN784" s="209"/>
      <c r="AO784" s="209"/>
      <c r="AP784" s="209"/>
    </row>
    <row r="785">
      <c r="A785" s="291"/>
      <c r="B785" s="377" t="s">
        <v>3024</v>
      </c>
      <c r="C785" s="410" t="s">
        <v>3018</v>
      </c>
      <c r="D785" s="304" t="s">
        <v>3025</v>
      </c>
      <c r="E785" s="488">
        <v>8.10115974734E11</v>
      </c>
      <c r="F785" s="209"/>
      <c r="G785" s="209"/>
      <c r="H785" s="209"/>
      <c r="I785" s="209"/>
      <c r="J785" s="300" t="b">
        <v>1</v>
      </c>
      <c r="K785" s="301" t="b">
        <v>0</v>
      </c>
      <c r="L785" s="419"/>
      <c r="M785" s="301" t="b">
        <v>0</v>
      </c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  <c r="AI785" s="209"/>
      <c r="AJ785" s="209"/>
      <c r="AK785" s="209"/>
      <c r="AL785" s="209"/>
      <c r="AM785" s="209"/>
      <c r="AN785" s="209"/>
      <c r="AO785" s="209"/>
      <c r="AP785" s="209"/>
    </row>
    <row r="786">
      <c r="A786" s="291"/>
      <c r="B786" s="377" t="s">
        <v>3026</v>
      </c>
      <c r="C786" s="410" t="s">
        <v>3027</v>
      </c>
      <c r="D786" s="304" t="s">
        <v>3028</v>
      </c>
      <c r="E786" s="307">
        <v>8.10115975144E11</v>
      </c>
      <c r="F786" s="209"/>
      <c r="G786" s="209"/>
      <c r="H786" s="209"/>
      <c r="I786" s="209"/>
      <c r="J786" s="300" t="b">
        <v>1</v>
      </c>
      <c r="K786" s="301" t="b">
        <v>0</v>
      </c>
      <c r="L786" s="419"/>
      <c r="M786" s="301" t="b">
        <v>0</v>
      </c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  <c r="AI786" s="209"/>
      <c r="AJ786" s="209"/>
      <c r="AK786" s="209"/>
      <c r="AL786" s="209"/>
      <c r="AM786" s="209"/>
      <c r="AN786" s="209"/>
      <c r="AO786" s="209"/>
      <c r="AP786" s="209"/>
    </row>
    <row r="787">
      <c r="A787" s="291"/>
      <c r="B787" s="304" t="s">
        <v>3029</v>
      </c>
      <c r="C787" s="410" t="s">
        <v>3027</v>
      </c>
      <c r="D787" s="304" t="s">
        <v>3030</v>
      </c>
      <c r="E787" s="307">
        <v>8.10115975151E11</v>
      </c>
      <c r="F787" s="209"/>
      <c r="G787" s="209"/>
      <c r="H787" s="209"/>
      <c r="I787" s="209"/>
      <c r="J787" s="300" t="b">
        <v>1</v>
      </c>
      <c r="K787" s="301" t="b">
        <v>0</v>
      </c>
      <c r="L787" s="419"/>
      <c r="M787" s="301" t="b">
        <v>0</v>
      </c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</row>
    <row r="788">
      <c r="A788" s="291"/>
      <c r="B788" s="304" t="s">
        <v>3031</v>
      </c>
      <c r="C788" s="410" t="s">
        <v>3027</v>
      </c>
      <c r="D788" s="304" t="s">
        <v>3032</v>
      </c>
      <c r="E788" s="307">
        <v>8.10115975526E11</v>
      </c>
      <c r="F788" s="209"/>
      <c r="G788" s="209"/>
      <c r="H788" s="209"/>
      <c r="I788" s="209"/>
      <c r="J788" s="300" t="b">
        <v>1</v>
      </c>
      <c r="K788" s="301" t="b">
        <v>0</v>
      </c>
      <c r="L788" s="419"/>
      <c r="M788" s="301" t="b">
        <v>0</v>
      </c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</row>
    <row r="789">
      <c r="A789" s="309"/>
      <c r="B789" s="311" t="s">
        <v>3033</v>
      </c>
      <c r="C789" s="423" t="s">
        <v>3027</v>
      </c>
      <c r="D789" s="311" t="s">
        <v>3034</v>
      </c>
      <c r="E789" s="318">
        <v>8.10115975168E11</v>
      </c>
      <c r="F789" s="313"/>
      <c r="G789" s="313"/>
      <c r="H789" s="313"/>
      <c r="I789" s="313"/>
      <c r="J789" s="300" t="b">
        <v>1</v>
      </c>
      <c r="K789" s="314" t="b">
        <v>0</v>
      </c>
      <c r="L789" s="419"/>
      <c r="M789" s="301" t="b">
        <v>0</v>
      </c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  <c r="AI789" s="209"/>
      <c r="AJ789" s="209"/>
      <c r="AK789" s="209"/>
      <c r="AL789" s="209"/>
      <c r="AM789" s="209"/>
      <c r="AN789" s="209"/>
      <c r="AO789" s="209"/>
      <c r="AP789" s="209"/>
    </row>
    <row r="790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  <c r="AI790" s="209"/>
      <c r="AJ790" s="209"/>
      <c r="AK790" s="209"/>
      <c r="AL790" s="209"/>
      <c r="AM790" s="209"/>
      <c r="AN790" s="209"/>
      <c r="AO790" s="209"/>
      <c r="AP790" s="209"/>
    </row>
    <row r="791">
      <c r="A791" s="316" t="s">
        <v>3035</v>
      </c>
      <c r="B791" s="319" t="s">
        <v>3036</v>
      </c>
      <c r="C791" s="320"/>
      <c r="D791" s="283" t="s">
        <v>3037</v>
      </c>
      <c r="E791" s="336" t="s">
        <v>116</v>
      </c>
      <c r="F791" s="320"/>
      <c r="G791" s="320"/>
      <c r="H791" s="285" t="s">
        <v>376</v>
      </c>
      <c r="I791" s="285" t="s">
        <v>2105</v>
      </c>
      <c r="J791" s="333" t="str">
        <f>IF(COUNTIF(J792:J819, TRUE) = COUNTA(J792:J819), "Complete!", IF(COUNTIF(J792:J819, TRUE) &gt; 0, "Partial", "Not Started"))</f>
        <v>Partial</v>
      </c>
      <c r="K791" s="334"/>
      <c r="L791" s="464" t="s">
        <v>889</v>
      </c>
      <c r="M791" s="465" t="str">
        <f>IF(COUNTIF(M792:M819, TRUE) = COUNTA(M792:M819), "Complete!", IF(COUNTIF(M792:M819, TRUE) &gt; 0, "Partial", "Not Started"))</f>
        <v>Not Started</v>
      </c>
      <c r="N791" s="280">
        <v>4.0</v>
      </c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</row>
    <row r="792">
      <c r="A792" s="291"/>
      <c r="B792" s="377" t="s">
        <v>3039</v>
      </c>
      <c r="C792" s="377" t="s">
        <v>2738</v>
      </c>
      <c r="D792" s="304" t="s">
        <v>3040</v>
      </c>
      <c r="E792" s="307">
        <v>8.10115975205E11</v>
      </c>
      <c r="F792" s="209"/>
      <c r="G792" s="209"/>
      <c r="H792" s="209"/>
      <c r="I792" s="209"/>
      <c r="J792" s="300" t="b">
        <v>1</v>
      </c>
      <c r="K792" s="301" t="b">
        <v>0</v>
      </c>
      <c r="L792" s="419"/>
      <c r="M792" s="301" t="b">
        <v>0</v>
      </c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  <c r="AI792" s="209"/>
      <c r="AJ792" s="209"/>
      <c r="AK792" s="209"/>
      <c r="AL792" s="209"/>
      <c r="AM792" s="209"/>
      <c r="AN792" s="209"/>
      <c r="AO792" s="209"/>
      <c r="AP792" s="209"/>
    </row>
    <row r="793">
      <c r="A793" s="291"/>
      <c r="B793" s="304" t="s">
        <v>3041</v>
      </c>
      <c r="C793" s="377" t="s">
        <v>2738</v>
      </c>
      <c r="D793" s="304" t="s">
        <v>3042</v>
      </c>
      <c r="E793" s="308" t="s">
        <v>3043</v>
      </c>
      <c r="F793" s="209"/>
      <c r="G793" s="209"/>
      <c r="H793" s="209"/>
      <c r="I793" s="209"/>
      <c r="J793" s="300" t="b">
        <v>1</v>
      </c>
      <c r="K793" s="301" t="b">
        <v>0</v>
      </c>
      <c r="L793" s="419"/>
      <c r="M793" s="301" t="b">
        <v>0</v>
      </c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  <c r="AI793" s="209"/>
      <c r="AJ793" s="209"/>
      <c r="AK793" s="209"/>
      <c r="AL793" s="209"/>
      <c r="AM793" s="209"/>
      <c r="AN793" s="209"/>
      <c r="AO793" s="209"/>
      <c r="AP793" s="209"/>
    </row>
    <row r="794">
      <c r="A794" s="291"/>
      <c r="B794" s="304" t="s">
        <v>3044</v>
      </c>
      <c r="C794" s="377" t="s">
        <v>2738</v>
      </c>
      <c r="D794" s="304" t="s">
        <v>3045</v>
      </c>
      <c r="E794" s="308" t="s">
        <v>3046</v>
      </c>
      <c r="F794" s="209"/>
      <c r="G794" s="209"/>
      <c r="H794" s="209"/>
      <c r="I794" s="209"/>
      <c r="J794" s="300" t="b">
        <v>1</v>
      </c>
      <c r="K794" s="301" t="b">
        <v>0</v>
      </c>
      <c r="L794" s="419"/>
      <c r="M794" s="301" t="b">
        <v>0</v>
      </c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  <c r="AI794" s="209"/>
      <c r="AJ794" s="209"/>
      <c r="AK794" s="209"/>
      <c r="AL794" s="209"/>
      <c r="AM794" s="209"/>
      <c r="AN794" s="209"/>
      <c r="AO794" s="209"/>
      <c r="AP794" s="209"/>
    </row>
    <row r="795">
      <c r="A795" s="309"/>
      <c r="B795" s="379" t="s">
        <v>3047</v>
      </c>
      <c r="C795" s="379" t="s">
        <v>2738</v>
      </c>
      <c r="D795" s="311" t="s">
        <v>3048</v>
      </c>
      <c r="E795" s="493">
        <v>8.10115975229E11</v>
      </c>
      <c r="F795" s="313"/>
      <c r="G795" s="313"/>
      <c r="H795" s="313"/>
      <c r="I795" s="313"/>
      <c r="J795" s="350" t="b">
        <v>1</v>
      </c>
      <c r="K795" s="314" t="b">
        <v>0</v>
      </c>
      <c r="L795" s="419"/>
      <c r="M795" s="301" t="b">
        <v>0</v>
      </c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  <c r="AI795" s="209"/>
      <c r="AJ795" s="209"/>
      <c r="AK795" s="209"/>
      <c r="AL795" s="209"/>
      <c r="AM795" s="209"/>
      <c r="AN795" s="209"/>
      <c r="AO795" s="209"/>
      <c r="AP795" s="209"/>
    </row>
    <row r="796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  <c r="AI796" s="209"/>
      <c r="AJ796" s="209"/>
      <c r="AK796" s="209"/>
      <c r="AL796" s="209"/>
      <c r="AM796" s="209"/>
      <c r="AN796" s="209"/>
      <c r="AO796" s="209"/>
      <c r="AP796" s="209"/>
    </row>
    <row r="797">
      <c r="A797" s="316" t="s">
        <v>3049</v>
      </c>
      <c r="B797" s="319" t="s">
        <v>3050</v>
      </c>
      <c r="C797" s="320"/>
      <c r="D797" s="283" t="s">
        <v>3051</v>
      </c>
      <c r="E797" s="336" t="s">
        <v>116</v>
      </c>
      <c r="F797" s="320"/>
      <c r="G797" s="320"/>
      <c r="H797" s="285" t="s">
        <v>2803</v>
      </c>
      <c r="I797" s="285" t="s">
        <v>4406</v>
      </c>
      <c r="J797" s="333" t="str">
        <f>IF(COUNTIF(J798:J825, TRUE) = COUNTA(J798:J825), "Complete!", IF(COUNTIF(J798:J825, TRUE) &gt; 0, "Partial", "Not Started"))</f>
        <v>Partial</v>
      </c>
      <c r="K797" s="334"/>
      <c r="L797" s="464" t="s">
        <v>889</v>
      </c>
      <c r="M797" s="465" t="str">
        <f>IF(COUNTIF(M798:M825, TRUE) = COUNTA(M798:M825), "Complete!", IF(COUNTIF(M798:M825, TRUE) &gt; 0, "Partial", "Not Started"))</f>
        <v>Not Started</v>
      </c>
      <c r="N797" s="280">
        <v>4.0</v>
      </c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  <c r="AI797" s="209"/>
      <c r="AJ797" s="209"/>
      <c r="AK797" s="209"/>
      <c r="AL797" s="209"/>
      <c r="AM797" s="209"/>
      <c r="AN797" s="209"/>
      <c r="AO797" s="209"/>
      <c r="AP797" s="209"/>
    </row>
    <row r="798">
      <c r="A798" s="291"/>
      <c r="B798" s="304" t="s">
        <v>3053</v>
      </c>
      <c r="C798" s="304" t="s">
        <v>745</v>
      </c>
      <c r="D798" s="304" t="s">
        <v>3054</v>
      </c>
      <c r="E798" s="307">
        <v>8.10115974864E11</v>
      </c>
      <c r="F798" s="209"/>
      <c r="G798" s="209"/>
      <c r="H798" s="209"/>
      <c r="I798" s="209"/>
      <c r="J798" s="300" t="b">
        <v>1</v>
      </c>
      <c r="K798" s="301" t="b">
        <v>0</v>
      </c>
      <c r="L798" s="419"/>
      <c r="M798" s="301" t="b">
        <v>0</v>
      </c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  <c r="AI798" s="209"/>
      <c r="AJ798" s="209"/>
      <c r="AK798" s="209"/>
      <c r="AL798" s="209"/>
      <c r="AM798" s="209"/>
      <c r="AN798" s="209"/>
      <c r="AO798" s="209"/>
      <c r="AP798" s="209"/>
    </row>
    <row r="799">
      <c r="A799" s="291"/>
      <c r="B799" s="304" t="s">
        <v>3055</v>
      </c>
      <c r="C799" s="304" t="s">
        <v>745</v>
      </c>
      <c r="D799" s="304" t="s">
        <v>3056</v>
      </c>
      <c r="E799" s="308">
        <v>8.10115974871E11</v>
      </c>
      <c r="F799" s="209"/>
      <c r="G799" s="209"/>
      <c r="H799" s="209"/>
      <c r="I799" s="209"/>
      <c r="J799" s="300" t="b">
        <v>1</v>
      </c>
      <c r="K799" s="301" t="b">
        <v>0</v>
      </c>
      <c r="L799" s="419"/>
      <c r="M799" s="301" t="b">
        <v>0</v>
      </c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  <c r="AI799" s="209"/>
      <c r="AJ799" s="209"/>
      <c r="AK799" s="209"/>
      <c r="AL799" s="209"/>
      <c r="AM799" s="209"/>
      <c r="AN799" s="209"/>
      <c r="AO799" s="209"/>
      <c r="AP799" s="209"/>
    </row>
    <row r="800">
      <c r="A800" s="291"/>
      <c r="B800" s="304" t="s">
        <v>3057</v>
      </c>
      <c r="C800" s="304" t="s">
        <v>745</v>
      </c>
      <c r="D800" s="304" t="s">
        <v>3058</v>
      </c>
      <c r="E800" s="308">
        <v>8.10115975441E11</v>
      </c>
      <c r="F800" s="209"/>
      <c r="G800" s="209"/>
      <c r="H800" s="209"/>
      <c r="I800" s="209"/>
      <c r="J800" s="300" t="b">
        <v>1</v>
      </c>
      <c r="K800" s="301" t="b">
        <v>0</v>
      </c>
      <c r="L800" s="419"/>
      <c r="M800" s="301" t="b">
        <v>0</v>
      </c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  <c r="AI800" s="209"/>
      <c r="AJ800" s="209"/>
      <c r="AK800" s="209"/>
      <c r="AL800" s="209"/>
      <c r="AM800" s="209"/>
      <c r="AN800" s="209"/>
      <c r="AO800" s="209"/>
      <c r="AP800" s="209"/>
    </row>
    <row r="801">
      <c r="A801" s="309"/>
      <c r="B801" s="311" t="s">
        <v>3059</v>
      </c>
      <c r="C801" s="311" t="s">
        <v>745</v>
      </c>
      <c r="D801" s="311" t="s">
        <v>3060</v>
      </c>
      <c r="E801" s="318">
        <v>8.10115974888E11</v>
      </c>
      <c r="F801" s="313"/>
      <c r="G801" s="313"/>
      <c r="H801" s="313"/>
      <c r="I801" s="313"/>
      <c r="J801" s="350" t="b">
        <v>1</v>
      </c>
      <c r="K801" s="314" t="b">
        <v>0</v>
      </c>
      <c r="L801" s="419"/>
      <c r="M801" s="301" t="b">
        <v>0</v>
      </c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  <c r="AI801" s="209"/>
      <c r="AJ801" s="209"/>
      <c r="AK801" s="209"/>
      <c r="AL801" s="209"/>
      <c r="AM801" s="209"/>
      <c r="AN801" s="209"/>
      <c r="AO801" s="209"/>
      <c r="AP801" s="209"/>
    </row>
    <row r="802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  <c r="AI802" s="209"/>
      <c r="AJ802" s="209"/>
      <c r="AK802" s="209"/>
      <c r="AL802" s="209"/>
      <c r="AM802" s="209"/>
      <c r="AN802" s="209"/>
      <c r="AO802" s="209"/>
      <c r="AP802" s="209"/>
    </row>
    <row r="803">
      <c r="A803" s="316" t="s">
        <v>3061</v>
      </c>
      <c r="B803" s="319" t="s">
        <v>3062</v>
      </c>
      <c r="C803" s="320"/>
      <c r="D803" s="283" t="s">
        <v>3063</v>
      </c>
      <c r="E803" s="336" t="s">
        <v>116</v>
      </c>
      <c r="F803" s="320"/>
      <c r="G803" s="320"/>
      <c r="H803" s="285" t="s">
        <v>468</v>
      </c>
      <c r="I803" s="285" t="s">
        <v>4200</v>
      </c>
      <c r="J803" s="333" t="str">
        <f>IF(COUNTIF(J804:J831, TRUE) = COUNTA(J804:J831), "Complete!", IF(COUNTIF(J804:J831, TRUE) &gt; 0, "Partial", "Not Started"))</f>
        <v>Partial</v>
      </c>
      <c r="K803" s="334"/>
      <c r="L803" s="464" t="s">
        <v>889</v>
      </c>
      <c r="M803" s="465" t="str">
        <f>IF(COUNTIF(M804:M831, TRUE) = COUNTA(M804:M831), "Complete!", IF(COUNTIF(M804:M831, TRUE) &gt; 0, "Partial", "Not Started"))</f>
        <v>Not Started</v>
      </c>
      <c r="N803" s="280">
        <v>4.0</v>
      </c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  <c r="AI803" s="209"/>
      <c r="AJ803" s="209"/>
      <c r="AK803" s="209"/>
      <c r="AL803" s="209"/>
      <c r="AM803" s="209"/>
      <c r="AN803" s="209"/>
      <c r="AO803" s="209"/>
      <c r="AP803" s="209"/>
    </row>
    <row r="804">
      <c r="A804" s="291"/>
      <c r="B804" s="377" t="s">
        <v>3064</v>
      </c>
      <c r="C804" s="377" t="s">
        <v>2696</v>
      </c>
      <c r="D804" s="304" t="s">
        <v>3065</v>
      </c>
      <c r="E804" s="307">
        <v>8.10115974772E11</v>
      </c>
      <c r="F804" s="209"/>
      <c r="G804" s="209"/>
      <c r="H804" s="209"/>
      <c r="I804" s="209"/>
      <c r="J804" s="300" t="b">
        <v>1</v>
      </c>
      <c r="K804" s="301" t="b">
        <v>0</v>
      </c>
      <c r="L804" s="419"/>
      <c r="M804" s="301" t="b">
        <v>0</v>
      </c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  <c r="AI804" s="209"/>
      <c r="AJ804" s="209"/>
      <c r="AK804" s="209"/>
      <c r="AL804" s="209"/>
      <c r="AM804" s="209"/>
      <c r="AN804" s="209"/>
      <c r="AO804" s="209"/>
      <c r="AP804" s="209"/>
    </row>
    <row r="805">
      <c r="A805" s="291"/>
      <c r="B805" s="304" t="s">
        <v>3066</v>
      </c>
      <c r="C805" s="377" t="s">
        <v>2696</v>
      </c>
      <c r="D805" s="304" t="s">
        <v>3067</v>
      </c>
      <c r="E805" s="308">
        <v>8.10115974789E11</v>
      </c>
      <c r="F805" s="209"/>
      <c r="G805" s="209"/>
      <c r="H805" s="209"/>
      <c r="I805" s="209"/>
      <c r="J805" s="300" t="b">
        <v>1</v>
      </c>
      <c r="K805" s="301" t="b">
        <v>0</v>
      </c>
      <c r="L805" s="419"/>
      <c r="M805" s="301" t="b">
        <v>0</v>
      </c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  <c r="AI805" s="209"/>
      <c r="AJ805" s="209"/>
      <c r="AK805" s="209"/>
      <c r="AL805" s="209"/>
      <c r="AM805" s="209"/>
      <c r="AN805" s="209"/>
      <c r="AO805" s="209"/>
      <c r="AP805" s="209"/>
    </row>
    <row r="806">
      <c r="A806" s="291"/>
      <c r="B806" s="304" t="s">
        <v>3068</v>
      </c>
      <c r="C806" s="377" t="s">
        <v>2696</v>
      </c>
      <c r="D806" s="304" t="s">
        <v>3069</v>
      </c>
      <c r="E806" s="308">
        <v>8.1011597541E11</v>
      </c>
      <c r="F806" s="209"/>
      <c r="G806" s="209"/>
      <c r="H806" s="209"/>
      <c r="I806" s="209"/>
      <c r="J806" s="300" t="b">
        <v>1</v>
      </c>
      <c r="K806" s="301" t="b">
        <v>0</v>
      </c>
      <c r="L806" s="419"/>
      <c r="M806" s="301" t="b">
        <v>0</v>
      </c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  <c r="AI806" s="209"/>
      <c r="AJ806" s="209"/>
      <c r="AK806" s="209"/>
      <c r="AL806" s="209"/>
      <c r="AM806" s="209"/>
      <c r="AN806" s="209"/>
      <c r="AO806" s="209"/>
      <c r="AP806" s="209"/>
    </row>
    <row r="807">
      <c r="A807" s="309"/>
      <c r="B807" s="311" t="s">
        <v>3070</v>
      </c>
      <c r="C807" s="379" t="s">
        <v>2696</v>
      </c>
      <c r="D807" s="311" t="s">
        <v>3071</v>
      </c>
      <c r="E807" s="318">
        <v>8.10115974796E11</v>
      </c>
      <c r="F807" s="313"/>
      <c r="G807" s="313"/>
      <c r="H807" s="313"/>
      <c r="I807" s="313"/>
      <c r="J807" s="350" t="b">
        <v>1</v>
      </c>
      <c r="K807" s="314" t="b">
        <v>0</v>
      </c>
      <c r="L807" s="419"/>
      <c r="M807" s="301" t="b">
        <v>0</v>
      </c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  <c r="AI807" s="209"/>
      <c r="AJ807" s="209"/>
      <c r="AK807" s="209"/>
      <c r="AL807" s="209"/>
      <c r="AM807" s="209"/>
      <c r="AN807" s="209"/>
      <c r="AO807" s="209"/>
      <c r="AP807" s="209"/>
    </row>
    <row r="808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  <c r="AI808" s="209"/>
      <c r="AJ808" s="209"/>
      <c r="AK808" s="209"/>
      <c r="AL808" s="209"/>
      <c r="AM808" s="209"/>
      <c r="AN808" s="209"/>
      <c r="AO808" s="209"/>
      <c r="AP808" s="209"/>
    </row>
    <row r="809">
      <c r="A809" s="316" t="s">
        <v>3072</v>
      </c>
      <c r="B809" s="319" t="s">
        <v>3073</v>
      </c>
      <c r="C809" s="320"/>
      <c r="D809" s="283" t="s">
        <v>3074</v>
      </c>
      <c r="E809" s="336" t="s">
        <v>116</v>
      </c>
      <c r="F809" s="320"/>
      <c r="G809" s="320"/>
      <c r="H809" s="285" t="s">
        <v>2803</v>
      </c>
      <c r="I809" s="285" t="s">
        <v>4407</v>
      </c>
      <c r="J809" s="333" t="str">
        <f>IF(COUNTIF(J810:J837, TRUE) = COUNTA(J810:J837), "Complete!", IF(COUNTIF(J810:J837, TRUE) &gt; 0, "Partial", "Not Started"))</f>
        <v>Partial</v>
      </c>
      <c r="K809" s="334"/>
      <c r="L809" s="464" t="s">
        <v>889</v>
      </c>
      <c r="M809" s="465" t="str">
        <f>IF(COUNTIF(M810:M837, TRUE) = COUNTA(M810:M837), "Complete!", IF(COUNTIF(M810:M837, TRUE) &gt; 0, "Partial", "Not Started"))</f>
        <v>Not Started</v>
      </c>
      <c r="N809" s="280">
        <v>4.0</v>
      </c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  <c r="AI809" s="209"/>
      <c r="AJ809" s="209"/>
      <c r="AK809" s="209"/>
      <c r="AL809" s="209"/>
      <c r="AM809" s="209"/>
      <c r="AN809" s="209"/>
      <c r="AO809" s="209"/>
      <c r="AP809" s="209"/>
    </row>
    <row r="810">
      <c r="A810" s="291"/>
      <c r="B810" s="377" t="s">
        <v>3076</v>
      </c>
      <c r="C810" s="377" t="s">
        <v>3077</v>
      </c>
      <c r="D810" s="304" t="s">
        <v>3078</v>
      </c>
      <c r="E810" s="499">
        <v>8.10115975533E11</v>
      </c>
      <c r="F810" s="209"/>
      <c r="G810" s="209"/>
      <c r="H810" s="209"/>
      <c r="I810" s="209"/>
      <c r="J810" s="300" t="b">
        <v>1</v>
      </c>
      <c r="K810" s="301" t="b">
        <v>0</v>
      </c>
      <c r="L810" s="419"/>
      <c r="M810" s="301" t="b">
        <v>0</v>
      </c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  <c r="AI810" s="209"/>
      <c r="AJ810" s="209"/>
      <c r="AK810" s="209"/>
      <c r="AL810" s="209"/>
      <c r="AM810" s="209"/>
      <c r="AN810" s="209"/>
      <c r="AO810" s="209"/>
      <c r="AP810" s="209"/>
    </row>
    <row r="811">
      <c r="A811" s="291"/>
      <c r="B811" s="304" t="s">
        <v>3079</v>
      </c>
      <c r="C811" s="377" t="s">
        <v>3077</v>
      </c>
      <c r="D811" s="304" t="s">
        <v>3080</v>
      </c>
      <c r="E811" s="308" t="s">
        <v>3081</v>
      </c>
      <c r="F811" s="209"/>
      <c r="G811" s="209"/>
      <c r="H811" s="209"/>
      <c r="I811" s="209"/>
      <c r="J811" s="300" t="b">
        <v>1</v>
      </c>
      <c r="K811" s="301" t="b">
        <v>0</v>
      </c>
      <c r="L811" s="419"/>
      <c r="M811" s="301" t="b">
        <v>0</v>
      </c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  <c r="AI811" s="209"/>
      <c r="AJ811" s="209"/>
      <c r="AK811" s="209"/>
      <c r="AL811" s="209"/>
      <c r="AM811" s="209"/>
      <c r="AN811" s="209"/>
      <c r="AO811" s="209"/>
      <c r="AP811" s="209"/>
    </row>
    <row r="812">
      <c r="A812" s="291"/>
      <c r="B812" s="304" t="s">
        <v>4408</v>
      </c>
      <c r="C812" s="377" t="s">
        <v>3077</v>
      </c>
      <c r="D812" s="304" t="s">
        <v>3083</v>
      </c>
      <c r="E812" s="308" t="s">
        <v>3084</v>
      </c>
      <c r="F812" s="209"/>
      <c r="G812" s="209"/>
      <c r="H812" s="209"/>
      <c r="I812" s="209"/>
      <c r="J812" s="300" t="b">
        <v>1</v>
      </c>
      <c r="K812" s="301" t="b">
        <v>0</v>
      </c>
      <c r="L812" s="419"/>
      <c r="M812" s="301" t="b">
        <v>0</v>
      </c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  <c r="AI812" s="209"/>
      <c r="AJ812" s="209"/>
      <c r="AK812" s="209"/>
      <c r="AL812" s="209"/>
      <c r="AM812" s="209"/>
      <c r="AN812" s="209"/>
      <c r="AO812" s="209"/>
      <c r="AP812" s="209"/>
    </row>
    <row r="813">
      <c r="A813" s="309"/>
      <c r="B813" s="311" t="s">
        <v>4409</v>
      </c>
      <c r="C813" s="379" t="s">
        <v>3077</v>
      </c>
      <c r="D813" s="311" t="s">
        <v>3086</v>
      </c>
      <c r="E813" s="318">
        <v>8.10115975199E11</v>
      </c>
      <c r="F813" s="313"/>
      <c r="G813" s="313"/>
      <c r="H813" s="313"/>
      <c r="I813" s="313"/>
      <c r="J813" s="350" t="b">
        <v>1</v>
      </c>
      <c r="K813" s="314" t="b">
        <v>0</v>
      </c>
      <c r="L813" s="419"/>
      <c r="M813" s="301" t="b">
        <v>0</v>
      </c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  <c r="AI813" s="209"/>
      <c r="AJ813" s="209"/>
      <c r="AK813" s="209"/>
      <c r="AL813" s="209"/>
      <c r="AM813" s="209"/>
      <c r="AN813" s="209"/>
      <c r="AO813" s="209"/>
      <c r="AP813" s="209"/>
    </row>
    <row r="814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  <c r="AI814" s="209"/>
      <c r="AJ814" s="209"/>
      <c r="AK814" s="209"/>
      <c r="AL814" s="209"/>
      <c r="AM814" s="209"/>
      <c r="AN814" s="209"/>
      <c r="AO814" s="209"/>
      <c r="AP814" s="209"/>
    </row>
    <row r="815">
      <c r="A815" s="316" t="s">
        <v>3087</v>
      </c>
      <c r="B815" s="319" t="s">
        <v>3088</v>
      </c>
      <c r="C815" s="320"/>
      <c r="D815" s="283" t="s">
        <v>3089</v>
      </c>
      <c r="E815" s="336" t="s">
        <v>116</v>
      </c>
      <c r="F815" s="320"/>
      <c r="G815" s="320"/>
      <c r="H815" s="285" t="s">
        <v>376</v>
      </c>
      <c r="I815" s="285" t="s">
        <v>4410</v>
      </c>
      <c r="J815" s="333" t="str">
        <f>IF(COUNTIF(J816:J837, TRUE) = COUNTA(J816:J837), "Complete!", IF(COUNTIF(J816:J837, TRUE) &gt; 0, "Partial", "Not Started"))</f>
        <v>Partial</v>
      </c>
      <c r="K815" s="334"/>
      <c r="L815" s="464" t="s">
        <v>889</v>
      </c>
      <c r="M815" s="465" t="str">
        <f>IF(COUNTIF(M816:M837, TRUE) = COUNTA(M816:M837), "Complete!", IF(COUNTIF(M816:M837, TRUE) &gt; 0, "Partial", "Not Started"))</f>
        <v>Not Started</v>
      </c>
      <c r="N815" s="280">
        <v>4.0</v>
      </c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  <c r="AI815" s="209"/>
      <c r="AJ815" s="209"/>
      <c r="AK815" s="209"/>
      <c r="AL815" s="209"/>
      <c r="AM815" s="209"/>
      <c r="AN815" s="209"/>
      <c r="AO815" s="209"/>
      <c r="AP815" s="209"/>
    </row>
    <row r="816">
      <c r="A816" s="291"/>
      <c r="B816" s="377" t="s">
        <v>3091</v>
      </c>
      <c r="C816" s="377" t="s">
        <v>3092</v>
      </c>
      <c r="D816" s="304" t="s">
        <v>3093</v>
      </c>
      <c r="E816" s="308">
        <v>8.10115974987E11</v>
      </c>
      <c r="F816" s="209"/>
      <c r="G816" s="209"/>
      <c r="H816" s="209"/>
      <c r="I816" s="209"/>
      <c r="J816" s="300" t="b">
        <v>1</v>
      </c>
      <c r="K816" s="301" t="b">
        <v>0</v>
      </c>
      <c r="L816" s="419"/>
      <c r="M816" s="301" t="b">
        <v>0</v>
      </c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  <c r="AI816" s="209"/>
      <c r="AJ816" s="209"/>
      <c r="AK816" s="209"/>
      <c r="AL816" s="209"/>
      <c r="AM816" s="209"/>
      <c r="AN816" s="209"/>
      <c r="AO816" s="209"/>
      <c r="AP816" s="209"/>
    </row>
    <row r="817">
      <c r="A817" s="291"/>
      <c r="B817" s="304" t="s">
        <v>3094</v>
      </c>
      <c r="C817" s="377" t="s">
        <v>3092</v>
      </c>
      <c r="D817" s="304" t="s">
        <v>3095</v>
      </c>
      <c r="E817" s="308">
        <v>8.10115974994E11</v>
      </c>
      <c r="F817" s="209"/>
      <c r="G817" s="209"/>
      <c r="H817" s="209"/>
      <c r="I817" s="209"/>
      <c r="J817" s="300" t="b">
        <v>1</v>
      </c>
      <c r="K817" s="301" t="b">
        <v>0</v>
      </c>
      <c r="L817" s="419"/>
      <c r="M817" s="301" t="b">
        <v>0</v>
      </c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  <c r="AI817" s="209"/>
      <c r="AJ817" s="209"/>
      <c r="AK817" s="209"/>
      <c r="AL817" s="209"/>
      <c r="AM817" s="209"/>
      <c r="AN817" s="209"/>
      <c r="AO817" s="209"/>
      <c r="AP817" s="209"/>
    </row>
    <row r="818">
      <c r="A818" s="291"/>
      <c r="B818" s="377" t="s">
        <v>3096</v>
      </c>
      <c r="C818" s="377" t="s">
        <v>3092</v>
      </c>
      <c r="D818" s="304" t="s">
        <v>3097</v>
      </c>
      <c r="E818" s="308">
        <v>8.10115975489E11</v>
      </c>
      <c r="F818" s="209"/>
      <c r="G818" s="209"/>
      <c r="H818" s="209"/>
      <c r="I818" s="209"/>
      <c r="J818" s="300" t="b">
        <v>1</v>
      </c>
      <c r="K818" s="301" t="b">
        <v>0</v>
      </c>
      <c r="L818" s="419"/>
      <c r="M818" s="301" t="b">
        <v>0</v>
      </c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  <c r="AI818" s="209"/>
      <c r="AJ818" s="209"/>
      <c r="AK818" s="209"/>
      <c r="AL818" s="209"/>
      <c r="AM818" s="209"/>
      <c r="AN818" s="209"/>
      <c r="AO818" s="209"/>
      <c r="AP818" s="209"/>
    </row>
    <row r="819">
      <c r="A819" s="309"/>
      <c r="B819" s="311" t="s">
        <v>3098</v>
      </c>
      <c r="C819" s="379" t="s">
        <v>3092</v>
      </c>
      <c r="D819" s="311" t="s">
        <v>3099</v>
      </c>
      <c r="E819" s="335" t="s">
        <v>3100</v>
      </c>
      <c r="F819" s="313"/>
      <c r="G819" s="313"/>
      <c r="H819" s="313"/>
      <c r="I819" s="313"/>
      <c r="J819" s="300" t="b">
        <v>1</v>
      </c>
      <c r="K819" s="314" t="b">
        <v>0</v>
      </c>
      <c r="L819" s="419"/>
      <c r="M819" s="301" t="b">
        <v>0</v>
      </c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  <c r="AI819" s="209"/>
      <c r="AJ819" s="209"/>
      <c r="AK819" s="209"/>
      <c r="AL819" s="209"/>
      <c r="AM819" s="209"/>
      <c r="AN819" s="209"/>
      <c r="AO819" s="209"/>
      <c r="AP819" s="209"/>
    </row>
    <row r="820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  <c r="AI820" s="209"/>
      <c r="AJ820" s="209"/>
      <c r="AK820" s="209"/>
      <c r="AL820" s="209"/>
      <c r="AM820" s="209"/>
      <c r="AN820" s="209"/>
      <c r="AO820" s="209"/>
      <c r="AP820" s="209"/>
    </row>
    <row r="821">
      <c r="A821" s="316" t="s">
        <v>3101</v>
      </c>
      <c r="B821" s="339" t="s">
        <v>3399</v>
      </c>
      <c r="C821" s="320"/>
      <c r="D821" s="283" t="s">
        <v>3400</v>
      </c>
      <c r="E821" s="336" t="s">
        <v>116</v>
      </c>
      <c r="F821" s="320"/>
      <c r="G821" s="320"/>
      <c r="H821" s="285" t="s">
        <v>2790</v>
      </c>
      <c r="I821" s="285" t="s">
        <v>1774</v>
      </c>
      <c r="J821" s="333" t="str">
        <f>IF(COUNTIF(J822:J825, TRUE) = COUNTA(J822:J825), "Complete!", IF(COUNTIF(J822:J825, TRUE) &gt; 0, "Partial", "Not Started"))</f>
        <v>Complete!</v>
      </c>
      <c r="K821" s="334"/>
      <c r="L821" s="500" t="s">
        <v>889</v>
      </c>
      <c r="M821" s="466" t="str">
        <f>IF(COUNTIF(M822:M827, TRUE) = COUNTA(M822:M827), "Complete!", IF(COUNTIF(M822:M827, TRUE) &gt; 0, "Partial", "Not Started"))</f>
        <v>Not Started</v>
      </c>
      <c r="N821" s="280">
        <v>4.0</v>
      </c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  <c r="AI821" s="209"/>
      <c r="AJ821" s="209"/>
      <c r="AK821" s="209"/>
      <c r="AL821" s="209"/>
      <c r="AM821" s="209"/>
      <c r="AN821" s="209"/>
      <c r="AO821" s="209"/>
      <c r="AP821" s="209"/>
    </row>
    <row r="822">
      <c r="A822" s="291"/>
      <c r="B822" s="304" t="s">
        <v>3402</v>
      </c>
      <c r="C822" s="304" t="s">
        <v>3403</v>
      </c>
      <c r="D822" s="304" t="s">
        <v>3404</v>
      </c>
      <c r="E822" s="307">
        <v>8.10115974598E11</v>
      </c>
      <c r="F822" s="209"/>
      <c r="G822" s="209"/>
      <c r="H822" s="209"/>
      <c r="I822" s="209"/>
      <c r="J822" s="300" t="b">
        <v>1</v>
      </c>
      <c r="K822" s="301" t="b">
        <v>0</v>
      </c>
      <c r="L822" s="419"/>
      <c r="M822" s="301" t="b">
        <v>0</v>
      </c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  <c r="AI822" s="209"/>
      <c r="AJ822" s="209"/>
      <c r="AK822" s="209"/>
      <c r="AL822" s="209"/>
      <c r="AM822" s="209"/>
      <c r="AN822" s="209"/>
      <c r="AO822" s="209"/>
      <c r="AP822" s="209"/>
    </row>
    <row r="823">
      <c r="A823" s="291"/>
      <c r="B823" s="304" t="s">
        <v>3405</v>
      </c>
      <c r="C823" s="304" t="s">
        <v>3403</v>
      </c>
      <c r="D823" s="304" t="s">
        <v>3406</v>
      </c>
      <c r="E823" s="307">
        <v>8.10115974611E11</v>
      </c>
      <c r="F823" s="209"/>
      <c r="G823" s="209"/>
      <c r="H823" s="209"/>
      <c r="I823" s="209"/>
      <c r="J823" s="300" t="b">
        <v>1</v>
      </c>
      <c r="K823" s="301" t="b">
        <v>0</v>
      </c>
      <c r="L823" s="419"/>
      <c r="M823" s="301" t="b">
        <v>0</v>
      </c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  <c r="AI823" s="209"/>
      <c r="AJ823" s="209"/>
      <c r="AK823" s="209"/>
      <c r="AL823" s="209"/>
      <c r="AM823" s="209"/>
      <c r="AN823" s="209"/>
      <c r="AO823" s="209"/>
      <c r="AP823" s="209"/>
    </row>
    <row r="824">
      <c r="A824" s="291"/>
      <c r="B824" s="377" t="s">
        <v>3407</v>
      </c>
      <c r="C824" s="304" t="s">
        <v>3403</v>
      </c>
      <c r="D824" s="304" t="s">
        <v>3408</v>
      </c>
      <c r="E824" s="488">
        <v>8.10115974604E11</v>
      </c>
      <c r="F824" s="209"/>
      <c r="G824" s="209"/>
      <c r="H824" s="209"/>
      <c r="I824" s="209"/>
      <c r="J824" s="300" t="b">
        <v>1</v>
      </c>
      <c r="K824" s="301" t="b">
        <v>0</v>
      </c>
      <c r="L824" s="419"/>
      <c r="M824" s="301" t="b">
        <v>0</v>
      </c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  <c r="AI824" s="209"/>
      <c r="AJ824" s="209"/>
      <c r="AK824" s="209"/>
      <c r="AL824" s="209"/>
      <c r="AM824" s="209"/>
      <c r="AN824" s="209"/>
      <c r="AO824" s="209"/>
      <c r="AP824" s="209"/>
    </row>
    <row r="825">
      <c r="A825" s="309"/>
      <c r="B825" s="311" t="s">
        <v>3409</v>
      </c>
      <c r="C825" s="311" t="s">
        <v>3403</v>
      </c>
      <c r="D825" s="311" t="s">
        <v>3410</v>
      </c>
      <c r="E825" s="318">
        <v>8.10115975359E11</v>
      </c>
      <c r="F825" s="313"/>
      <c r="G825" s="313"/>
      <c r="H825" s="313"/>
      <c r="I825" s="313"/>
      <c r="J825" s="350" t="b">
        <v>1</v>
      </c>
      <c r="K825" s="314" t="b">
        <v>0</v>
      </c>
      <c r="L825" s="365"/>
      <c r="M825" s="314" t="b">
        <v>0</v>
      </c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  <c r="AI825" s="209"/>
      <c r="AJ825" s="209"/>
      <c r="AK825" s="209"/>
      <c r="AL825" s="209"/>
      <c r="AM825" s="209"/>
      <c r="AN825" s="209"/>
      <c r="AO825" s="209"/>
      <c r="AP825" s="209"/>
    </row>
    <row r="826">
      <c r="A826" s="313"/>
      <c r="B826" s="209"/>
      <c r="C826" s="209"/>
      <c r="D826" s="209"/>
      <c r="E826" s="209"/>
      <c r="F826" s="313"/>
      <c r="G826" s="313"/>
      <c r="H826" s="313"/>
      <c r="I826" s="209"/>
      <c r="J826" s="313"/>
      <c r="K826" s="313"/>
      <c r="L826" s="313"/>
      <c r="M826" s="313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  <c r="AI826" s="209"/>
      <c r="AJ826" s="209"/>
      <c r="AK826" s="209"/>
      <c r="AL826" s="209"/>
      <c r="AM826" s="209"/>
      <c r="AN826" s="209"/>
      <c r="AO826" s="209"/>
      <c r="AP826" s="209"/>
    </row>
    <row r="827">
      <c r="A827" s="271" t="s">
        <v>3113</v>
      </c>
      <c r="B827" s="339" t="s">
        <v>3102</v>
      </c>
      <c r="C827" s="320"/>
      <c r="D827" s="283" t="s">
        <v>3103</v>
      </c>
      <c r="E827" s="336" t="s">
        <v>116</v>
      </c>
      <c r="F827" s="429"/>
      <c r="G827" s="429"/>
      <c r="H827" s="285" t="s">
        <v>468</v>
      </c>
      <c r="I827" s="285" t="s">
        <v>4411</v>
      </c>
      <c r="J827" s="438" t="str">
        <f>IF(COUNTIF(J828:J831, TRUE) = COUNTA(J828:J831), "Complete!", IF(COUNTIF(J828:J831, TRUE) &gt; 0, "Partial", "Not Started"))</f>
        <v>Complete!</v>
      </c>
      <c r="K827" s="501"/>
      <c r="L827" s="464" t="s">
        <v>889</v>
      </c>
      <c r="M827" s="465" t="str">
        <f>IF(COUNTIF(M828:M833, TRUE) = COUNTA(M828:M833), "Complete!", IF(COUNTIF(M828:M833, TRUE) &gt; 0, "Partial", "Not Started"))</f>
        <v>Not Started</v>
      </c>
      <c r="N827" s="280">
        <v>4.0</v>
      </c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  <c r="AI827" s="209"/>
      <c r="AJ827" s="209"/>
      <c r="AK827" s="209"/>
      <c r="AL827" s="209"/>
      <c r="AM827" s="209"/>
      <c r="AN827" s="209"/>
      <c r="AO827" s="209"/>
      <c r="AP827" s="209"/>
    </row>
    <row r="828">
      <c r="A828" s="291"/>
      <c r="B828" s="304" t="s">
        <v>3105</v>
      </c>
      <c r="C828" s="304" t="s">
        <v>617</v>
      </c>
      <c r="D828" s="304" t="s">
        <v>3106</v>
      </c>
      <c r="E828" s="307">
        <v>8.10115974628E11</v>
      </c>
      <c r="F828" s="209"/>
      <c r="G828" s="209"/>
      <c r="H828" s="209"/>
      <c r="I828" s="209"/>
      <c r="J828" s="300" t="b">
        <v>1</v>
      </c>
      <c r="K828" s="301" t="b">
        <v>0</v>
      </c>
      <c r="L828" s="419"/>
      <c r="M828" s="301" t="b">
        <v>0</v>
      </c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  <c r="AI828" s="209"/>
      <c r="AJ828" s="209"/>
      <c r="AK828" s="209"/>
      <c r="AL828" s="209"/>
      <c r="AM828" s="209"/>
      <c r="AN828" s="209"/>
      <c r="AO828" s="209"/>
      <c r="AP828" s="209"/>
    </row>
    <row r="829">
      <c r="A829" s="291"/>
      <c r="B829" s="304" t="s">
        <v>3107</v>
      </c>
      <c r="C829" s="304" t="s">
        <v>617</v>
      </c>
      <c r="D829" s="304" t="s">
        <v>3108</v>
      </c>
      <c r="E829" s="307">
        <v>8.10115974642E11</v>
      </c>
      <c r="F829" s="209"/>
      <c r="G829" s="209"/>
      <c r="H829" s="209"/>
      <c r="I829" s="209"/>
      <c r="J829" s="300" t="b">
        <v>1</v>
      </c>
      <c r="K829" s="301" t="b">
        <v>0</v>
      </c>
      <c r="L829" s="419"/>
      <c r="M829" s="301" t="b">
        <v>0</v>
      </c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  <c r="AI829" s="209"/>
      <c r="AJ829" s="209"/>
      <c r="AK829" s="209"/>
      <c r="AL829" s="209"/>
      <c r="AM829" s="209"/>
      <c r="AN829" s="209"/>
      <c r="AO829" s="209"/>
      <c r="AP829" s="209"/>
    </row>
    <row r="830">
      <c r="A830" s="291"/>
      <c r="B830" s="304" t="s">
        <v>3109</v>
      </c>
      <c r="C830" s="304" t="s">
        <v>617</v>
      </c>
      <c r="D830" s="304" t="s">
        <v>3110</v>
      </c>
      <c r="E830" s="307">
        <v>8.10115974635E11</v>
      </c>
      <c r="F830" s="209"/>
      <c r="G830" s="209"/>
      <c r="H830" s="209"/>
      <c r="I830" s="209"/>
      <c r="J830" s="300" t="b">
        <v>1</v>
      </c>
      <c r="K830" s="301" t="b">
        <v>0</v>
      </c>
      <c r="L830" s="419"/>
      <c r="M830" s="301" t="b">
        <v>0</v>
      </c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  <c r="AI830" s="209"/>
      <c r="AJ830" s="209"/>
      <c r="AK830" s="209"/>
      <c r="AL830" s="209"/>
      <c r="AM830" s="209"/>
      <c r="AN830" s="209"/>
      <c r="AO830" s="209"/>
      <c r="AP830" s="209"/>
    </row>
    <row r="831">
      <c r="A831" s="291"/>
      <c r="B831" s="311" t="s">
        <v>3111</v>
      </c>
      <c r="C831" s="311" t="s">
        <v>617</v>
      </c>
      <c r="D831" s="311" t="s">
        <v>3112</v>
      </c>
      <c r="E831" s="318">
        <v>8.10115975366E11</v>
      </c>
      <c r="F831" s="313"/>
      <c r="G831" s="313"/>
      <c r="H831" s="313"/>
      <c r="I831" s="313"/>
      <c r="J831" s="350" t="b">
        <v>1</v>
      </c>
      <c r="K831" s="314" t="b">
        <v>0</v>
      </c>
      <c r="L831" s="365"/>
      <c r="M831" s="314" t="b">
        <v>0</v>
      </c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  <c r="AI831" s="209"/>
      <c r="AJ831" s="209"/>
      <c r="AK831" s="209"/>
      <c r="AL831" s="209"/>
      <c r="AM831" s="209"/>
      <c r="AN831" s="209"/>
      <c r="AO831" s="209"/>
      <c r="AP831" s="209"/>
    </row>
    <row r="832">
      <c r="A832" s="313"/>
      <c r="B832" s="209"/>
      <c r="C832" s="209"/>
      <c r="D832" s="209"/>
      <c r="E832" s="209"/>
      <c r="F832" s="313"/>
      <c r="G832" s="313"/>
      <c r="H832" s="313"/>
      <c r="I832" s="209"/>
      <c r="J832" s="313"/>
      <c r="K832" s="313"/>
      <c r="L832" s="313"/>
      <c r="M832" s="313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  <c r="AI832" s="209"/>
      <c r="AJ832" s="209"/>
      <c r="AK832" s="209"/>
      <c r="AL832" s="209"/>
      <c r="AM832" s="209"/>
      <c r="AN832" s="209"/>
      <c r="AO832" s="209"/>
      <c r="AP832" s="209"/>
    </row>
    <row r="833">
      <c r="A833" s="271" t="s">
        <v>3127</v>
      </c>
      <c r="B833" s="339" t="s">
        <v>3412</v>
      </c>
      <c r="C833" s="320"/>
      <c r="D833" s="283" t="s">
        <v>3413</v>
      </c>
      <c r="E833" s="336" t="s">
        <v>116</v>
      </c>
      <c r="F833" s="429"/>
      <c r="G833" s="429"/>
      <c r="H833" s="285" t="s">
        <v>1844</v>
      </c>
      <c r="I833" s="285" t="s">
        <v>3414</v>
      </c>
      <c r="J833" s="438" t="str">
        <f>IF(COUNTIF(J834:J837, TRUE) = COUNTA(J834:J837), "Complete!", IF(COUNTIF(J834:J837, TRUE) &gt; 0, "Partial", "Not Started"))</f>
        <v>Complete!</v>
      </c>
      <c r="K833" s="501"/>
      <c r="L833" s="464" t="s">
        <v>889</v>
      </c>
      <c r="M833" s="465" t="str">
        <f>IF(COUNTIF(M834:M960, TRUE) = COUNTA(M834:M960), "Complete!", IF(COUNTIF(M834:M960, TRUE) &gt; 0, "Partial", "Not Started"))</f>
        <v>Not Started</v>
      </c>
      <c r="N833" s="280">
        <v>4.0</v>
      </c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  <c r="AI833" s="209"/>
      <c r="AJ833" s="209"/>
      <c r="AK833" s="209"/>
      <c r="AL833" s="209"/>
      <c r="AM833" s="209"/>
      <c r="AN833" s="209"/>
      <c r="AO833" s="209"/>
      <c r="AP833" s="209"/>
    </row>
    <row r="834">
      <c r="A834" s="291"/>
      <c r="B834" s="304" t="s">
        <v>3415</v>
      </c>
      <c r="C834" s="304" t="s">
        <v>3416</v>
      </c>
      <c r="D834" s="304" t="s">
        <v>3417</v>
      </c>
      <c r="E834" s="307">
        <v>8.1011597468E11</v>
      </c>
      <c r="F834" s="209"/>
      <c r="G834" s="209"/>
      <c r="H834" s="209"/>
      <c r="I834" s="209"/>
      <c r="J834" s="300" t="b">
        <v>1</v>
      </c>
      <c r="K834" s="301" t="b">
        <v>0</v>
      </c>
      <c r="L834" s="419"/>
      <c r="M834" s="301" t="b">
        <v>0</v>
      </c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  <c r="AI834" s="209"/>
      <c r="AJ834" s="209"/>
      <c r="AK834" s="209"/>
      <c r="AL834" s="209"/>
      <c r="AM834" s="209"/>
      <c r="AN834" s="209"/>
      <c r="AO834" s="209"/>
      <c r="AP834" s="209"/>
    </row>
    <row r="835">
      <c r="A835" s="291"/>
      <c r="B835" s="304" t="s">
        <v>3418</v>
      </c>
      <c r="C835" s="304" t="s">
        <v>3416</v>
      </c>
      <c r="D835" s="304" t="s">
        <v>3419</v>
      </c>
      <c r="E835" s="307">
        <v>8.10115974703E11</v>
      </c>
      <c r="F835" s="209"/>
      <c r="G835" s="209"/>
      <c r="H835" s="209"/>
      <c r="I835" s="209"/>
      <c r="J835" s="300" t="b">
        <v>1</v>
      </c>
      <c r="K835" s="301" t="b">
        <v>0</v>
      </c>
      <c r="L835" s="419"/>
      <c r="M835" s="301" t="b">
        <v>0</v>
      </c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  <c r="AI835" s="209"/>
      <c r="AJ835" s="209"/>
      <c r="AK835" s="209"/>
      <c r="AL835" s="209"/>
      <c r="AM835" s="209"/>
      <c r="AN835" s="209"/>
      <c r="AO835" s="209"/>
      <c r="AP835" s="209"/>
    </row>
    <row r="836">
      <c r="A836" s="291"/>
      <c r="B836" s="304" t="s">
        <v>3420</v>
      </c>
      <c r="C836" s="304" t="s">
        <v>3416</v>
      </c>
      <c r="D836" s="304" t="s">
        <v>3421</v>
      </c>
      <c r="E836" s="307">
        <v>8.10115974697E11</v>
      </c>
      <c r="F836" s="209"/>
      <c r="G836" s="209"/>
      <c r="H836" s="209"/>
      <c r="I836" s="209"/>
      <c r="J836" s="300" t="b">
        <v>1</v>
      </c>
      <c r="K836" s="301" t="b">
        <v>0</v>
      </c>
      <c r="L836" s="419"/>
      <c r="M836" s="301" t="b">
        <v>0</v>
      </c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  <c r="AI836" s="209"/>
      <c r="AJ836" s="209"/>
      <c r="AK836" s="209"/>
      <c r="AL836" s="209"/>
      <c r="AM836" s="209"/>
      <c r="AN836" s="209"/>
      <c r="AO836" s="209"/>
      <c r="AP836" s="209"/>
    </row>
    <row r="837">
      <c r="A837" s="309"/>
      <c r="B837" s="311" t="s">
        <v>3422</v>
      </c>
      <c r="C837" s="311" t="s">
        <v>3416</v>
      </c>
      <c r="D837" s="311" t="s">
        <v>3423</v>
      </c>
      <c r="E837" s="318">
        <v>8.1011597538E11</v>
      </c>
      <c r="F837" s="313"/>
      <c r="G837" s="313"/>
      <c r="H837" s="313"/>
      <c r="I837" s="313"/>
      <c r="J837" s="350" t="b">
        <v>1</v>
      </c>
      <c r="K837" s="314" t="b">
        <v>0</v>
      </c>
      <c r="L837" s="365"/>
      <c r="M837" s="314" t="b">
        <v>0</v>
      </c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  <c r="AI837" s="209"/>
      <c r="AJ837" s="209"/>
      <c r="AK837" s="209"/>
      <c r="AL837" s="209"/>
      <c r="AM837" s="209"/>
      <c r="AN837" s="209"/>
      <c r="AO837" s="209"/>
      <c r="AP837" s="209"/>
    </row>
    <row r="838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  <c r="AI838" s="209"/>
      <c r="AJ838" s="209"/>
      <c r="AK838" s="209"/>
      <c r="AL838" s="209"/>
      <c r="AM838" s="209"/>
      <c r="AN838" s="209"/>
      <c r="AO838" s="209"/>
      <c r="AP838" s="209"/>
    </row>
    <row r="839">
      <c r="A839" s="316" t="s">
        <v>3138</v>
      </c>
      <c r="B839" s="339" t="s">
        <v>3114</v>
      </c>
      <c r="C839" s="320"/>
      <c r="D839" s="283" t="s">
        <v>3115</v>
      </c>
      <c r="E839" s="336" t="s">
        <v>116</v>
      </c>
      <c r="F839" s="320"/>
      <c r="G839" s="320"/>
      <c r="H839" s="285" t="s">
        <v>376</v>
      </c>
      <c r="I839" s="285" t="s">
        <v>4161</v>
      </c>
      <c r="J839" s="333" t="str">
        <f>IF(COUNTIF(J840:J843, TRUE) = COUNTA(J840:J843), "Complete!", IF(COUNTIF(J840:J843, TRUE) &gt; 0, "Partial", "Not Started"))</f>
        <v>Complete!</v>
      </c>
      <c r="K839" s="334"/>
      <c r="L839" s="500" t="s">
        <v>889</v>
      </c>
      <c r="M839" s="466" t="str">
        <f>IF(COUNTIF(M840:M845, TRUE) = COUNTA(M840:M845), "Complete!", IF(COUNTIF(M840:M845, TRUE) &gt; 0, "Partial", "Not Started"))</f>
        <v>Not Started</v>
      </c>
      <c r="N839" s="280">
        <v>4.0</v>
      </c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  <c r="AI839" s="209"/>
      <c r="AJ839" s="209"/>
      <c r="AK839" s="209"/>
      <c r="AL839" s="209"/>
      <c r="AM839" s="209"/>
      <c r="AN839" s="209"/>
      <c r="AO839" s="209"/>
      <c r="AP839" s="209"/>
    </row>
    <row r="840">
      <c r="A840" s="291"/>
      <c r="B840" s="377" t="s">
        <v>3117</v>
      </c>
      <c r="C840" s="377" t="s">
        <v>394</v>
      </c>
      <c r="D840" s="304" t="s">
        <v>3118</v>
      </c>
      <c r="E840" s="488">
        <v>8.10115974802E11</v>
      </c>
      <c r="F840" s="209"/>
      <c r="G840" s="209"/>
      <c r="H840" s="209"/>
      <c r="I840" s="209"/>
      <c r="J840" s="300" t="b">
        <v>1</v>
      </c>
      <c r="K840" s="301" t="b">
        <v>0</v>
      </c>
      <c r="L840" s="419"/>
      <c r="M840" s="301" t="b">
        <v>0</v>
      </c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  <c r="AI840" s="209"/>
      <c r="AJ840" s="209"/>
      <c r="AK840" s="209"/>
      <c r="AL840" s="209"/>
      <c r="AM840" s="209"/>
      <c r="AN840" s="209"/>
      <c r="AO840" s="209"/>
      <c r="AP840" s="209"/>
    </row>
    <row r="841">
      <c r="A841" s="291"/>
      <c r="B841" s="377" t="s">
        <v>3119</v>
      </c>
      <c r="C841" s="377" t="s">
        <v>394</v>
      </c>
      <c r="D841" s="304" t="s">
        <v>3120</v>
      </c>
      <c r="E841" s="498" t="s">
        <v>3121</v>
      </c>
      <c r="F841" s="209"/>
      <c r="G841" s="209"/>
      <c r="H841" s="209"/>
      <c r="I841" s="209"/>
      <c r="J841" s="300" t="b">
        <v>1</v>
      </c>
      <c r="K841" s="301" t="b">
        <v>0</v>
      </c>
      <c r="L841" s="419"/>
      <c r="M841" s="301" t="b">
        <v>0</v>
      </c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  <c r="AI841" s="209"/>
      <c r="AJ841" s="209"/>
      <c r="AK841" s="209"/>
      <c r="AL841" s="209"/>
      <c r="AM841" s="209"/>
      <c r="AN841" s="209"/>
      <c r="AO841" s="209"/>
      <c r="AP841" s="209"/>
    </row>
    <row r="842">
      <c r="A842" s="291"/>
      <c r="B842" s="377" t="s">
        <v>3122</v>
      </c>
      <c r="C842" s="377" t="s">
        <v>394</v>
      </c>
      <c r="D842" s="304" t="s">
        <v>3123</v>
      </c>
      <c r="E842" s="498" t="s">
        <v>3124</v>
      </c>
      <c r="F842" s="209"/>
      <c r="G842" s="209"/>
      <c r="H842" s="209"/>
      <c r="I842" s="209"/>
      <c r="J842" s="300" t="b">
        <v>1</v>
      </c>
      <c r="K842" s="301" t="b">
        <v>0</v>
      </c>
      <c r="L842" s="419"/>
      <c r="M842" s="301" t="b">
        <v>0</v>
      </c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  <c r="AI842" s="209"/>
      <c r="AJ842" s="209"/>
      <c r="AK842" s="209"/>
      <c r="AL842" s="209"/>
      <c r="AM842" s="209"/>
      <c r="AN842" s="209"/>
      <c r="AO842" s="209"/>
      <c r="AP842" s="209"/>
    </row>
    <row r="843">
      <c r="A843" s="309"/>
      <c r="B843" s="379" t="s">
        <v>3125</v>
      </c>
      <c r="C843" s="379" t="s">
        <v>394</v>
      </c>
      <c r="D843" s="311" t="s">
        <v>3126</v>
      </c>
      <c r="E843" s="493">
        <v>8.10115974826E11</v>
      </c>
      <c r="F843" s="313"/>
      <c r="G843" s="313"/>
      <c r="H843" s="313"/>
      <c r="I843" s="313"/>
      <c r="J843" s="350" t="b">
        <v>1</v>
      </c>
      <c r="K843" s="314" t="b">
        <v>0</v>
      </c>
      <c r="L843" s="365"/>
      <c r="M843" s="314" t="b">
        <v>0</v>
      </c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  <c r="AI843" s="209"/>
      <c r="AJ843" s="209"/>
      <c r="AK843" s="209"/>
      <c r="AL843" s="209"/>
      <c r="AM843" s="209"/>
      <c r="AN843" s="209"/>
      <c r="AO843" s="209"/>
      <c r="AP843" s="209"/>
    </row>
    <row r="844">
      <c r="A844" s="313"/>
      <c r="B844" s="209"/>
      <c r="C844" s="209"/>
      <c r="D844" s="209"/>
      <c r="E844" s="209"/>
      <c r="F844" s="313"/>
      <c r="G844" s="313"/>
      <c r="H844" s="313"/>
      <c r="I844" s="209"/>
      <c r="J844" s="313"/>
      <c r="K844" s="313"/>
      <c r="L844" s="313"/>
      <c r="M844" s="313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  <c r="AI844" s="209"/>
      <c r="AJ844" s="209"/>
      <c r="AK844" s="209"/>
      <c r="AL844" s="209"/>
      <c r="AM844" s="209"/>
      <c r="AN844" s="209"/>
      <c r="AO844" s="209"/>
      <c r="AP844" s="209"/>
    </row>
    <row r="845">
      <c r="A845" s="316" t="s">
        <v>3153</v>
      </c>
      <c r="B845" s="339" t="s">
        <v>3128</v>
      </c>
      <c r="C845" s="320"/>
      <c r="D845" s="283" t="s">
        <v>3129</v>
      </c>
      <c r="E845" s="336" t="s">
        <v>116</v>
      </c>
      <c r="F845" s="320"/>
      <c r="G845" s="320"/>
      <c r="H845" s="285" t="s">
        <v>370</v>
      </c>
      <c r="I845" s="285" t="s">
        <v>4202</v>
      </c>
      <c r="J845" s="333" t="str">
        <f>IF(COUNTIF(J846:J849, TRUE) = COUNTA(J846:J849), "Complete!", IF(COUNTIF(J846:J849, TRUE) &gt; 0, "Partial", "Not Started"))</f>
        <v>Complete!</v>
      </c>
      <c r="K845" s="334"/>
      <c r="L845" s="464" t="s">
        <v>889</v>
      </c>
      <c r="M845" s="465" t="str">
        <f>IF(COUNTIF(M846:M851, TRUE) = COUNTA(M846:M851), "Complete!", IF(COUNTIF(M846:M851, TRUE) &gt; 0, "Partial", "Not Started"))</f>
        <v>Not Started</v>
      </c>
      <c r="N845" s="280">
        <v>4.0</v>
      </c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  <c r="AI845" s="209"/>
      <c r="AJ845" s="209"/>
      <c r="AK845" s="209"/>
      <c r="AL845" s="209"/>
      <c r="AM845" s="209"/>
      <c r="AN845" s="209"/>
      <c r="AO845" s="209"/>
      <c r="AP845" s="209"/>
    </row>
    <row r="846">
      <c r="A846" s="291"/>
      <c r="B846" s="304" t="s">
        <v>3130</v>
      </c>
      <c r="C846" s="304" t="s">
        <v>726</v>
      </c>
      <c r="D846" s="304" t="s">
        <v>3131</v>
      </c>
      <c r="E846" s="307">
        <v>8.10115974925E11</v>
      </c>
      <c r="F846" s="209"/>
      <c r="G846" s="209"/>
      <c r="H846" s="209"/>
      <c r="I846" s="209"/>
      <c r="J846" s="300" t="b">
        <v>1</v>
      </c>
      <c r="K846" s="301" t="b">
        <v>0</v>
      </c>
      <c r="L846" s="419"/>
      <c r="M846" s="301" t="b">
        <v>0</v>
      </c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  <c r="AI846" s="209"/>
      <c r="AJ846" s="209"/>
      <c r="AK846" s="209"/>
      <c r="AL846" s="209"/>
      <c r="AM846" s="209"/>
      <c r="AN846" s="209"/>
      <c r="AO846" s="209"/>
      <c r="AP846" s="209"/>
    </row>
    <row r="847">
      <c r="A847" s="291"/>
      <c r="B847" s="304" t="s">
        <v>3132</v>
      </c>
      <c r="C847" s="304" t="s">
        <v>726</v>
      </c>
      <c r="D847" s="304" t="s">
        <v>3133</v>
      </c>
      <c r="E847" s="307">
        <v>8.10115974932E11</v>
      </c>
      <c r="F847" s="209"/>
      <c r="G847" s="209"/>
      <c r="H847" s="209"/>
      <c r="I847" s="209"/>
      <c r="J847" s="300" t="b">
        <v>1</v>
      </c>
      <c r="K847" s="301" t="b">
        <v>0</v>
      </c>
      <c r="L847" s="419"/>
      <c r="M847" s="301" t="b">
        <v>0</v>
      </c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  <c r="AI847" s="209"/>
      <c r="AJ847" s="209"/>
      <c r="AK847" s="209"/>
      <c r="AL847" s="209"/>
      <c r="AM847" s="209"/>
      <c r="AN847" s="209"/>
      <c r="AO847" s="209"/>
      <c r="AP847" s="209"/>
    </row>
    <row r="848">
      <c r="A848" s="291"/>
      <c r="B848" s="304" t="s">
        <v>3134</v>
      </c>
      <c r="C848" s="304" t="s">
        <v>726</v>
      </c>
      <c r="D848" s="304" t="s">
        <v>3135</v>
      </c>
      <c r="E848" s="307">
        <v>8.10115975465E11</v>
      </c>
      <c r="F848" s="209"/>
      <c r="G848" s="209"/>
      <c r="H848" s="209"/>
      <c r="I848" s="209"/>
      <c r="J848" s="300" t="b">
        <v>1</v>
      </c>
      <c r="K848" s="301" t="b">
        <v>0</v>
      </c>
      <c r="L848" s="419"/>
      <c r="M848" s="301" t="b">
        <v>0</v>
      </c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  <c r="AI848" s="209"/>
      <c r="AJ848" s="209"/>
      <c r="AK848" s="209"/>
      <c r="AL848" s="209"/>
      <c r="AM848" s="209"/>
      <c r="AN848" s="209"/>
      <c r="AO848" s="209"/>
      <c r="AP848" s="209"/>
    </row>
    <row r="849">
      <c r="A849" s="309"/>
      <c r="B849" s="311" t="s">
        <v>3136</v>
      </c>
      <c r="C849" s="311" t="s">
        <v>726</v>
      </c>
      <c r="D849" s="311" t="s">
        <v>3137</v>
      </c>
      <c r="E849" s="318">
        <v>8.10115974949E11</v>
      </c>
      <c r="F849" s="313"/>
      <c r="G849" s="313"/>
      <c r="H849" s="313"/>
      <c r="I849" s="313"/>
      <c r="J849" s="350" t="b">
        <v>1</v>
      </c>
      <c r="K849" s="314" t="b">
        <v>0</v>
      </c>
      <c r="L849" s="365"/>
      <c r="M849" s="314" t="b">
        <v>0</v>
      </c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  <c r="AI849" s="209"/>
      <c r="AJ849" s="209"/>
      <c r="AK849" s="209"/>
      <c r="AL849" s="209"/>
      <c r="AM849" s="209"/>
      <c r="AN849" s="209"/>
      <c r="AO849" s="209"/>
      <c r="AP849" s="209"/>
    </row>
    <row r="850">
      <c r="A850" s="313"/>
      <c r="B850" s="209"/>
      <c r="C850" s="209"/>
      <c r="D850" s="209"/>
      <c r="E850" s="209"/>
      <c r="F850" s="313"/>
      <c r="G850" s="313"/>
      <c r="H850" s="313"/>
      <c r="I850" s="209"/>
      <c r="J850" s="313"/>
      <c r="K850" s="313"/>
      <c r="L850" s="313"/>
      <c r="M850" s="313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  <c r="AK850" s="209"/>
      <c r="AL850" s="209"/>
      <c r="AM850" s="209"/>
      <c r="AN850" s="209"/>
      <c r="AO850" s="209"/>
      <c r="AP850" s="209"/>
    </row>
    <row r="851">
      <c r="A851" s="316" t="s">
        <v>3220</v>
      </c>
      <c r="B851" s="339" t="s">
        <v>3139</v>
      </c>
      <c r="C851" s="320"/>
      <c r="D851" s="283" t="s">
        <v>3140</v>
      </c>
      <c r="E851" s="336" t="s">
        <v>116</v>
      </c>
      <c r="F851" s="320"/>
      <c r="G851" s="320"/>
      <c r="H851" s="285" t="s">
        <v>376</v>
      </c>
      <c r="I851" s="285" t="s">
        <v>4192</v>
      </c>
      <c r="J851" s="333" t="str">
        <f>IF(COUNTIF(J852:J855, TRUE) = COUNTA(J852:J855), "Complete!", IF(COUNTIF(J852:J855, TRUE) &gt; 0, "Partial", "Not Started"))</f>
        <v>Complete!</v>
      </c>
      <c r="K851" s="334"/>
      <c r="L851" s="464" t="s">
        <v>889</v>
      </c>
      <c r="M851" s="465" t="str">
        <f>IF(COUNTIF(M852:M978, TRUE) = COUNTA(M852:M978), "Complete!", IF(COUNTIF(M852:M978, TRUE) &gt; 0, "Partial", "Not Started"))</f>
        <v>Not Started</v>
      </c>
      <c r="N851" s="280">
        <v>4.0</v>
      </c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  <c r="AI851" s="209"/>
      <c r="AJ851" s="209"/>
      <c r="AK851" s="209"/>
      <c r="AL851" s="209"/>
      <c r="AM851" s="209"/>
      <c r="AN851" s="209"/>
      <c r="AO851" s="209"/>
      <c r="AP851" s="209"/>
    </row>
    <row r="852">
      <c r="A852" s="291"/>
      <c r="B852" s="377" t="s">
        <v>3142</v>
      </c>
      <c r="C852" s="377" t="s">
        <v>3143</v>
      </c>
      <c r="D852" s="304" t="s">
        <v>3144</v>
      </c>
      <c r="E852" s="488">
        <v>8.10115974956E11</v>
      </c>
      <c r="F852" s="209"/>
      <c r="G852" s="209"/>
      <c r="H852" s="209"/>
      <c r="I852" s="209"/>
      <c r="J852" s="300" t="b">
        <v>1</v>
      </c>
      <c r="K852" s="301" t="b">
        <v>0</v>
      </c>
      <c r="L852" s="419"/>
      <c r="M852" s="301" t="b">
        <v>0</v>
      </c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  <c r="AI852" s="209"/>
      <c r="AJ852" s="209"/>
      <c r="AK852" s="209"/>
      <c r="AL852" s="209"/>
      <c r="AM852" s="209"/>
      <c r="AN852" s="209"/>
      <c r="AO852" s="209"/>
      <c r="AP852" s="209"/>
    </row>
    <row r="853">
      <c r="A853" s="291"/>
      <c r="B853" s="377" t="s">
        <v>3145</v>
      </c>
      <c r="C853" s="377" t="s">
        <v>3143</v>
      </c>
      <c r="D853" s="304" t="s">
        <v>3146</v>
      </c>
      <c r="E853" s="498" t="s">
        <v>3147</v>
      </c>
      <c r="F853" s="209"/>
      <c r="G853" s="209"/>
      <c r="H853" s="209"/>
      <c r="I853" s="209"/>
      <c r="J853" s="300" t="b">
        <v>1</v>
      </c>
      <c r="K853" s="301" t="b">
        <v>0</v>
      </c>
      <c r="L853" s="419"/>
      <c r="M853" s="301" t="b">
        <v>0</v>
      </c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  <c r="AI853" s="209"/>
      <c r="AJ853" s="209"/>
      <c r="AK853" s="209"/>
      <c r="AL853" s="209"/>
      <c r="AM853" s="209"/>
      <c r="AN853" s="209"/>
      <c r="AO853" s="209"/>
      <c r="AP853" s="209"/>
    </row>
    <row r="854">
      <c r="A854" s="291"/>
      <c r="B854" s="377" t="s">
        <v>3148</v>
      </c>
      <c r="C854" s="377" t="s">
        <v>3143</v>
      </c>
      <c r="D854" s="304" t="s">
        <v>3149</v>
      </c>
      <c r="E854" s="498" t="s">
        <v>3150</v>
      </c>
      <c r="F854" s="209"/>
      <c r="G854" s="209"/>
      <c r="H854" s="209"/>
      <c r="I854" s="209"/>
      <c r="J854" s="300" t="b">
        <v>1</v>
      </c>
      <c r="K854" s="301" t="b">
        <v>0</v>
      </c>
      <c r="L854" s="419"/>
      <c r="M854" s="301" t="b">
        <v>0</v>
      </c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  <c r="AK854" s="209"/>
      <c r="AL854" s="209"/>
      <c r="AM854" s="209"/>
      <c r="AN854" s="209"/>
      <c r="AO854" s="209"/>
      <c r="AP854" s="209"/>
    </row>
    <row r="855">
      <c r="A855" s="309"/>
      <c r="B855" s="379" t="s">
        <v>3151</v>
      </c>
      <c r="C855" s="379" t="s">
        <v>3143</v>
      </c>
      <c r="D855" s="311" t="s">
        <v>3152</v>
      </c>
      <c r="E855" s="493">
        <v>8.1011597497E11</v>
      </c>
      <c r="F855" s="313"/>
      <c r="G855" s="313"/>
      <c r="H855" s="313"/>
      <c r="I855" s="313"/>
      <c r="J855" s="350" t="b">
        <v>1</v>
      </c>
      <c r="K855" s="314" t="b">
        <v>0</v>
      </c>
      <c r="L855" s="365"/>
      <c r="M855" s="314" t="b">
        <v>0</v>
      </c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  <c r="AK855" s="209"/>
      <c r="AL855" s="209"/>
      <c r="AM855" s="209"/>
      <c r="AN855" s="209"/>
      <c r="AO855" s="209"/>
      <c r="AP855" s="209"/>
    </row>
    <row r="856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  <c r="AI856" s="209"/>
      <c r="AJ856" s="209"/>
      <c r="AK856" s="209"/>
      <c r="AL856" s="209"/>
      <c r="AM856" s="209"/>
      <c r="AN856" s="209"/>
      <c r="AO856" s="209"/>
      <c r="AP856" s="209"/>
    </row>
    <row r="857">
      <c r="A857" s="316" t="s">
        <v>3234</v>
      </c>
      <c r="B857" s="319" t="s">
        <v>3154</v>
      </c>
      <c r="C857" s="320"/>
      <c r="D857" s="283" t="s">
        <v>3155</v>
      </c>
      <c r="E857" s="336" t="s">
        <v>116</v>
      </c>
      <c r="F857" s="320"/>
      <c r="G857" s="320"/>
      <c r="H857" s="285" t="s">
        <v>1796</v>
      </c>
      <c r="I857" s="285" t="s">
        <v>4412</v>
      </c>
      <c r="J857" s="333" t="str">
        <f>IF(COUNTIF(J858:J881, TRUE) = COUNTA(J858:J881), "Complete!", IF(COUNTIF(J858:J881, TRUE) &gt; 0, "Partial", "Not Started"))</f>
        <v>Complete!</v>
      </c>
      <c r="K857" s="334"/>
      <c r="L857" s="464" t="s">
        <v>889</v>
      </c>
      <c r="M857" s="465" t="str">
        <f>IF(COUNTIF(M858:M869, TRUE) = COUNTA(M858:M869), "Complete!", IF(COUNTIF(M858:M869, TRUE) &gt; 0, "Partial", "Not Started"))</f>
        <v>Not Started</v>
      </c>
      <c r="N857" s="280">
        <v>24.0</v>
      </c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  <c r="AI857" s="209"/>
      <c r="AJ857" s="209"/>
      <c r="AK857" s="209"/>
      <c r="AL857" s="209"/>
      <c r="AM857" s="209"/>
      <c r="AN857" s="209"/>
      <c r="AO857" s="209"/>
      <c r="AP857" s="209"/>
    </row>
    <row r="858">
      <c r="A858" s="291"/>
      <c r="B858" s="303" t="s">
        <v>3157</v>
      </c>
      <c r="C858" s="304" t="s">
        <v>3158</v>
      </c>
      <c r="D858" s="304" t="s">
        <v>3159</v>
      </c>
      <c r="E858" s="307">
        <v>8.10115975045E11</v>
      </c>
      <c r="F858" s="209"/>
      <c r="G858" s="209"/>
      <c r="H858" s="209"/>
      <c r="I858" s="209"/>
      <c r="J858" s="300" t="b">
        <v>1</v>
      </c>
      <c r="K858" s="301" t="b">
        <v>0</v>
      </c>
      <c r="L858" s="419"/>
      <c r="M858" s="301" t="b">
        <v>0</v>
      </c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  <c r="AI858" s="209"/>
      <c r="AJ858" s="209"/>
      <c r="AK858" s="209"/>
      <c r="AL858" s="209"/>
      <c r="AM858" s="209"/>
      <c r="AN858" s="209"/>
      <c r="AO858" s="209"/>
      <c r="AP858" s="209"/>
    </row>
    <row r="859">
      <c r="A859" s="291"/>
      <c r="B859" s="376" t="s">
        <v>3160</v>
      </c>
      <c r="C859" s="304" t="s">
        <v>3158</v>
      </c>
      <c r="D859" s="304" t="s">
        <v>3161</v>
      </c>
      <c r="E859" s="307">
        <v>8.10115975052E11</v>
      </c>
      <c r="F859" s="209"/>
      <c r="G859" s="209"/>
      <c r="H859" s="209"/>
      <c r="I859" s="209"/>
      <c r="J859" s="300" t="b">
        <v>1</v>
      </c>
      <c r="K859" s="301" t="b">
        <v>0</v>
      </c>
      <c r="L859" s="419"/>
      <c r="M859" s="301" t="b">
        <v>0</v>
      </c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  <c r="AI859" s="209"/>
      <c r="AJ859" s="209"/>
      <c r="AK859" s="209"/>
      <c r="AL859" s="209"/>
      <c r="AM859" s="209"/>
      <c r="AN859" s="209"/>
      <c r="AO859" s="209"/>
      <c r="AP859" s="209"/>
    </row>
    <row r="860">
      <c r="A860" s="291"/>
      <c r="B860" s="376" t="s">
        <v>3162</v>
      </c>
      <c r="C860" s="304" t="s">
        <v>3158</v>
      </c>
      <c r="D860" s="304" t="s">
        <v>3163</v>
      </c>
      <c r="E860" s="307">
        <v>8.10115975502E11</v>
      </c>
      <c r="F860" s="209"/>
      <c r="G860" s="209"/>
      <c r="H860" s="209"/>
      <c r="I860" s="209"/>
      <c r="J860" s="300" t="b">
        <v>1</v>
      </c>
      <c r="K860" s="301" t="b">
        <v>0</v>
      </c>
      <c r="L860" s="419"/>
      <c r="M860" s="301" t="b">
        <v>0</v>
      </c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  <c r="AI860" s="209"/>
      <c r="AJ860" s="209"/>
      <c r="AK860" s="209"/>
      <c r="AL860" s="209"/>
      <c r="AM860" s="209"/>
      <c r="AN860" s="209"/>
      <c r="AO860" s="209"/>
      <c r="AP860" s="209"/>
    </row>
    <row r="861">
      <c r="A861" s="291"/>
      <c r="B861" s="303" t="s">
        <v>3164</v>
      </c>
      <c r="C861" s="304" t="s">
        <v>3158</v>
      </c>
      <c r="D861" s="304" t="s">
        <v>3165</v>
      </c>
      <c r="E861" s="307">
        <v>8.10115975069E11</v>
      </c>
      <c r="F861" s="209"/>
      <c r="G861" s="209"/>
      <c r="H861" s="209"/>
      <c r="I861" s="209"/>
      <c r="J861" s="300" t="b">
        <v>1</v>
      </c>
      <c r="K861" s="301" t="b">
        <v>0</v>
      </c>
      <c r="L861" s="419"/>
      <c r="M861" s="301" t="b">
        <v>0</v>
      </c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  <c r="AI861" s="209"/>
      <c r="AJ861" s="209"/>
      <c r="AK861" s="209"/>
      <c r="AL861" s="209"/>
      <c r="AM861" s="209"/>
      <c r="AN861" s="209"/>
      <c r="AO861" s="209"/>
      <c r="AP861" s="209"/>
    </row>
    <row r="862">
      <c r="A862" s="291"/>
      <c r="B862" s="303" t="s">
        <v>3166</v>
      </c>
      <c r="C862" s="304" t="s">
        <v>3167</v>
      </c>
      <c r="D862" s="304" t="s">
        <v>3168</v>
      </c>
      <c r="E862" s="308" t="s">
        <v>3169</v>
      </c>
      <c r="F862" s="209"/>
      <c r="G862" s="209"/>
      <c r="H862" s="209"/>
      <c r="I862" s="209"/>
      <c r="J862" s="300" t="b">
        <v>1</v>
      </c>
      <c r="K862" s="301" t="b">
        <v>0</v>
      </c>
      <c r="L862" s="419"/>
      <c r="M862" s="301" t="b">
        <v>0</v>
      </c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  <c r="AI862" s="209"/>
      <c r="AJ862" s="209"/>
      <c r="AK862" s="209"/>
      <c r="AL862" s="209"/>
      <c r="AM862" s="209"/>
      <c r="AN862" s="209"/>
      <c r="AO862" s="209"/>
      <c r="AP862" s="209"/>
    </row>
    <row r="863">
      <c r="A863" s="291"/>
      <c r="B863" s="376" t="s">
        <v>3170</v>
      </c>
      <c r="C863" s="304" t="s">
        <v>3167</v>
      </c>
      <c r="D863" s="304" t="s">
        <v>3171</v>
      </c>
      <c r="E863" s="308" t="s">
        <v>3172</v>
      </c>
      <c r="F863" s="209"/>
      <c r="G863" s="209"/>
      <c r="H863" s="209"/>
      <c r="I863" s="209"/>
      <c r="J863" s="300" t="b">
        <v>1</v>
      </c>
      <c r="K863" s="301" t="b">
        <v>0</v>
      </c>
      <c r="L863" s="419"/>
      <c r="M863" s="301" t="b">
        <v>0</v>
      </c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  <c r="AI863" s="209"/>
      <c r="AJ863" s="209"/>
      <c r="AK863" s="209"/>
      <c r="AL863" s="209"/>
      <c r="AM863" s="209"/>
      <c r="AN863" s="209"/>
      <c r="AO863" s="209"/>
      <c r="AP863" s="209"/>
    </row>
    <row r="864">
      <c r="A864" s="291"/>
      <c r="B864" s="376" t="s">
        <v>3173</v>
      </c>
      <c r="C864" s="304" t="s">
        <v>3167</v>
      </c>
      <c r="D864" s="304" t="s">
        <v>3174</v>
      </c>
      <c r="E864" s="308" t="s">
        <v>3175</v>
      </c>
      <c r="F864" s="209"/>
      <c r="G864" s="209"/>
      <c r="H864" s="209"/>
      <c r="I864" s="209"/>
      <c r="J864" s="300" t="b">
        <v>1</v>
      </c>
      <c r="K864" s="301" t="b">
        <v>0</v>
      </c>
      <c r="L864" s="419"/>
      <c r="M864" s="301" t="b">
        <v>0</v>
      </c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  <c r="AI864" s="209"/>
      <c r="AJ864" s="209"/>
      <c r="AK864" s="209"/>
      <c r="AL864" s="209"/>
      <c r="AM864" s="209"/>
      <c r="AN864" s="209"/>
      <c r="AO864" s="209"/>
      <c r="AP864" s="209"/>
    </row>
    <row r="865">
      <c r="A865" s="291"/>
      <c r="B865" s="303" t="s">
        <v>3176</v>
      </c>
      <c r="C865" s="304" t="s">
        <v>3167</v>
      </c>
      <c r="D865" s="304" t="s">
        <v>3177</v>
      </c>
      <c r="E865" s="308" t="s">
        <v>3178</v>
      </c>
      <c r="F865" s="209"/>
      <c r="G865" s="209"/>
      <c r="H865" s="209"/>
      <c r="I865" s="209"/>
      <c r="J865" s="300" t="b">
        <v>1</v>
      </c>
      <c r="K865" s="301" t="b">
        <v>0</v>
      </c>
      <c r="L865" s="419"/>
      <c r="M865" s="301" t="b">
        <v>0</v>
      </c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  <c r="AI865" s="209"/>
      <c r="AJ865" s="209"/>
      <c r="AK865" s="209"/>
      <c r="AL865" s="209"/>
      <c r="AM865" s="209"/>
      <c r="AN865" s="209"/>
      <c r="AO865" s="209"/>
      <c r="AP865" s="209"/>
    </row>
    <row r="866">
      <c r="A866" s="291"/>
      <c r="B866" s="303" t="s">
        <v>3179</v>
      </c>
      <c r="C866" s="410" t="s">
        <v>3180</v>
      </c>
      <c r="D866" s="304" t="s">
        <v>3181</v>
      </c>
      <c r="E866" s="308" t="s">
        <v>3182</v>
      </c>
      <c r="F866" s="209"/>
      <c r="G866" s="209"/>
      <c r="H866" s="209"/>
      <c r="I866" s="209"/>
      <c r="J866" s="300" t="b">
        <v>1</v>
      </c>
      <c r="K866" s="301" t="b">
        <v>0</v>
      </c>
      <c r="L866" s="419"/>
      <c r="M866" s="301" t="b">
        <v>0</v>
      </c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  <c r="AI866" s="209"/>
      <c r="AJ866" s="209"/>
      <c r="AK866" s="209"/>
      <c r="AL866" s="209"/>
      <c r="AM866" s="209"/>
      <c r="AN866" s="209"/>
      <c r="AO866" s="209"/>
      <c r="AP866" s="209"/>
    </row>
    <row r="867">
      <c r="A867" s="291"/>
      <c r="B867" s="376" t="s">
        <v>3183</v>
      </c>
      <c r="C867" s="410" t="s">
        <v>3180</v>
      </c>
      <c r="D867" s="304" t="s">
        <v>3184</v>
      </c>
      <c r="E867" s="308" t="s">
        <v>3185</v>
      </c>
      <c r="F867" s="209"/>
      <c r="G867" s="209"/>
      <c r="H867" s="209"/>
      <c r="I867" s="209"/>
      <c r="J867" s="300" t="b">
        <v>1</v>
      </c>
      <c r="K867" s="301" t="b">
        <v>0</v>
      </c>
      <c r="L867" s="419"/>
      <c r="M867" s="301" t="b">
        <v>0</v>
      </c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  <c r="AI867" s="209"/>
      <c r="AJ867" s="209"/>
      <c r="AK867" s="209"/>
      <c r="AL867" s="209"/>
      <c r="AM867" s="209"/>
      <c r="AN867" s="209"/>
      <c r="AO867" s="209"/>
      <c r="AP867" s="209"/>
    </row>
    <row r="868">
      <c r="A868" s="291"/>
      <c r="B868" s="376" t="s">
        <v>3186</v>
      </c>
      <c r="C868" s="410" t="s">
        <v>3180</v>
      </c>
      <c r="D868" s="304" t="s">
        <v>3187</v>
      </c>
      <c r="E868" s="308" t="s">
        <v>3188</v>
      </c>
      <c r="F868" s="209"/>
      <c r="G868" s="209"/>
      <c r="H868" s="209"/>
      <c r="I868" s="209"/>
      <c r="J868" s="300" t="b">
        <v>1</v>
      </c>
      <c r="K868" s="301" t="b">
        <v>0</v>
      </c>
      <c r="L868" s="419"/>
      <c r="M868" s="301" t="b">
        <v>0</v>
      </c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  <c r="AI868" s="209"/>
      <c r="AJ868" s="209"/>
      <c r="AK868" s="209"/>
      <c r="AL868" s="209"/>
      <c r="AM868" s="209"/>
      <c r="AN868" s="209"/>
      <c r="AO868" s="209"/>
      <c r="AP868" s="209"/>
    </row>
    <row r="869">
      <c r="A869" s="291"/>
      <c r="B869" s="303" t="s">
        <v>3189</v>
      </c>
      <c r="C869" s="410" t="s">
        <v>3180</v>
      </c>
      <c r="D869" s="304" t="s">
        <v>3190</v>
      </c>
      <c r="E869" s="308" t="s">
        <v>3191</v>
      </c>
      <c r="F869" s="209"/>
      <c r="G869" s="209"/>
      <c r="H869" s="209"/>
      <c r="I869" s="209"/>
      <c r="J869" s="300" t="b">
        <v>1</v>
      </c>
      <c r="K869" s="301" t="b">
        <v>0</v>
      </c>
      <c r="L869" s="365"/>
      <c r="M869" s="314" t="b">
        <v>0</v>
      </c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  <c r="AK869" s="209"/>
      <c r="AL869" s="209"/>
      <c r="AM869" s="209"/>
      <c r="AN869" s="209"/>
      <c r="AO869" s="209"/>
      <c r="AP869" s="209"/>
    </row>
    <row r="870">
      <c r="A870" s="291"/>
      <c r="B870" s="376" t="s">
        <v>3192</v>
      </c>
      <c r="C870" s="377" t="s">
        <v>3193</v>
      </c>
      <c r="D870" s="304" t="s">
        <v>3194</v>
      </c>
      <c r="E870" s="488">
        <v>8.10115978916E11</v>
      </c>
      <c r="F870" s="209"/>
      <c r="G870" s="209"/>
      <c r="H870" s="209"/>
      <c r="I870" s="209"/>
      <c r="J870" s="300" t="b">
        <v>1</v>
      </c>
      <c r="K870" s="301" t="b">
        <v>0</v>
      </c>
      <c r="L870" s="419"/>
      <c r="M870" s="301" t="b">
        <v>0</v>
      </c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  <c r="AI870" s="209"/>
      <c r="AJ870" s="209"/>
      <c r="AK870" s="209"/>
      <c r="AL870" s="209"/>
      <c r="AM870" s="209"/>
      <c r="AN870" s="209"/>
      <c r="AO870" s="209"/>
      <c r="AP870" s="209"/>
    </row>
    <row r="871">
      <c r="A871" s="291"/>
      <c r="B871" s="376" t="s">
        <v>3195</v>
      </c>
      <c r="C871" s="377" t="s">
        <v>3193</v>
      </c>
      <c r="D871" s="304" t="s">
        <v>3196</v>
      </c>
      <c r="E871" s="307">
        <v>8.10115978909E11</v>
      </c>
      <c r="F871" s="209"/>
      <c r="G871" s="209"/>
      <c r="H871" s="209"/>
      <c r="I871" s="209"/>
      <c r="J871" s="300" t="b">
        <v>1</v>
      </c>
      <c r="K871" s="301" t="b">
        <v>0</v>
      </c>
      <c r="L871" s="419"/>
      <c r="M871" s="301" t="b">
        <v>0</v>
      </c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  <c r="AI871" s="209"/>
      <c r="AJ871" s="209"/>
      <c r="AK871" s="209"/>
      <c r="AL871" s="209"/>
      <c r="AM871" s="209"/>
      <c r="AN871" s="209"/>
      <c r="AO871" s="209"/>
      <c r="AP871" s="209"/>
    </row>
    <row r="872">
      <c r="A872" s="291"/>
      <c r="B872" s="376" t="s">
        <v>3197</v>
      </c>
      <c r="C872" s="377" t="s">
        <v>3193</v>
      </c>
      <c r="D872" s="304" t="s">
        <v>3198</v>
      </c>
      <c r="E872" s="307">
        <v>8.10115977131E11</v>
      </c>
      <c r="F872" s="209"/>
      <c r="G872" s="209"/>
      <c r="H872" s="209"/>
      <c r="I872" s="209"/>
      <c r="J872" s="300" t="b">
        <v>1</v>
      </c>
      <c r="K872" s="301" t="b">
        <v>0</v>
      </c>
      <c r="L872" s="419"/>
      <c r="M872" s="301" t="b">
        <v>0</v>
      </c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  <c r="AI872" s="209"/>
      <c r="AJ872" s="209"/>
      <c r="AK872" s="209"/>
      <c r="AL872" s="209"/>
      <c r="AM872" s="209"/>
      <c r="AN872" s="209"/>
      <c r="AO872" s="209"/>
      <c r="AP872" s="209"/>
    </row>
    <row r="873">
      <c r="A873" s="291"/>
      <c r="B873" s="303" t="s">
        <v>3199</v>
      </c>
      <c r="C873" s="377" t="s">
        <v>3193</v>
      </c>
      <c r="D873" s="304" t="s">
        <v>3200</v>
      </c>
      <c r="E873" s="308" t="s">
        <v>3201</v>
      </c>
      <c r="F873" s="209"/>
      <c r="G873" s="209"/>
      <c r="H873" s="209"/>
      <c r="I873" s="209"/>
      <c r="J873" s="300" t="b">
        <v>1</v>
      </c>
      <c r="K873" s="301" t="b">
        <v>0</v>
      </c>
      <c r="L873" s="419"/>
      <c r="M873" s="301" t="b">
        <v>0</v>
      </c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  <c r="AI873" s="209"/>
      <c r="AJ873" s="209"/>
      <c r="AK873" s="209"/>
      <c r="AL873" s="209"/>
      <c r="AM873" s="209"/>
      <c r="AN873" s="209"/>
      <c r="AO873" s="209"/>
      <c r="AP873" s="209"/>
    </row>
    <row r="874">
      <c r="A874" s="291"/>
      <c r="B874" s="303" t="s">
        <v>3202</v>
      </c>
      <c r="C874" s="304" t="s">
        <v>3203</v>
      </c>
      <c r="D874" s="304" t="s">
        <v>3204</v>
      </c>
      <c r="E874" s="308">
        <v>8.10115978817E11</v>
      </c>
      <c r="F874" s="209"/>
      <c r="G874" s="209"/>
      <c r="H874" s="209"/>
      <c r="I874" s="209"/>
      <c r="J874" s="300" t="b">
        <v>1</v>
      </c>
      <c r="K874" s="301" t="b">
        <v>0</v>
      </c>
      <c r="L874" s="419"/>
      <c r="M874" s="301" t="b">
        <v>0</v>
      </c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  <c r="AI874" s="209"/>
      <c r="AJ874" s="209"/>
      <c r="AK874" s="209"/>
      <c r="AL874" s="209"/>
      <c r="AM874" s="209"/>
      <c r="AN874" s="209"/>
      <c r="AO874" s="209"/>
      <c r="AP874" s="209"/>
    </row>
    <row r="875">
      <c r="A875" s="291"/>
      <c r="B875" s="376" t="s">
        <v>3205</v>
      </c>
      <c r="C875" s="304" t="s">
        <v>3203</v>
      </c>
      <c r="D875" s="304" t="s">
        <v>3206</v>
      </c>
      <c r="E875" s="307">
        <v>8.10115978824E11</v>
      </c>
      <c r="F875" s="209"/>
      <c r="G875" s="209"/>
      <c r="H875" s="209"/>
      <c r="I875" s="209"/>
      <c r="J875" s="300" t="b">
        <v>1</v>
      </c>
      <c r="K875" s="301" t="b">
        <v>0</v>
      </c>
      <c r="L875" s="419"/>
      <c r="M875" s="301" t="b">
        <v>0</v>
      </c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  <c r="AI875" s="209"/>
      <c r="AJ875" s="209"/>
      <c r="AK875" s="209"/>
      <c r="AL875" s="209"/>
      <c r="AM875" s="209"/>
      <c r="AN875" s="209"/>
      <c r="AO875" s="209"/>
      <c r="AP875" s="209"/>
    </row>
    <row r="876">
      <c r="A876" s="291"/>
      <c r="B876" s="376" t="s">
        <v>3207</v>
      </c>
      <c r="C876" s="304" t="s">
        <v>3203</v>
      </c>
      <c r="D876" s="304" t="s">
        <v>3208</v>
      </c>
      <c r="E876" s="307">
        <v>8.10115977148E11</v>
      </c>
      <c r="F876" s="209"/>
      <c r="G876" s="209"/>
      <c r="H876" s="209"/>
      <c r="I876" s="209"/>
      <c r="J876" s="300" t="b">
        <v>1</v>
      </c>
      <c r="K876" s="301" t="b">
        <v>0</v>
      </c>
      <c r="L876" s="419"/>
      <c r="M876" s="301" t="b">
        <v>0</v>
      </c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  <c r="AI876" s="209"/>
      <c r="AJ876" s="209"/>
      <c r="AK876" s="209"/>
      <c r="AL876" s="209"/>
      <c r="AM876" s="209"/>
      <c r="AN876" s="209"/>
      <c r="AO876" s="209"/>
      <c r="AP876" s="209"/>
    </row>
    <row r="877">
      <c r="A877" s="291"/>
      <c r="B877" s="303" t="s">
        <v>3209</v>
      </c>
      <c r="C877" s="304" t="s">
        <v>3203</v>
      </c>
      <c r="D877" s="304" t="s">
        <v>3210</v>
      </c>
      <c r="E877" s="307">
        <v>8.101159788E11</v>
      </c>
      <c r="F877" s="209"/>
      <c r="G877" s="209"/>
      <c r="H877" s="209"/>
      <c r="I877" s="209"/>
      <c r="J877" s="300" t="b">
        <v>1</v>
      </c>
      <c r="K877" s="301" t="b">
        <v>0</v>
      </c>
      <c r="L877" s="419"/>
      <c r="M877" s="301" t="b">
        <v>0</v>
      </c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  <c r="AI877" s="209"/>
      <c r="AJ877" s="209"/>
      <c r="AK877" s="209"/>
      <c r="AL877" s="209"/>
      <c r="AM877" s="209"/>
      <c r="AN877" s="209"/>
      <c r="AO877" s="209"/>
      <c r="AP877" s="209"/>
    </row>
    <row r="878">
      <c r="A878" s="291"/>
      <c r="B878" s="376" t="s">
        <v>3211</v>
      </c>
      <c r="C878" s="377" t="s">
        <v>3212</v>
      </c>
      <c r="D878" s="304" t="s">
        <v>3213</v>
      </c>
      <c r="E878" s="488">
        <v>8.10115978855E11</v>
      </c>
      <c r="F878" s="209"/>
      <c r="G878" s="209"/>
      <c r="H878" s="209"/>
      <c r="I878" s="209"/>
      <c r="J878" s="300" t="b">
        <v>1</v>
      </c>
      <c r="K878" s="301" t="b">
        <v>0</v>
      </c>
      <c r="L878" s="419"/>
      <c r="M878" s="301" t="b">
        <v>0</v>
      </c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  <c r="AI878" s="209"/>
      <c r="AJ878" s="209"/>
      <c r="AK878" s="209"/>
      <c r="AL878" s="209"/>
      <c r="AM878" s="209"/>
      <c r="AN878" s="209"/>
      <c r="AO878" s="209"/>
      <c r="AP878" s="209"/>
    </row>
    <row r="879">
      <c r="A879" s="291"/>
      <c r="B879" s="376" t="s">
        <v>3214</v>
      </c>
      <c r="C879" s="377" t="s">
        <v>3212</v>
      </c>
      <c r="D879" s="304" t="s">
        <v>3215</v>
      </c>
      <c r="E879" s="307">
        <v>8.10115978848E11</v>
      </c>
      <c r="F879" s="209"/>
      <c r="G879" s="209"/>
      <c r="H879" s="209"/>
      <c r="I879" s="209"/>
      <c r="J879" s="300" t="b">
        <v>1</v>
      </c>
      <c r="K879" s="301" t="b">
        <v>0</v>
      </c>
      <c r="L879" s="419"/>
      <c r="M879" s="301" t="b">
        <v>0</v>
      </c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  <c r="AI879" s="209"/>
      <c r="AJ879" s="209"/>
      <c r="AK879" s="209"/>
      <c r="AL879" s="209"/>
      <c r="AM879" s="209"/>
      <c r="AN879" s="209"/>
      <c r="AO879" s="209"/>
      <c r="AP879" s="209"/>
    </row>
    <row r="880">
      <c r="A880" s="291"/>
      <c r="B880" s="376" t="s">
        <v>3216</v>
      </c>
      <c r="C880" s="377" t="s">
        <v>3212</v>
      </c>
      <c r="D880" s="304" t="s">
        <v>3217</v>
      </c>
      <c r="E880" s="307">
        <v>8.10115977155E11</v>
      </c>
      <c r="F880" s="209"/>
      <c r="G880" s="209"/>
      <c r="H880" s="209"/>
      <c r="I880" s="209"/>
      <c r="J880" s="300" t="b">
        <v>1</v>
      </c>
      <c r="K880" s="301" t="b">
        <v>0</v>
      </c>
      <c r="L880" s="419"/>
      <c r="M880" s="301" t="b">
        <v>0</v>
      </c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  <c r="AI880" s="209"/>
      <c r="AJ880" s="209"/>
      <c r="AK880" s="209"/>
      <c r="AL880" s="209"/>
      <c r="AM880" s="209"/>
      <c r="AN880" s="209"/>
      <c r="AO880" s="209"/>
      <c r="AP880" s="209"/>
    </row>
    <row r="881">
      <c r="A881" s="309"/>
      <c r="B881" s="378" t="s">
        <v>3218</v>
      </c>
      <c r="C881" s="379" t="s">
        <v>3212</v>
      </c>
      <c r="D881" s="311" t="s">
        <v>3219</v>
      </c>
      <c r="E881" s="493">
        <v>8.10115978831E11</v>
      </c>
      <c r="F881" s="313"/>
      <c r="G881" s="313"/>
      <c r="H881" s="313"/>
      <c r="I881" s="313"/>
      <c r="J881" s="300" t="b">
        <v>1</v>
      </c>
      <c r="K881" s="314" t="b">
        <v>0</v>
      </c>
      <c r="L881" s="365"/>
      <c r="M881" s="314" t="b">
        <v>0</v>
      </c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  <c r="AI881" s="209"/>
      <c r="AJ881" s="209"/>
      <c r="AK881" s="209"/>
      <c r="AL881" s="209"/>
      <c r="AM881" s="209"/>
      <c r="AN881" s="209"/>
      <c r="AO881" s="209"/>
      <c r="AP881" s="209"/>
    </row>
    <row r="882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  <c r="AI882" s="209"/>
      <c r="AJ882" s="209"/>
      <c r="AK882" s="209"/>
      <c r="AL882" s="209"/>
      <c r="AM882" s="209"/>
      <c r="AN882" s="209"/>
      <c r="AO882" s="209"/>
      <c r="AP882" s="209"/>
    </row>
    <row r="883">
      <c r="A883" s="316" t="s">
        <v>3248</v>
      </c>
      <c r="B883" s="339" t="s">
        <v>3221</v>
      </c>
      <c r="C883" s="320"/>
      <c r="D883" s="283" t="s">
        <v>3222</v>
      </c>
      <c r="E883" s="336" t="s">
        <v>116</v>
      </c>
      <c r="F883" s="320"/>
      <c r="G883" s="320"/>
      <c r="H883" s="285" t="s">
        <v>376</v>
      </c>
      <c r="I883" s="285" t="s">
        <v>1872</v>
      </c>
      <c r="J883" s="333" t="str">
        <f>IF(COUNTIF(J884:J887, TRUE) = COUNTA(J884:J887), "Complete!", IF(COUNTIF(J884:J887, TRUE) &gt; 0, "Partial", "Not Started"))</f>
        <v>Complete!</v>
      </c>
      <c r="K883" s="334"/>
      <c r="L883" s="464" t="s">
        <v>889</v>
      </c>
      <c r="M883" s="465" t="str">
        <f>IF(COUNTIF(M884:M1010, TRUE) = COUNTA(M884:M1010), "Complete!", IF(COUNTIF(M884:M1010, TRUE) &gt; 0, "Partial", "Not Started"))</f>
        <v>Not Started</v>
      </c>
      <c r="N883" s="280">
        <v>4.0</v>
      </c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  <c r="AI883" s="209"/>
      <c r="AJ883" s="209"/>
      <c r="AK883" s="209"/>
      <c r="AL883" s="209"/>
      <c r="AM883" s="209"/>
      <c r="AN883" s="209"/>
      <c r="AO883" s="209"/>
      <c r="AP883" s="209"/>
    </row>
    <row r="884">
      <c r="A884" s="291"/>
      <c r="B884" s="377" t="s">
        <v>3224</v>
      </c>
      <c r="C884" s="377" t="s">
        <v>651</v>
      </c>
      <c r="D884" s="304" t="s">
        <v>3225</v>
      </c>
      <c r="E884" s="488">
        <v>8.4047250026E11</v>
      </c>
      <c r="F884" s="209"/>
      <c r="G884" s="209"/>
      <c r="H884" s="209"/>
      <c r="I884" s="209"/>
      <c r="J884" s="300" t="b">
        <v>1</v>
      </c>
      <c r="K884" s="301" t="b">
        <v>0</v>
      </c>
      <c r="L884" s="419"/>
      <c r="M884" s="301" t="b">
        <v>0</v>
      </c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  <c r="AI884" s="209"/>
      <c r="AJ884" s="209"/>
      <c r="AK884" s="209"/>
      <c r="AL884" s="209"/>
      <c r="AM884" s="209"/>
      <c r="AN884" s="209"/>
      <c r="AO884" s="209"/>
      <c r="AP884" s="209"/>
    </row>
    <row r="885">
      <c r="A885" s="291"/>
      <c r="B885" s="377" t="s">
        <v>3226</v>
      </c>
      <c r="C885" s="377" t="s">
        <v>651</v>
      </c>
      <c r="D885" s="304" t="s">
        <v>3227</v>
      </c>
      <c r="E885" s="498" t="s">
        <v>3228</v>
      </c>
      <c r="F885" s="304" t="s">
        <v>656</v>
      </c>
      <c r="G885" s="209"/>
      <c r="H885" s="209"/>
      <c r="I885" s="304" t="s">
        <v>4413</v>
      </c>
      <c r="J885" s="300" t="b">
        <v>1</v>
      </c>
      <c r="K885" s="301" t="b">
        <v>1</v>
      </c>
      <c r="L885" s="419"/>
      <c r="M885" s="301" t="b">
        <v>0</v>
      </c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  <c r="AI885" s="209"/>
      <c r="AJ885" s="209"/>
      <c r="AK885" s="209"/>
      <c r="AL885" s="209"/>
      <c r="AM885" s="209"/>
      <c r="AN885" s="209"/>
      <c r="AO885" s="209"/>
      <c r="AP885" s="209"/>
    </row>
    <row r="886">
      <c r="A886" s="291"/>
      <c r="B886" s="377" t="s">
        <v>3229</v>
      </c>
      <c r="C886" s="377" t="s">
        <v>651</v>
      </c>
      <c r="D886" s="304" t="s">
        <v>3230</v>
      </c>
      <c r="E886" s="498" t="s">
        <v>3231</v>
      </c>
      <c r="F886" s="304" t="s">
        <v>656</v>
      </c>
      <c r="G886" s="209"/>
      <c r="H886" s="209"/>
      <c r="I886" s="304" t="s">
        <v>4413</v>
      </c>
      <c r="J886" s="300" t="b">
        <v>1</v>
      </c>
      <c r="K886" s="301" t="b">
        <v>1</v>
      </c>
      <c r="L886" s="419"/>
      <c r="M886" s="301" t="b">
        <v>0</v>
      </c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  <c r="AI886" s="209"/>
      <c r="AJ886" s="209"/>
      <c r="AK886" s="209"/>
      <c r="AL886" s="209"/>
      <c r="AM886" s="209"/>
      <c r="AN886" s="209"/>
      <c r="AO886" s="209"/>
      <c r="AP886" s="209"/>
    </row>
    <row r="887">
      <c r="A887" s="309"/>
      <c r="B887" s="379" t="s">
        <v>3232</v>
      </c>
      <c r="C887" s="379" t="s">
        <v>651</v>
      </c>
      <c r="D887" s="311" t="s">
        <v>3233</v>
      </c>
      <c r="E887" s="493">
        <v>8.40472500291E11</v>
      </c>
      <c r="F887" s="304" t="s">
        <v>656</v>
      </c>
      <c r="G887" s="313"/>
      <c r="H887" s="313"/>
      <c r="I887" s="304" t="s">
        <v>4413</v>
      </c>
      <c r="J887" s="350" t="b">
        <v>1</v>
      </c>
      <c r="K887" s="314" t="b">
        <v>1</v>
      </c>
      <c r="L887" s="365"/>
      <c r="M887" s="314" t="b">
        <v>0</v>
      </c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  <c r="AI887" s="209"/>
      <c r="AJ887" s="209"/>
      <c r="AK887" s="209"/>
      <c r="AL887" s="209"/>
      <c r="AM887" s="209"/>
      <c r="AN887" s="209"/>
      <c r="AO887" s="209"/>
      <c r="AP887" s="209"/>
    </row>
    <row r="888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209"/>
      <c r="AJ888" s="209"/>
      <c r="AK888" s="209"/>
      <c r="AL888" s="209"/>
      <c r="AM888" s="209"/>
      <c r="AN888" s="209"/>
      <c r="AO888" s="209"/>
      <c r="AP888" s="209"/>
    </row>
    <row r="889">
      <c r="A889" s="316" t="s">
        <v>3262</v>
      </c>
      <c r="B889" s="339" t="s">
        <v>3235</v>
      </c>
      <c r="C889" s="320"/>
      <c r="D889" s="283" t="s">
        <v>3236</v>
      </c>
      <c r="E889" s="336" t="s">
        <v>116</v>
      </c>
      <c r="F889" s="320"/>
      <c r="G889" s="320"/>
      <c r="H889" s="285" t="s">
        <v>370</v>
      </c>
      <c r="I889" s="285" t="s">
        <v>1774</v>
      </c>
      <c r="J889" s="333" t="str">
        <f>IF(COUNTIF(J890:J893, TRUE) = COUNTA(J890:J893), "Complete!", IF(COUNTIF(J890:J893, TRUE) &gt; 0, "Partial", "Not Started"))</f>
        <v>Complete!</v>
      </c>
      <c r="K889" s="334"/>
      <c r="L889" s="464" t="s">
        <v>889</v>
      </c>
      <c r="M889" s="465" t="str">
        <f>IF(COUNTIF(M890:M1016, TRUE) = COUNTA(M890:M1016), "Complete!", IF(COUNTIF(M890:M1016, TRUE) &gt; 0, "Partial", "Not Started"))</f>
        <v>Not Started</v>
      </c>
      <c r="N889" s="280">
        <v>4.0</v>
      </c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  <c r="AI889" s="209"/>
      <c r="AJ889" s="209"/>
      <c r="AK889" s="209"/>
      <c r="AL889" s="209"/>
      <c r="AM889" s="209"/>
      <c r="AN889" s="209"/>
      <c r="AO889" s="209"/>
      <c r="AP889" s="209"/>
    </row>
    <row r="890">
      <c r="A890" s="291"/>
      <c r="B890" s="377" t="s">
        <v>3238</v>
      </c>
      <c r="C890" s="377" t="s">
        <v>3239</v>
      </c>
      <c r="D890" s="304" t="s">
        <v>3240</v>
      </c>
      <c r="E890" s="488">
        <v>8.40472500468E11</v>
      </c>
      <c r="F890" s="209"/>
      <c r="G890" s="209"/>
      <c r="H890" s="209"/>
      <c r="I890" s="209"/>
      <c r="J890" s="300" t="b">
        <v>1</v>
      </c>
      <c r="K890" s="301" t="b">
        <v>0</v>
      </c>
      <c r="L890" s="419"/>
      <c r="M890" s="301" t="b">
        <v>0</v>
      </c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  <c r="AI890" s="209"/>
      <c r="AJ890" s="209"/>
      <c r="AK890" s="209"/>
      <c r="AL890" s="209"/>
      <c r="AM890" s="209"/>
      <c r="AN890" s="209"/>
      <c r="AO890" s="209"/>
      <c r="AP890" s="209"/>
    </row>
    <row r="891">
      <c r="A891" s="291"/>
      <c r="B891" s="377" t="s">
        <v>3241</v>
      </c>
      <c r="C891" s="377" t="s">
        <v>3239</v>
      </c>
      <c r="D891" s="304" t="s">
        <v>3242</v>
      </c>
      <c r="E891" s="498" t="s">
        <v>3243</v>
      </c>
      <c r="F891" s="304" t="s">
        <v>656</v>
      </c>
      <c r="G891" s="209"/>
      <c r="H891" s="209"/>
      <c r="I891" s="304" t="s">
        <v>4413</v>
      </c>
      <c r="J891" s="300" t="b">
        <v>1</v>
      </c>
      <c r="K891" s="301" t="b">
        <v>0</v>
      </c>
      <c r="L891" s="419"/>
      <c r="M891" s="301" t="b">
        <v>0</v>
      </c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  <c r="AI891" s="209"/>
      <c r="AJ891" s="209"/>
      <c r="AK891" s="209"/>
      <c r="AL891" s="209"/>
      <c r="AM891" s="209"/>
      <c r="AN891" s="209"/>
      <c r="AO891" s="209"/>
      <c r="AP891" s="209"/>
    </row>
    <row r="892">
      <c r="A892" s="291"/>
      <c r="B892" s="377" t="s">
        <v>3244</v>
      </c>
      <c r="C892" s="377" t="s">
        <v>3239</v>
      </c>
      <c r="D892" s="304" t="s">
        <v>3245</v>
      </c>
      <c r="E892" s="353"/>
      <c r="F892" s="304" t="s">
        <v>656</v>
      </c>
      <c r="G892" s="209"/>
      <c r="H892" s="209"/>
      <c r="I892" s="304" t="s">
        <v>4413</v>
      </c>
      <c r="J892" s="300" t="b">
        <v>1</v>
      </c>
      <c r="K892" s="301" t="b">
        <v>0</v>
      </c>
      <c r="L892" s="419"/>
      <c r="M892" s="301" t="b">
        <v>0</v>
      </c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  <c r="AI892" s="209"/>
      <c r="AJ892" s="209"/>
      <c r="AK892" s="209"/>
      <c r="AL892" s="209"/>
      <c r="AM892" s="209"/>
      <c r="AN892" s="209"/>
      <c r="AO892" s="209"/>
      <c r="AP892" s="209"/>
    </row>
    <row r="893">
      <c r="A893" s="309"/>
      <c r="B893" s="379" t="s">
        <v>3246</v>
      </c>
      <c r="C893" s="379" t="s">
        <v>3239</v>
      </c>
      <c r="D893" s="311" t="s">
        <v>3247</v>
      </c>
      <c r="E893" s="493">
        <v>8.40472500482E11</v>
      </c>
      <c r="F893" s="304" t="s">
        <v>656</v>
      </c>
      <c r="G893" s="313"/>
      <c r="H893" s="313"/>
      <c r="I893" s="304" t="s">
        <v>4413</v>
      </c>
      <c r="J893" s="350" t="b">
        <v>1</v>
      </c>
      <c r="K893" s="314" t="b">
        <v>0</v>
      </c>
      <c r="L893" s="365"/>
      <c r="M893" s="314" t="b">
        <v>0</v>
      </c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  <c r="AI893" s="209"/>
      <c r="AJ893" s="209"/>
      <c r="AK893" s="209"/>
      <c r="AL893" s="209"/>
      <c r="AM893" s="209"/>
      <c r="AN893" s="209"/>
      <c r="AO893" s="209"/>
      <c r="AP893" s="209"/>
    </row>
    <row r="894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  <c r="AI894" s="209"/>
      <c r="AJ894" s="209"/>
      <c r="AK894" s="209"/>
      <c r="AL894" s="209"/>
      <c r="AM894" s="209"/>
      <c r="AN894" s="209"/>
      <c r="AO894" s="209"/>
      <c r="AP894" s="209"/>
    </row>
    <row r="895">
      <c r="A895" s="316" t="s">
        <v>3276</v>
      </c>
      <c r="B895" s="339" t="s">
        <v>3249</v>
      </c>
      <c r="C895" s="320"/>
      <c r="D895" s="283" t="s">
        <v>3250</v>
      </c>
      <c r="E895" s="336" t="s">
        <v>116</v>
      </c>
      <c r="F895" s="320"/>
      <c r="G895" s="320"/>
      <c r="H895" s="285" t="s">
        <v>563</v>
      </c>
      <c r="I895" s="285" t="s">
        <v>4126</v>
      </c>
      <c r="J895" s="333" t="str">
        <f>IF(COUNTIF(J896:J899, TRUE) = COUNTA(J896:J899), "Complete!", IF(COUNTIF(J896:J899, TRUE) &gt; 0, "Partial", "Not Started"))</f>
        <v>Complete!</v>
      </c>
      <c r="K895" s="334"/>
      <c r="L895" s="464" t="s">
        <v>889</v>
      </c>
      <c r="M895" s="465" t="str">
        <f>IF(COUNTIF(M896:M1022, TRUE) = COUNTA(M896:M1022), "Complete!", IF(COUNTIF(M896:M1022, TRUE) &gt; 0, "Partial", "Not Started"))</f>
        <v>Not Started</v>
      </c>
      <c r="N895" s="280">
        <v>4.0</v>
      </c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  <c r="AI895" s="209"/>
      <c r="AJ895" s="209"/>
      <c r="AK895" s="209"/>
      <c r="AL895" s="209"/>
      <c r="AM895" s="209"/>
      <c r="AN895" s="209"/>
      <c r="AO895" s="209"/>
      <c r="AP895" s="209"/>
    </row>
    <row r="896">
      <c r="A896" s="291"/>
      <c r="B896" s="377" t="s">
        <v>3252</v>
      </c>
      <c r="C896" s="377" t="s">
        <v>3253</v>
      </c>
      <c r="D896" s="304" t="s">
        <v>3254</v>
      </c>
      <c r="E896" s="488">
        <v>8.40472500345E11</v>
      </c>
      <c r="F896" s="209"/>
      <c r="G896" s="304" t="s">
        <v>4287</v>
      </c>
      <c r="H896" s="209"/>
      <c r="I896" s="304" t="s">
        <v>4414</v>
      </c>
      <c r="J896" s="300" t="b">
        <v>1</v>
      </c>
      <c r="K896" s="301" t="b">
        <v>0</v>
      </c>
      <c r="L896" s="419"/>
      <c r="M896" s="301" t="b">
        <v>0</v>
      </c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  <c r="AI896" s="209"/>
      <c r="AJ896" s="209"/>
      <c r="AK896" s="209"/>
      <c r="AL896" s="209"/>
      <c r="AM896" s="209"/>
      <c r="AN896" s="209"/>
      <c r="AO896" s="209"/>
      <c r="AP896" s="209"/>
    </row>
    <row r="897">
      <c r="A897" s="291"/>
      <c r="B897" s="377" t="s">
        <v>3255</v>
      </c>
      <c r="C897" s="377" t="s">
        <v>3253</v>
      </c>
      <c r="D897" s="304" t="s">
        <v>3256</v>
      </c>
      <c r="E897" s="498" t="s">
        <v>3257</v>
      </c>
      <c r="F897" s="304" t="s">
        <v>656</v>
      </c>
      <c r="G897" s="304" t="s">
        <v>4287</v>
      </c>
      <c r="H897" s="209"/>
      <c r="I897" s="304" t="s">
        <v>4414</v>
      </c>
      <c r="J897" s="300" t="b">
        <v>1</v>
      </c>
      <c r="K897" s="301" t="b">
        <v>0</v>
      </c>
      <c r="L897" s="419"/>
      <c r="M897" s="301" t="b">
        <v>0</v>
      </c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  <c r="AI897" s="209"/>
      <c r="AJ897" s="209"/>
      <c r="AK897" s="209"/>
      <c r="AL897" s="209"/>
      <c r="AM897" s="209"/>
      <c r="AN897" s="209"/>
      <c r="AO897" s="209"/>
      <c r="AP897" s="209"/>
    </row>
    <row r="898">
      <c r="A898" s="291"/>
      <c r="B898" s="377" t="s">
        <v>3258</v>
      </c>
      <c r="C898" s="377" t="s">
        <v>3253</v>
      </c>
      <c r="D898" s="304" t="s">
        <v>3259</v>
      </c>
      <c r="E898" s="353"/>
      <c r="F898" s="304" t="s">
        <v>656</v>
      </c>
      <c r="G898" s="209"/>
      <c r="H898" s="209"/>
      <c r="I898" s="304" t="s">
        <v>4413</v>
      </c>
      <c r="J898" s="300" t="b">
        <v>1</v>
      </c>
      <c r="K898" s="301" t="b">
        <v>0</v>
      </c>
      <c r="L898" s="419"/>
      <c r="M898" s="301" t="b">
        <v>0</v>
      </c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  <c r="AI898" s="209"/>
      <c r="AJ898" s="209"/>
      <c r="AK898" s="209"/>
      <c r="AL898" s="209"/>
      <c r="AM898" s="209"/>
      <c r="AN898" s="209"/>
      <c r="AO898" s="209"/>
      <c r="AP898" s="209"/>
    </row>
    <row r="899">
      <c r="A899" s="309"/>
      <c r="B899" s="379" t="s">
        <v>3260</v>
      </c>
      <c r="C899" s="379" t="s">
        <v>3253</v>
      </c>
      <c r="D899" s="311" t="s">
        <v>3261</v>
      </c>
      <c r="E899" s="493">
        <v>8.40472500369E11</v>
      </c>
      <c r="F899" s="304" t="s">
        <v>656</v>
      </c>
      <c r="G899" s="311" t="s">
        <v>4287</v>
      </c>
      <c r="H899" s="313"/>
      <c r="I899" s="304" t="s">
        <v>4414</v>
      </c>
      <c r="J899" s="350" t="b">
        <v>1</v>
      </c>
      <c r="K899" s="314" t="b">
        <v>0</v>
      </c>
      <c r="L899" s="365"/>
      <c r="M899" s="314" t="b">
        <v>0</v>
      </c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  <c r="AI899" s="209"/>
      <c r="AJ899" s="209"/>
      <c r="AK899" s="209"/>
      <c r="AL899" s="209"/>
      <c r="AM899" s="209"/>
      <c r="AN899" s="209"/>
      <c r="AO899" s="209"/>
      <c r="AP899" s="209"/>
    </row>
    <row r="900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  <c r="AH900" s="209"/>
      <c r="AI900" s="209"/>
      <c r="AJ900" s="209"/>
      <c r="AK900" s="209"/>
      <c r="AL900" s="209"/>
      <c r="AM900" s="209"/>
      <c r="AN900" s="209"/>
      <c r="AO900" s="209"/>
      <c r="AP900" s="209"/>
    </row>
    <row r="901">
      <c r="A901" s="316" t="s">
        <v>3289</v>
      </c>
      <c r="B901" s="339" t="s">
        <v>3263</v>
      </c>
      <c r="C901" s="320"/>
      <c r="D901" s="283" t="s">
        <v>3264</v>
      </c>
      <c r="E901" s="336" t="s">
        <v>116</v>
      </c>
      <c r="F901" s="320"/>
      <c r="G901" s="320"/>
      <c r="H901" s="285" t="s">
        <v>468</v>
      </c>
      <c r="I901" s="285" t="s">
        <v>1845</v>
      </c>
      <c r="J901" s="333" t="str">
        <f>IF(COUNTIF(J902:J905, TRUE) = COUNTA(J902:J905), "Complete!", IF(COUNTIF(J902:J905, TRUE) &gt; 0, "Partial", "Not Started"))</f>
        <v>Complete!</v>
      </c>
      <c r="K901" s="334"/>
      <c r="L901" s="464" t="s">
        <v>889</v>
      </c>
      <c r="M901" s="465" t="str">
        <f>IF(COUNTIF(M902:M1010, TRUE) = COUNTA(M902:M1010), "Complete!", IF(COUNTIF(M902:M1010, TRUE) &gt; 0, "Partial", "Not Started"))</f>
        <v>Not Started</v>
      </c>
      <c r="N901" s="280">
        <v>4.0</v>
      </c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  <c r="AH901" s="209"/>
      <c r="AI901" s="209"/>
      <c r="AJ901" s="209"/>
      <c r="AK901" s="209"/>
      <c r="AL901" s="209"/>
      <c r="AM901" s="209"/>
      <c r="AN901" s="209"/>
      <c r="AO901" s="209"/>
      <c r="AP901" s="209"/>
    </row>
    <row r="902">
      <c r="A902" s="291"/>
      <c r="B902" s="304" t="s">
        <v>3265</v>
      </c>
      <c r="C902" s="304" t="s">
        <v>662</v>
      </c>
      <c r="D902" s="304" t="s">
        <v>3266</v>
      </c>
      <c r="E902" s="307">
        <v>8.4047250042E11</v>
      </c>
      <c r="F902" s="209"/>
      <c r="G902" s="209"/>
      <c r="H902" s="209"/>
      <c r="I902" s="209"/>
      <c r="J902" s="307" t="b">
        <v>1</v>
      </c>
      <c r="K902" s="301" t="b">
        <v>0</v>
      </c>
      <c r="L902" s="419"/>
      <c r="M902" s="301" t="b">
        <v>0</v>
      </c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  <c r="AH902" s="209"/>
      <c r="AI902" s="209"/>
      <c r="AJ902" s="209"/>
      <c r="AK902" s="209"/>
      <c r="AL902" s="209"/>
      <c r="AM902" s="209"/>
      <c r="AN902" s="209"/>
      <c r="AO902" s="209"/>
      <c r="AP902" s="209"/>
    </row>
    <row r="903">
      <c r="A903" s="291"/>
      <c r="B903" s="304" t="s">
        <v>3267</v>
      </c>
      <c r="C903" s="304" t="s">
        <v>662</v>
      </c>
      <c r="D903" s="304" t="s">
        <v>3268</v>
      </c>
      <c r="E903" s="308" t="s">
        <v>3269</v>
      </c>
      <c r="F903" s="304" t="s">
        <v>656</v>
      </c>
      <c r="G903" s="209"/>
      <c r="H903" s="209"/>
      <c r="I903" s="304" t="s">
        <v>4413</v>
      </c>
      <c r="J903" s="307" t="b">
        <v>1</v>
      </c>
      <c r="K903" s="301" t="b">
        <v>0</v>
      </c>
      <c r="L903" s="419"/>
      <c r="M903" s="301" t="b">
        <v>0</v>
      </c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  <c r="AH903" s="209"/>
      <c r="AI903" s="209"/>
      <c r="AJ903" s="209"/>
      <c r="AK903" s="209"/>
      <c r="AL903" s="209"/>
      <c r="AM903" s="209"/>
      <c r="AN903" s="209"/>
      <c r="AO903" s="209"/>
      <c r="AP903" s="209"/>
    </row>
    <row r="904">
      <c r="A904" s="291"/>
      <c r="B904" s="304" t="s">
        <v>3270</v>
      </c>
      <c r="C904" s="304" t="s">
        <v>662</v>
      </c>
      <c r="D904" s="304" t="s">
        <v>3271</v>
      </c>
      <c r="E904" s="308" t="s">
        <v>3272</v>
      </c>
      <c r="F904" s="304" t="s">
        <v>656</v>
      </c>
      <c r="G904" s="304" t="s">
        <v>4287</v>
      </c>
      <c r="H904" s="209"/>
      <c r="I904" s="304" t="s">
        <v>4414</v>
      </c>
      <c r="J904" s="307" t="b">
        <v>1</v>
      </c>
      <c r="K904" s="301" t="b">
        <v>0</v>
      </c>
      <c r="L904" s="419"/>
      <c r="M904" s="301" t="b">
        <v>0</v>
      </c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  <c r="AH904" s="209"/>
      <c r="AI904" s="209"/>
      <c r="AJ904" s="209"/>
      <c r="AK904" s="209"/>
      <c r="AL904" s="209"/>
      <c r="AM904" s="209"/>
      <c r="AN904" s="209"/>
      <c r="AO904" s="209"/>
      <c r="AP904" s="209"/>
    </row>
    <row r="905">
      <c r="A905" s="309"/>
      <c r="B905" s="311" t="s">
        <v>3274</v>
      </c>
      <c r="C905" s="311" t="s">
        <v>662</v>
      </c>
      <c r="D905" s="311" t="s">
        <v>3275</v>
      </c>
      <c r="E905" s="318">
        <v>8.40472500444E11</v>
      </c>
      <c r="F905" s="304" t="s">
        <v>656</v>
      </c>
      <c r="G905" s="313"/>
      <c r="H905" s="313"/>
      <c r="I905" s="304" t="s">
        <v>4413</v>
      </c>
      <c r="J905" s="318" t="b">
        <v>1</v>
      </c>
      <c r="K905" s="314" t="b">
        <v>0</v>
      </c>
      <c r="L905" s="365"/>
      <c r="M905" s="314" t="b">
        <v>0</v>
      </c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  <c r="AH905" s="209"/>
      <c r="AI905" s="209"/>
      <c r="AJ905" s="209"/>
      <c r="AK905" s="209"/>
      <c r="AL905" s="209"/>
      <c r="AM905" s="209"/>
      <c r="AN905" s="209"/>
      <c r="AO905" s="209"/>
      <c r="AP905" s="209"/>
    </row>
    <row r="906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  <c r="AH906" s="209"/>
      <c r="AI906" s="209"/>
      <c r="AJ906" s="209"/>
      <c r="AK906" s="209"/>
      <c r="AL906" s="209"/>
      <c r="AM906" s="209"/>
      <c r="AN906" s="209"/>
      <c r="AO906" s="209"/>
      <c r="AP906" s="209"/>
    </row>
    <row r="907">
      <c r="A907" s="316" t="s">
        <v>3302</v>
      </c>
      <c r="B907" s="339" t="s">
        <v>3277</v>
      </c>
      <c r="C907" s="320"/>
      <c r="D907" s="283" t="s">
        <v>3278</v>
      </c>
      <c r="E907" s="336" t="s">
        <v>116</v>
      </c>
      <c r="F907" s="320"/>
      <c r="G907" s="320"/>
      <c r="H907" s="285" t="s">
        <v>468</v>
      </c>
      <c r="I907" s="285" t="s">
        <v>3414</v>
      </c>
      <c r="J907" s="333" t="str">
        <f>IF(COUNTIF(J908:J911, TRUE) = COUNTA(J908:J911), "Complete!", IF(COUNTIF(J908:J911, TRUE) &gt; 0, "Partial", "Not Started"))</f>
        <v>Complete!</v>
      </c>
      <c r="K907" s="334"/>
      <c r="L907" s="464" t="s">
        <v>889</v>
      </c>
      <c r="M907" s="465" t="str">
        <f>IF(COUNTIF(M908:M1022, TRUE) = COUNTA(M908:M1022), "Complete!", IF(COUNTIF(M908:M1022, TRUE) &gt; 0, "Partial", "Not Started"))</f>
        <v>Not Started</v>
      </c>
      <c r="N907" s="280">
        <v>4.0</v>
      </c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  <c r="AH907" s="209"/>
      <c r="AI907" s="209"/>
      <c r="AJ907" s="209"/>
      <c r="AK907" s="209"/>
      <c r="AL907" s="209"/>
      <c r="AM907" s="209"/>
      <c r="AN907" s="209"/>
      <c r="AO907" s="209"/>
      <c r="AP907" s="209"/>
    </row>
    <row r="908">
      <c r="A908" s="291"/>
      <c r="B908" s="304" t="s">
        <v>3279</v>
      </c>
      <c r="C908" s="304" t="s">
        <v>588</v>
      </c>
      <c r="D908" s="304" t="s">
        <v>3280</v>
      </c>
      <c r="E908" s="307">
        <v>8.40472500543E11</v>
      </c>
      <c r="F908" s="209"/>
      <c r="G908" s="209"/>
      <c r="H908" s="209"/>
      <c r="I908" s="209"/>
      <c r="J908" s="307" t="b">
        <v>1</v>
      </c>
      <c r="K908" s="301" t="b">
        <v>0</v>
      </c>
      <c r="L908" s="419"/>
      <c r="M908" s="301" t="b">
        <v>0</v>
      </c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  <c r="AH908" s="209"/>
      <c r="AI908" s="209"/>
      <c r="AJ908" s="209"/>
      <c r="AK908" s="209"/>
      <c r="AL908" s="209"/>
      <c r="AM908" s="209"/>
      <c r="AN908" s="209"/>
      <c r="AO908" s="209"/>
      <c r="AP908" s="209"/>
    </row>
    <row r="909">
      <c r="A909" s="291"/>
      <c r="B909" s="304" t="s">
        <v>3281</v>
      </c>
      <c r="C909" s="304" t="s">
        <v>588</v>
      </c>
      <c r="D909" s="304" t="s">
        <v>3282</v>
      </c>
      <c r="E909" s="308" t="s">
        <v>3283</v>
      </c>
      <c r="F909" s="209"/>
      <c r="G909" s="209"/>
      <c r="H909" s="209"/>
      <c r="I909" s="209"/>
      <c r="J909" s="307" t="b">
        <v>1</v>
      </c>
      <c r="K909" s="301" t="b">
        <v>0</v>
      </c>
      <c r="L909" s="419"/>
      <c r="M909" s="301" t="b">
        <v>0</v>
      </c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  <c r="AH909" s="209"/>
      <c r="AI909" s="209"/>
      <c r="AJ909" s="209"/>
      <c r="AK909" s="209"/>
      <c r="AL909" s="209"/>
      <c r="AM909" s="209"/>
      <c r="AN909" s="209"/>
      <c r="AO909" s="209"/>
      <c r="AP909" s="209"/>
    </row>
    <row r="910">
      <c r="A910" s="291"/>
      <c r="B910" s="304" t="s">
        <v>3284</v>
      </c>
      <c r="C910" s="304" t="s">
        <v>588</v>
      </c>
      <c r="D910" s="304" t="s">
        <v>3285</v>
      </c>
      <c r="E910" s="308" t="s">
        <v>3286</v>
      </c>
      <c r="F910" s="209"/>
      <c r="G910" s="209"/>
      <c r="H910" s="209"/>
      <c r="I910" s="209"/>
      <c r="J910" s="307" t="b">
        <v>1</v>
      </c>
      <c r="K910" s="301" t="b">
        <v>0</v>
      </c>
      <c r="L910" s="419"/>
      <c r="M910" s="301" t="b">
        <v>0</v>
      </c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  <c r="AH910" s="209"/>
      <c r="AI910" s="209"/>
      <c r="AJ910" s="209"/>
      <c r="AK910" s="209"/>
      <c r="AL910" s="209"/>
      <c r="AM910" s="209"/>
      <c r="AN910" s="209"/>
      <c r="AO910" s="209"/>
      <c r="AP910" s="209"/>
    </row>
    <row r="911">
      <c r="A911" s="309"/>
      <c r="B911" s="311" t="s">
        <v>3287</v>
      </c>
      <c r="C911" s="311" t="s">
        <v>588</v>
      </c>
      <c r="D911" s="311" t="s">
        <v>3288</v>
      </c>
      <c r="E911" s="313"/>
      <c r="F911" s="313"/>
      <c r="G911" s="313"/>
      <c r="H911" s="313"/>
      <c r="I911" s="313"/>
      <c r="J911" s="318" t="b">
        <v>1</v>
      </c>
      <c r="K911" s="314" t="b">
        <v>0</v>
      </c>
      <c r="L911" s="365"/>
      <c r="M911" s="314" t="b">
        <v>0</v>
      </c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  <c r="AH911" s="209"/>
      <c r="AI911" s="209"/>
      <c r="AJ911" s="209"/>
      <c r="AK911" s="209"/>
      <c r="AL911" s="209"/>
      <c r="AM911" s="209"/>
      <c r="AN911" s="209"/>
      <c r="AO911" s="209"/>
      <c r="AP911" s="209"/>
    </row>
    <row r="912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  <c r="AH912" s="209"/>
      <c r="AI912" s="209"/>
      <c r="AJ912" s="209"/>
      <c r="AK912" s="209"/>
      <c r="AL912" s="209"/>
      <c r="AM912" s="209"/>
      <c r="AN912" s="209"/>
      <c r="AO912" s="209"/>
      <c r="AP912" s="209"/>
    </row>
    <row r="913">
      <c r="A913" s="316" t="s">
        <v>3316</v>
      </c>
      <c r="B913" s="339" t="s">
        <v>3290</v>
      </c>
      <c r="C913" s="320"/>
      <c r="D913" s="283" t="s">
        <v>3291</v>
      </c>
      <c r="E913" s="336" t="s">
        <v>116</v>
      </c>
      <c r="F913" s="320"/>
      <c r="G913" s="320"/>
      <c r="H913" s="285" t="s">
        <v>888</v>
      </c>
      <c r="I913" s="285" t="s">
        <v>889</v>
      </c>
      <c r="J913" s="333" t="str">
        <f>IF(COUNTIF(J914:J917, TRUE) = COUNTA(J914:J917), "Complete!", IF(COUNTIF(J914:J917, TRUE) &gt; 0, "Partial", "Not Started"))</f>
        <v>Complete!</v>
      </c>
      <c r="K913" s="334"/>
      <c r="L913" s="464" t="s">
        <v>889</v>
      </c>
      <c r="M913" s="465" t="str">
        <f>IF(COUNTIF(M914:M1012, TRUE) = COUNTA(M914:M1012), "Complete!", IF(COUNTIF(M914:M1012, TRUE) &gt; 0, "Partial", "Not Started"))</f>
        <v>Not Started</v>
      </c>
      <c r="N913" s="280">
        <v>4.0</v>
      </c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  <c r="AH913" s="209"/>
      <c r="AI913" s="209"/>
      <c r="AJ913" s="209"/>
      <c r="AK913" s="209"/>
      <c r="AL913" s="209"/>
      <c r="AM913" s="209"/>
      <c r="AN913" s="209"/>
      <c r="AO913" s="209"/>
      <c r="AP913" s="209"/>
    </row>
    <row r="914">
      <c r="A914" s="291"/>
      <c r="B914" s="304" t="s">
        <v>3292</v>
      </c>
      <c r="C914" s="304" t="s">
        <v>394</v>
      </c>
      <c r="D914" s="304" t="s">
        <v>3293</v>
      </c>
      <c r="E914" s="307">
        <v>8.40472500581E11</v>
      </c>
      <c r="F914" s="209"/>
      <c r="G914" s="209"/>
      <c r="H914" s="209"/>
      <c r="I914" s="304" t="s">
        <v>4128</v>
      </c>
      <c r="J914" s="307" t="b">
        <v>1</v>
      </c>
      <c r="K914" s="301" t="b">
        <v>0</v>
      </c>
      <c r="L914" s="419"/>
      <c r="M914" s="301" t="b">
        <v>0</v>
      </c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  <c r="AH914" s="209"/>
      <c r="AI914" s="209"/>
      <c r="AJ914" s="209"/>
      <c r="AK914" s="209"/>
      <c r="AL914" s="209"/>
      <c r="AM914" s="209"/>
      <c r="AN914" s="209"/>
      <c r="AO914" s="209"/>
      <c r="AP914" s="209"/>
    </row>
    <row r="915">
      <c r="A915" s="291"/>
      <c r="B915" s="304" t="s">
        <v>3294</v>
      </c>
      <c r="C915" s="304" t="s">
        <v>394</v>
      </c>
      <c r="D915" s="304" t="s">
        <v>3295</v>
      </c>
      <c r="E915" s="308" t="s">
        <v>3296</v>
      </c>
      <c r="F915" s="209"/>
      <c r="G915" s="209"/>
      <c r="H915" s="209"/>
      <c r="I915" s="304" t="s">
        <v>4128</v>
      </c>
      <c r="J915" s="307" t="b">
        <v>1</v>
      </c>
      <c r="K915" s="301" t="b">
        <v>0</v>
      </c>
      <c r="L915" s="419"/>
      <c r="M915" s="301" t="b">
        <v>0</v>
      </c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  <c r="AH915" s="209"/>
      <c r="AI915" s="209"/>
      <c r="AJ915" s="209"/>
      <c r="AK915" s="209"/>
      <c r="AL915" s="209"/>
      <c r="AM915" s="209"/>
      <c r="AN915" s="209"/>
      <c r="AO915" s="209"/>
      <c r="AP915" s="209"/>
    </row>
    <row r="916">
      <c r="A916" s="291"/>
      <c r="B916" s="304" t="s">
        <v>3297</v>
      </c>
      <c r="C916" s="304" t="s">
        <v>394</v>
      </c>
      <c r="D916" s="304" t="s">
        <v>3298</v>
      </c>
      <c r="E916" s="308" t="s">
        <v>3299</v>
      </c>
      <c r="F916" s="304" t="s">
        <v>406</v>
      </c>
      <c r="G916" s="209"/>
      <c r="H916" s="209"/>
      <c r="I916" s="304" t="s">
        <v>4415</v>
      </c>
      <c r="J916" s="307" t="b">
        <v>1</v>
      </c>
      <c r="K916" s="301" t="b">
        <v>0</v>
      </c>
      <c r="L916" s="419"/>
      <c r="M916" s="301" t="b">
        <v>0</v>
      </c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  <c r="AH916" s="209"/>
      <c r="AI916" s="209"/>
      <c r="AJ916" s="209"/>
      <c r="AK916" s="209"/>
      <c r="AL916" s="209"/>
      <c r="AM916" s="209"/>
      <c r="AN916" s="209"/>
      <c r="AO916" s="209"/>
      <c r="AP916" s="209"/>
    </row>
    <row r="917">
      <c r="A917" s="309"/>
      <c r="B917" s="311" t="s">
        <v>3300</v>
      </c>
      <c r="C917" s="311" t="s">
        <v>394</v>
      </c>
      <c r="D917" s="311" t="s">
        <v>3301</v>
      </c>
      <c r="E917" s="313"/>
      <c r="F917" s="313"/>
      <c r="G917" s="313"/>
      <c r="H917" s="313"/>
      <c r="I917" s="304" t="s">
        <v>4128</v>
      </c>
      <c r="J917" s="318" t="b">
        <v>1</v>
      </c>
      <c r="K917" s="314" t="b">
        <v>0</v>
      </c>
      <c r="L917" s="365"/>
      <c r="M917" s="314" t="b">
        <v>0</v>
      </c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  <c r="AH917" s="209"/>
      <c r="AI917" s="209"/>
      <c r="AJ917" s="209"/>
      <c r="AK917" s="209"/>
      <c r="AL917" s="209"/>
      <c r="AM917" s="209"/>
      <c r="AN917" s="209"/>
      <c r="AO917" s="209"/>
      <c r="AP917" s="209"/>
    </row>
    <row r="918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  <c r="AH918" s="209"/>
      <c r="AI918" s="209"/>
      <c r="AJ918" s="209"/>
      <c r="AK918" s="209"/>
      <c r="AL918" s="209"/>
      <c r="AM918" s="209"/>
      <c r="AN918" s="209"/>
      <c r="AO918" s="209"/>
      <c r="AP918" s="209"/>
    </row>
    <row r="919">
      <c r="A919" s="316" t="s">
        <v>3329</v>
      </c>
      <c r="B919" s="339" t="s">
        <v>3303</v>
      </c>
      <c r="C919" s="320"/>
      <c r="D919" s="283" t="s">
        <v>3304</v>
      </c>
      <c r="E919" s="336" t="s">
        <v>116</v>
      </c>
      <c r="F919" s="320"/>
      <c r="G919" s="320"/>
      <c r="H919" s="285" t="s">
        <v>563</v>
      </c>
      <c r="I919" s="285" t="s">
        <v>1037</v>
      </c>
      <c r="J919" s="333" t="str">
        <f>IF(COUNTIF(J920:J923, TRUE) = COUNTA(J920:J923), "Complete!", IF(COUNTIF(J920:J923, TRUE) &gt; 0, "Partial", "Not Started"))</f>
        <v>Complete!</v>
      </c>
      <c r="K919" s="334"/>
      <c r="L919" s="464" t="s">
        <v>889</v>
      </c>
      <c r="M919" s="465" t="str">
        <f>IF(COUNTIF(M920:M1018, TRUE) = COUNTA(M920:M1018), "Complete!", IF(COUNTIF(M920:M1018, TRUE) &gt; 0, "Partial", "Not Started"))</f>
        <v>Not Started</v>
      </c>
      <c r="N919" s="280">
        <v>4.0</v>
      </c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  <c r="AH919" s="209"/>
      <c r="AI919" s="209"/>
      <c r="AJ919" s="209"/>
      <c r="AK919" s="209"/>
      <c r="AL919" s="209"/>
      <c r="AM919" s="209"/>
      <c r="AN919" s="209"/>
      <c r="AO919" s="209"/>
      <c r="AP919" s="209"/>
    </row>
    <row r="920">
      <c r="A920" s="291"/>
      <c r="B920" s="304" t="s">
        <v>3305</v>
      </c>
      <c r="C920" s="304" t="s">
        <v>3306</v>
      </c>
      <c r="D920" s="304" t="s">
        <v>3307</v>
      </c>
      <c r="E920" s="307">
        <v>8.40472500666E11</v>
      </c>
      <c r="F920" s="209"/>
      <c r="G920" s="209"/>
      <c r="H920" s="209"/>
      <c r="I920" s="209"/>
      <c r="J920" s="307" t="b">
        <v>1</v>
      </c>
      <c r="K920" s="301" t="b">
        <v>0</v>
      </c>
      <c r="L920" s="419"/>
      <c r="M920" s="301" t="b">
        <v>0</v>
      </c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  <c r="AH920" s="209"/>
      <c r="AI920" s="209"/>
      <c r="AJ920" s="209"/>
      <c r="AK920" s="209"/>
      <c r="AL920" s="209"/>
      <c r="AM920" s="209"/>
      <c r="AN920" s="209"/>
      <c r="AO920" s="209"/>
      <c r="AP920" s="209"/>
    </row>
    <row r="921">
      <c r="A921" s="291"/>
      <c r="B921" s="304" t="s">
        <v>3308</v>
      </c>
      <c r="C921" s="304" t="s">
        <v>3306</v>
      </c>
      <c r="D921" s="304" t="s">
        <v>3309</v>
      </c>
      <c r="E921" s="308" t="s">
        <v>3310</v>
      </c>
      <c r="F921" s="209"/>
      <c r="G921" s="209"/>
      <c r="H921" s="209"/>
      <c r="I921" s="209"/>
      <c r="J921" s="307" t="b">
        <v>1</v>
      </c>
      <c r="K921" s="301" t="b">
        <v>0</v>
      </c>
      <c r="L921" s="419"/>
      <c r="M921" s="301" t="b">
        <v>0</v>
      </c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  <c r="AH921" s="209"/>
      <c r="AI921" s="209"/>
      <c r="AJ921" s="209"/>
      <c r="AK921" s="209"/>
      <c r="AL921" s="209"/>
      <c r="AM921" s="209"/>
      <c r="AN921" s="209"/>
      <c r="AO921" s="209"/>
      <c r="AP921" s="209"/>
    </row>
    <row r="922">
      <c r="A922" s="291"/>
      <c r="B922" s="304" t="s">
        <v>3311</v>
      </c>
      <c r="C922" s="304" t="s">
        <v>3306</v>
      </c>
      <c r="D922" s="304" t="s">
        <v>3312</v>
      </c>
      <c r="E922" s="308" t="s">
        <v>3313</v>
      </c>
      <c r="F922" s="209"/>
      <c r="G922" s="209"/>
      <c r="H922" s="209"/>
      <c r="I922" s="209"/>
      <c r="J922" s="307" t="b">
        <v>1</v>
      </c>
      <c r="K922" s="301" t="b">
        <v>0</v>
      </c>
      <c r="L922" s="419"/>
      <c r="M922" s="301" t="b">
        <v>0</v>
      </c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  <c r="AH922" s="209"/>
      <c r="AI922" s="209"/>
      <c r="AJ922" s="209"/>
      <c r="AK922" s="209"/>
      <c r="AL922" s="209"/>
      <c r="AM922" s="209"/>
      <c r="AN922" s="209"/>
      <c r="AO922" s="209"/>
      <c r="AP922" s="209"/>
    </row>
    <row r="923">
      <c r="A923" s="309"/>
      <c r="B923" s="311" t="s">
        <v>3314</v>
      </c>
      <c r="C923" s="311" t="s">
        <v>3306</v>
      </c>
      <c r="D923" s="311" t="s">
        <v>3315</v>
      </c>
      <c r="E923" s="318">
        <v>8.40472500697E11</v>
      </c>
      <c r="F923" s="313"/>
      <c r="G923" s="313"/>
      <c r="H923" s="313"/>
      <c r="I923" s="313"/>
      <c r="J923" s="318" t="b">
        <v>1</v>
      </c>
      <c r="K923" s="314" t="b">
        <v>0</v>
      </c>
      <c r="L923" s="365"/>
      <c r="M923" s="314" t="b">
        <v>0</v>
      </c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  <c r="AH923" s="209"/>
      <c r="AI923" s="209"/>
      <c r="AJ923" s="209"/>
      <c r="AK923" s="209"/>
      <c r="AL923" s="209"/>
      <c r="AM923" s="209"/>
      <c r="AN923" s="209"/>
      <c r="AO923" s="209"/>
      <c r="AP923" s="209"/>
    </row>
    <row r="924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  <c r="AH924" s="209"/>
      <c r="AI924" s="209"/>
      <c r="AJ924" s="209"/>
      <c r="AK924" s="209"/>
      <c r="AL924" s="209"/>
      <c r="AM924" s="209"/>
      <c r="AN924" s="209"/>
      <c r="AO924" s="209"/>
      <c r="AP924" s="209"/>
    </row>
    <row r="925">
      <c r="A925" s="316" t="s">
        <v>3343</v>
      </c>
      <c r="B925" s="339" t="s">
        <v>3317</v>
      </c>
      <c r="C925" s="320"/>
      <c r="D925" s="283" t="s">
        <v>3318</v>
      </c>
      <c r="E925" s="336" t="s">
        <v>116</v>
      </c>
      <c r="F925" s="320"/>
      <c r="G925" s="320"/>
      <c r="H925" s="285" t="s">
        <v>370</v>
      </c>
      <c r="I925" s="285" t="s">
        <v>1491</v>
      </c>
      <c r="J925" s="333" t="str">
        <f>IF(COUNTIF(J926:J929, TRUE) = COUNTA(J926:J929), "Complete!", IF(COUNTIF(J926:J929, TRUE) &gt; 0, "Partial", "Not Started"))</f>
        <v>Complete!</v>
      </c>
      <c r="K925" s="334"/>
      <c r="L925" s="464" t="s">
        <v>889</v>
      </c>
      <c r="M925" s="465" t="str">
        <f>IF(COUNTIF(M926:M1024, TRUE) = COUNTA(M926:M1024), "Complete!", IF(COUNTIF(M926:M1024, TRUE) &gt; 0, "Partial", "Not Started"))</f>
        <v>Not Started</v>
      </c>
      <c r="N925" s="280">
        <v>4.0</v>
      </c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  <c r="AH925" s="209"/>
      <c r="AI925" s="209"/>
      <c r="AJ925" s="209"/>
      <c r="AK925" s="209"/>
      <c r="AL925" s="209"/>
      <c r="AM925" s="209"/>
      <c r="AN925" s="209"/>
      <c r="AO925" s="209"/>
      <c r="AP925" s="209"/>
    </row>
    <row r="926">
      <c r="A926" s="291"/>
      <c r="B926" s="304" t="s">
        <v>3319</v>
      </c>
      <c r="C926" s="304" t="s">
        <v>3320</v>
      </c>
      <c r="D926" s="304" t="s">
        <v>3321</v>
      </c>
      <c r="E926" s="307">
        <v>8.40472500741E11</v>
      </c>
      <c r="F926" s="209"/>
      <c r="G926" s="209"/>
      <c r="H926" s="209"/>
      <c r="I926" s="209"/>
      <c r="J926" s="307" t="b">
        <v>1</v>
      </c>
      <c r="K926" s="301" t="b">
        <v>0</v>
      </c>
      <c r="L926" s="419"/>
      <c r="M926" s="301" t="b">
        <v>0</v>
      </c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  <c r="AH926" s="209"/>
      <c r="AI926" s="209"/>
      <c r="AJ926" s="209"/>
      <c r="AK926" s="209"/>
      <c r="AL926" s="209"/>
      <c r="AM926" s="209"/>
      <c r="AN926" s="209"/>
      <c r="AO926" s="209"/>
      <c r="AP926" s="209"/>
    </row>
    <row r="927">
      <c r="A927" s="291"/>
      <c r="B927" s="304" t="s">
        <v>3322</v>
      </c>
      <c r="C927" s="304" t="s">
        <v>3320</v>
      </c>
      <c r="D927" s="304" t="s">
        <v>3323</v>
      </c>
      <c r="E927" s="308" t="s">
        <v>3324</v>
      </c>
      <c r="F927" s="209"/>
      <c r="G927" s="209"/>
      <c r="H927" s="209"/>
      <c r="I927" s="209"/>
      <c r="J927" s="307" t="b">
        <v>1</v>
      </c>
      <c r="K927" s="301" t="b">
        <v>0</v>
      </c>
      <c r="L927" s="419"/>
      <c r="M927" s="301" t="b">
        <v>0</v>
      </c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  <c r="AH927" s="209"/>
      <c r="AI927" s="209"/>
      <c r="AJ927" s="209"/>
      <c r="AK927" s="209"/>
      <c r="AL927" s="209"/>
      <c r="AM927" s="209"/>
      <c r="AN927" s="209"/>
      <c r="AO927" s="209"/>
      <c r="AP927" s="209"/>
    </row>
    <row r="928">
      <c r="A928" s="291"/>
      <c r="B928" s="304" t="s">
        <v>3325</v>
      </c>
      <c r="C928" s="304" t="s">
        <v>3320</v>
      </c>
      <c r="D928" s="304" t="s">
        <v>3326</v>
      </c>
      <c r="E928" s="308" t="s">
        <v>3327</v>
      </c>
      <c r="F928" s="209"/>
      <c r="G928" s="209"/>
      <c r="H928" s="209"/>
      <c r="I928" s="209"/>
      <c r="J928" s="307" t="b">
        <v>1</v>
      </c>
      <c r="K928" s="301" t="b">
        <v>0</v>
      </c>
      <c r="L928" s="419"/>
      <c r="M928" s="301" t="b">
        <v>0</v>
      </c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  <c r="AH928" s="209"/>
      <c r="AI928" s="209"/>
      <c r="AJ928" s="209"/>
      <c r="AK928" s="209"/>
      <c r="AL928" s="209"/>
      <c r="AM928" s="209"/>
      <c r="AN928" s="209"/>
      <c r="AO928" s="209"/>
      <c r="AP928" s="209"/>
    </row>
    <row r="929">
      <c r="A929" s="309"/>
      <c r="B929" s="311" t="s">
        <v>3328</v>
      </c>
      <c r="C929" s="311" t="s">
        <v>3320</v>
      </c>
      <c r="D929" s="311" t="s">
        <v>3326</v>
      </c>
      <c r="E929" s="313"/>
      <c r="F929" s="313"/>
      <c r="G929" s="313"/>
      <c r="H929" s="313"/>
      <c r="I929" s="313"/>
      <c r="J929" s="318" t="b">
        <v>1</v>
      </c>
      <c r="K929" s="314" t="b">
        <v>0</v>
      </c>
      <c r="L929" s="365"/>
      <c r="M929" s="314" t="b">
        <v>0</v>
      </c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  <c r="AH929" s="209"/>
      <c r="AI929" s="209"/>
      <c r="AJ929" s="209"/>
      <c r="AK929" s="209"/>
      <c r="AL929" s="209"/>
      <c r="AM929" s="209"/>
      <c r="AN929" s="209"/>
      <c r="AO929" s="209"/>
      <c r="AP929" s="209"/>
    </row>
    <row r="930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  <c r="AH930" s="209"/>
      <c r="AI930" s="209"/>
      <c r="AJ930" s="209"/>
      <c r="AK930" s="209"/>
      <c r="AL930" s="209"/>
      <c r="AM930" s="209"/>
      <c r="AN930" s="209"/>
      <c r="AO930" s="209"/>
      <c r="AP930" s="209"/>
    </row>
    <row r="931">
      <c r="A931" s="316" t="s">
        <v>3358</v>
      </c>
      <c r="B931" s="339" t="s">
        <v>3330</v>
      </c>
      <c r="C931" s="320"/>
      <c r="D931" s="283" t="s">
        <v>3331</v>
      </c>
      <c r="E931" s="336" t="s">
        <v>116</v>
      </c>
      <c r="F931" s="320"/>
      <c r="G931" s="320"/>
      <c r="H931" s="285" t="s">
        <v>468</v>
      </c>
      <c r="I931" s="285" t="s">
        <v>4402</v>
      </c>
      <c r="J931" s="333" t="str">
        <f>IF(COUNTIF(J932:J935, TRUE) = COUNTA(J932:J935), "Complete!", IF(COUNTIF(J932:J935, TRUE) &gt; 0, "Partial", "Not Started"))</f>
        <v>Complete!</v>
      </c>
      <c r="K931" s="334"/>
      <c r="L931" s="464" t="s">
        <v>889</v>
      </c>
      <c r="M931" s="465" t="str">
        <f>IF(COUNTIF(M932:M1015, TRUE) = COUNTA(M932:M1015), "Complete!", IF(COUNTIF(M932:M1015, TRUE) &gt; 0, "Partial", "Not Started"))</f>
        <v>Not Started</v>
      </c>
      <c r="N931" s="280">
        <v>4.0</v>
      </c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  <c r="AH931" s="209"/>
      <c r="AI931" s="209"/>
      <c r="AJ931" s="209"/>
      <c r="AK931" s="209"/>
      <c r="AL931" s="209"/>
      <c r="AM931" s="209"/>
      <c r="AN931" s="209"/>
      <c r="AO931" s="209"/>
      <c r="AP931" s="209"/>
    </row>
    <row r="932">
      <c r="A932" s="291"/>
      <c r="B932" s="304" t="s">
        <v>3332</v>
      </c>
      <c r="C932" s="304" t="s">
        <v>3333</v>
      </c>
      <c r="D932" s="304" t="s">
        <v>3334</v>
      </c>
      <c r="E932" s="307">
        <v>8.40472500826E11</v>
      </c>
      <c r="F932" s="209"/>
      <c r="G932" s="209"/>
      <c r="H932" s="209"/>
      <c r="I932" s="209"/>
      <c r="J932" s="307" t="b">
        <v>1</v>
      </c>
      <c r="K932" s="301" t="b">
        <v>0</v>
      </c>
      <c r="L932" s="419"/>
      <c r="M932" s="301" t="b">
        <v>0</v>
      </c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  <c r="AH932" s="209"/>
      <c r="AI932" s="209"/>
      <c r="AJ932" s="209"/>
      <c r="AK932" s="209"/>
      <c r="AL932" s="209"/>
      <c r="AM932" s="209"/>
      <c r="AN932" s="209"/>
      <c r="AO932" s="209"/>
      <c r="AP932" s="209"/>
    </row>
    <row r="933">
      <c r="A933" s="291"/>
      <c r="B933" s="304" t="s">
        <v>3335</v>
      </c>
      <c r="C933" s="304" t="s">
        <v>3333</v>
      </c>
      <c r="D933" s="304" t="s">
        <v>3336</v>
      </c>
      <c r="E933" s="308" t="s">
        <v>3337</v>
      </c>
      <c r="F933" s="209"/>
      <c r="G933" s="209"/>
      <c r="H933" s="209"/>
      <c r="I933" s="209"/>
      <c r="J933" s="307" t="b">
        <v>1</v>
      </c>
      <c r="K933" s="301" t="b">
        <v>0</v>
      </c>
      <c r="L933" s="419"/>
      <c r="M933" s="301" t="b">
        <v>0</v>
      </c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  <c r="AH933" s="209"/>
      <c r="AI933" s="209"/>
      <c r="AJ933" s="209"/>
      <c r="AK933" s="209"/>
      <c r="AL933" s="209"/>
      <c r="AM933" s="209"/>
      <c r="AN933" s="209"/>
      <c r="AO933" s="209"/>
      <c r="AP933" s="209"/>
    </row>
    <row r="934">
      <c r="A934" s="291"/>
      <c r="B934" s="304" t="s">
        <v>3338</v>
      </c>
      <c r="C934" s="304" t="s">
        <v>3333</v>
      </c>
      <c r="D934" s="304" t="s">
        <v>3339</v>
      </c>
      <c r="E934" s="308" t="s">
        <v>3340</v>
      </c>
      <c r="F934" s="209"/>
      <c r="G934" s="209"/>
      <c r="H934" s="209"/>
      <c r="I934" s="209"/>
      <c r="J934" s="307" t="b">
        <v>1</v>
      </c>
      <c r="K934" s="301" t="b">
        <v>0</v>
      </c>
      <c r="L934" s="419"/>
      <c r="M934" s="301" t="b">
        <v>0</v>
      </c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  <c r="AH934" s="209"/>
      <c r="AI934" s="209"/>
      <c r="AJ934" s="209"/>
      <c r="AK934" s="209"/>
      <c r="AL934" s="209"/>
      <c r="AM934" s="209"/>
      <c r="AN934" s="209"/>
      <c r="AO934" s="209"/>
      <c r="AP934" s="209"/>
    </row>
    <row r="935">
      <c r="A935" s="309"/>
      <c r="B935" s="311" t="s">
        <v>3341</v>
      </c>
      <c r="C935" s="311" t="s">
        <v>3333</v>
      </c>
      <c r="D935" s="311" t="s">
        <v>3342</v>
      </c>
      <c r="E935" s="313"/>
      <c r="F935" s="313"/>
      <c r="G935" s="313"/>
      <c r="H935" s="313"/>
      <c r="I935" s="313"/>
      <c r="J935" s="318" t="b">
        <v>1</v>
      </c>
      <c r="K935" s="314" t="b">
        <v>0</v>
      </c>
      <c r="L935" s="365"/>
      <c r="M935" s="314" t="b">
        <v>0</v>
      </c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  <c r="AH935" s="209"/>
      <c r="AI935" s="209"/>
      <c r="AJ935" s="209"/>
      <c r="AK935" s="209"/>
      <c r="AL935" s="209"/>
      <c r="AM935" s="209"/>
      <c r="AN935" s="209"/>
      <c r="AO935" s="209"/>
      <c r="AP935" s="209"/>
    </row>
    <row r="936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  <c r="AH936" s="209"/>
      <c r="AI936" s="209"/>
      <c r="AJ936" s="209"/>
      <c r="AK936" s="209"/>
      <c r="AL936" s="209"/>
      <c r="AM936" s="209"/>
      <c r="AN936" s="209"/>
      <c r="AO936" s="209"/>
      <c r="AP936" s="209"/>
    </row>
    <row r="937">
      <c r="A937" s="316" t="s">
        <v>3371</v>
      </c>
      <c r="B937" s="339" t="s">
        <v>3344</v>
      </c>
      <c r="C937" s="320"/>
      <c r="D937" s="283" t="s">
        <v>3345</v>
      </c>
      <c r="E937" s="336" t="s">
        <v>116</v>
      </c>
      <c r="F937" s="320"/>
      <c r="G937" s="320"/>
      <c r="H937" s="285" t="s">
        <v>900</v>
      </c>
      <c r="I937" s="285" t="s">
        <v>3414</v>
      </c>
      <c r="J937" s="333" t="str">
        <f>IF(COUNTIF(J938:J941, TRUE) = COUNTA(J938:J941), "Complete!", IF(COUNTIF(J938:J941, TRUE) &gt; 0, "Partial", "Not Started"))</f>
        <v>Complete!</v>
      </c>
      <c r="K937" s="334"/>
      <c r="L937" s="464" t="s">
        <v>889</v>
      </c>
      <c r="M937" s="465" t="str">
        <f>IF(COUNTIF(M938:M1021, TRUE) = COUNTA(M938:M1021), "Complete!", IF(COUNTIF(M938:M1021, TRUE) &gt; 0, "Partial", "Not Started"))</f>
        <v>Not Started</v>
      </c>
      <c r="N937" s="280">
        <v>4.0</v>
      </c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  <c r="AH937" s="209"/>
      <c r="AI937" s="209"/>
      <c r="AJ937" s="209"/>
      <c r="AK937" s="209"/>
      <c r="AL937" s="209"/>
      <c r="AM937" s="209"/>
      <c r="AN937" s="209"/>
      <c r="AO937" s="209"/>
      <c r="AP937" s="209"/>
    </row>
    <row r="938">
      <c r="A938" s="291"/>
      <c r="B938" s="304" t="s">
        <v>3347</v>
      </c>
      <c r="C938" s="304" t="s">
        <v>3348</v>
      </c>
      <c r="D938" s="304" t="s">
        <v>3349</v>
      </c>
      <c r="E938" s="307">
        <v>8.40472500864E11</v>
      </c>
      <c r="F938" s="209"/>
      <c r="G938" s="209"/>
      <c r="H938" s="209"/>
      <c r="I938" s="209"/>
      <c r="J938" s="307" t="b">
        <v>1</v>
      </c>
      <c r="K938" s="301" t="b">
        <v>0</v>
      </c>
      <c r="L938" s="419"/>
      <c r="M938" s="301" t="b">
        <v>0</v>
      </c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  <c r="AH938" s="209"/>
      <c r="AI938" s="209"/>
      <c r="AJ938" s="209"/>
      <c r="AK938" s="209"/>
      <c r="AL938" s="209"/>
      <c r="AM938" s="209"/>
      <c r="AN938" s="209"/>
      <c r="AO938" s="209"/>
      <c r="AP938" s="209"/>
    </row>
    <row r="939">
      <c r="A939" s="291"/>
      <c r="B939" s="304" t="s">
        <v>3350</v>
      </c>
      <c r="C939" s="304" t="s">
        <v>3348</v>
      </c>
      <c r="D939" s="304" t="s">
        <v>3351</v>
      </c>
      <c r="E939" s="308" t="s">
        <v>3352</v>
      </c>
      <c r="F939" s="209"/>
      <c r="G939" s="209"/>
      <c r="H939" s="209"/>
      <c r="I939" s="209"/>
      <c r="J939" s="307" t="b">
        <v>1</v>
      </c>
      <c r="K939" s="301" t="b">
        <v>0</v>
      </c>
      <c r="L939" s="419"/>
      <c r="M939" s="301" t="b">
        <v>0</v>
      </c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  <c r="AH939" s="209"/>
      <c r="AI939" s="209"/>
      <c r="AJ939" s="209"/>
      <c r="AK939" s="209"/>
      <c r="AL939" s="209"/>
      <c r="AM939" s="209"/>
      <c r="AN939" s="209"/>
      <c r="AO939" s="209"/>
      <c r="AP939" s="209"/>
    </row>
    <row r="940">
      <c r="A940" s="291"/>
      <c r="B940" s="304" t="s">
        <v>3353</v>
      </c>
      <c r="C940" s="304" t="s">
        <v>3348</v>
      </c>
      <c r="D940" s="304" t="s">
        <v>3354</v>
      </c>
      <c r="E940" s="308" t="s">
        <v>3355</v>
      </c>
      <c r="F940" s="209"/>
      <c r="G940" s="209"/>
      <c r="H940" s="209"/>
      <c r="I940" s="209"/>
      <c r="J940" s="307" t="b">
        <v>1</v>
      </c>
      <c r="K940" s="301" t="b">
        <v>0</v>
      </c>
      <c r="L940" s="419"/>
      <c r="M940" s="301" t="b">
        <v>0</v>
      </c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  <c r="AH940" s="209"/>
      <c r="AI940" s="209"/>
      <c r="AJ940" s="209"/>
      <c r="AK940" s="209"/>
      <c r="AL940" s="209"/>
      <c r="AM940" s="209"/>
      <c r="AN940" s="209"/>
      <c r="AO940" s="209"/>
      <c r="AP940" s="209"/>
    </row>
    <row r="941">
      <c r="A941" s="309"/>
      <c r="B941" s="311" t="s">
        <v>3356</v>
      </c>
      <c r="C941" s="311" t="s">
        <v>3348</v>
      </c>
      <c r="D941" s="311" t="s">
        <v>3357</v>
      </c>
      <c r="E941" s="313"/>
      <c r="F941" s="313"/>
      <c r="G941" s="313"/>
      <c r="H941" s="313"/>
      <c r="I941" s="313"/>
      <c r="J941" s="318" t="b">
        <v>1</v>
      </c>
      <c r="K941" s="314" t="b">
        <v>0</v>
      </c>
      <c r="L941" s="365"/>
      <c r="M941" s="314" t="b">
        <v>0</v>
      </c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  <c r="AH941" s="209"/>
      <c r="AI941" s="209"/>
      <c r="AJ941" s="209"/>
      <c r="AK941" s="209"/>
      <c r="AL941" s="209"/>
      <c r="AM941" s="209"/>
      <c r="AN941" s="209"/>
      <c r="AO941" s="209"/>
      <c r="AP941" s="209"/>
    </row>
    <row r="942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  <c r="AH942" s="209"/>
      <c r="AI942" s="209"/>
      <c r="AJ942" s="209"/>
      <c r="AK942" s="209"/>
      <c r="AL942" s="209"/>
      <c r="AM942" s="209"/>
      <c r="AN942" s="209"/>
      <c r="AO942" s="209"/>
      <c r="AP942" s="209"/>
    </row>
    <row r="943">
      <c r="A943" s="316" t="s">
        <v>3384</v>
      </c>
      <c r="B943" s="339" t="s">
        <v>3359</v>
      </c>
      <c r="C943" s="320"/>
      <c r="D943" s="283" t="s">
        <v>3360</v>
      </c>
      <c r="E943" s="336" t="s">
        <v>116</v>
      </c>
      <c r="F943" s="320"/>
      <c r="G943" s="320"/>
      <c r="H943" s="285" t="s">
        <v>370</v>
      </c>
      <c r="I943" s="285" t="s">
        <v>3387</v>
      </c>
      <c r="J943" s="333" t="str">
        <f>IF(COUNTIF(J944:J947, TRUE) = COUNTA(J944:J947), "Complete!", IF(COUNTIF(J944:J947, TRUE) &gt; 0, "Partial", "Not Started"))</f>
        <v>Complete!</v>
      </c>
      <c r="K943" s="334"/>
      <c r="L943" s="464" t="s">
        <v>889</v>
      </c>
      <c r="M943" s="465" t="str">
        <f>IF(COUNTIF(M944:M1027, TRUE) = COUNTA(M944:M1027), "Complete!", IF(COUNTIF(M944:M1027, TRUE) &gt; 0, "Partial", "Not Started"))</f>
        <v>Not Started</v>
      </c>
      <c r="N943" s="280">
        <v>4.0</v>
      </c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  <c r="AH943" s="209"/>
      <c r="AI943" s="209"/>
      <c r="AJ943" s="209"/>
      <c r="AK943" s="209"/>
      <c r="AL943" s="209"/>
      <c r="AM943" s="209"/>
      <c r="AN943" s="209"/>
      <c r="AO943" s="209"/>
      <c r="AP943" s="209"/>
    </row>
    <row r="944">
      <c r="A944" s="291"/>
      <c r="B944" s="304" t="s">
        <v>3361</v>
      </c>
      <c r="C944" s="304" t="s">
        <v>390</v>
      </c>
      <c r="D944" s="304" t="s">
        <v>3362</v>
      </c>
      <c r="E944" s="307">
        <v>8.40472500901E11</v>
      </c>
      <c r="F944" s="209"/>
      <c r="G944" s="209"/>
      <c r="H944" s="209"/>
      <c r="I944" s="209"/>
      <c r="J944" s="307" t="b">
        <v>1</v>
      </c>
      <c r="K944" s="301" t="b">
        <v>0</v>
      </c>
      <c r="L944" s="419"/>
      <c r="M944" s="301" t="b">
        <v>0</v>
      </c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  <c r="AH944" s="209"/>
      <c r="AI944" s="209"/>
      <c r="AJ944" s="209"/>
      <c r="AK944" s="209"/>
      <c r="AL944" s="209"/>
      <c r="AM944" s="209"/>
      <c r="AN944" s="209"/>
      <c r="AO944" s="209"/>
      <c r="AP944" s="209"/>
    </row>
    <row r="945">
      <c r="A945" s="291"/>
      <c r="B945" s="304" t="s">
        <v>3363</v>
      </c>
      <c r="C945" s="304" t="s">
        <v>390</v>
      </c>
      <c r="D945" s="304" t="s">
        <v>3364</v>
      </c>
      <c r="E945" s="308" t="s">
        <v>3365</v>
      </c>
      <c r="F945" s="209"/>
      <c r="G945" s="209"/>
      <c r="H945" s="209"/>
      <c r="I945" s="209"/>
      <c r="J945" s="307" t="b">
        <v>1</v>
      </c>
      <c r="K945" s="301" t="b">
        <v>0</v>
      </c>
      <c r="L945" s="419"/>
      <c r="M945" s="301" t="b">
        <v>0</v>
      </c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  <c r="AH945" s="209"/>
      <c r="AI945" s="209"/>
      <c r="AJ945" s="209"/>
      <c r="AK945" s="209"/>
      <c r="AL945" s="209"/>
      <c r="AM945" s="209"/>
      <c r="AN945" s="209"/>
      <c r="AO945" s="209"/>
      <c r="AP945" s="209"/>
    </row>
    <row r="946">
      <c r="A946" s="291"/>
      <c r="B946" s="304" t="s">
        <v>3366</v>
      </c>
      <c r="C946" s="304" t="s">
        <v>390</v>
      </c>
      <c r="D946" s="304" t="s">
        <v>3367</v>
      </c>
      <c r="E946" s="308" t="s">
        <v>3368</v>
      </c>
      <c r="F946" s="209"/>
      <c r="G946" s="209"/>
      <c r="H946" s="209"/>
      <c r="I946" s="209"/>
      <c r="J946" s="307" t="b">
        <v>1</v>
      </c>
      <c r="K946" s="301" t="b">
        <v>0</v>
      </c>
      <c r="L946" s="419"/>
      <c r="M946" s="301" t="b">
        <v>0</v>
      </c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  <c r="AH946" s="209"/>
      <c r="AI946" s="209"/>
      <c r="AJ946" s="209"/>
      <c r="AK946" s="209"/>
      <c r="AL946" s="209"/>
      <c r="AM946" s="209"/>
      <c r="AN946" s="209"/>
      <c r="AO946" s="209"/>
      <c r="AP946" s="209"/>
    </row>
    <row r="947">
      <c r="A947" s="309"/>
      <c r="B947" s="311" t="s">
        <v>3369</v>
      </c>
      <c r="C947" s="311" t="s">
        <v>390</v>
      </c>
      <c r="D947" s="311" t="s">
        <v>3370</v>
      </c>
      <c r="E947" s="318">
        <v>8.40472500932E11</v>
      </c>
      <c r="F947" s="313"/>
      <c r="G947" s="313"/>
      <c r="H947" s="313"/>
      <c r="I947" s="313"/>
      <c r="J947" s="318" t="b">
        <v>1</v>
      </c>
      <c r="K947" s="314" t="b">
        <v>0</v>
      </c>
      <c r="L947" s="365"/>
      <c r="M947" s="314" t="b">
        <v>0</v>
      </c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  <c r="AH947" s="209"/>
      <c r="AI947" s="209"/>
      <c r="AJ947" s="209"/>
      <c r="AK947" s="209"/>
      <c r="AL947" s="209"/>
      <c r="AM947" s="209"/>
      <c r="AN947" s="209"/>
      <c r="AO947" s="209"/>
      <c r="AP947" s="209"/>
    </row>
    <row r="948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  <c r="AH948" s="209"/>
      <c r="AI948" s="209"/>
      <c r="AJ948" s="209"/>
      <c r="AK948" s="209"/>
      <c r="AL948" s="209"/>
      <c r="AM948" s="209"/>
      <c r="AN948" s="209"/>
      <c r="AO948" s="209"/>
      <c r="AP948" s="209"/>
    </row>
    <row r="949">
      <c r="A949" s="316" t="s">
        <v>3398</v>
      </c>
      <c r="B949" s="339" t="s">
        <v>3372</v>
      </c>
      <c r="C949" s="320"/>
      <c r="D949" s="283" t="s">
        <v>3373</v>
      </c>
      <c r="E949" s="336" t="s">
        <v>116</v>
      </c>
      <c r="F949" s="320"/>
      <c r="G949" s="320"/>
      <c r="H949" s="285" t="s">
        <v>468</v>
      </c>
      <c r="I949" s="285" t="s">
        <v>1895</v>
      </c>
      <c r="J949" s="333" t="str">
        <f>IF(COUNTIF(J950:J953, TRUE) = COUNTA(J950:J953), "Complete!", IF(COUNTIF(J950:J953, TRUE) &gt; 0, "Partial", "Not Started"))</f>
        <v>Complete!</v>
      </c>
      <c r="K949" s="334"/>
      <c r="L949" s="464" t="s">
        <v>889</v>
      </c>
      <c r="M949" s="465" t="str">
        <f>IF(COUNTIF(M950:M1026, TRUE) = COUNTA(M950:M1026), "Complete!", IF(COUNTIF(M950:M1026, TRUE) &gt; 0, "Partial", "Not Started"))</f>
        <v>Not Started</v>
      </c>
      <c r="N949" s="280">
        <v>4.0</v>
      </c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  <c r="AH949" s="209"/>
      <c r="AI949" s="209"/>
      <c r="AJ949" s="209"/>
      <c r="AK949" s="209"/>
      <c r="AL949" s="209"/>
      <c r="AM949" s="209"/>
      <c r="AN949" s="209"/>
      <c r="AO949" s="209"/>
      <c r="AP949" s="209"/>
    </row>
    <row r="950">
      <c r="A950" s="291"/>
      <c r="B950" s="304" t="s">
        <v>3374</v>
      </c>
      <c r="C950" s="304" t="s">
        <v>2880</v>
      </c>
      <c r="D950" s="304" t="s">
        <v>3375</v>
      </c>
      <c r="E950" s="307">
        <v>8.40472500307E11</v>
      </c>
      <c r="F950" s="209"/>
      <c r="G950" s="209"/>
      <c r="H950" s="209"/>
      <c r="I950" s="209"/>
      <c r="J950" s="307" t="b">
        <v>1</v>
      </c>
      <c r="K950" s="301" t="b">
        <v>0</v>
      </c>
      <c r="L950" s="419"/>
      <c r="M950" s="301" t="b">
        <v>0</v>
      </c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  <c r="AA950" s="209"/>
      <c r="AB950" s="209"/>
      <c r="AC950" s="209"/>
      <c r="AD950" s="209"/>
      <c r="AE950" s="209"/>
      <c r="AF950" s="209"/>
      <c r="AG950" s="209"/>
      <c r="AH950" s="209"/>
      <c r="AI950" s="209"/>
      <c r="AJ950" s="209"/>
      <c r="AK950" s="209"/>
      <c r="AL950" s="209"/>
      <c r="AM950" s="209"/>
      <c r="AN950" s="209"/>
      <c r="AO950" s="209"/>
      <c r="AP950" s="209"/>
    </row>
    <row r="951">
      <c r="A951" s="291"/>
      <c r="B951" s="304" t="s">
        <v>3376</v>
      </c>
      <c r="C951" s="304" t="s">
        <v>2880</v>
      </c>
      <c r="D951" s="304" t="s">
        <v>3377</v>
      </c>
      <c r="E951" s="308" t="s">
        <v>3378</v>
      </c>
      <c r="F951" s="209"/>
      <c r="G951" s="209"/>
      <c r="H951" s="209"/>
      <c r="I951" s="209"/>
      <c r="J951" s="307" t="b">
        <v>1</v>
      </c>
      <c r="K951" s="301" t="b">
        <v>0</v>
      </c>
      <c r="L951" s="419"/>
      <c r="M951" s="301" t="b">
        <v>0</v>
      </c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  <c r="AA951" s="209"/>
      <c r="AB951" s="209"/>
      <c r="AC951" s="209"/>
      <c r="AD951" s="209"/>
      <c r="AE951" s="209"/>
      <c r="AF951" s="209"/>
      <c r="AG951" s="209"/>
      <c r="AH951" s="209"/>
      <c r="AI951" s="209"/>
      <c r="AJ951" s="209"/>
      <c r="AK951" s="209"/>
      <c r="AL951" s="209"/>
      <c r="AM951" s="209"/>
      <c r="AN951" s="209"/>
      <c r="AO951" s="209"/>
      <c r="AP951" s="209"/>
    </row>
    <row r="952">
      <c r="A952" s="291"/>
      <c r="B952" s="304" t="s">
        <v>3379</v>
      </c>
      <c r="C952" s="304" t="s">
        <v>2880</v>
      </c>
      <c r="D952" s="304" t="s">
        <v>3380</v>
      </c>
      <c r="E952" s="308" t="s">
        <v>3381</v>
      </c>
      <c r="F952" s="209"/>
      <c r="G952" s="209"/>
      <c r="H952" s="209"/>
      <c r="I952" s="209"/>
      <c r="J952" s="307" t="b">
        <v>1</v>
      </c>
      <c r="K952" s="301" t="b">
        <v>0</v>
      </c>
      <c r="L952" s="419"/>
      <c r="M952" s="301" t="b">
        <v>0</v>
      </c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  <c r="AA952" s="209"/>
      <c r="AB952" s="209"/>
      <c r="AC952" s="209"/>
      <c r="AD952" s="209"/>
      <c r="AE952" s="209"/>
      <c r="AF952" s="209"/>
      <c r="AG952" s="209"/>
      <c r="AH952" s="209"/>
      <c r="AI952" s="209"/>
      <c r="AJ952" s="209"/>
      <c r="AK952" s="209"/>
      <c r="AL952" s="209"/>
      <c r="AM952" s="209"/>
      <c r="AN952" s="209"/>
      <c r="AO952" s="209"/>
      <c r="AP952" s="209"/>
    </row>
    <row r="953">
      <c r="A953" s="309"/>
      <c r="B953" s="311" t="s">
        <v>3382</v>
      </c>
      <c r="C953" s="311" t="s">
        <v>2880</v>
      </c>
      <c r="D953" s="311" t="s">
        <v>3383</v>
      </c>
      <c r="E953" s="318">
        <v>8.40472500321E11</v>
      </c>
      <c r="F953" s="313"/>
      <c r="G953" s="313"/>
      <c r="H953" s="313"/>
      <c r="I953" s="313"/>
      <c r="J953" s="318" t="b">
        <v>1</v>
      </c>
      <c r="K953" s="314" t="b">
        <v>0</v>
      </c>
      <c r="L953" s="365"/>
      <c r="M953" s="314" t="b">
        <v>0</v>
      </c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  <c r="AA953" s="209"/>
      <c r="AB953" s="209"/>
      <c r="AC953" s="209"/>
      <c r="AD953" s="209"/>
      <c r="AE953" s="209"/>
      <c r="AF953" s="209"/>
      <c r="AG953" s="209"/>
      <c r="AH953" s="209"/>
      <c r="AI953" s="209"/>
      <c r="AJ953" s="209"/>
      <c r="AK953" s="209"/>
      <c r="AL953" s="209"/>
      <c r="AM953" s="209"/>
      <c r="AN953" s="209"/>
      <c r="AO953" s="209"/>
      <c r="AP953" s="209"/>
    </row>
    <row r="954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  <c r="AA954" s="209"/>
      <c r="AB954" s="209"/>
      <c r="AC954" s="209"/>
      <c r="AD954" s="209"/>
      <c r="AE954" s="209"/>
      <c r="AF954" s="209"/>
      <c r="AG954" s="209"/>
      <c r="AH954" s="209"/>
      <c r="AI954" s="209"/>
      <c r="AJ954" s="209"/>
      <c r="AK954" s="209"/>
      <c r="AL954" s="209"/>
      <c r="AM954" s="209"/>
      <c r="AN954" s="209"/>
      <c r="AO954" s="209"/>
      <c r="AP954" s="209"/>
    </row>
    <row r="955">
      <c r="A955" s="316" t="s">
        <v>3411</v>
      </c>
      <c r="B955" s="339" t="s">
        <v>3385</v>
      </c>
      <c r="C955" s="320"/>
      <c r="D955" s="283" t="s">
        <v>3386</v>
      </c>
      <c r="E955" s="336" t="s">
        <v>116</v>
      </c>
      <c r="F955" s="320"/>
      <c r="G955" s="320"/>
      <c r="H955" s="285" t="s">
        <v>2790</v>
      </c>
      <c r="I955" s="285" t="s">
        <v>4126</v>
      </c>
      <c r="J955" s="333" t="str">
        <f>IF(COUNTIF(J956:J959, TRUE) = COUNTA(J956:J959), "Complete!", IF(COUNTIF(J956:J959, TRUE) &gt; 0, "Partial", "Not Started"))</f>
        <v>Complete!</v>
      </c>
      <c r="K955" s="334"/>
      <c r="L955" s="464" t="s">
        <v>889</v>
      </c>
      <c r="M955" s="465" t="str">
        <f>IF(COUNTIF(M956:M1032, TRUE) = COUNTA(M956:M1032), "Complete!", IF(COUNTIF(M956:M1032, TRUE) &gt; 0, "Partial", "Not Started"))</f>
        <v>Not Started</v>
      </c>
      <c r="N955" s="280">
        <v>4.0</v>
      </c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  <c r="AA955" s="209"/>
      <c r="AB955" s="209"/>
      <c r="AC955" s="209"/>
      <c r="AD955" s="209"/>
      <c r="AE955" s="209"/>
      <c r="AF955" s="209"/>
      <c r="AG955" s="209"/>
      <c r="AH955" s="209"/>
      <c r="AI955" s="209"/>
      <c r="AJ955" s="209"/>
      <c r="AK955" s="209"/>
      <c r="AL955" s="209"/>
      <c r="AM955" s="209"/>
      <c r="AN955" s="209"/>
      <c r="AO955" s="209"/>
      <c r="AP955" s="209"/>
    </row>
    <row r="956">
      <c r="A956" s="291"/>
      <c r="B956" s="304" t="s">
        <v>3388</v>
      </c>
      <c r="C956" s="304" t="s">
        <v>692</v>
      </c>
      <c r="D956" s="304" t="s">
        <v>3389</v>
      </c>
      <c r="E956" s="307">
        <v>8.40472500383E11</v>
      </c>
      <c r="F956" s="209"/>
      <c r="G956" s="209"/>
      <c r="H956" s="209"/>
      <c r="I956" s="209"/>
      <c r="J956" s="307" t="b">
        <v>1</v>
      </c>
      <c r="K956" s="301" t="b">
        <v>0</v>
      </c>
      <c r="L956" s="419"/>
      <c r="M956" s="301" t="b">
        <v>0</v>
      </c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  <c r="AA956" s="209"/>
      <c r="AB956" s="209"/>
      <c r="AC956" s="209"/>
      <c r="AD956" s="209"/>
      <c r="AE956" s="209"/>
      <c r="AF956" s="209"/>
      <c r="AG956" s="209"/>
      <c r="AH956" s="209"/>
      <c r="AI956" s="209"/>
      <c r="AJ956" s="209"/>
      <c r="AK956" s="209"/>
      <c r="AL956" s="209"/>
      <c r="AM956" s="209"/>
      <c r="AN956" s="209"/>
      <c r="AO956" s="209"/>
      <c r="AP956" s="209"/>
    </row>
    <row r="957">
      <c r="A957" s="291"/>
      <c r="B957" s="304" t="s">
        <v>3390</v>
      </c>
      <c r="C957" s="304" t="s">
        <v>692</v>
      </c>
      <c r="D957" s="304" t="s">
        <v>3391</v>
      </c>
      <c r="E957" s="308" t="s">
        <v>3392</v>
      </c>
      <c r="F957" s="209"/>
      <c r="G957" s="209"/>
      <c r="H957" s="209"/>
      <c r="I957" s="209"/>
      <c r="J957" s="307" t="b">
        <v>1</v>
      </c>
      <c r="K957" s="301" t="b">
        <v>0</v>
      </c>
      <c r="L957" s="419"/>
      <c r="M957" s="301" t="b">
        <v>0</v>
      </c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  <c r="AA957" s="209"/>
      <c r="AB957" s="209"/>
      <c r="AC957" s="209"/>
      <c r="AD957" s="209"/>
      <c r="AE957" s="209"/>
      <c r="AF957" s="209"/>
      <c r="AG957" s="209"/>
      <c r="AH957" s="209"/>
      <c r="AI957" s="209"/>
      <c r="AJ957" s="209"/>
      <c r="AK957" s="209"/>
      <c r="AL957" s="209"/>
      <c r="AM957" s="209"/>
      <c r="AN957" s="209"/>
      <c r="AO957" s="209"/>
      <c r="AP957" s="209"/>
    </row>
    <row r="958">
      <c r="A958" s="291"/>
      <c r="B958" s="304" t="s">
        <v>3393</v>
      </c>
      <c r="C958" s="304" t="s">
        <v>692</v>
      </c>
      <c r="D958" s="304" t="s">
        <v>3394</v>
      </c>
      <c r="E958" s="308" t="s">
        <v>3395</v>
      </c>
      <c r="F958" s="209"/>
      <c r="G958" s="209"/>
      <c r="H958" s="209"/>
      <c r="I958" s="209"/>
      <c r="J958" s="307" t="b">
        <v>1</v>
      </c>
      <c r="K958" s="301" t="b">
        <v>0</v>
      </c>
      <c r="L958" s="419"/>
      <c r="M958" s="301" t="b">
        <v>0</v>
      </c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  <c r="AA958" s="209"/>
      <c r="AB958" s="209"/>
      <c r="AC958" s="209"/>
      <c r="AD958" s="209"/>
      <c r="AE958" s="209"/>
      <c r="AF958" s="209"/>
      <c r="AG958" s="209"/>
      <c r="AH958" s="209"/>
      <c r="AI958" s="209"/>
      <c r="AJ958" s="209"/>
      <c r="AK958" s="209"/>
      <c r="AL958" s="209"/>
      <c r="AM958" s="209"/>
      <c r="AN958" s="209"/>
      <c r="AO958" s="209"/>
      <c r="AP958" s="209"/>
    </row>
    <row r="959">
      <c r="A959" s="309"/>
      <c r="B959" s="311" t="s">
        <v>3396</v>
      </c>
      <c r="C959" s="311" t="s">
        <v>692</v>
      </c>
      <c r="D959" s="311" t="s">
        <v>3397</v>
      </c>
      <c r="E959" s="318">
        <v>8.40472500406E11</v>
      </c>
      <c r="F959" s="313"/>
      <c r="G959" s="313"/>
      <c r="H959" s="313"/>
      <c r="I959" s="313"/>
      <c r="J959" s="318" t="b">
        <v>1</v>
      </c>
      <c r="K959" s="314" t="b">
        <v>0</v>
      </c>
      <c r="L959" s="365"/>
      <c r="M959" s="314" t="b">
        <v>0</v>
      </c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  <c r="AA959" s="209"/>
      <c r="AB959" s="209"/>
      <c r="AC959" s="209"/>
      <c r="AD959" s="209"/>
      <c r="AE959" s="209"/>
      <c r="AF959" s="209"/>
      <c r="AG959" s="209"/>
      <c r="AH959" s="209"/>
      <c r="AI959" s="209"/>
      <c r="AJ959" s="209"/>
      <c r="AK959" s="209"/>
      <c r="AL959" s="209"/>
      <c r="AM959" s="209"/>
      <c r="AN959" s="209"/>
      <c r="AO959" s="209"/>
      <c r="AP959" s="209"/>
    </row>
    <row r="960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  <c r="AA960" s="209"/>
      <c r="AB960" s="209"/>
      <c r="AC960" s="209"/>
      <c r="AD960" s="209"/>
      <c r="AE960" s="209"/>
      <c r="AF960" s="209"/>
      <c r="AG960" s="209"/>
      <c r="AH960" s="209"/>
      <c r="AI960" s="209"/>
      <c r="AJ960" s="209"/>
      <c r="AK960" s="209"/>
      <c r="AL960" s="209"/>
      <c r="AM960" s="209"/>
      <c r="AN960" s="209"/>
      <c r="AO960" s="209"/>
      <c r="AP960" s="209"/>
    </row>
    <row r="961">
      <c r="A961" s="316" t="s">
        <v>3470</v>
      </c>
      <c r="B961" s="319" t="s">
        <v>3471</v>
      </c>
      <c r="C961" s="320"/>
      <c r="D961" s="283" t="s">
        <v>3472</v>
      </c>
      <c r="E961" s="336" t="s">
        <v>3473</v>
      </c>
      <c r="F961" s="320"/>
      <c r="G961" s="320"/>
      <c r="H961" s="285" t="s">
        <v>563</v>
      </c>
      <c r="I961" s="285" t="s">
        <v>3116</v>
      </c>
      <c r="J961" s="333" t="str">
        <f>IF(COUNTIF(J962:J968, TRUE) = COUNTA(J962:J968), "Complete!", IF(COUNTIF(J962:J968, TRUE) &gt; 0, "Partial", "Not Started"))</f>
        <v>Complete!</v>
      </c>
      <c r="K961" s="334"/>
      <c r="L961" s="464" t="s">
        <v>889</v>
      </c>
      <c r="M961" s="465" t="str">
        <f>IF(COUNTIF(M962:M966, TRUE) = COUNTA(M962:M966), "Complete!", IF(COUNTIF(M962:M966, TRUE) &gt; 0, "Partial", "Not Started"))</f>
        <v>Not Started</v>
      </c>
      <c r="N961" s="280">
        <v>7.0</v>
      </c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  <c r="AA961" s="209"/>
      <c r="AB961" s="209"/>
      <c r="AC961" s="209"/>
      <c r="AD961" s="209"/>
      <c r="AE961" s="209"/>
      <c r="AF961" s="209"/>
      <c r="AG961" s="209"/>
      <c r="AH961" s="209"/>
      <c r="AI961" s="209"/>
      <c r="AJ961" s="209"/>
      <c r="AK961" s="209"/>
      <c r="AL961" s="209"/>
      <c r="AM961" s="209"/>
      <c r="AN961" s="209"/>
      <c r="AO961" s="209"/>
      <c r="AP961" s="209"/>
    </row>
    <row r="962">
      <c r="A962" s="291"/>
      <c r="B962" s="408" t="s">
        <v>3475</v>
      </c>
      <c r="C962" s="304" t="s">
        <v>3476</v>
      </c>
      <c r="D962" s="304" t="s">
        <v>3477</v>
      </c>
      <c r="E962" s="302" t="s">
        <v>3478</v>
      </c>
      <c r="F962" s="209"/>
      <c r="G962" s="209"/>
      <c r="H962" s="209"/>
      <c r="I962" s="209"/>
      <c r="J962" s="300" t="b">
        <v>1</v>
      </c>
      <c r="K962" s="301" t="b">
        <v>0</v>
      </c>
      <c r="L962" s="419"/>
      <c r="M962" s="301" t="b">
        <v>0</v>
      </c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  <c r="AA962" s="209"/>
      <c r="AB962" s="209"/>
      <c r="AC962" s="209"/>
      <c r="AD962" s="209"/>
      <c r="AE962" s="209"/>
      <c r="AF962" s="209"/>
      <c r="AG962" s="209"/>
      <c r="AH962" s="209"/>
      <c r="AI962" s="209"/>
      <c r="AJ962" s="209"/>
      <c r="AK962" s="209"/>
      <c r="AL962" s="209"/>
      <c r="AM962" s="209"/>
      <c r="AN962" s="209"/>
      <c r="AO962" s="209"/>
      <c r="AP962" s="209"/>
    </row>
    <row r="963">
      <c r="A963" s="291"/>
      <c r="B963" s="376" t="s">
        <v>3479</v>
      </c>
      <c r="C963" s="304" t="s">
        <v>3476</v>
      </c>
      <c r="D963" s="304" t="s">
        <v>3480</v>
      </c>
      <c r="E963" s="308" t="s">
        <v>3481</v>
      </c>
      <c r="F963" s="209"/>
      <c r="G963" s="209"/>
      <c r="H963" s="209"/>
      <c r="I963" s="209"/>
      <c r="J963" s="300" t="b">
        <v>1</v>
      </c>
      <c r="K963" s="301" t="b">
        <v>0</v>
      </c>
      <c r="L963" s="419"/>
      <c r="M963" s="301" t="b">
        <v>0</v>
      </c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  <c r="AA963" s="209"/>
      <c r="AB963" s="209"/>
      <c r="AC963" s="209"/>
      <c r="AD963" s="209"/>
      <c r="AE963" s="209"/>
      <c r="AF963" s="209"/>
      <c r="AG963" s="209"/>
      <c r="AH963" s="209"/>
      <c r="AI963" s="209"/>
      <c r="AJ963" s="209"/>
      <c r="AK963" s="209"/>
      <c r="AL963" s="209"/>
      <c r="AM963" s="209"/>
      <c r="AN963" s="209"/>
      <c r="AO963" s="209"/>
      <c r="AP963" s="209"/>
    </row>
    <row r="964">
      <c r="A964" s="291"/>
      <c r="B964" s="376" t="s">
        <v>3482</v>
      </c>
      <c r="C964" s="304" t="s">
        <v>3476</v>
      </c>
      <c r="D964" s="304" t="s">
        <v>3483</v>
      </c>
      <c r="E964" s="308" t="s">
        <v>3484</v>
      </c>
      <c r="F964" s="209"/>
      <c r="G964" s="209"/>
      <c r="H964" s="209"/>
      <c r="I964" s="209"/>
      <c r="J964" s="300" t="b">
        <v>1</v>
      </c>
      <c r="K964" s="301" t="b">
        <v>0</v>
      </c>
      <c r="L964" s="419"/>
      <c r="M964" s="301" t="b">
        <v>0</v>
      </c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  <c r="AA964" s="209"/>
      <c r="AB964" s="209"/>
      <c r="AC964" s="209"/>
      <c r="AD964" s="209"/>
      <c r="AE964" s="209"/>
      <c r="AF964" s="209"/>
      <c r="AG964" s="209"/>
      <c r="AH964" s="209"/>
      <c r="AI964" s="209"/>
      <c r="AJ964" s="209"/>
      <c r="AK964" s="209"/>
      <c r="AL964" s="209"/>
      <c r="AM964" s="209"/>
      <c r="AN964" s="209"/>
      <c r="AO964" s="209"/>
      <c r="AP964" s="209"/>
    </row>
    <row r="965">
      <c r="A965" s="291"/>
      <c r="B965" s="376" t="s">
        <v>3485</v>
      </c>
      <c r="C965" s="304" t="s">
        <v>3476</v>
      </c>
      <c r="D965" s="304" t="s">
        <v>3486</v>
      </c>
      <c r="E965" s="308" t="s">
        <v>3487</v>
      </c>
      <c r="F965" s="209"/>
      <c r="G965" s="209"/>
      <c r="H965" s="209"/>
      <c r="I965" s="209"/>
      <c r="J965" s="300" t="b">
        <v>1</v>
      </c>
      <c r="K965" s="301" t="b">
        <v>0</v>
      </c>
      <c r="L965" s="419"/>
      <c r="M965" s="301" t="b">
        <v>0</v>
      </c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  <c r="AA965" s="209"/>
      <c r="AB965" s="209"/>
      <c r="AC965" s="209"/>
      <c r="AD965" s="209"/>
      <c r="AE965" s="209"/>
      <c r="AF965" s="209"/>
      <c r="AG965" s="209"/>
      <c r="AH965" s="209"/>
      <c r="AI965" s="209"/>
      <c r="AJ965" s="209"/>
      <c r="AK965" s="209"/>
      <c r="AL965" s="209"/>
      <c r="AM965" s="209"/>
      <c r="AN965" s="209"/>
      <c r="AO965" s="209"/>
      <c r="AP965" s="209"/>
    </row>
    <row r="966">
      <c r="A966" s="291"/>
      <c r="B966" s="376" t="s">
        <v>3488</v>
      </c>
      <c r="C966" s="304" t="s">
        <v>3476</v>
      </c>
      <c r="D966" s="304" t="s">
        <v>3489</v>
      </c>
      <c r="E966" s="308" t="s">
        <v>3490</v>
      </c>
      <c r="F966" s="209"/>
      <c r="G966" s="209"/>
      <c r="H966" s="209"/>
      <c r="I966" s="209"/>
      <c r="J966" s="300" t="b">
        <v>1</v>
      </c>
      <c r="K966" s="301" t="b">
        <v>0</v>
      </c>
      <c r="L966" s="365"/>
      <c r="M966" s="314" t="b">
        <v>0</v>
      </c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  <c r="AA966" s="209"/>
      <c r="AB966" s="209"/>
      <c r="AC966" s="209"/>
      <c r="AD966" s="209"/>
      <c r="AE966" s="209"/>
      <c r="AF966" s="209"/>
      <c r="AG966" s="209"/>
      <c r="AH966" s="209"/>
      <c r="AI966" s="209"/>
      <c r="AJ966" s="209"/>
      <c r="AK966" s="209"/>
      <c r="AL966" s="209"/>
      <c r="AM966" s="209"/>
      <c r="AN966" s="209"/>
      <c r="AO966" s="209"/>
      <c r="AP966" s="209"/>
    </row>
    <row r="967">
      <c r="A967" s="291"/>
      <c r="B967" s="376" t="s">
        <v>3491</v>
      </c>
      <c r="C967" s="304" t="s">
        <v>3492</v>
      </c>
      <c r="D967" s="304" t="s">
        <v>3493</v>
      </c>
      <c r="E967" s="308" t="s">
        <v>3494</v>
      </c>
      <c r="F967" s="209"/>
      <c r="G967" s="209"/>
      <c r="H967" s="209"/>
      <c r="I967" s="209"/>
      <c r="J967" s="300" t="b">
        <v>1</v>
      </c>
      <c r="K967" s="301" t="b">
        <v>0</v>
      </c>
      <c r="L967" s="419"/>
      <c r="M967" s="301" t="b">
        <v>0</v>
      </c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  <c r="AA967" s="209"/>
      <c r="AB967" s="209"/>
      <c r="AC967" s="209"/>
      <c r="AD967" s="209"/>
      <c r="AE967" s="209"/>
      <c r="AF967" s="209"/>
      <c r="AG967" s="209"/>
      <c r="AH967" s="209"/>
      <c r="AI967" s="209"/>
      <c r="AJ967" s="209"/>
      <c r="AK967" s="209"/>
      <c r="AL967" s="209"/>
      <c r="AM967" s="209"/>
      <c r="AN967" s="209"/>
      <c r="AO967" s="209"/>
      <c r="AP967" s="209"/>
    </row>
    <row r="968">
      <c r="A968" s="309"/>
      <c r="B968" s="378" t="s">
        <v>3495</v>
      </c>
      <c r="C968" s="379" t="s">
        <v>3492</v>
      </c>
      <c r="D968" s="311" t="s">
        <v>3496</v>
      </c>
      <c r="E968" s="335" t="s">
        <v>3497</v>
      </c>
      <c r="F968" s="313"/>
      <c r="G968" s="313"/>
      <c r="H968" s="313"/>
      <c r="I968" s="313"/>
      <c r="J968" s="300" t="b">
        <v>1</v>
      </c>
      <c r="K968" s="381" t="b">
        <v>0</v>
      </c>
      <c r="L968" s="365"/>
      <c r="M968" s="314" t="b">
        <v>0</v>
      </c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  <c r="AA968" s="209"/>
      <c r="AB968" s="209"/>
      <c r="AC968" s="209"/>
      <c r="AD968" s="209"/>
      <c r="AE968" s="209"/>
      <c r="AF968" s="209"/>
      <c r="AG968" s="209"/>
      <c r="AH968" s="209"/>
      <c r="AI968" s="209"/>
      <c r="AJ968" s="209"/>
      <c r="AK968" s="209"/>
      <c r="AL968" s="209"/>
      <c r="AM968" s="209"/>
      <c r="AN968" s="209"/>
      <c r="AO968" s="209"/>
      <c r="AP968" s="209"/>
    </row>
    <row r="969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464" t="s">
        <v>889</v>
      </c>
      <c r="M969" s="465" t="str">
        <f>IF(COUNTIF(M970:M972, TRUE) = COUNTA(M970:M972), "Complete!", IF(COUNTIF(M970:M972, TRUE) &gt; 0, "Partial", "Not Started"))</f>
        <v>Not Started</v>
      </c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  <c r="AA969" s="209"/>
      <c r="AB969" s="209"/>
      <c r="AC969" s="209"/>
      <c r="AD969" s="209"/>
      <c r="AE969" s="209"/>
      <c r="AF969" s="209"/>
      <c r="AG969" s="209"/>
      <c r="AH969" s="209"/>
      <c r="AI969" s="209"/>
      <c r="AJ969" s="209"/>
      <c r="AK969" s="209"/>
      <c r="AL969" s="209"/>
      <c r="AM969" s="209"/>
      <c r="AN969" s="209"/>
      <c r="AO969" s="209"/>
      <c r="AP969" s="209"/>
    </row>
    <row r="970">
      <c r="A970" s="316" t="s">
        <v>3498</v>
      </c>
      <c r="B970" s="319" t="s">
        <v>3499</v>
      </c>
      <c r="C970" s="320"/>
      <c r="D970" s="283" t="s">
        <v>3500</v>
      </c>
      <c r="E970" s="336" t="s">
        <v>343</v>
      </c>
      <c r="F970" s="320"/>
      <c r="G970" s="320"/>
      <c r="H970" s="285" t="s">
        <v>1796</v>
      </c>
      <c r="I970" s="285" t="s">
        <v>4191</v>
      </c>
      <c r="J970" s="333" t="str">
        <f>IF(COUNTIF(J971:J975, TRUE) = COUNTA(J971:J975), "Complete!", IF(COUNTIF(J971:J975, TRUE) &gt; 0, "Partial", "Not Started"))</f>
        <v>Complete!</v>
      </c>
      <c r="K970" s="334"/>
      <c r="L970" s="365"/>
      <c r="M970" s="314" t="b">
        <v>0</v>
      </c>
      <c r="N970" s="280">
        <v>5.0</v>
      </c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  <c r="AA970" s="209"/>
      <c r="AB970" s="209"/>
      <c r="AC970" s="209"/>
      <c r="AD970" s="209"/>
      <c r="AE970" s="209"/>
      <c r="AF970" s="209"/>
      <c r="AG970" s="209"/>
      <c r="AH970" s="209"/>
      <c r="AI970" s="209"/>
      <c r="AJ970" s="209"/>
      <c r="AK970" s="209"/>
      <c r="AL970" s="209"/>
      <c r="AM970" s="209"/>
      <c r="AN970" s="209"/>
      <c r="AO970" s="209"/>
      <c r="AP970" s="209"/>
    </row>
    <row r="971">
      <c r="A971" s="291"/>
      <c r="B971" s="376" t="s">
        <v>3501</v>
      </c>
      <c r="C971" s="377" t="s">
        <v>3502</v>
      </c>
      <c r="D971" s="304" t="s">
        <v>3503</v>
      </c>
      <c r="E971" s="308" t="s">
        <v>3504</v>
      </c>
      <c r="F971" s="209"/>
      <c r="G971" s="209"/>
      <c r="H971" s="209"/>
      <c r="I971" s="304" t="s">
        <v>4416</v>
      </c>
      <c r="J971" s="300" t="b">
        <v>1</v>
      </c>
      <c r="K971" s="301" t="b">
        <v>0</v>
      </c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  <c r="AA971" s="209"/>
      <c r="AB971" s="209"/>
      <c r="AC971" s="209"/>
      <c r="AD971" s="209"/>
      <c r="AE971" s="209"/>
      <c r="AF971" s="209"/>
      <c r="AG971" s="209"/>
      <c r="AH971" s="209"/>
      <c r="AI971" s="209"/>
      <c r="AJ971" s="209"/>
      <c r="AK971" s="209"/>
      <c r="AL971" s="209"/>
      <c r="AM971" s="209"/>
      <c r="AN971" s="209"/>
      <c r="AO971" s="209"/>
      <c r="AP971" s="209"/>
    </row>
    <row r="972">
      <c r="A972" s="291"/>
      <c r="B972" s="376" t="s">
        <v>3505</v>
      </c>
      <c r="C972" s="377" t="s">
        <v>3506</v>
      </c>
      <c r="D972" s="304" t="s">
        <v>3507</v>
      </c>
      <c r="E972" s="308" t="s">
        <v>3508</v>
      </c>
      <c r="F972" s="209"/>
      <c r="G972" s="209"/>
      <c r="H972" s="209"/>
      <c r="I972" s="304" t="s">
        <v>4416</v>
      </c>
      <c r="J972" s="300" t="b">
        <v>1</v>
      </c>
      <c r="K972" s="301" t="b">
        <v>0</v>
      </c>
      <c r="L972" s="464" t="s">
        <v>889</v>
      </c>
      <c r="M972" s="465" t="str">
        <f>IF(COUNTIF(M973:M978, TRUE) = COUNTA(M973:M978), "Complete!", IF(COUNTIF(M973:M978, TRUE) &gt; 0, "Partial", "Not Started"))</f>
        <v>Not Started</v>
      </c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  <c r="AA972" s="209"/>
      <c r="AB972" s="209"/>
      <c r="AC972" s="209"/>
      <c r="AD972" s="209"/>
      <c r="AE972" s="209"/>
      <c r="AF972" s="209"/>
      <c r="AG972" s="209"/>
      <c r="AH972" s="209"/>
      <c r="AI972" s="209"/>
      <c r="AJ972" s="209"/>
      <c r="AK972" s="209"/>
      <c r="AL972" s="209"/>
      <c r="AM972" s="209"/>
      <c r="AN972" s="209"/>
      <c r="AO972" s="209"/>
      <c r="AP972" s="209"/>
    </row>
    <row r="973">
      <c r="A973" s="291"/>
      <c r="B973" s="376" t="s">
        <v>3509</v>
      </c>
      <c r="C973" s="377" t="s">
        <v>3510</v>
      </c>
      <c r="D973" s="304" t="s">
        <v>3511</v>
      </c>
      <c r="E973" s="308" t="s">
        <v>3512</v>
      </c>
      <c r="F973" s="304" t="s">
        <v>732</v>
      </c>
      <c r="G973" s="209"/>
      <c r="H973" s="209"/>
      <c r="I973" s="304" t="s">
        <v>4417</v>
      </c>
      <c r="J973" s="300" t="b">
        <v>1</v>
      </c>
      <c r="K973" s="301" t="b">
        <v>0</v>
      </c>
      <c r="L973" s="419"/>
      <c r="M973" s="301" t="b">
        <v>0</v>
      </c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  <c r="AA973" s="209"/>
      <c r="AB973" s="209"/>
      <c r="AC973" s="209"/>
      <c r="AD973" s="209"/>
      <c r="AE973" s="209"/>
      <c r="AF973" s="209"/>
      <c r="AG973" s="209"/>
      <c r="AH973" s="209"/>
      <c r="AI973" s="209"/>
      <c r="AJ973" s="209"/>
      <c r="AK973" s="209"/>
      <c r="AL973" s="209"/>
      <c r="AM973" s="209"/>
      <c r="AN973" s="209"/>
      <c r="AO973" s="209"/>
      <c r="AP973" s="209"/>
    </row>
    <row r="974">
      <c r="A974" s="291"/>
      <c r="B974" s="376" t="s">
        <v>3513</v>
      </c>
      <c r="C974" s="377" t="s">
        <v>3502</v>
      </c>
      <c r="D974" s="304" t="s">
        <v>3514</v>
      </c>
      <c r="E974" s="308" t="s">
        <v>3515</v>
      </c>
      <c r="F974" s="209"/>
      <c r="G974" s="209"/>
      <c r="H974" s="209"/>
      <c r="I974" s="304" t="s">
        <v>4416</v>
      </c>
      <c r="J974" s="300" t="b">
        <v>1</v>
      </c>
      <c r="K974" s="301" t="b">
        <v>0</v>
      </c>
      <c r="L974" s="419"/>
      <c r="M974" s="301" t="b">
        <v>0</v>
      </c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  <c r="AA974" s="209"/>
      <c r="AB974" s="209"/>
      <c r="AC974" s="209"/>
      <c r="AD974" s="209"/>
      <c r="AE974" s="209"/>
      <c r="AF974" s="209"/>
      <c r="AG974" s="209"/>
      <c r="AH974" s="209"/>
      <c r="AI974" s="209"/>
      <c r="AJ974" s="209"/>
      <c r="AK974" s="209"/>
      <c r="AL974" s="209"/>
      <c r="AM974" s="209"/>
      <c r="AN974" s="209"/>
      <c r="AO974" s="209"/>
      <c r="AP974" s="209"/>
    </row>
    <row r="975">
      <c r="A975" s="291"/>
      <c r="B975" s="378" t="s">
        <v>3516</v>
      </c>
      <c r="C975" s="379" t="s">
        <v>3517</v>
      </c>
      <c r="D975" s="311" t="s">
        <v>3518</v>
      </c>
      <c r="E975" s="335" t="s">
        <v>3519</v>
      </c>
      <c r="F975" s="313"/>
      <c r="G975" s="313"/>
      <c r="H975" s="313"/>
      <c r="I975" s="311" t="s">
        <v>4416</v>
      </c>
      <c r="J975" s="318" t="b">
        <v>1</v>
      </c>
      <c r="K975" s="381" t="b">
        <v>0</v>
      </c>
      <c r="L975" s="419"/>
      <c r="M975" s="301" t="b">
        <v>0</v>
      </c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  <c r="AA975" s="209"/>
      <c r="AB975" s="209"/>
      <c r="AC975" s="209"/>
      <c r="AD975" s="209"/>
      <c r="AE975" s="209"/>
      <c r="AF975" s="209"/>
      <c r="AG975" s="209"/>
      <c r="AH975" s="209"/>
      <c r="AI975" s="209"/>
      <c r="AJ975" s="209"/>
      <c r="AK975" s="209"/>
      <c r="AL975" s="209"/>
      <c r="AM975" s="209"/>
      <c r="AN975" s="209"/>
      <c r="AO975" s="209"/>
      <c r="AP975" s="209"/>
    </row>
    <row r="976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  <c r="AA976" s="209"/>
      <c r="AB976" s="209"/>
      <c r="AC976" s="209"/>
      <c r="AD976" s="209"/>
      <c r="AE976" s="209"/>
      <c r="AF976" s="209"/>
      <c r="AG976" s="209"/>
      <c r="AH976" s="209"/>
      <c r="AI976" s="209"/>
      <c r="AJ976" s="209"/>
      <c r="AK976" s="209"/>
      <c r="AL976" s="209"/>
      <c r="AM976" s="209"/>
      <c r="AN976" s="209"/>
      <c r="AO976" s="209"/>
      <c r="AP976" s="209"/>
    </row>
    <row r="977">
      <c r="A977" s="316" t="s">
        <v>3520</v>
      </c>
      <c r="B977" s="319" t="s">
        <v>3521</v>
      </c>
      <c r="C977" s="320"/>
      <c r="D977" s="283" t="s">
        <v>3522</v>
      </c>
      <c r="E977" s="336" t="s">
        <v>3523</v>
      </c>
      <c r="F977" s="320"/>
      <c r="G977" s="320"/>
      <c r="H977" s="285" t="s">
        <v>2803</v>
      </c>
      <c r="I977" s="285" t="s">
        <v>4160</v>
      </c>
      <c r="J977" s="333" t="str">
        <f>IF(COUNTIF(J978:J983, TRUE) = COUNTA(J978:J983), "Complete!", IF(COUNTIF(J978:J983, TRUE) &gt; 0, "Partial", "Not Started"))</f>
        <v>Complete!</v>
      </c>
      <c r="K977" s="334"/>
      <c r="L977" s="419"/>
      <c r="M977" s="301" t="b">
        <v>0</v>
      </c>
      <c r="N977" s="280">
        <v>6.0</v>
      </c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  <c r="AA977" s="209"/>
      <c r="AB977" s="209"/>
      <c r="AC977" s="209"/>
      <c r="AD977" s="209"/>
      <c r="AE977" s="209"/>
      <c r="AF977" s="209"/>
      <c r="AG977" s="209"/>
      <c r="AH977" s="209"/>
      <c r="AI977" s="209"/>
      <c r="AJ977" s="209"/>
      <c r="AK977" s="209"/>
      <c r="AL977" s="209"/>
      <c r="AM977" s="209"/>
      <c r="AN977" s="209"/>
      <c r="AO977" s="209"/>
      <c r="AP977" s="209"/>
    </row>
    <row r="978">
      <c r="A978" s="291"/>
      <c r="B978" s="408" t="s">
        <v>3525</v>
      </c>
      <c r="C978" s="409" t="s">
        <v>3526</v>
      </c>
      <c r="D978" s="304" t="s">
        <v>3527</v>
      </c>
      <c r="E978" s="302" t="s">
        <v>3528</v>
      </c>
      <c r="F978" s="209"/>
      <c r="G978" s="209"/>
      <c r="H978" s="209"/>
      <c r="I978" s="209"/>
      <c r="J978" s="300" t="b">
        <v>1</v>
      </c>
      <c r="K978" s="301" t="b">
        <v>0</v>
      </c>
      <c r="L978" s="365"/>
      <c r="M978" s="314" t="b">
        <v>0</v>
      </c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  <c r="AI978" s="209"/>
      <c r="AJ978" s="209"/>
      <c r="AK978" s="209"/>
      <c r="AL978" s="209"/>
      <c r="AM978" s="209"/>
      <c r="AN978" s="209"/>
      <c r="AO978" s="209"/>
      <c r="AP978" s="209"/>
    </row>
    <row r="979">
      <c r="A979" s="291"/>
      <c r="B979" s="376" t="s">
        <v>3529</v>
      </c>
      <c r="C979" s="377" t="s">
        <v>3526</v>
      </c>
      <c r="D979" s="304" t="s">
        <v>3530</v>
      </c>
      <c r="E979" s="308" t="s">
        <v>3531</v>
      </c>
      <c r="F979" s="209"/>
      <c r="G979" s="209"/>
      <c r="H979" s="209"/>
      <c r="I979" s="209"/>
      <c r="J979" s="300" t="b">
        <v>1</v>
      </c>
      <c r="K979" s="301" t="b">
        <v>0</v>
      </c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  <c r="AA979" s="209"/>
      <c r="AB979" s="209"/>
      <c r="AC979" s="209"/>
      <c r="AD979" s="209"/>
      <c r="AE979" s="209"/>
      <c r="AF979" s="209"/>
      <c r="AG979" s="209"/>
      <c r="AH979" s="209"/>
      <c r="AI979" s="209"/>
      <c r="AJ979" s="209"/>
      <c r="AK979" s="209"/>
      <c r="AL979" s="209"/>
      <c r="AM979" s="209"/>
      <c r="AN979" s="209"/>
      <c r="AO979" s="209"/>
      <c r="AP979" s="209"/>
    </row>
    <row r="980">
      <c r="A980" s="291"/>
      <c r="B980" s="376" t="s">
        <v>3532</v>
      </c>
      <c r="C980" s="377" t="s">
        <v>3526</v>
      </c>
      <c r="D980" s="304" t="s">
        <v>3533</v>
      </c>
      <c r="E980" s="308" t="s">
        <v>3534</v>
      </c>
      <c r="F980" s="209"/>
      <c r="G980" s="209"/>
      <c r="H980" s="209"/>
      <c r="I980" s="209"/>
      <c r="J980" s="300" t="b">
        <v>1</v>
      </c>
      <c r="K980" s="301" t="b">
        <v>0</v>
      </c>
      <c r="L980" s="464" t="s">
        <v>889</v>
      </c>
      <c r="M980" s="465" t="str">
        <f>IF(COUNTIF(M981:M986, TRUE) = COUNTA(M981:M986), "Complete!", IF(COUNTIF(M981:M986, TRUE) &gt; 0, "Partial", "Not Started"))</f>
        <v>Not Started</v>
      </c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  <c r="AA980" s="209"/>
      <c r="AB980" s="209"/>
      <c r="AC980" s="209"/>
      <c r="AD980" s="209"/>
      <c r="AE980" s="209"/>
      <c r="AF980" s="209"/>
      <c r="AG980" s="209"/>
      <c r="AH980" s="209"/>
      <c r="AI980" s="209"/>
      <c r="AJ980" s="209"/>
      <c r="AK980" s="209"/>
      <c r="AL980" s="209"/>
      <c r="AM980" s="209"/>
      <c r="AN980" s="209"/>
      <c r="AO980" s="209"/>
      <c r="AP980" s="209"/>
    </row>
    <row r="981">
      <c r="A981" s="291"/>
      <c r="B981" s="376" t="s">
        <v>3535</v>
      </c>
      <c r="C981" s="377" t="s">
        <v>3526</v>
      </c>
      <c r="D981" s="304" t="s">
        <v>3536</v>
      </c>
      <c r="E981" s="308" t="s">
        <v>3537</v>
      </c>
      <c r="F981" s="209"/>
      <c r="G981" s="209"/>
      <c r="H981" s="209"/>
      <c r="I981" s="209"/>
      <c r="J981" s="300" t="b">
        <v>1</v>
      </c>
      <c r="K981" s="301" t="b">
        <v>0</v>
      </c>
      <c r="L981" s="419"/>
      <c r="M981" s="301" t="b">
        <v>0</v>
      </c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  <c r="AA981" s="209"/>
      <c r="AB981" s="209"/>
      <c r="AC981" s="209"/>
      <c r="AD981" s="209"/>
      <c r="AE981" s="209"/>
      <c r="AF981" s="209"/>
      <c r="AG981" s="209"/>
      <c r="AH981" s="209"/>
      <c r="AI981" s="209"/>
      <c r="AJ981" s="209"/>
      <c r="AK981" s="209"/>
      <c r="AL981" s="209"/>
      <c r="AM981" s="209"/>
      <c r="AN981" s="209"/>
      <c r="AO981" s="209"/>
      <c r="AP981" s="209"/>
    </row>
    <row r="982">
      <c r="A982" s="291"/>
      <c r="B982" s="376" t="s">
        <v>3538</v>
      </c>
      <c r="C982" s="377" t="s">
        <v>3526</v>
      </c>
      <c r="D982" s="304" t="s">
        <v>3539</v>
      </c>
      <c r="E982" s="308" t="s">
        <v>3540</v>
      </c>
      <c r="F982" s="209"/>
      <c r="G982" s="209"/>
      <c r="H982" s="209"/>
      <c r="I982" s="209"/>
      <c r="J982" s="300" t="b">
        <v>1</v>
      </c>
      <c r="K982" s="301" t="b">
        <v>0</v>
      </c>
      <c r="L982" s="419"/>
      <c r="M982" s="301" t="b">
        <v>0</v>
      </c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  <c r="AA982" s="209"/>
      <c r="AB982" s="209"/>
      <c r="AC982" s="209"/>
      <c r="AD982" s="209"/>
      <c r="AE982" s="209"/>
      <c r="AF982" s="209"/>
      <c r="AG982" s="209"/>
      <c r="AH982" s="209"/>
      <c r="AI982" s="209"/>
      <c r="AJ982" s="209"/>
      <c r="AK982" s="209"/>
      <c r="AL982" s="209"/>
      <c r="AM982" s="209"/>
      <c r="AN982" s="209"/>
      <c r="AO982" s="209"/>
      <c r="AP982" s="209"/>
    </row>
    <row r="983">
      <c r="A983" s="309"/>
      <c r="B983" s="378" t="s">
        <v>3541</v>
      </c>
      <c r="C983" s="379" t="s">
        <v>3526</v>
      </c>
      <c r="D983" s="311" t="s">
        <v>3542</v>
      </c>
      <c r="E983" s="335" t="s">
        <v>3543</v>
      </c>
      <c r="F983" s="313"/>
      <c r="G983" s="313"/>
      <c r="H983" s="313"/>
      <c r="I983" s="313"/>
      <c r="J983" s="318" t="b">
        <v>1</v>
      </c>
      <c r="K983" s="381" t="b">
        <v>0</v>
      </c>
      <c r="L983" s="419"/>
      <c r="M983" s="301" t="b">
        <v>0</v>
      </c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  <c r="AA983" s="209"/>
      <c r="AB983" s="209"/>
      <c r="AC983" s="209"/>
      <c r="AD983" s="209"/>
      <c r="AE983" s="209"/>
      <c r="AF983" s="209"/>
      <c r="AG983" s="209"/>
      <c r="AH983" s="209"/>
      <c r="AI983" s="209"/>
      <c r="AJ983" s="209"/>
      <c r="AK983" s="209"/>
      <c r="AL983" s="209"/>
      <c r="AM983" s="209"/>
      <c r="AN983" s="209"/>
      <c r="AO983" s="209"/>
      <c r="AP983" s="209"/>
    </row>
    <row r="984">
      <c r="A984" s="209"/>
      <c r="B984" s="209"/>
      <c r="C984" s="209"/>
      <c r="D984" s="313"/>
      <c r="E984" s="209"/>
      <c r="F984" s="209"/>
      <c r="G984" s="209"/>
      <c r="H984" s="209"/>
      <c r="I984" s="209"/>
      <c r="J984" s="209"/>
      <c r="K984" s="209"/>
      <c r="L984" s="419"/>
      <c r="M984" s="301" t="b">
        <v>0</v>
      </c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  <c r="AA984" s="209"/>
      <c r="AB984" s="209"/>
      <c r="AC984" s="209"/>
      <c r="AD984" s="209"/>
      <c r="AE984" s="209"/>
      <c r="AF984" s="209"/>
      <c r="AG984" s="209"/>
      <c r="AH984" s="209"/>
      <c r="AI984" s="209"/>
      <c r="AJ984" s="209"/>
      <c r="AK984" s="209"/>
      <c r="AL984" s="209"/>
      <c r="AM984" s="209"/>
      <c r="AN984" s="209"/>
      <c r="AO984" s="209"/>
      <c r="AP984" s="209"/>
    </row>
    <row r="985">
      <c r="A985" s="316" t="s">
        <v>3544</v>
      </c>
      <c r="B985" s="319" t="s">
        <v>4418</v>
      </c>
      <c r="C985" s="320"/>
      <c r="D985" s="283" t="s">
        <v>3546</v>
      </c>
      <c r="E985" s="336" t="s">
        <v>3547</v>
      </c>
      <c r="F985" s="436"/>
      <c r="G985" s="320"/>
      <c r="H985" s="285" t="s">
        <v>376</v>
      </c>
      <c r="I985" s="285" t="s">
        <v>4419</v>
      </c>
      <c r="J985" s="333" t="str">
        <f>IF(COUNTIF(J986:J991, TRUE) = COUNTA(J986:J991), "Complete!", IF(COUNTIF(J986:J991, TRUE) &gt; 0, "Partial", "Not Started"))</f>
        <v>Complete!</v>
      </c>
      <c r="K985" s="334"/>
      <c r="L985" s="419"/>
      <c r="M985" s="301" t="b">
        <v>0</v>
      </c>
      <c r="N985" s="280">
        <v>6.0</v>
      </c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  <c r="AA985" s="209"/>
      <c r="AB985" s="209"/>
      <c r="AC985" s="209"/>
      <c r="AD985" s="209"/>
      <c r="AE985" s="209"/>
      <c r="AF985" s="209"/>
      <c r="AG985" s="209"/>
      <c r="AH985" s="209"/>
      <c r="AI985" s="209"/>
      <c r="AJ985" s="209"/>
      <c r="AK985" s="209"/>
      <c r="AL985" s="209"/>
      <c r="AM985" s="209"/>
      <c r="AN985" s="209"/>
      <c r="AO985" s="209"/>
      <c r="AP985" s="209"/>
    </row>
    <row r="986">
      <c r="A986" s="291"/>
      <c r="B986" s="304" t="s">
        <v>3549</v>
      </c>
      <c r="C986" s="304" t="s">
        <v>3550</v>
      </c>
      <c r="D986" s="304" t="s">
        <v>3551</v>
      </c>
      <c r="E986" s="308" t="s">
        <v>3552</v>
      </c>
      <c r="F986" s="209"/>
      <c r="G986" s="209"/>
      <c r="H986" s="209"/>
      <c r="I986" s="384" t="s">
        <v>4420</v>
      </c>
      <c r="J986" s="300" t="b">
        <v>1</v>
      </c>
      <c r="K986" s="301" t="b">
        <v>0</v>
      </c>
      <c r="L986" s="365"/>
      <c r="M986" s="314" t="b">
        <v>0</v>
      </c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09"/>
      <c r="AI986" s="209"/>
      <c r="AJ986" s="209"/>
      <c r="AK986" s="209"/>
      <c r="AL986" s="209"/>
      <c r="AM986" s="209"/>
      <c r="AN986" s="209"/>
      <c r="AO986" s="209"/>
      <c r="AP986" s="209"/>
    </row>
    <row r="987">
      <c r="A987" s="291"/>
      <c r="B987" s="304" t="s">
        <v>3553</v>
      </c>
      <c r="C987" s="304" t="s">
        <v>3550</v>
      </c>
      <c r="D987" s="304" t="s">
        <v>3554</v>
      </c>
      <c r="E987" s="308" t="s">
        <v>3555</v>
      </c>
      <c r="F987" s="209"/>
      <c r="G987" s="209"/>
      <c r="H987" s="209"/>
      <c r="I987" s="384" t="s">
        <v>4420</v>
      </c>
      <c r="J987" s="300" t="b">
        <v>1</v>
      </c>
      <c r="K987" s="301" t="b">
        <v>0</v>
      </c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  <c r="AA987" s="209"/>
      <c r="AB987" s="209"/>
      <c r="AC987" s="209"/>
      <c r="AD987" s="209"/>
      <c r="AE987" s="209"/>
      <c r="AF987" s="209"/>
      <c r="AG987" s="209"/>
      <c r="AH987" s="209"/>
      <c r="AI987" s="209"/>
      <c r="AJ987" s="209"/>
      <c r="AK987" s="209"/>
      <c r="AL987" s="209"/>
      <c r="AM987" s="209"/>
      <c r="AN987" s="209"/>
      <c r="AO987" s="209"/>
      <c r="AP987" s="209"/>
    </row>
    <row r="988">
      <c r="A988" s="291"/>
      <c r="B988" s="304" t="s">
        <v>3556</v>
      </c>
      <c r="C988" s="304" t="s">
        <v>3550</v>
      </c>
      <c r="D988" s="304" t="s">
        <v>3557</v>
      </c>
      <c r="E988" s="307">
        <v>8.1011597765E11</v>
      </c>
      <c r="F988" s="209"/>
      <c r="G988" s="209"/>
      <c r="H988" s="209"/>
      <c r="I988" s="384" t="s">
        <v>4420</v>
      </c>
      <c r="J988" s="300" t="b">
        <v>1</v>
      </c>
      <c r="K988" s="301" t="b">
        <v>0</v>
      </c>
      <c r="L988" s="464" t="s">
        <v>889</v>
      </c>
      <c r="M988" s="465" t="str">
        <f>IF(COUNTIF(M989:M994, TRUE) = COUNTA(M989:M994), "Complete!", IF(COUNTIF(M989:M994, TRUE) &gt; 0, "Partial", "Not Started"))</f>
        <v>Not Started</v>
      </c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  <c r="AA988" s="209"/>
      <c r="AB988" s="209"/>
      <c r="AC988" s="209"/>
      <c r="AD988" s="209"/>
      <c r="AE988" s="209"/>
      <c r="AF988" s="209"/>
      <c r="AG988" s="209"/>
      <c r="AH988" s="209"/>
      <c r="AI988" s="209"/>
      <c r="AJ988" s="209"/>
      <c r="AK988" s="209"/>
      <c r="AL988" s="209"/>
      <c r="AM988" s="209"/>
      <c r="AN988" s="209"/>
      <c r="AO988" s="209"/>
      <c r="AP988" s="209"/>
    </row>
    <row r="989">
      <c r="A989" s="291"/>
      <c r="B989" s="304" t="s">
        <v>3558</v>
      </c>
      <c r="C989" s="304" t="s">
        <v>3559</v>
      </c>
      <c r="D989" s="304" t="s">
        <v>3560</v>
      </c>
      <c r="E989" s="307">
        <v>8.10115977698E11</v>
      </c>
      <c r="F989" s="209"/>
      <c r="G989" s="209"/>
      <c r="H989" s="209"/>
      <c r="I989" s="384" t="s">
        <v>4420</v>
      </c>
      <c r="J989" s="300" t="b">
        <v>1</v>
      </c>
      <c r="K989" s="301" t="b">
        <v>0</v>
      </c>
      <c r="L989" s="419"/>
      <c r="M989" s="301" t="b">
        <v>0</v>
      </c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  <c r="AA989" s="209"/>
      <c r="AB989" s="209"/>
      <c r="AC989" s="209"/>
      <c r="AD989" s="209"/>
      <c r="AE989" s="209"/>
      <c r="AF989" s="209"/>
      <c r="AG989" s="209"/>
      <c r="AH989" s="209"/>
      <c r="AI989" s="209"/>
      <c r="AJ989" s="209"/>
      <c r="AK989" s="209"/>
      <c r="AL989" s="209"/>
      <c r="AM989" s="209"/>
      <c r="AN989" s="209"/>
      <c r="AO989" s="209"/>
      <c r="AP989" s="209"/>
    </row>
    <row r="990">
      <c r="A990" s="291"/>
      <c r="B990" s="304" t="s">
        <v>3561</v>
      </c>
      <c r="C990" s="304" t="s">
        <v>3559</v>
      </c>
      <c r="D990" s="304" t="s">
        <v>3562</v>
      </c>
      <c r="E990" s="308" t="s">
        <v>3563</v>
      </c>
      <c r="F990" s="304" t="s">
        <v>732</v>
      </c>
      <c r="G990" s="209"/>
      <c r="H990" s="209"/>
      <c r="I990" s="304" t="s">
        <v>733</v>
      </c>
      <c r="J990" s="300" t="b">
        <v>1</v>
      </c>
      <c r="K990" s="301" t="b">
        <v>0</v>
      </c>
      <c r="L990" s="419"/>
      <c r="M990" s="301" t="b">
        <v>0</v>
      </c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  <c r="AA990" s="209"/>
      <c r="AB990" s="209"/>
      <c r="AC990" s="209"/>
      <c r="AD990" s="209"/>
      <c r="AE990" s="209"/>
      <c r="AF990" s="209"/>
      <c r="AG990" s="209"/>
      <c r="AH990" s="209"/>
      <c r="AI990" s="209"/>
      <c r="AJ990" s="209"/>
      <c r="AK990" s="209"/>
      <c r="AL990" s="209"/>
      <c r="AM990" s="209"/>
      <c r="AN990" s="209"/>
      <c r="AO990" s="209"/>
      <c r="AP990" s="209"/>
    </row>
    <row r="991">
      <c r="A991" s="309"/>
      <c r="B991" s="311" t="s">
        <v>3564</v>
      </c>
      <c r="C991" s="311" t="s">
        <v>3559</v>
      </c>
      <c r="D991" s="311" t="s">
        <v>3565</v>
      </c>
      <c r="E991" s="318">
        <v>8.10115977681E11</v>
      </c>
      <c r="F991" s="311" t="s">
        <v>732</v>
      </c>
      <c r="G991" s="313"/>
      <c r="H991" s="313"/>
      <c r="I991" s="311" t="s">
        <v>733</v>
      </c>
      <c r="J991" s="300" t="b">
        <v>1</v>
      </c>
      <c r="K991" s="314" t="b">
        <v>0</v>
      </c>
      <c r="L991" s="209"/>
      <c r="M991" s="301" t="b">
        <v>0</v>
      </c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  <c r="AA991" s="209"/>
      <c r="AB991" s="209"/>
      <c r="AC991" s="209"/>
      <c r="AD991" s="209"/>
      <c r="AE991" s="209"/>
      <c r="AF991" s="209"/>
      <c r="AG991" s="209"/>
      <c r="AH991" s="209"/>
      <c r="AI991" s="209"/>
      <c r="AJ991" s="209"/>
      <c r="AK991" s="209"/>
      <c r="AL991" s="209"/>
      <c r="AM991" s="209"/>
      <c r="AN991" s="209"/>
      <c r="AO991" s="209"/>
      <c r="AP991" s="209"/>
    </row>
    <row r="992">
      <c r="A992" s="209"/>
      <c r="B992" s="209"/>
      <c r="C992" s="209"/>
      <c r="D992" s="313"/>
      <c r="E992" s="209"/>
      <c r="F992" s="209"/>
      <c r="G992" s="209"/>
      <c r="H992" s="209"/>
      <c r="I992" s="209"/>
      <c r="J992" s="209"/>
      <c r="K992" s="209"/>
      <c r="L992" s="209"/>
      <c r="M992" s="301" t="b">
        <v>0</v>
      </c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  <c r="AA992" s="209"/>
      <c r="AB992" s="209"/>
      <c r="AC992" s="209"/>
      <c r="AD992" s="209"/>
      <c r="AE992" s="209"/>
      <c r="AF992" s="209"/>
      <c r="AG992" s="209"/>
      <c r="AH992" s="209"/>
      <c r="AI992" s="209"/>
      <c r="AJ992" s="209"/>
      <c r="AK992" s="209"/>
      <c r="AL992" s="209"/>
      <c r="AM992" s="209"/>
      <c r="AN992" s="209"/>
      <c r="AO992" s="209"/>
      <c r="AP992" s="209"/>
    </row>
    <row r="993">
      <c r="A993" s="316" t="s">
        <v>3566</v>
      </c>
      <c r="B993" s="339" t="s">
        <v>3567</v>
      </c>
      <c r="C993" s="320"/>
      <c r="D993" s="283" t="s">
        <v>3568</v>
      </c>
      <c r="E993" s="336" t="s">
        <v>348</v>
      </c>
      <c r="F993" s="436"/>
      <c r="G993" s="320"/>
      <c r="H993" s="285" t="s">
        <v>4176</v>
      </c>
      <c r="I993" s="285" t="s">
        <v>3548</v>
      </c>
      <c r="J993" s="333" t="str">
        <f>IF(COUNTIF(J994:J996, TRUE) = COUNTA(J994:J996), "Complete!", IF(COUNTIF(J994:J996, TRUE) &gt; 0, "Partial", "Not Started"))</f>
        <v>Complete!</v>
      </c>
      <c r="K993" s="334"/>
      <c r="L993" s="209"/>
      <c r="M993" s="301" t="b">
        <v>0</v>
      </c>
      <c r="N993" s="280">
        <v>3.0</v>
      </c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  <c r="AA993" s="209"/>
      <c r="AB993" s="209"/>
      <c r="AC993" s="209"/>
      <c r="AD993" s="209"/>
      <c r="AE993" s="209"/>
      <c r="AF993" s="209"/>
      <c r="AG993" s="209"/>
      <c r="AH993" s="209"/>
      <c r="AI993" s="209"/>
      <c r="AJ993" s="209"/>
      <c r="AK993" s="209"/>
      <c r="AL993" s="209"/>
      <c r="AM993" s="209"/>
      <c r="AN993" s="209"/>
      <c r="AO993" s="209"/>
      <c r="AP993" s="209"/>
    </row>
    <row r="994">
      <c r="A994" s="291"/>
      <c r="B994" s="304" t="s">
        <v>3570</v>
      </c>
      <c r="C994" s="304" t="s">
        <v>3559</v>
      </c>
      <c r="D994" s="304" t="s">
        <v>3571</v>
      </c>
      <c r="E994" s="308" t="s">
        <v>3572</v>
      </c>
      <c r="F994" s="209"/>
      <c r="G994" s="209"/>
      <c r="H994" s="209"/>
      <c r="I994" s="209"/>
      <c r="J994" s="300" t="b">
        <v>1</v>
      </c>
      <c r="K994" s="301" t="b">
        <v>0</v>
      </c>
      <c r="L994" s="365"/>
      <c r="M994" s="314" t="b">
        <v>0</v>
      </c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  <c r="AA994" s="209"/>
      <c r="AB994" s="209"/>
      <c r="AC994" s="209"/>
      <c r="AD994" s="209"/>
      <c r="AE994" s="209"/>
      <c r="AF994" s="209"/>
      <c r="AG994" s="209"/>
      <c r="AH994" s="209"/>
      <c r="AI994" s="209"/>
      <c r="AJ994" s="209"/>
      <c r="AK994" s="209"/>
      <c r="AL994" s="209"/>
      <c r="AM994" s="209"/>
      <c r="AN994" s="209"/>
      <c r="AO994" s="209"/>
      <c r="AP994" s="209"/>
    </row>
    <row r="995">
      <c r="A995" s="291"/>
      <c r="B995" s="304" t="s">
        <v>3573</v>
      </c>
      <c r="C995" s="304" t="s">
        <v>3559</v>
      </c>
      <c r="D995" s="304" t="s">
        <v>3574</v>
      </c>
      <c r="E995" s="308" t="s">
        <v>3575</v>
      </c>
      <c r="F995" s="209"/>
      <c r="G995" s="209"/>
      <c r="H995" s="209"/>
      <c r="I995" s="209"/>
      <c r="J995" s="300" t="b">
        <v>1</v>
      </c>
      <c r="K995" s="301" t="b">
        <v>0</v>
      </c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  <c r="AA995" s="209"/>
      <c r="AB995" s="209"/>
      <c r="AC995" s="209"/>
      <c r="AD995" s="209"/>
      <c r="AE995" s="209"/>
      <c r="AF995" s="209"/>
      <c r="AG995" s="209"/>
      <c r="AH995" s="209"/>
      <c r="AI995" s="209"/>
      <c r="AJ995" s="209"/>
      <c r="AK995" s="209"/>
      <c r="AL995" s="209"/>
      <c r="AM995" s="209"/>
      <c r="AN995" s="209"/>
      <c r="AO995" s="209"/>
      <c r="AP995" s="209"/>
    </row>
    <row r="996">
      <c r="A996" s="309"/>
      <c r="B996" s="311" t="s">
        <v>3576</v>
      </c>
      <c r="C996" s="311" t="s">
        <v>3559</v>
      </c>
      <c r="D996" s="311" t="s">
        <v>3577</v>
      </c>
      <c r="E996" s="335" t="s">
        <v>3578</v>
      </c>
      <c r="F996" s="313"/>
      <c r="G996" s="313"/>
      <c r="H996" s="313"/>
      <c r="I996" s="313"/>
      <c r="J996" s="350" t="b">
        <v>1</v>
      </c>
      <c r="K996" s="314" t="b">
        <v>0</v>
      </c>
      <c r="L996" s="464" t="s">
        <v>889</v>
      </c>
      <c r="M996" s="465" t="str">
        <f>IF(COUNTIF(M997:M999, TRUE) = COUNTA(M997:M999), "Complete!", IF(COUNTIF(M997:M999, TRUE) &gt; 0, "Partial", "Not Started"))</f>
        <v>Not Started</v>
      </c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  <c r="AA996" s="209"/>
      <c r="AB996" s="209"/>
      <c r="AC996" s="209"/>
      <c r="AD996" s="209"/>
      <c r="AE996" s="209"/>
      <c r="AF996" s="209"/>
      <c r="AG996" s="209"/>
      <c r="AH996" s="209"/>
      <c r="AI996" s="209"/>
      <c r="AJ996" s="209"/>
      <c r="AK996" s="209"/>
      <c r="AL996" s="209"/>
      <c r="AM996" s="209"/>
      <c r="AN996" s="209"/>
      <c r="AO996" s="209"/>
      <c r="AP996" s="209"/>
    </row>
    <row r="997">
      <c r="A997" s="209"/>
      <c r="B997" s="209"/>
      <c r="C997" s="209"/>
      <c r="D997" s="313"/>
      <c r="E997" s="209"/>
      <c r="F997" s="209"/>
      <c r="G997" s="209"/>
      <c r="H997" s="209"/>
      <c r="I997" s="209"/>
      <c r="J997" s="209"/>
      <c r="K997" s="209"/>
      <c r="L997" s="419"/>
      <c r="M997" s="301" t="b">
        <v>0</v>
      </c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  <c r="AA997" s="209"/>
      <c r="AB997" s="209"/>
      <c r="AC997" s="209"/>
      <c r="AD997" s="209"/>
      <c r="AE997" s="209"/>
      <c r="AF997" s="209"/>
      <c r="AG997" s="209"/>
      <c r="AH997" s="209"/>
      <c r="AI997" s="209"/>
      <c r="AJ997" s="209"/>
      <c r="AK997" s="209"/>
      <c r="AL997" s="209"/>
      <c r="AM997" s="209"/>
      <c r="AN997" s="209"/>
      <c r="AO997" s="209"/>
      <c r="AP997" s="209"/>
    </row>
    <row r="998">
      <c r="A998" s="316" t="s">
        <v>3579</v>
      </c>
      <c r="B998" s="319" t="s">
        <v>3580</v>
      </c>
      <c r="C998" s="320"/>
      <c r="D998" s="283" t="s">
        <v>3581</v>
      </c>
      <c r="E998" s="336" t="s">
        <v>3582</v>
      </c>
      <c r="F998" s="320"/>
      <c r="G998" s="320"/>
      <c r="H998" s="285" t="s">
        <v>2803</v>
      </c>
      <c r="I998" s="285" t="s">
        <v>4421</v>
      </c>
      <c r="J998" s="333" t="str">
        <f>IF(COUNTIF(J999:J1006, TRUE) = COUNTA(J999:J1006), "Complete!", IF(COUNTIF(J999:J1006, TRUE) &gt; 0, "Partial", "Not Started"))</f>
        <v>Complete!</v>
      </c>
      <c r="K998" s="334"/>
      <c r="L998" s="419"/>
      <c r="M998" s="301" t="b">
        <v>0</v>
      </c>
      <c r="N998" s="280">
        <v>21.0</v>
      </c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  <c r="AA998" s="209"/>
      <c r="AB998" s="209"/>
      <c r="AC998" s="209"/>
      <c r="AD998" s="209"/>
      <c r="AE998" s="209"/>
      <c r="AF998" s="209"/>
      <c r="AG998" s="209"/>
      <c r="AH998" s="209"/>
      <c r="AI998" s="209"/>
      <c r="AJ998" s="209"/>
      <c r="AK998" s="209"/>
      <c r="AL998" s="209"/>
      <c r="AM998" s="209"/>
      <c r="AN998" s="209"/>
      <c r="AO998" s="209"/>
      <c r="AP998" s="209"/>
    </row>
    <row r="999">
      <c r="A999" s="291"/>
      <c r="B999" s="408" t="s">
        <v>3584</v>
      </c>
      <c r="C999" s="409" t="s">
        <v>3585</v>
      </c>
      <c r="D999" s="304" t="s">
        <v>3586</v>
      </c>
      <c r="E999" s="302" t="s">
        <v>3587</v>
      </c>
      <c r="F999" s="209"/>
      <c r="G999" s="209"/>
      <c r="H999" s="209"/>
      <c r="I999" s="209"/>
      <c r="J999" s="296" t="b">
        <v>1</v>
      </c>
      <c r="K999" s="297" t="b">
        <v>0</v>
      </c>
      <c r="L999" s="365"/>
      <c r="M999" s="314" t="b">
        <v>0</v>
      </c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  <c r="AA999" s="209"/>
      <c r="AB999" s="209"/>
      <c r="AC999" s="209"/>
      <c r="AD999" s="209"/>
      <c r="AE999" s="209"/>
      <c r="AF999" s="209"/>
      <c r="AG999" s="209"/>
      <c r="AH999" s="209"/>
      <c r="AI999" s="209"/>
      <c r="AJ999" s="209"/>
      <c r="AK999" s="209"/>
      <c r="AL999" s="209"/>
      <c r="AM999" s="209"/>
      <c r="AN999" s="209"/>
      <c r="AO999" s="209"/>
      <c r="AP999" s="209"/>
    </row>
    <row r="1000">
      <c r="A1000" s="291"/>
      <c r="B1000" s="376" t="s">
        <v>3588</v>
      </c>
      <c r="C1000" s="377" t="s">
        <v>3585</v>
      </c>
      <c r="D1000" s="304" t="s">
        <v>3589</v>
      </c>
      <c r="E1000" s="308" t="s">
        <v>3590</v>
      </c>
      <c r="F1000" s="209"/>
      <c r="G1000" s="209"/>
      <c r="H1000" s="209"/>
      <c r="I1000" s="209"/>
      <c r="J1000" s="296" t="b">
        <v>1</v>
      </c>
      <c r="K1000" s="301" t="b">
        <v>0</v>
      </c>
      <c r="L1000" s="288"/>
      <c r="M1000" s="288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  <c r="AA1000" s="209"/>
      <c r="AB1000" s="209"/>
      <c r="AC1000" s="209"/>
      <c r="AD1000" s="209"/>
      <c r="AE1000" s="209"/>
      <c r="AF1000" s="209"/>
      <c r="AG1000" s="209"/>
      <c r="AH1000" s="209"/>
      <c r="AI1000" s="209"/>
      <c r="AJ1000" s="209"/>
      <c r="AK1000" s="209"/>
      <c r="AL1000" s="209"/>
      <c r="AM1000" s="209"/>
      <c r="AN1000" s="209"/>
      <c r="AO1000" s="209"/>
      <c r="AP1000" s="209"/>
    </row>
    <row r="1001">
      <c r="A1001" s="291"/>
      <c r="B1001" s="376" t="s">
        <v>3591</v>
      </c>
      <c r="C1001" s="377" t="s">
        <v>3585</v>
      </c>
      <c r="D1001" s="304" t="s">
        <v>3592</v>
      </c>
      <c r="E1001" s="308" t="s">
        <v>3593</v>
      </c>
      <c r="F1001" s="209"/>
      <c r="G1001" s="209"/>
      <c r="H1001" s="209"/>
      <c r="I1001" s="209"/>
      <c r="J1001" s="296" t="b">
        <v>1</v>
      </c>
      <c r="K1001" s="301" t="b">
        <v>0</v>
      </c>
      <c r="L1001" s="464" t="s">
        <v>889</v>
      </c>
      <c r="M1001" s="465" t="str">
        <f>IF(COUNTIF(M1002:M1022, TRUE) = COUNTA(M1002:M1022), "Complete!", IF(COUNTIF(M1002:M1022, TRUE) &gt; 0, "Partial", "Not Started"))</f>
        <v>Not Started</v>
      </c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09"/>
      <c r="Z1001" s="209"/>
      <c r="AA1001" s="209"/>
      <c r="AB1001" s="209"/>
      <c r="AC1001" s="209"/>
      <c r="AD1001" s="209"/>
      <c r="AE1001" s="209"/>
      <c r="AF1001" s="209"/>
      <c r="AG1001" s="209"/>
      <c r="AH1001" s="209"/>
      <c r="AI1001" s="209"/>
      <c r="AJ1001" s="209"/>
      <c r="AK1001" s="209"/>
      <c r="AL1001" s="209"/>
      <c r="AM1001" s="209"/>
      <c r="AN1001" s="209"/>
      <c r="AO1001" s="209"/>
      <c r="AP1001" s="209"/>
    </row>
    <row r="1002">
      <c r="A1002" s="291"/>
      <c r="B1002" s="303" t="s">
        <v>3594</v>
      </c>
      <c r="C1002" s="304" t="s">
        <v>3595</v>
      </c>
      <c r="D1002" s="304" t="s">
        <v>3596</v>
      </c>
      <c r="E1002" s="307">
        <v>8.10115977322E11</v>
      </c>
      <c r="F1002" s="209"/>
      <c r="G1002" s="209"/>
      <c r="H1002" s="209"/>
      <c r="I1002" s="209"/>
      <c r="J1002" s="296" t="b">
        <v>1</v>
      </c>
      <c r="K1002" s="301" t="b">
        <v>0</v>
      </c>
      <c r="L1002" s="419"/>
      <c r="M1002" s="301" t="b">
        <v>0</v>
      </c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09"/>
      <c r="Z1002" s="209"/>
      <c r="AA1002" s="209"/>
      <c r="AB1002" s="209"/>
      <c r="AC1002" s="209"/>
      <c r="AD1002" s="209"/>
      <c r="AE1002" s="209"/>
      <c r="AF1002" s="209"/>
      <c r="AG1002" s="209"/>
      <c r="AH1002" s="209"/>
      <c r="AI1002" s="209"/>
      <c r="AJ1002" s="209"/>
      <c r="AK1002" s="209"/>
      <c r="AL1002" s="209"/>
      <c r="AM1002" s="209"/>
      <c r="AN1002" s="209"/>
      <c r="AO1002" s="209"/>
      <c r="AP1002" s="209"/>
    </row>
    <row r="1003">
      <c r="A1003" s="291"/>
      <c r="B1003" s="303" t="s">
        <v>3597</v>
      </c>
      <c r="C1003" s="304" t="s">
        <v>3595</v>
      </c>
      <c r="D1003" s="304" t="s">
        <v>3598</v>
      </c>
      <c r="E1003" s="307">
        <v>8.10115977353E11</v>
      </c>
      <c r="F1003" s="209"/>
      <c r="G1003" s="209"/>
      <c r="H1003" s="209"/>
      <c r="I1003" s="209"/>
      <c r="J1003" s="296" t="b">
        <v>1</v>
      </c>
      <c r="K1003" s="301" t="b">
        <v>0</v>
      </c>
      <c r="L1003" s="419"/>
      <c r="M1003" s="301" t="b">
        <v>0</v>
      </c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09"/>
      <c r="Z1003" s="209"/>
      <c r="AA1003" s="209"/>
      <c r="AB1003" s="209"/>
      <c r="AC1003" s="209"/>
      <c r="AD1003" s="209"/>
      <c r="AE1003" s="209"/>
      <c r="AF1003" s="209"/>
      <c r="AG1003" s="209"/>
      <c r="AH1003" s="209"/>
      <c r="AI1003" s="209"/>
      <c r="AJ1003" s="209"/>
      <c r="AK1003" s="209"/>
      <c r="AL1003" s="209"/>
      <c r="AM1003" s="209"/>
      <c r="AN1003" s="209"/>
      <c r="AO1003" s="209"/>
      <c r="AP1003" s="209"/>
    </row>
    <row r="1004">
      <c r="A1004" s="291"/>
      <c r="B1004" s="303" t="s">
        <v>3599</v>
      </c>
      <c r="C1004" s="304" t="s">
        <v>3600</v>
      </c>
      <c r="D1004" s="304" t="s">
        <v>3601</v>
      </c>
      <c r="E1004" s="308" t="s">
        <v>3602</v>
      </c>
      <c r="F1004" s="209"/>
      <c r="G1004" s="209"/>
      <c r="H1004" s="209"/>
      <c r="I1004" s="209"/>
      <c r="J1004" s="296" t="b">
        <v>1</v>
      </c>
      <c r="K1004" s="301" t="b">
        <v>0</v>
      </c>
      <c r="L1004" s="419"/>
      <c r="M1004" s="301" t="b">
        <v>0</v>
      </c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09"/>
      <c r="Z1004" s="209"/>
      <c r="AA1004" s="209"/>
      <c r="AB1004" s="209"/>
      <c r="AC1004" s="209"/>
      <c r="AD1004" s="209"/>
      <c r="AE1004" s="209"/>
      <c r="AF1004" s="209"/>
      <c r="AG1004" s="209"/>
      <c r="AH1004" s="209"/>
      <c r="AI1004" s="209"/>
      <c r="AJ1004" s="209"/>
      <c r="AK1004" s="209"/>
      <c r="AL1004" s="209"/>
      <c r="AM1004" s="209"/>
      <c r="AN1004" s="209"/>
      <c r="AO1004" s="209"/>
      <c r="AP1004" s="209"/>
    </row>
    <row r="1005">
      <c r="A1005" s="291"/>
      <c r="B1005" s="303" t="s">
        <v>3603</v>
      </c>
      <c r="C1005" s="304" t="s">
        <v>3600</v>
      </c>
      <c r="D1005" s="304" t="s">
        <v>3604</v>
      </c>
      <c r="E1005" s="307">
        <v>8.10115977414E11</v>
      </c>
      <c r="F1005" s="209"/>
      <c r="G1005" s="209"/>
      <c r="H1005" s="209"/>
      <c r="I1005" s="209"/>
      <c r="J1005" s="296" t="b">
        <v>1</v>
      </c>
      <c r="K1005" s="301" t="b">
        <v>0</v>
      </c>
      <c r="L1005" s="419"/>
      <c r="M1005" s="301" t="b">
        <v>0</v>
      </c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09"/>
      <c r="Z1005" s="209"/>
      <c r="AA1005" s="209"/>
      <c r="AB1005" s="209"/>
      <c r="AC1005" s="209"/>
      <c r="AD1005" s="209"/>
      <c r="AE1005" s="209"/>
      <c r="AF1005" s="209"/>
      <c r="AG1005" s="209"/>
      <c r="AH1005" s="209"/>
      <c r="AI1005" s="209"/>
      <c r="AJ1005" s="209"/>
      <c r="AK1005" s="209"/>
      <c r="AL1005" s="209"/>
      <c r="AM1005" s="209"/>
      <c r="AN1005" s="209"/>
      <c r="AO1005" s="209"/>
      <c r="AP1005" s="209"/>
    </row>
    <row r="1006">
      <c r="A1006" s="291"/>
      <c r="B1006" s="376" t="s">
        <v>3605</v>
      </c>
      <c r="C1006" s="377" t="s">
        <v>3585</v>
      </c>
      <c r="D1006" s="304" t="s">
        <v>3606</v>
      </c>
      <c r="E1006" s="308" t="s">
        <v>3607</v>
      </c>
      <c r="F1006" s="209"/>
      <c r="G1006" s="209"/>
      <c r="H1006" s="209"/>
      <c r="I1006" s="209"/>
      <c r="J1006" s="296" t="b">
        <v>1</v>
      </c>
      <c r="K1006" s="301" t="b">
        <v>0</v>
      </c>
      <c r="L1006" s="419"/>
      <c r="M1006" s="301" t="b">
        <v>0</v>
      </c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09"/>
      <c r="Z1006" s="209"/>
      <c r="AA1006" s="209"/>
      <c r="AB1006" s="209"/>
      <c r="AC1006" s="209"/>
      <c r="AD1006" s="209"/>
      <c r="AE1006" s="209"/>
      <c r="AF1006" s="209"/>
      <c r="AG1006" s="209"/>
      <c r="AH1006" s="209"/>
      <c r="AI1006" s="209"/>
      <c r="AJ1006" s="209"/>
      <c r="AK1006" s="209"/>
      <c r="AL1006" s="209"/>
      <c r="AM1006" s="209"/>
      <c r="AN1006" s="209"/>
      <c r="AO1006" s="209"/>
      <c r="AP1006" s="209"/>
    </row>
    <row r="1007">
      <c r="A1007" s="291"/>
      <c r="B1007" s="376" t="s">
        <v>3608</v>
      </c>
      <c r="C1007" s="377" t="s">
        <v>3585</v>
      </c>
      <c r="D1007" s="304" t="s">
        <v>3609</v>
      </c>
      <c r="E1007" s="308" t="s">
        <v>3610</v>
      </c>
      <c r="F1007" s="209"/>
      <c r="G1007" s="209"/>
      <c r="H1007" s="209"/>
      <c r="I1007" s="209"/>
      <c r="J1007" s="296" t="b">
        <v>1</v>
      </c>
      <c r="K1007" s="301" t="b">
        <v>0</v>
      </c>
      <c r="L1007" s="209"/>
      <c r="M1007" s="301" t="b">
        <v>0</v>
      </c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09"/>
      <c r="Z1007" s="209"/>
      <c r="AA1007" s="209"/>
      <c r="AB1007" s="209"/>
      <c r="AC1007" s="209"/>
      <c r="AD1007" s="209"/>
      <c r="AE1007" s="209"/>
      <c r="AF1007" s="209"/>
      <c r="AG1007" s="209"/>
      <c r="AH1007" s="209"/>
      <c r="AI1007" s="209"/>
      <c r="AJ1007" s="209"/>
      <c r="AK1007" s="209"/>
      <c r="AL1007" s="209"/>
      <c r="AM1007" s="209"/>
      <c r="AN1007" s="209"/>
      <c r="AO1007" s="209"/>
      <c r="AP1007" s="209"/>
    </row>
    <row r="1008">
      <c r="A1008" s="291"/>
      <c r="B1008" s="377" t="s">
        <v>3611</v>
      </c>
      <c r="C1008" s="377" t="s">
        <v>3585</v>
      </c>
      <c r="D1008" s="304" t="s">
        <v>3612</v>
      </c>
      <c r="E1008" s="308" t="s">
        <v>3613</v>
      </c>
      <c r="F1008" s="209"/>
      <c r="G1008" s="209"/>
      <c r="H1008" s="209"/>
      <c r="I1008" s="209"/>
      <c r="J1008" s="296" t="b">
        <v>1</v>
      </c>
      <c r="K1008" s="301" t="b">
        <v>0</v>
      </c>
      <c r="L1008" s="209"/>
      <c r="M1008" s="301" t="b">
        <v>0</v>
      </c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09"/>
      <c r="Z1008" s="209"/>
      <c r="AA1008" s="209"/>
      <c r="AB1008" s="209"/>
      <c r="AC1008" s="209"/>
      <c r="AD1008" s="209"/>
      <c r="AE1008" s="209"/>
      <c r="AF1008" s="209"/>
      <c r="AG1008" s="209"/>
      <c r="AH1008" s="209"/>
      <c r="AI1008" s="209"/>
      <c r="AJ1008" s="209"/>
      <c r="AK1008" s="209"/>
      <c r="AL1008" s="209"/>
      <c r="AM1008" s="209"/>
      <c r="AN1008" s="209"/>
      <c r="AO1008" s="209"/>
      <c r="AP1008" s="209"/>
    </row>
    <row r="1009">
      <c r="A1009" s="291"/>
      <c r="B1009" s="303" t="s">
        <v>3614</v>
      </c>
      <c r="C1009" s="304" t="s">
        <v>3595</v>
      </c>
      <c r="D1009" s="304" t="s">
        <v>3615</v>
      </c>
      <c r="E1009" s="308" t="s">
        <v>3616</v>
      </c>
      <c r="F1009" s="209"/>
      <c r="G1009" s="209"/>
      <c r="H1009" s="209"/>
      <c r="I1009" s="209"/>
      <c r="J1009" s="296" t="b">
        <v>1</v>
      </c>
      <c r="K1009" s="301" t="b">
        <v>0</v>
      </c>
      <c r="L1009" s="209"/>
      <c r="M1009" s="301" t="b">
        <v>0</v>
      </c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09"/>
      <c r="Z1009" s="209"/>
      <c r="AA1009" s="209"/>
      <c r="AB1009" s="209"/>
      <c r="AC1009" s="209"/>
      <c r="AD1009" s="209"/>
      <c r="AE1009" s="209"/>
      <c r="AF1009" s="209"/>
      <c r="AG1009" s="209"/>
      <c r="AH1009" s="209"/>
      <c r="AI1009" s="209"/>
      <c r="AJ1009" s="209"/>
      <c r="AK1009" s="209"/>
      <c r="AL1009" s="209"/>
      <c r="AM1009" s="209"/>
      <c r="AN1009" s="209"/>
      <c r="AO1009" s="209"/>
      <c r="AP1009" s="209"/>
    </row>
    <row r="1010">
      <c r="A1010" s="291"/>
      <c r="B1010" s="303" t="s">
        <v>3617</v>
      </c>
      <c r="C1010" s="304" t="s">
        <v>3595</v>
      </c>
      <c r="D1010" s="304" t="s">
        <v>3618</v>
      </c>
      <c r="E1010" s="308" t="s">
        <v>3619</v>
      </c>
      <c r="F1010" s="209"/>
      <c r="G1010" s="209"/>
      <c r="H1010" s="209"/>
      <c r="I1010" s="209"/>
      <c r="J1010" s="296" t="b">
        <v>1</v>
      </c>
      <c r="K1010" s="301" t="b">
        <v>0</v>
      </c>
      <c r="L1010" s="209"/>
      <c r="M1010" s="301" t="b">
        <v>0</v>
      </c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09"/>
      <c r="Z1010" s="209"/>
      <c r="AA1010" s="209"/>
      <c r="AB1010" s="209"/>
      <c r="AC1010" s="209"/>
      <c r="AD1010" s="209"/>
      <c r="AE1010" s="209"/>
      <c r="AF1010" s="209"/>
      <c r="AG1010" s="209"/>
      <c r="AH1010" s="209"/>
      <c r="AI1010" s="209"/>
      <c r="AJ1010" s="209"/>
      <c r="AK1010" s="209"/>
      <c r="AL1010" s="209"/>
      <c r="AM1010" s="209"/>
      <c r="AN1010" s="209"/>
      <c r="AO1010" s="209"/>
      <c r="AP1010" s="209"/>
    </row>
    <row r="1011">
      <c r="A1011" s="291"/>
      <c r="B1011" s="303" t="s">
        <v>3620</v>
      </c>
      <c r="C1011" s="304" t="s">
        <v>3600</v>
      </c>
      <c r="D1011" s="304" t="s">
        <v>3621</v>
      </c>
      <c r="E1011" s="308" t="s">
        <v>3622</v>
      </c>
      <c r="F1011" s="209"/>
      <c r="G1011" s="209"/>
      <c r="H1011" s="209"/>
      <c r="I1011" s="209"/>
      <c r="J1011" s="296" t="b">
        <v>1</v>
      </c>
      <c r="K1011" s="301" t="b">
        <v>0</v>
      </c>
      <c r="L1011" s="209"/>
      <c r="M1011" s="301" t="b">
        <v>0</v>
      </c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09"/>
      <c r="Z1011" s="209"/>
      <c r="AA1011" s="209"/>
      <c r="AB1011" s="209"/>
      <c r="AC1011" s="209"/>
      <c r="AD1011" s="209"/>
      <c r="AE1011" s="209"/>
      <c r="AF1011" s="209"/>
      <c r="AG1011" s="209"/>
      <c r="AH1011" s="209"/>
      <c r="AI1011" s="209"/>
      <c r="AJ1011" s="209"/>
      <c r="AK1011" s="209"/>
      <c r="AL1011" s="209"/>
      <c r="AM1011" s="209"/>
      <c r="AN1011" s="209"/>
      <c r="AO1011" s="209"/>
      <c r="AP1011" s="209"/>
    </row>
    <row r="1012">
      <c r="A1012" s="291"/>
      <c r="B1012" s="303" t="s">
        <v>3623</v>
      </c>
      <c r="C1012" s="304" t="s">
        <v>3600</v>
      </c>
      <c r="D1012" s="304" t="s">
        <v>3624</v>
      </c>
      <c r="E1012" s="307">
        <v>8.10115977407E11</v>
      </c>
      <c r="F1012" s="209"/>
      <c r="G1012" s="209"/>
      <c r="H1012" s="209"/>
      <c r="I1012" s="209"/>
      <c r="J1012" s="296" t="b">
        <v>1</v>
      </c>
      <c r="K1012" s="301" t="b">
        <v>0</v>
      </c>
      <c r="L1012" s="209"/>
      <c r="M1012" s="301" t="b">
        <v>0</v>
      </c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09"/>
      <c r="Z1012" s="209"/>
      <c r="AA1012" s="209"/>
      <c r="AB1012" s="209"/>
      <c r="AC1012" s="209"/>
      <c r="AD1012" s="209"/>
      <c r="AE1012" s="209"/>
      <c r="AF1012" s="209"/>
      <c r="AG1012" s="209"/>
      <c r="AH1012" s="209"/>
      <c r="AI1012" s="209"/>
      <c r="AJ1012" s="209"/>
      <c r="AK1012" s="209"/>
      <c r="AL1012" s="209"/>
      <c r="AM1012" s="209"/>
      <c r="AN1012" s="209"/>
      <c r="AO1012" s="209"/>
      <c r="AP1012" s="209"/>
    </row>
    <row r="1013">
      <c r="A1013" s="291"/>
      <c r="B1013" s="376" t="s">
        <v>3625</v>
      </c>
      <c r="C1013" s="377" t="s">
        <v>3585</v>
      </c>
      <c r="D1013" s="304" t="s">
        <v>3626</v>
      </c>
      <c r="E1013" s="308" t="s">
        <v>3627</v>
      </c>
      <c r="F1013" s="209"/>
      <c r="G1013" s="209"/>
      <c r="H1013" s="209"/>
      <c r="I1013" s="209"/>
      <c r="J1013" s="296" t="b">
        <v>1</v>
      </c>
      <c r="K1013" s="301" t="b">
        <v>0</v>
      </c>
      <c r="L1013" s="209"/>
      <c r="M1013" s="301" t="b">
        <v>0</v>
      </c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09"/>
      <c r="Z1013" s="209"/>
      <c r="AA1013" s="209"/>
      <c r="AB1013" s="209"/>
      <c r="AC1013" s="209"/>
      <c r="AD1013" s="209"/>
      <c r="AE1013" s="209"/>
      <c r="AF1013" s="209"/>
      <c r="AG1013" s="209"/>
      <c r="AH1013" s="209"/>
      <c r="AI1013" s="209"/>
      <c r="AJ1013" s="209"/>
      <c r="AK1013" s="209"/>
      <c r="AL1013" s="209"/>
      <c r="AM1013" s="209"/>
      <c r="AN1013" s="209"/>
      <c r="AO1013" s="209"/>
      <c r="AP1013" s="209"/>
    </row>
    <row r="1014">
      <c r="A1014" s="291"/>
      <c r="B1014" s="377" t="s">
        <v>3628</v>
      </c>
      <c r="C1014" s="377" t="s">
        <v>3585</v>
      </c>
      <c r="D1014" s="304" t="s">
        <v>3629</v>
      </c>
      <c r="E1014" s="308" t="s">
        <v>3630</v>
      </c>
      <c r="F1014" s="209"/>
      <c r="G1014" s="209"/>
      <c r="H1014" s="209"/>
      <c r="I1014" s="209"/>
      <c r="J1014" s="296" t="b">
        <v>1</v>
      </c>
      <c r="K1014" s="301" t="b">
        <v>0</v>
      </c>
      <c r="L1014" s="209"/>
      <c r="M1014" s="301" t="b">
        <v>0</v>
      </c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09"/>
      <c r="Z1014" s="209"/>
      <c r="AA1014" s="209"/>
      <c r="AB1014" s="209"/>
      <c r="AC1014" s="209"/>
      <c r="AD1014" s="209"/>
      <c r="AE1014" s="209"/>
      <c r="AF1014" s="209"/>
      <c r="AG1014" s="209"/>
      <c r="AH1014" s="209"/>
      <c r="AI1014" s="209"/>
      <c r="AJ1014" s="209"/>
      <c r="AK1014" s="209"/>
      <c r="AL1014" s="209"/>
      <c r="AM1014" s="209"/>
      <c r="AN1014" s="209"/>
      <c r="AO1014" s="209"/>
      <c r="AP1014" s="209"/>
    </row>
    <row r="1015">
      <c r="A1015" s="291"/>
      <c r="B1015" s="377" t="s">
        <v>3631</v>
      </c>
      <c r="C1015" s="377" t="s">
        <v>3585</v>
      </c>
      <c r="D1015" s="304" t="s">
        <v>3632</v>
      </c>
      <c r="E1015" s="308" t="s">
        <v>3633</v>
      </c>
      <c r="F1015" s="209"/>
      <c r="G1015" s="209"/>
      <c r="H1015" s="209"/>
      <c r="I1015" s="209"/>
      <c r="J1015" s="296" t="b">
        <v>1</v>
      </c>
      <c r="K1015" s="301" t="b">
        <v>0</v>
      </c>
      <c r="L1015" s="209"/>
      <c r="M1015" s="301" t="b">
        <v>0</v>
      </c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09"/>
      <c r="Z1015" s="209"/>
      <c r="AA1015" s="209"/>
      <c r="AB1015" s="209"/>
      <c r="AC1015" s="209"/>
      <c r="AD1015" s="209"/>
      <c r="AE1015" s="209"/>
      <c r="AF1015" s="209"/>
      <c r="AG1015" s="209"/>
      <c r="AH1015" s="209"/>
      <c r="AI1015" s="209"/>
      <c r="AJ1015" s="209"/>
      <c r="AK1015" s="209"/>
      <c r="AL1015" s="209"/>
      <c r="AM1015" s="209"/>
      <c r="AN1015" s="209"/>
      <c r="AO1015" s="209"/>
      <c r="AP1015" s="209"/>
    </row>
    <row r="1016">
      <c r="A1016" s="291"/>
      <c r="B1016" s="304" t="s">
        <v>3634</v>
      </c>
      <c r="C1016" s="304" t="s">
        <v>3595</v>
      </c>
      <c r="D1016" s="304" t="s">
        <v>3635</v>
      </c>
      <c r="E1016" s="308">
        <v>8.10115977339E11</v>
      </c>
      <c r="F1016" s="209"/>
      <c r="G1016" s="209"/>
      <c r="H1016" s="209"/>
      <c r="I1016" s="209"/>
      <c r="J1016" s="296" t="b">
        <v>1</v>
      </c>
      <c r="K1016" s="301" t="b">
        <v>0</v>
      </c>
      <c r="L1016" s="209"/>
      <c r="M1016" s="301" t="b">
        <v>0</v>
      </c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09"/>
      <c r="Z1016" s="209"/>
      <c r="AA1016" s="209"/>
      <c r="AB1016" s="209"/>
      <c r="AC1016" s="209"/>
      <c r="AD1016" s="209"/>
      <c r="AE1016" s="209"/>
      <c r="AF1016" s="209"/>
      <c r="AG1016" s="209"/>
      <c r="AH1016" s="209"/>
      <c r="AI1016" s="209"/>
      <c r="AJ1016" s="209"/>
      <c r="AK1016" s="209"/>
      <c r="AL1016" s="209"/>
      <c r="AM1016" s="209"/>
      <c r="AN1016" s="209"/>
      <c r="AO1016" s="209"/>
      <c r="AP1016" s="209"/>
    </row>
    <row r="1017">
      <c r="A1017" s="291"/>
      <c r="B1017" s="304" t="s">
        <v>3636</v>
      </c>
      <c r="C1017" s="304" t="s">
        <v>3595</v>
      </c>
      <c r="D1017" s="304" t="s">
        <v>3637</v>
      </c>
      <c r="E1017" s="308" t="s">
        <v>3638</v>
      </c>
      <c r="F1017" s="209"/>
      <c r="G1017" s="209"/>
      <c r="H1017" s="209"/>
      <c r="I1017" s="209"/>
      <c r="J1017" s="296" t="b">
        <v>1</v>
      </c>
      <c r="K1017" s="301" t="b">
        <v>0</v>
      </c>
      <c r="L1017" s="209"/>
      <c r="M1017" s="301" t="b">
        <v>0</v>
      </c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09"/>
      <c r="Z1017" s="209"/>
      <c r="AA1017" s="209"/>
      <c r="AB1017" s="209"/>
      <c r="AC1017" s="209"/>
      <c r="AD1017" s="209"/>
      <c r="AE1017" s="209"/>
      <c r="AF1017" s="209"/>
      <c r="AG1017" s="209"/>
      <c r="AH1017" s="209"/>
      <c r="AI1017" s="209"/>
      <c r="AJ1017" s="209"/>
      <c r="AK1017" s="209"/>
      <c r="AL1017" s="209"/>
      <c r="AM1017" s="209"/>
      <c r="AN1017" s="209"/>
      <c r="AO1017" s="209"/>
      <c r="AP1017" s="209"/>
    </row>
    <row r="1018">
      <c r="A1018" s="291"/>
      <c r="B1018" s="304" t="s">
        <v>3639</v>
      </c>
      <c r="C1018" s="304" t="s">
        <v>3600</v>
      </c>
      <c r="D1018" s="304" t="s">
        <v>3640</v>
      </c>
      <c r="E1018" s="307">
        <v>8.10115977391E11</v>
      </c>
      <c r="F1018" s="209"/>
      <c r="G1018" s="209"/>
      <c r="H1018" s="209"/>
      <c r="I1018" s="209"/>
      <c r="J1018" s="296" t="b">
        <v>1</v>
      </c>
      <c r="K1018" s="301" t="b">
        <v>0</v>
      </c>
      <c r="L1018" s="209"/>
      <c r="M1018" s="301" t="b">
        <v>0</v>
      </c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09"/>
      <c r="Z1018" s="209"/>
      <c r="AA1018" s="209"/>
      <c r="AB1018" s="209"/>
      <c r="AC1018" s="209"/>
      <c r="AD1018" s="209"/>
      <c r="AE1018" s="209"/>
      <c r="AF1018" s="209"/>
      <c r="AG1018" s="209"/>
      <c r="AH1018" s="209"/>
      <c r="AI1018" s="209"/>
      <c r="AJ1018" s="209"/>
      <c r="AK1018" s="209"/>
      <c r="AL1018" s="209"/>
      <c r="AM1018" s="209"/>
      <c r="AN1018" s="209"/>
      <c r="AO1018" s="209"/>
      <c r="AP1018" s="209"/>
    </row>
    <row r="1019">
      <c r="A1019" s="309"/>
      <c r="B1019" s="311" t="s">
        <v>3641</v>
      </c>
      <c r="C1019" s="311" t="s">
        <v>3595</v>
      </c>
      <c r="D1019" s="311" t="s">
        <v>3642</v>
      </c>
      <c r="E1019" s="335" t="s">
        <v>3643</v>
      </c>
      <c r="F1019" s="313"/>
      <c r="G1019" s="313"/>
      <c r="H1019" s="313"/>
      <c r="I1019" s="313"/>
      <c r="J1019" s="296" t="b">
        <v>1</v>
      </c>
      <c r="K1019" s="314" t="b">
        <v>0</v>
      </c>
      <c r="L1019" s="209"/>
      <c r="M1019" s="301" t="b">
        <v>0</v>
      </c>
      <c r="N1019" s="209"/>
      <c r="O1019" s="209"/>
      <c r="P1019" s="209"/>
      <c r="Q1019" s="209"/>
      <c r="R1019" s="209"/>
      <c r="S1019" s="209"/>
      <c r="T1019" s="209"/>
      <c r="U1019" s="209"/>
      <c r="V1019" s="209"/>
      <c r="W1019" s="209"/>
      <c r="X1019" s="209"/>
      <c r="Y1019" s="209"/>
      <c r="Z1019" s="209"/>
      <c r="AA1019" s="209"/>
      <c r="AB1019" s="209"/>
      <c r="AC1019" s="209"/>
      <c r="AD1019" s="209"/>
      <c r="AE1019" s="209"/>
      <c r="AF1019" s="209"/>
      <c r="AG1019" s="209"/>
      <c r="AH1019" s="209"/>
      <c r="AI1019" s="209"/>
      <c r="AJ1019" s="209"/>
      <c r="AK1019" s="209"/>
      <c r="AL1019" s="209"/>
      <c r="AM1019" s="209"/>
      <c r="AN1019" s="209"/>
      <c r="AO1019" s="209"/>
      <c r="AP1019" s="209"/>
    </row>
    <row r="1020">
      <c r="A1020" s="209"/>
      <c r="B1020" s="209"/>
      <c r="C1020" s="209"/>
      <c r="D1020" s="209"/>
      <c r="E1020" s="209"/>
      <c r="F1020" s="209"/>
      <c r="G1020" s="209"/>
      <c r="H1020" s="209"/>
      <c r="I1020" s="209"/>
      <c r="J1020" s="209"/>
      <c r="K1020" s="209"/>
      <c r="L1020" s="209"/>
      <c r="M1020" s="301" t="b">
        <v>0</v>
      </c>
      <c r="N1020" s="209"/>
      <c r="O1020" s="209"/>
      <c r="P1020" s="209"/>
      <c r="Q1020" s="209"/>
      <c r="R1020" s="209"/>
      <c r="S1020" s="209"/>
      <c r="T1020" s="209"/>
      <c r="U1020" s="209"/>
      <c r="V1020" s="209"/>
      <c r="W1020" s="209"/>
      <c r="X1020" s="209"/>
      <c r="Y1020" s="209"/>
      <c r="Z1020" s="209"/>
      <c r="AA1020" s="209"/>
      <c r="AB1020" s="209"/>
      <c r="AC1020" s="209"/>
      <c r="AD1020" s="209"/>
      <c r="AE1020" s="209"/>
      <c r="AF1020" s="209"/>
      <c r="AG1020" s="209"/>
      <c r="AH1020" s="209"/>
      <c r="AI1020" s="209"/>
      <c r="AJ1020" s="209"/>
      <c r="AK1020" s="209"/>
      <c r="AL1020" s="209"/>
      <c r="AM1020" s="209"/>
      <c r="AN1020" s="209"/>
      <c r="AO1020" s="209"/>
      <c r="AP1020" s="209"/>
    </row>
    <row r="1021">
      <c r="A1021" s="316" t="s">
        <v>4422</v>
      </c>
      <c r="B1021" s="319" t="s">
        <v>4423</v>
      </c>
      <c r="C1021" s="320"/>
      <c r="D1021" s="283" t="s">
        <v>4424</v>
      </c>
      <c r="E1021" s="336" t="s">
        <v>3647</v>
      </c>
      <c r="F1021" s="436"/>
      <c r="G1021" s="320"/>
      <c r="H1021" s="285" t="s">
        <v>468</v>
      </c>
      <c r="I1021" s="285" t="s">
        <v>4161</v>
      </c>
      <c r="J1021" s="333" t="str">
        <f>IF(COUNTIF(J1022:J1028, TRUE) = COUNTA(J1022:J1028), "Complete!", IF(COUNTIF(J1022:J1028, TRUE) &gt; 0, "Partial", "Not Started"))</f>
        <v>Complete!</v>
      </c>
      <c r="K1021" s="334"/>
      <c r="L1021" s="209"/>
      <c r="M1021" s="301" t="b">
        <v>0</v>
      </c>
      <c r="N1021" s="280">
        <v>14.0</v>
      </c>
      <c r="O1021" s="209"/>
      <c r="P1021" s="209"/>
      <c r="Q1021" s="209"/>
      <c r="R1021" s="209"/>
      <c r="S1021" s="209"/>
      <c r="T1021" s="209"/>
      <c r="U1021" s="209"/>
      <c r="V1021" s="209"/>
      <c r="W1021" s="209"/>
      <c r="X1021" s="209"/>
      <c r="Y1021" s="209"/>
      <c r="Z1021" s="209"/>
      <c r="AA1021" s="209"/>
      <c r="AB1021" s="209"/>
      <c r="AC1021" s="209"/>
      <c r="AD1021" s="209"/>
      <c r="AE1021" s="209"/>
      <c r="AF1021" s="209"/>
      <c r="AG1021" s="209"/>
      <c r="AH1021" s="209"/>
      <c r="AI1021" s="209"/>
      <c r="AJ1021" s="209"/>
      <c r="AK1021" s="209"/>
      <c r="AL1021" s="209"/>
      <c r="AM1021" s="209"/>
      <c r="AN1021" s="209"/>
      <c r="AO1021" s="209"/>
      <c r="AP1021" s="209"/>
    </row>
    <row r="1022">
      <c r="A1022" s="291"/>
      <c r="B1022" s="304" t="s">
        <v>3649</v>
      </c>
      <c r="C1022" s="304" t="s">
        <v>3585</v>
      </c>
      <c r="D1022" s="304" t="s">
        <v>3650</v>
      </c>
      <c r="E1022" s="307">
        <v>8.10115977162E11</v>
      </c>
      <c r="F1022" s="295"/>
      <c r="G1022" s="295"/>
      <c r="H1022" s="209"/>
      <c r="I1022" s="209"/>
      <c r="J1022" s="300" t="b">
        <v>1</v>
      </c>
      <c r="K1022" s="301" t="b">
        <v>0</v>
      </c>
      <c r="L1022" s="365"/>
      <c r="M1022" s="314" t="b">
        <v>0</v>
      </c>
      <c r="N1022" s="209"/>
      <c r="O1022" s="209"/>
      <c r="P1022" s="209"/>
      <c r="Q1022" s="209"/>
      <c r="R1022" s="209"/>
      <c r="S1022" s="209"/>
      <c r="T1022" s="209"/>
      <c r="U1022" s="209"/>
      <c r="V1022" s="209"/>
      <c r="W1022" s="209"/>
      <c r="X1022" s="209"/>
      <c r="Y1022" s="209"/>
      <c r="Z1022" s="209"/>
      <c r="AA1022" s="209"/>
      <c r="AB1022" s="209"/>
      <c r="AC1022" s="209"/>
      <c r="AD1022" s="209"/>
      <c r="AE1022" s="209"/>
      <c r="AF1022" s="209"/>
      <c r="AG1022" s="209"/>
      <c r="AH1022" s="209"/>
      <c r="AI1022" s="209"/>
      <c r="AJ1022" s="209"/>
      <c r="AK1022" s="209"/>
      <c r="AL1022" s="209"/>
      <c r="AM1022" s="209"/>
      <c r="AN1022" s="209"/>
      <c r="AO1022" s="209"/>
      <c r="AP1022" s="209"/>
    </row>
    <row r="1023">
      <c r="A1023" s="291"/>
      <c r="B1023" s="304" t="s">
        <v>3651</v>
      </c>
      <c r="C1023" s="304" t="s">
        <v>3585</v>
      </c>
      <c r="D1023" s="304" t="s">
        <v>3652</v>
      </c>
      <c r="E1023" s="308" t="s">
        <v>3653</v>
      </c>
      <c r="F1023" s="209"/>
      <c r="G1023" s="209"/>
      <c r="H1023" s="209"/>
      <c r="I1023" s="209"/>
      <c r="J1023" s="300" t="b">
        <v>1</v>
      </c>
      <c r="K1023" s="301" t="b">
        <v>0</v>
      </c>
      <c r="L1023" s="209"/>
      <c r="M1023" s="209"/>
      <c r="N1023" s="209"/>
      <c r="O1023" s="209"/>
      <c r="P1023" s="209"/>
      <c r="Q1023" s="209"/>
      <c r="R1023" s="209"/>
      <c r="S1023" s="209"/>
      <c r="T1023" s="209"/>
      <c r="U1023" s="209"/>
      <c r="V1023" s="209"/>
      <c r="W1023" s="209"/>
      <c r="X1023" s="209"/>
      <c r="Y1023" s="209"/>
      <c r="Z1023" s="209"/>
      <c r="AA1023" s="209"/>
      <c r="AB1023" s="209"/>
      <c r="AC1023" s="209"/>
      <c r="AD1023" s="209"/>
      <c r="AE1023" s="209"/>
      <c r="AF1023" s="209"/>
      <c r="AG1023" s="209"/>
      <c r="AH1023" s="209"/>
      <c r="AI1023" s="209"/>
      <c r="AJ1023" s="209"/>
      <c r="AK1023" s="209"/>
      <c r="AL1023" s="209"/>
      <c r="AM1023" s="209"/>
      <c r="AN1023" s="209"/>
      <c r="AO1023" s="209"/>
      <c r="AP1023" s="209"/>
    </row>
    <row r="1024">
      <c r="A1024" s="291"/>
      <c r="B1024" s="304" t="s">
        <v>3654</v>
      </c>
      <c r="C1024" s="304" t="s">
        <v>3585</v>
      </c>
      <c r="D1024" s="304" t="s">
        <v>3655</v>
      </c>
      <c r="E1024" s="307">
        <v>8.10115977193E11</v>
      </c>
      <c r="F1024" s="209"/>
      <c r="G1024" s="209"/>
      <c r="H1024" s="209"/>
      <c r="I1024" s="209"/>
      <c r="J1024" s="300" t="b">
        <v>1</v>
      </c>
      <c r="K1024" s="301" t="b">
        <v>0</v>
      </c>
      <c r="L1024" s="464" t="s">
        <v>889</v>
      </c>
      <c r="M1024" s="334"/>
      <c r="N1024" s="209"/>
      <c r="O1024" s="209"/>
      <c r="P1024" s="209"/>
      <c r="Q1024" s="209"/>
      <c r="R1024" s="209"/>
      <c r="S1024" s="209"/>
      <c r="T1024" s="209"/>
      <c r="U1024" s="209"/>
      <c r="V1024" s="209"/>
      <c r="W1024" s="209"/>
      <c r="X1024" s="209"/>
      <c r="Y1024" s="209"/>
      <c r="Z1024" s="209"/>
      <c r="AA1024" s="209"/>
      <c r="AB1024" s="209"/>
      <c r="AC1024" s="209"/>
      <c r="AD1024" s="209"/>
      <c r="AE1024" s="209"/>
      <c r="AF1024" s="209"/>
      <c r="AG1024" s="209"/>
      <c r="AH1024" s="209"/>
      <c r="AI1024" s="209"/>
      <c r="AJ1024" s="209"/>
      <c r="AK1024" s="209"/>
      <c r="AL1024" s="209"/>
      <c r="AM1024" s="209"/>
      <c r="AN1024" s="209"/>
      <c r="AO1024" s="209"/>
      <c r="AP1024" s="209"/>
    </row>
    <row r="1025">
      <c r="A1025" s="291"/>
      <c r="B1025" s="304" t="s">
        <v>3656</v>
      </c>
      <c r="C1025" s="304" t="s">
        <v>3585</v>
      </c>
      <c r="D1025" s="304" t="s">
        <v>3657</v>
      </c>
      <c r="E1025" s="307">
        <v>8.10115977261E11</v>
      </c>
      <c r="F1025" s="209"/>
      <c r="G1025" s="209"/>
      <c r="H1025" s="209"/>
      <c r="I1025" s="209"/>
      <c r="J1025" s="300" t="b">
        <v>1</v>
      </c>
      <c r="K1025" s="301" t="b">
        <v>0</v>
      </c>
      <c r="L1025" s="419"/>
      <c r="M1025" s="301" t="b">
        <v>0</v>
      </c>
      <c r="N1025" s="209"/>
      <c r="O1025" s="209"/>
      <c r="P1025" s="209"/>
      <c r="Q1025" s="209"/>
      <c r="R1025" s="209"/>
      <c r="S1025" s="209"/>
      <c r="T1025" s="209"/>
      <c r="U1025" s="209"/>
      <c r="V1025" s="209"/>
      <c r="W1025" s="209"/>
      <c r="X1025" s="209"/>
      <c r="Y1025" s="209"/>
      <c r="Z1025" s="209"/>
      <c r="AA1025" s="209"/>
      <c r="AB1025" s="209"/>
      <c r="AC1025" s="209"/>
      <c r="AD1025" s="209"/>
      <c r="AE1025" s="209"/>
      <c r="AF1025" s="209"/>
      <c r="AG1025" s="209"/>
      <c r="AH1025" s="209"/>
      <c r="AI1025" s="209"/>
      <c r="AJ1025" s="209"/>
      <c r="AK1025" s="209"/>
      <c r="AL1025" s="209"/>
      <c r="AM1025" s="209"/>
      <c r="AN1025" s="209"/>
      <c r="AO1025" s="209"/>
      <c r="AP1025" s="209"/>
    </row>
    <row r="1026">
      <c r="A1026" s="291"/>
      <c r="B1026" s="304" t="s">
        <v>3658</v>
      </c>
      <c r="C1026" s="304" t="s">
        <v>3585</v>
      </c>
      <c r="D1026" s="304" t="s">
        <v>3659</v>
      </c>
      <c r="E1026" s="308" t="s">
        <v>3660</v>
      </c>
      <c r="F1026" s="209"/>
      <c r="G1026" s="209"/>
      <c r="H1026" s="209"/>
      <c r="I1026" s="209"/>
      <c r="J1026" s="300" t="b">
        <v>1</v>
      </c>
      <c r="K1026" s="301" t="b">
        <v>0</v>
      </c>
      <c r="L1026" s="419"/>
      <c r="M1026" s="301" t="b">
        <v>0</v>
      </c>
      <c r="N1026" s="209"/>
      <c r="O1026" s="209"/>
      <c r="P1026" s="209"/>
      <c r="Q1026" s="209"/>
      <c r="R1026" s="209"/>
      <c r="S1026" s="209"/>
      <c r="T1026" s="209"/>
      <c r="U1026" s="209"/>
      <c r="V1026" s="209"/>
      <c r="W1026" s="209"/>
      <c r="X1026" s="209"/>
      <c r="Y1026" s="209"/>
      <c r="Z1026" s="209"/>
      <c r="AA1026" s="209"/>
      <c r="AB1026" s="209"/>
      <c r="AC1026" s="209"/>
      <c r="AD1026" s="209"/>
      <c r="AE1026" s="209"/>
      <c r="AF1026" s="209"/>
      <c r="AG1026" s="209"/>
      <c r="AH1026" s="209"/>
      <c r="AI1026" s="209"/>
      <c r="AJ1026" s="209"/>
      <c r="AK1026" s="209"/>
      <c r="AL1026" s="209"/>
      <c r="AM1026" s="209"/>
      <c r="AN1026" s="209"/>
      <c r="AO1026" s="209"/>
      <c r="AP1026" s="209"/>
    </row>
    <row r="1027">
      <c r="A1027" s="291"/>
      <c r="B1027" s="304" t="s">
        <v>3661</v>
      </c>
      <c r="C1027" s="304" t="s">
        <v>3585</v>
      </c>
      <c r="D1027" s="304" t="s">
        <v>3662</v>
      </c>
      <c r="E1027" s="308" t="s">
        <v>3663</v>
      </c>
      <c r="F1027" s="304" t="s">
        <v>732</v>
      </c>
      <c r="G1027" s="209"/>
      <c r="H1027" s="209"/>
      <c r="I1027" s="304" t="s">
        <v>733</v>
      </c>
      <c r="J1027" s="300" t="b">
        <v>1</v>
      </c>
      <c r="K1027" s="301" t="b">
        <v>0</v>
      </c>
      <c r="L1027" s="209"/>
      <c r="M1027" s="301" t="b">
        <v>0</v>
      </c>
      <c r="N1027" s="209"/>
      <c r="O1027" s="209"/>
      <c r="P1027" s="209"/>
      <c r="Q1027" s="209"/>
      <c r="R1027" s="209"/>
      <c r="S1027" s="209"/>
      <c r="T1027" s="209"/>
      <c r="U1027" s="209"/>
      <c r="V1027" s="209"/>
      <c r="W1027" s="209"/>
      <c r="X1027" s="209"/>
      <c r="Y1027" s="209"/>
      <c r="Z1027" s="209"/>
      <c r="AA1027" s="209"/>
      <c r="AB1027" s="209"/>
      <c r="AC1027" s="209"/>
      <c r="AD1027" s="209"/>
      <c r="AE1027" s="209"/>
      <c r="AF1027" s="209"/>
      <c r="AG1027" s="209"/>
      <c r="AH1027" s="209"/>
      <c r="AI1027" s="209"/>
      <c r="AJ1027" s="209"/>
      <c r="AK1027" s="209"/>
      <c r="AL1027" s="209"/>
      <c r="AM1027" s="209"/>
      <c r="AN1027" s="209"/>
      <c r="AO1027" s="209"/>
      <c r="AP1027" s="209"/>
    </row>
    <row r="1028">
      <c r="A1028" s="291"/>
      <c r="B1028" s="304" t="s">
        <v>3664</v>
      </c>
      <c r="C1028" s="304" t="s">
        <v>3585</v>
      </c>
      <c r="D1028" s="304" t="s">
        <v>3665</v>
      </c>
      <c r="E1028" s="308" t="s">
        <v>3666</v>
      </c>
      <c r="F1028" s="209"/>
      <c r="G1028" s="209"/>
      <c r="H1028" s="209"/>
      <c r="I1028" s="209"/>
      <c r="J1028" s="300" t="b">
        <v>1</v>
      </c>
      <c r="K1028" s="301" t="b">
        <v>0</v>
      </c>
      <c r="L1028" s="209"/>
      <c r="M1028" s="301" t="b">
        <v>0</v>
      </c>
      <c r="N1028" s="209"/>
      <c r="O1028" s="209"/>
      <c r="P1028" s="209"/>
      <c r="Q1028" s="209"/>
      <c r="R1028" s="209"/>
      <c r="S1028" s="209"/>
      <c r="T1028" s="209"/>
      <c r="U1028" s="209"/>
      <c r="V1028" s="209"/>
      <c r="W1028" s="209"/>
      <c r="X1028" s="209"/>
      <c r="Y1028" s="209"/>
      <c r="Z1028" s="209"/>
      <c r="AA1028" s="209"/>
      <c r="AB1028" s="209"/>
      <c r="AC1028" s="209"/>
      <c r="AD1028" s="209"/>
      <c r="AE1028" s="209"/>
      <c r="AF1028" s="209"/>
      <c r="AG1028" s="209"/>
      <c r="AH1028" s="209"/>
      <c r="AI1028" s="209"/>
      <c r="AJ1028" s="209"/>
      <c r="AK1028" s="209"/>
      <c r="AL1028" s="209"/>
      <c r="AM1028" s="209"/>
      <c r="AN1028" s="209"/>
      <c r="AO1028" s="209"/>
      <c r="AP1028" s="209"/>
    </row>
    <row r="1029">
      <c r="A1029" s="291"/>
      <c r="B1029" s="304" t="s">
        <v>3667</v>
      </c>
      <c r="C1029" s="304" t="s">
        <v>3585</v>
      </c>
      <c r="D1029" s="304" t="s">
        <v>3668</v>
      </c>
      <c r="E1029" s="307">
        <v>8.10115977278E11</v>
      </c>
      <c r="F1029" s="209"/>
      <c r="G1029" s="209"/>
      <c r="H1029" s="209"/>
      <c r="I1029" s="209"/>
      <c r="J1029" s="300" t="b">
        <v>1</v>
      </c>
      <c r="K1029" s="301" t="b">
        <v>0</v>
      </c>
      <c r="L1029" s="209"/>
      <c r="M1029" s="301" t="b">
        <v>0</v>
      </c>
      <c r="N1029" s="209"/>
      <c r="O1029" s="209"/>
      <c r="P1029" s="209"/>
      <c r="Q1029" s="209"/>
      <c r="R1029" s="209"/>
      <c r="S1029" s="209"/>
      <c r="T1029" s="209"/>
      <c r="U1029" s="209"/>
      <c r="V1029" s="209"/>
      <c r="W1029" s="209"/>
      <c r="X1029" s="209"/>
      <c r="Y1029" s="209"/>
      <c r="Z1029" s="209"/>
      <c r="AA1029" s="209"/>
      <c r="AB1029" s="209"/>
      <c r="AC1029" s="209"/>
      <c r="AD1029" s="209"/>
      <c r="AE1029" s="209"/>
      <c r="AF1029" s="209"/>
      <c r="AG1029" s="209"/>
      <c r="AH1029" s="209"/>
      <c r="AI1029" s="209"/>
      <c r="AJ1029" s="209"/>
      <c r="AK1029" s="209"/>
      <c r="AL1029" s="209"/>
      <c r="AM1029" s="209"/>
      <c r="AN1029" s="209"/>
      <c r="AO1029" s="209"/>
      <c r="AP1029" s="209"/>
    </row>
    <row r="1030">
      <c r="A1030" s="291"/>
      <c r="B1030" s="304" t="s">
        <v>3669</v>
      </c>
      <c r="C1030" s="304" t="s">
        <v>3585</v>
      </c>
      <c r="D1030" s="304" t="s">
        <v>3670</v>
      </c>
      <c r="E1030" s="307">
        <v>8.10115977223E11</v>
      </c>
      <c r="F1030" s="209"/>
      <c r="G1030" s="209"/>
      <c r="H1030" s="209"/>
      <c r="I1030" s="209"/>
      <c r="J1030" s="300" t="b">
        <v>1</v>
      </c>
      <c r="K1030" s="301" t="b">
        <v>0</v>
      </c>
      <c r="L1030" s="209"/>
      <c r="M1030" s="301" t="b">
        <v>0</v>
      </c>
      <c r="N1030" s="209"/>
      <c r="O1030" s="209"/>
      <c r="P1030" s="209"/>
      <c r="Q1030" s="209"/>
      <c r="R1030" s="209"/>
      <c r="S1030" s="209"/>
      <c r="T1030" s="209"/>
      <c r="U1030" s="209"/>
      <c r="V1030" s="209"/>
      <c r="W1030" s="209"/>
      <c r="X1030" s="209"/>
      <c r="Y1030" s="209"/>
      <c r="Z1030" s="209"/>
      <c r="AA1030" s="209"/>
      <c r="AB1030" s="209"/>
      <c r="AC1030" s="209"/>
      <c r="AD1030" s="209"/>
      <c r="AE1030" s="209"/>
      <c r="AF1030" s="209"/>
      <c r="AG1030" s="209"/>
      <c r="AH1030" s="209"/>
      <c r="AI1030" s="209"/>
      <c r="AJ1030" s="209"/>
      <c r="AK1030" s="209"/>
      <c r="AL1030" s="209"/>
      <c r="AM1030" s="209"/>
      <c r="AN1030" s="209"/>
      <c r="AO1030" s="209"/>
      <c r="AP1030" s="209"/>
    </row>
    <row r="1031">
      <c r="A1031" s="291"/>
      <c r="B1031" s="304" t="s">
        <v>3671</v>
      </c>
      <c r="C1031" s="304" t="s">
        <v>3585</v>
      </c>
      <c r="D1031" s="304" t="s">
        <v>3672</v>
      </c>
      <c r="E1031" s="308" t="s">
        <v>3673</v>
      </c>
      <c r="F1031" s="209"/>
      <c r="G1031" s="209"/>
      <c r="H1031" s="209"/>
      <c r="I1031" s="209"/>
      <c r="J1031" s="300" t="b">
        <v>1</v>
      </c>
      <c r="K1031" s="301" t="b">
        <v>0</v>
      </c>
      <c r="L1031" s="209"/>
      <c r="M1031" s="301" t="b">
        <v>0</v>
      </c>
      <c r="N1031" s="209"/>
      <c r="O1031" s="209"/>
      <c r="P1031" s="209"/>
      <c r="Q1031" s="209"/>
      <c r="R1031" s="209"/>
      <c r="S1031" s="209"/>
      <c r="T1031" s="209"/>
      <c r="U1031" s="209"/>
      <c r="V1031" s="209"/>
      <c r="W1031" s="209"/>
      <c r="X1031" s="209"/>
      <c r="Y1031" s="209"/>
      <c r="Z1031" s="209"/>
      <c r="AA1031" s="209"/>
      <c r="AB1031" s="209"/>
      <c r="AC1031" s="209"/>
      <c r="AD1031" s="209"/>
      <c r="AE1031" s="209"/>
      <c r="AF1031" s="209"/>
      <c r="AG1031" s="209"/>
      <c r="AH1031" s="209"/>
      <c r="AI1031" s="209"/>
      <c r="AJ1031" s="209"/>
      <c r="AK1031" s="209"/>
      <c r="AL1031" s="209"/>
      <c r="AM1031" s="209"/>
      <c r="AN1031" s="209"/>
      <c r="AO1031" s="209"/>
      <c r="AP1031" s="209"/>
    </row>
    <row r="1032">
      <c r="A1032" s="291"/>
      <c r="B1032" s="304" t="s">
        <v>3674</v>
      </c>
      <c r="C1032" s="304" t="s">
        <v>3585</v>
      </c>
      <c r="D1032" s="304" t="s">
        <v>3675</v>
      </c>
      <c r="E1032" s="308" t="s">
        <v>3676</v>
      </c>
      <c r="F1032" s="209"/>
      <c r="G1032" s="209"/>
      <c r="H1032" s="209"/>
      <c r="I1032" s="209"/>
      <c r="J1032" s="300" t="b">
        <v>1</v>
      </c>
      <c r="K1032" s="301" t="b">
        <v>0</v>
      </c>
      <c r="L1032" s="209"/>
      <c r="M1032" s="301" t="b">
        <v>0</v>
      </c>
      <c r="N1032" s="209"/>
      <c r="O1032" s="209"/>
      <c r="P1032" s="209"/>
      <c r="Q1032" s="209"/>
      <c r="R1032" s="209"/>
      <c r="S1032" s="209"/>
      <c r="T1032" s="209"/>
      <c r="U1032" s="209"/>
      <c r="V1032" s="209"/>
      <c r="W1032" s="209"/>
      <c r="X1032" s="209"/>
      <c r="Y1032" s="209"/>
      <c r="Z1032" s="209"/>
      <c r="AA1032" s="209"/>
      <c r="AB1032" s="209"/>
      <c r="AC1032" s="209"/>
      <c r="AD1032" s="209"/>
      <c r="AE1032" s="209"/>
      <c r="AF1032" s="209"/>
      <c r="AG1032" s="209"/>
      <c r="AH1032" s="209"/>
      <c r="AI1032" s="209"/>
      <c r="AJ1032" s="209"/>
      <c r="AK1032" s="209"/>
      <c r="AL1032" s="209"/>
      <c r="AM1032" s="209"/>
      <c r="AN1032" s="209"/>
      <c r="AO1032" s="209"/>
      <c r="AP1032" s="209"/>
    </row>
    <row r="1033">
      <c r="A1033" s="291"/>
      <c r="B1033" s="304" t="s">
        <v>3677</v>
      </c>
      <c r="C1033" s="304" t="s">
        <v>3585</v>
      </c>
      <c r="D1033" s="304" t="s">
        <v>3678</v>
      </c>
      <c r="E1033" s="307">
        <v>8.10115977247E11</v>
      </c>
      <c r="F1033" s="209"/>
      <c r="G1033" s="209"/>
      <c r="H1033" s="209"/>
      <c r="I1033" s="209"/>
      <c r="J1033" s="300" t="b">
        <v>1</v>
      </c>
      <c r="K1033" s="301" t="b">
        <v>0</v>
      </c>
      <c r="L1033" s="209"/>
      <c r="M1033" s="301" t="b">
        <v>0</v>
      </c>
      <c r="N1033" s="209"/>
      <c r="O1033" s="209"/>
      <c r="P1033" s="209"/>
      <c r="Q1033" s="209"/>
      <c r="R1033" s="209"/>
      <c r="S1033" s="209"/>
      <c r="T1033" s="209"/>
      <c r="U1033" s="209"/>
      <c r="V1033" s="209"/>
      <c r="W1033" s="209"/>
      <c r="X1033" s="209"/>
      <c r="Y1033" s="209"/>
      <c r="Z1033" s="209"/>
      <c r="AA1033" s="209"/>
      <c r="AB1033" s="209"/>
      <c r="AC1033" s="209"/>
      <c r="AD1033" s="209"/>
      <c r="AE1033" s="209"/>
      <c r="AF1033" s="209"/>
      <c r="AG1033" s="209"/>
      <c r="AH1033" s="209"/>
      <c r="AI1033" s="209"/>
      <c r="AJ1033" s="209"/>
      <c r="AK1033" s="209"/>
      <c r="AL1033" s="209"/>
      <c r="AM1033" s="209"/>
      <c r="AN1033" s="209"/>
      <c r="AO1033" s="209"/>
      <c r="AP1033" s="209"/>
    </row>
    <row r="1034">
      <c r="A1034" s="291"/>
      <c r="B1034" s="304" t="s">
        <v>3679</v>
      </c>
      <c r="C1034" s="304" t="s">
        <v>3585</v>
      </c>
      <c r="D1034" s="304" t="s">
        <v>3680</v>
      </c>
      <c r="E1034" s="307">
        <v>8.10115977186E11</v>
      </c>
      <c r="F1034" s="209"/>
      <c r="G1034" s="209"/>
      <c r="H1034" s="209"/>
      <c r="I1034" s="209"/>
      <c r="J1034" s="300" t="b">
        <v>1</v>
      </c>
      <c r="K1034" s="301" t="b">
        <v>0</v>
      </c>
      <c r="L1034" s="209"/>
      <c r="M1034" s="301" t="b">
        <v>0</v>
      </c>
      <c r="N1034" s="209"/>
      <c r="O1034" s="209"/>
      <c r="P1034" s="209"/>
      <c r="Q1034" s="209"/>
      <c r="R1034" s="209"/>
      <c r="S1034" s="209"/>
      <c r="T1034" s="209"/>
      <c r="U1034" s="209"/>
      <c r="V1034" s="209"/>
      <c r="W1034" s="209"/>
      <c r="X1034" s="209"/>
      <c r="Y1034" s="209"/>
      <c r="Z1034" s="209"/>
      <c r="AA1034" s="209"/>
      <c r="AB1034" s="209"/>
      <c r="AC1034" s="209"/>
      <c r="AD1034" s="209"/>
      <c r="AE1034" s="209"/>
      <c r="AF1034" s="209"/>
      <c r="AG1034" s="209"/>
      <c r="AH1034" s="209"/>
      <c r="AI1034" s="209"/>
      <c r="AJ1034" s="209"/>
      <c r="AK1034" s="209"/>
      <c r="AL1034" s="209"/>
      <c r="AM1034" s="209"/>
      <c r="AN1034" s="209"/>
      <c r="AO1034" s="209"/>
      <c r="AP1034" s="209"/>
    </row>
    <row r="1035">
      <c r="A1035" s="309"/>
      <c r="B1035" s="311" t="s">
        <v>3681</v>
      </c>
      <c r="C1035" s="311" t="s">
        <v>3585</v>
      </c>
      <c r="D1035" s="311" t="s">
        <v>3682</v>
      </c>
      <c r="E1035" s="318">
        <v>8.10115977254E11</v>
      </c>
      <c r="F1035" s="313"/>
      <c r="G1035" s="313"/>
      <c r="H1035" s="313"/>
      <c r="I1035" s="313"/>
      <c r="J1035" s="300" t="b">
        <v>1</v>
      </c>
      <c r="K1035" s="314" t="b">
        <v>0</v>
      </c>
      <c r="L1035" s="209"/>
      <c r="M1035" s="301" t="b">
        <v>0</v>
      </c>
      <c r="N1035" s="209"/>
      <c r="O1035" s="209"/>
      <c r="P1035" s="209"/>
      <c r="Q1035" s="209"/>
      <c r="R1035" s="209"/>
      <c r="S1035" s="209"/>
      <c r="T1035" s="209"/>
      <c r="U1035" s="209"/>
      <c r="V1035" s="209"/>
      <c r="W1035" s="209"/>
      <c r="X1035" s="209"/>
      <c r="Y1035" s="209"/>
      <c r="Z1035" s="209"/>
      <c r="AA1035" s="209"/>
      <c r="AB1035" s="209"/>
      <c r="AC1035" s="209"/>
      <c r="AD1035" s="209"/>
      <c r="AE1035" s="209"/>
      <c r="AF1035" s="209"/>
      <c r="AG1035" s="209"/>
      <c r="AH1035" s="209"/>
      <c r="AI1035" s="209"/>
      <c r="AJ1035" s="209"/>
      <c r="AK1035" s="209"/>
      <c r="AL1035" s="209"/>
      <c r="AM1035" s="209"/>
      <c r="AN1035" s="209"/>
      <c r="AO1035" s="209"/>
      <c r="AP1035" s="209"/>
    </row>
    <row r="1036">
      <c r="A1036" s="209"/>
      <c r="B1036" s="209"/>
      <c r="C1036" s="209"/>
      <c r="D1036" s="209"/>
      <c r="E1036" s="209"/>
      <c r="F1036" s="353"/>
      <c r="G1036" s="209"/>
      <c r="H1036" s="209"/>
      <c r="I1036" s="209"/>
      <c r="J1036" s="209"/>
      <c r="K1036" s="209"/>
      <c r="L1036" s="209"/>
      <c r="M1036" s="301" t="b">
        <v>0</v>
      </c>
      <c r="N1036" s="209"/>
      <c r="O1036" s="209"/>
      <c r="P1036" s="209"/>
      <c r="Q1036" s="209"/>
      <c r="R1036" s="209"/>
      <c r="S1036" s="209"/>
      <c r="T1036" s="209"/>
      <c r="U1036" s="209"/>
      <c r="V1036" s="209"/>
      <c r="W1036" s="209"/>
      <c r="X1036" s="209"/>
      <c r="Y1036" s="209"/>
      <c r="Z1036" s="209"/>
      <c r="AA1036" s="209"/>
      <c r="AB1036" s="209"/>
      <c r="AC1036" s="209"/>
      <c r="AD1036" s="209"/>
      <c r="AE1036" s="209"/>
      <c r="AF1036" s="209"/>
      <c r="AG1036" s="209"/>
      <c r="AH1036" s="209"/>
      <c r="AI1036" s="209"/>
      <c r="AJ1036" s="209"/>
      <c r="AK1036" s="209"/>
      <c r="AL1036" s="209"/>
      <c r="AM1036" s="209"/>
      <c r="AN1036" s="209"/>
      <c r="AO1036" s="209"/>
      <c r="AP1036" s="209"/>
    </row>
    <row r="1037">
      <c r="A1037" s="316">
        <v>102.0</v>
      </c>
      <c r="B1037" s="388" t="s">
        <v>3683</v>
      </c>
      <c r="C1037" s="320"/>
      <c r="D1037" s="283" t="s">
        <v>3684</v>
      </c>
      <c r="E1037" s="336" t="s">
        <v>4425</v>
      </c>
      <c r="F1037" s="436"/>
      <c r="G1037" s="320"/>
      <c r="H1037" s="285" t="s">
        <v>1796</v>
      </c>
      <c r="I1037" s="285" t="s">
        <v>4194</v>
      </c>
      <c r="J1037" s="333" t="str">
        <f>IF(COUNTIF(J1038, TRUE) = COUNTA(J1038), "Complete!", IF(COUNTIF(J1038, TRUE) &gt; 0, "Partial", "Not Started"))</f>
        <v>Complete!</v>
      </c>
      <c r="K1037" s="334"/>
      <c r="L1037" s="209"/>
      <c r="M1037" s="301" t="b">
        <v>0</v>
      </c>
      <c r="N1037" s="280">
        <v>1.0</v>
      </c>
      <c r="O1037" s="209"/>
      <c r="P1037" s="209"/>
      <c r="Q1037" s="209"/>
      <c r="R1037" s="209"/>
      <c r="S1037" s="209"/>
      <c r="T1037" s="209"/>
      <c r="U1037" s="209"/>
      <c r="V1037" s="209"/>
      <c r="W1037" s="209"/>
      <c r="X1037" s="209"/>
      <c r="Y1037" s="209"/>
      <c r="Z1037" s="209"/>
      <c r="AA1037" s="209"/>
      <c r="AB1037" s="209"/>
      <c r="AC1037" s="209"/>
      <c r="AD1037" s="209"/>
      <c r="AE1037" s="209"/>
      <c r="AF1037" s="209"/>
      <c r="AG1037" s="209"/>
      <c r="AH1037" s="209"/>
      <c r="AI1037" s="209"/>
      <c r="AJ1037" s="209"/>
      <c r="AK1037" s="209"/>
      <c r="AL1037" s="209"/>
      <c r="AM1037" s="209"/>
      <c r="AN1037" s="209"/>
      <c r="AO1037" s="209"/>
      <c r="AP1037" s="209"/>
    </row>
    <row r="1038">
      <c r="A1038" s="309"/>
      <c r="B1038" s="426" t="s">
        <v>3686</v>
      </c>
      <c r="C1038" s="311" t="s">
        <v>3687</v>
      </c>
      <c r="D1038" s="311" t="s">
        <v>3684</v>
      </c>
      <c r="E1038" s="318">
        <v>8.10115977308E11</v>
      </c>
      <c r="F1038" s="313"/>
      <c r="G1038" s="313"/>
      <c r="H1038" s="313"/>
      <c r="I1038" s="311" t="s">
        <v>4426</v>
      </c>
      <c r="J1038" s="350" t="b">
        <v>1</v>
      </c>
      <c r="K1038" s="314" t="b">
        <v>0</v>
      </c>
      <c r="L1038" s="365"/>
      <c r="M1038" s="314" t="b">
        <v>0</v>
      </c>
      <c r="N1038" s="209"/>
      <c r="O1038" s="209"/>
      <c r="P1038" s="209"/>
      <c r="Q1038" s="209"/>
      <c r="R1038" s="209"/>
      <c r="S1038" s="209"/>
      <c r="T1038" s="209"/>
      <c r="U1038" s="209"/>
      <c r="V1038" s="209"/>
      <c r="W1038" s="209"/>
      <c r="X1038" s="209"/>
      <c r="Y1038" s="209"/>
      <c r="Z1038" s="209"/>
      <c r="AA1038" s="209"/>
      <c r="AB1038" s="209"/>
      <c r="AC1038" s="209"/>
      <c r="AD1038" s="209"/>
      <c r="AE1038" s="209"/>
      <c r="AF1038" s="209"/>
      <c r="AG1038" s="209"/>
      <c r="AH1038" s="209"/>
      <c r="AI1038" s="209"/>
      <c r="AJ1038" s="209"/>
      <c r="AK1038" s="209"/>
      <c r="AL1038" s="209"/>
      <c r="AM1038" s="209"/>
      <c r="AN1038" s="209"/>
      <c r="AO1038" s="209"/>
      <c r="AP1038" s="209"/>
    </row>
    <row r="1039">
      <c r="A1039" s="209"/>
      <c r="B1039" s="209"/>
      <c r="C1039" s="209"/>
      <c r="D1039" s="209"/>
      <c r="E1039" s="209"/>
      <c r="F1039" s="209"/>
      <c r="G1039" s="209"/>
      <c r="H1039" s="209"/>
      <c r="I1039" s="209"/>
      <c r="J1039" s="209"/>
      <c r="K1039" s="209"/>
      <c r="L1039" s="209"/>
      <c r="M1039" s="209"/>
      <c r="N1039" s="209"/>
      <c r="O1039" s="209"/>
      <c r="P1039" s="209"/>
      <c r="Q1039" s="209"/>
      <c r="R1039" s="209"/>
      <c r="S1039" s="209"/>
      <c r="T1039" s="209"/>
      <c r="U1039" s="209"/>
      <c r="V1039" s="209"/>
      <c r="W1039" s="209"/>
      <c r="X1039" s="209"/>
      <c r="Y1039" s="209"/>
      <c r="Z1039" s="209"/>
      <c r="AA1039" s="209"/>
      <c r="AB1039" s="209"/>
      <c r="AC1039" s="209"/>
      <c r="AD1039" s="209"/>
      <c r="AE1039" s="209"/>
      <c r="AF1039" s="209"/>
      <c r="AG1039" s="209"/>
      <c r="AH1039" s="209"/>
      <c r="AI1039" s="209"/>
      <c r="AJ1039" s="209"/>
      <c r="AK1039" s="209"/>
      <c r="AL1039" s="209"/>
      <c r="AM1039" s="209"/>
      <c r="AN1039" s="209"/>
      <c r="AO1039" s="209"/>
      <c r="AP1039" s="209"/>
    </row>
    <row r="1040">
      <c r="A1040" s="316" t="s">
        <v>3688</v>
      </c>
      <c r="B1040" s="282" t="s">
        <v>3689</v>
      </c>
      <c r="C1040" s="273"/>
      <c r="D1040" s="283" t="s">
        <v>3690</v>
      </c>
      <c r="E1040" s="336" t="s">
        <v>3691</v>
      </c>
      <c r="F1040" s="320"/>
      <c r="G1040" s="320"/>
      <c r="H1040" s="285" t="s">
        <v>4195</v>
      </c>
      <c r="I1040" s="285" t="s">
        <v>4427</v>
      </c>
      <c r="J1040" s="333" t="str">
        <f>IF(COUNTIF(J1042:J1052, TRUE) = COUNTA(J1042:J1052), "Complete!", IF(COUNTIF(J1042:J1052, TRUE) &gt; 0, "Partial", "Not Started"))</f>
        <v>Complete!</v>
      </c>
      <c r="K1040" s="334"/>
      <c r="L1040" s="276" t="s">
        <v>889</v>
      </c>
      <c r="M1040" s="502" t="str">
        <f>IF(COUNTIF(M1041:M1056, TRUE) = COUNTA(M1041:M1056), "Complete!", IF(COUNTIF(M1041:M1056, TRUE) &gt; 0, "Partial", "Not Started"))</f>
        <v>Not Started</v>
      </c>
      <c r="N1040" s="280">
        <v>6.0</v>
      </c>
      <c r="O1040" s="209"/>
      <c r="P1040" s="209"/>
      <c r="Q1040" s="209"/>
      <c r="R1040" s="209"/>
      <c r="S1040" s="209"/>
      <c r="T1040" s="209"/>
      <c r="U1040" s="209"/>
      <c r="V1040" s="209"/>
      <c r="W1040" s="209"/>
      <c r="X1040" s="209"/>
      <c r="Y1040" s="209"/>
      <c r="Z1040" s="209"/>
      <c r="AA1040" s="209"/>
      <c r="AB1040" s="209"/>
      <c r="AC1040" s="209"/>
      <c r="AD1040" s="209"/>
      <c r="AE1040" s="209"/>
      <c r="AF1040" s="209"/>
      <c r="AG1040" s="209"/>
      <c r="AH1040" s="209"/>
      <c r="AI1040" s="209"/>
      <c r="AJ1040" s="209"/>
      <c r="AK1040" s="209"/>
      <c r="AL1040" s="209"/>
      <c r="AM1040" s="209"/>
      <c r="AN1040" s="209"/>
      <c r="AO1040" s="209"/>
      <c r="AP1040" s="209"/>
    </row>
    <row r="1041">
      <c r="A1041" s="291"/>
      <c r="B1041" s="408" t="s">
        <v>3693</v>
      </c>
      <c r="C1041" s="409" t="s">
        <v>3694</v>
      </c>
      <c r="D1041" s="304" t="s">
        <v>3695</v>
      </c>
      <c r="E1041" s="302" t="s">
        <v>3696</v>
      </c>
      <c r="F1041" s="295"/>
      <c r="G1041" s="295"/>
      <c r="H1041" s="295"/>
      <c r="I1041" s="209"/>
      <c r="J1041" s="296" t="b">
        <v>1</v>
      </c>
      <c r="K1041" s="297" t="b">
        <v>0</v>
      </c>
      <c r="L1041" s="365"/>
      <c r="M1041" s="314" t="b">
        <v>0</v>
      </c>
      <c r="N1041" s="209"/>
      <c r="O1041" s="209"/>
      <c r="P1041" s="209"/>
      <c r="Q1041" s="209"/>
      <c r="R1041" s="209"/>
      <c r="S1041" s="209"/>
      <c r="T1041" s="209"/>
      <c r="U1041" s="209"/>
      <c r="V1041" s="209"/>
      <c r="W1041" s="209"/>
      <c r="X1041" s="209"/>
      <c r="Y1041" s="209"/>
      <c r="Z1041" s="209"/>
      <c r="AA1041" s="209"/>
      <c r="AB1041" s="209"/>
      <c r="AC1041" s="209"/>
      <c r="AD1041" s="209"/>
      <c r="AE1041" s="209"/>
      <c r="AF1041" s="209"/>
      <c r="AG1041" s="209"/>
      <c r="AH1041" s="209"/>
      <c r="AI1041" s="209"/>
      <c r="AJ1041" s="209"/>
      <c r="AK1041" s="209"/>
      <c r="AL1041" s="209"/>
      <c r="AM1041" s="209"/>
      <c r="AN1041" s="209"/>
      <c r="AO1041" s="209"/>
      <c r="AP1041" s="209"/>
    </row>
    <row r="1042">
      <c r="A1042" s="291"/>
      <c r="B1042" s="376" t="s">
        <v>3697</v>
      </c>
      <c r="C1042" s="377" t="s">
        <v>3694</v>
      </c>
      <c r="D1042" s="304" t="s">
        <v>3698</v>
      </c>
      <c r="E1042" s="308" t="s">
        <v>3699</v>
      </c>
      <c r="F1042" s="209"/>
      <c r="G1042" s="209"/>
      <c r="H1042" s="209"/>
      <c r="I1042" s="209"/>
      <c r="J1042" s="296" t="b">
        <v>1</v>
      </c>
      <c r="K1042" s="301" t="b">
        <v>0</v>
      </c>
      <c r="L1042" s="209"/>
      <c r="M1042" s="209"/>
      <c r="N1042" s="209"/>
      <c r="O1042" s="209"/>
      <c r="P1042" s="209"/>
      <c r="Q1042" s="209"/>
      <c r="R1042" s="209"/>
      <c r="S1042" s="209"/>
      <c r="T1042" s="209"/>
      <c r="U1042" s="209"/>
      <c r="V1042" s="209"/>
      <c r="W1042" s="209"/>
      <c r="X1042" s="209"/>
      <c r="Y1042" s="209"/>
      <c r="Z1042" s="209"/>
      <c r="AA1042" s="209"/>
      <c r="AB1042" s="209"/>
      <c r="AC1042" s="209"/>
      <c r="AD1042" s="209"/>
      <c r="AE1042" s="209"/>
      <c r="AF1042" s="209"/>
      <c r="AG1042" s="209"/>
      <c r="AH1042" s="209"/>
      <c r="AI1042" s="209"/>
      <c r="AJ1042" s="209"/>
      <c r="AK1042" s="209"/>
      <c r="AL1042" s="209"/>
      <c r="AM1042" s="209"/>
      <c r="AN1042" s="209"/>
      <c r="AO1042" s="209"/>
      <c r="AP1042" s="209"/>
    </row>
    <row r="1043">
      <c r="A1043" s="291"/>
      <c r="B1043" s="376" t="s">
        <v>3700</v>
      </c>
      <c r="C1043" s="377" t="s">
        <v>3701</v>
      </c>
      <c r="D1043" s="304" t="s">
        <v>3702</v>
      </c>
      <c r="E1043" s="308" t="s">
        <v>3703</v>
      </c>
      <c r="F1043" s="209"/>
      <c r="G1043" s="209"/>
      <c r="H1043" s="209"/>
      <c r="I1043" s="209"/>
      <c r="J1043" s="296" t="b">
        <v>1</v>
      </c>
      <c r="K1043" s="301" t="b">
        <v>0</v>
      </c>
      <c r="L1043" s="464" t="s">
        <v>889</v>
      </c>
      <c r="M1043" s="465" t="str">
        <f>IF(COUNTIF(M1044:M1055, TRUE) = COUNTA(M1044:M1055), "Complete!", IF(COUNTIF(M1044:M1055, TRUE) &gt; 0, "Partial", "Not Started"))</f>
        <v>Not Started</v>
      </c>
      <c r="N1043" s="209"/>
      <c r="O1043" s="209"/>
      <c r="P1043" s="209"/>
      <c r="Q1043" s="209"/>
      <c r="R1043" s="209"/>
      <c r="S1043" s="209"/>
      <c r="T1043" s="209"/>
      <c r="U1043" s="209"/>
      <c r="V1043" s="209"/>
      <c r="W1043" s="209"/>
      <c r="X1043" s="209"/>
      <c r="Y1043" s="209"/>
      <c r="Z1043" s="209"/>
      <c r="AA1043" s="209"/>
      <c r="AB1043" s="209"/>
      <c r="AC1043" s="209"/>
      <c r="AD1043" s="209"/>
      <c r="AE1043" s="209"/>
      <c r="AF1043" s="209"/>
      <c r="AG1043" s="209"/>
      <c r="AH1043" s="209"/>
      <c r="AI1043" s="209"/>
      <c r="AJ1043" s="209"/>
      <c r="AK1043" s="209"/>
      <c r="AL1043" s="209"/>
      <c r="AM1043" s="209"/>
      <c r="AN1043" s="209"/>
      <c r="AO1043" s="209"/>
      <c r="AP1043" s="209"/>
    </row>
    <row r="1044">
      <c r="A1044" s="291"/>
      <c r="B1044" s="376" t="s">
        <v>3704</v>
      </c>
      <c r="C1044" s="377" t="s">
        <v>3705</v>
      </c>
      <c r="D1044" s="304" t="s">
        <v>3706</v>
      </c>
      <c r="E1044" s="308" t="s">
        <v>3707</v>
      </c>
      <c r="F1044" s="209"/>
      <c r="G1044" s="209"/>
      <c r="H1044" s="209"/>
      <c r="I1044" s="209"/>
      <c r="J1044" s="296" t="b">
        <v>1</v>
      </c>
      <c r="K1044" s="301" t="b">
        <v>0</v>
      </c>
      <c r="L1044" s="419"/>
      <c r="M1044" s="301" t="b">
        <v>0</v>
      </c>
      <c r="N1044" s="209"/>
      <c r="O1044" s="209"/>
      <c r="P1044" s="209"/>
      <c r="Q1044" s="209"/>
      <c r="R1044" s="209"/>
      <c r="S1044" s="209"/>
      <c r="T1044" s="209"/>
      <c r="U1044" s="209"/>
      <c r="V1044" s="209"/>
      <c r="W1044" s="209"/>
      <c r="X1044" s="209"/>
      <c r="Y1044" s="209"/>
      <c r="Z1044" s="209"/>
      <c r="AA1044" s="209"/>
      <c r="AB1044" s="209"/>
      <c r="AC1044" s="209"/>
      <c r="AD1044" s="209"/>
      <c r="AE1044" s="209"/>
      <c r="AF1044" s="209"/>
      <c r="AG1044" s="209"/>
      <c r="AH1044" s="209"/>
      <c r="AI1044" s="209"/>
      <c r="AJ1044" s="209"/>
      <c r="AK1044" s="209"/>
      <c r="AL1044" s="209"/>
      <c r="AM1044" s="209"/>
      <c r="AN1044" s="209"/>
      <c r="AO1044" s="209"/>
      <c r="AP1044" s="209"/>
    </row>
    <row r="1045">
      <c r="A1045" s="291"/>
      <c r="B1045" s="376" t="s">
        <v>3708</v>
      </c>
      <c r="C1045" s="377" t="s">
        <v>3705</v>
      </c>
      <c r="D1045" s="304" t="s">
        <v>3709</v>
      </c>
      <c r="E1045" s="308" t="s">
        <v>3710</v>
      </c>
      <c r="F1045" s="209"/>
      <c r="G1045" s="209"/>
      <c r="H1045" s="209"/>
      <c r="I1045" s="209"/>
      <c r="J1045" s="296" t="b">
        <v>1</v>
      </c>
      <c r="K1045" s="301" t="b">
        <v>0</v>
      </c>
      <c r="L1045" s="419"/>
      <c r="M1045" s="301" t="b">
        <v>0</v>
      </c>
      <c r="N1045" s="209"/>
      <c r="O1045" s="209"/>
      <c r="P1045" s="209"/>
      <c r="Q1045" s="209"/>
      <c r="R1045" s="209"/>
      <c r="S1045" s="209"/>
      <c r="T1045" s="209"/>
      <c r="U1045" s="209"/>
      <c r="V1045" s="209"/>
      <c r="W1045" s="209"/>
      <c r="X1045" s="209"/>
      <c r="Y1045" s="209"/>
      <c r="Z1045" s="209"/>
      <c r="AA1045" s="209"/>
      <c r="AB1045" s="209"/>
      <c r="AC1045" s="209"/>
      <c r="AD1045" s="209"/>
      <c r="AE1045" s="209"/>
      <c r="AF1045" s="209"/>
      <c r="AG1045" s="209"/>
      <c r="AH1045" s="209"/>
      <c r="AI1045" s="209"/>
      <c r="AJ1045" s="209"/>
      <c r="AK1045" s="209"/>
      <c r="AL1045" s="209"/>
      <c r="AM1045" s="209"/>
      <c r="AN1045" s="209"/>
      <c r="AO1045" s="209"/>
      <c r="AP1045" s="209"/>
    </row>
    <row r="1046">
      <c r="A1046" s="291"/>
      <c r="B1046" s="376" t="s">
        <v>3711</v>
      </c>
      <c r="C1046" s="377" t="s">
        <v>3712</v>
      </c>
      <c r="D1046" s="304" t="s">
        <v>3713</v>
      </c>
      <c r="E1046" s="308" t="s">
        <v>3714</v>
      </c>
      <c r="F1046" s="209"/>
      <c r="G1046" s="209"/>
      <c r="H1046" s="209"/>
      <c r="I1046" s="209"/>
      <c r="J1046" s="296" t="b">
        <v>1</v>
      </c>
      <c r="K1046" s="301" t="b">
        <v>0</v>
      </c>
      <c r="L1046" s="419"/>
      <c r="M1046" s="301" t="b">
        <v>0</v>
      </c>
      <c r="N1046" s="209"/>
      <c r="O1046" s="209"/>
      <c r="P1046" s="209"/>
      <c r="Q1046" s="209"/>
      <c r="R1046" s="209"/>
      <c r="S1046" s="209"/>
      <c r="T1046" s="209"/>
      <c r="U1046" s="209"/>
      <c r="V1046" s="209"/>
      <c r="W1046" s="209"/>
      <c r="X1046" s="209"/>
      <c r="Y1046" s="209"/>
      <c r="Z1046" s="209"/>
      <c r="AA1046" s="209"/>
      <c r="AB1046" s="209"/>
      <c r="AC1046" s="209"/>
      <c r="AD1046" s="209"/>
      <c r="AE1046" s="209"/>
      <c r="AF1046" s="209"/>
      <c r="AG1046" s="209"/>
      <c r="AH1046" s="209"/>
      <c r="AI1046" s="209"/>
      <c r="AJ1046" s="209"/>
      <c r="AK1046" s="209"/>
      <c r="AL1046" s="209"/>
      <c r="AM1046" s="209"/>
      <c r="AN1046" s="209"/>
      <c r="AO1046" s="209"/>
      <c r="AP1046" s="209"/>
    </row>
    <row r="1047">
      <c r="A1047" s="291"/>
      <c r="B1047" s="376" t="s">
        <v>3715</v>
      </c>
      <c r="C1047" s="377" t="s">
        <v>3716</v>
      </c>
      <c r="D1047" s="304" t="s">
        <v>3717</v>
      </c>
      <c r="E1047" s="308" t="s">
        <v>3718</v>
      </c>
      <c r="F1047" s="209"/>
      <c r="G1047" s="209"/>
      <c r="H1047" s="209"/>
      <c r="I1047" s="209"/>
      <c r="J1047" s="296" t="b">
        <v>1</v>
      </c>
      <c r="K1047" s="301" t="b">
        <v>0</v>
      </c>
      <c r="L1047" s="419"/>
      <c r="M1047" s="301" t="b">
        <v>0</v>
      </c>
      <c r="N1047" s="209"/>
      <c r="O1047" s="209"/>
      <c r="P1047" s="209"/>
      <c r="Q1047" s="209"/>
      <c r="R1047" s="209"/>
      <c r="S1047" s="209"/>
      <c r="T1047" s="209"/>
      <c r="U1047" s="209"/>
      <c r="V1047" s="209"/>
      <c r="W1047" s="209"/>
      <c r="X1047" s="209"/>
      <c r="Y1047" s="209"/>
      <c r="Z1047" s="209"/>
      <c r="AA1047" s="209"/>
      <c r="AB1047" s="209"/>
      <c r="AC1047" s="209"/>
      <c r="AD1047" s="209"/>
      <c r="AE1047" s="209"/>
      <c r="AF1047" s="209"/>
      <c r="AG1047" s="209"/>
      <c r="AH1047" s="209"/>
      <c r="AI1047" s="209"/>
      <c r="AJ1047" s="209"/>
      <c r="AK1047" s="209"/>
      <c r="AL1047" s="209"/>
      <c r="AM1047" s="209"/>
      <c r="AN1047" s="209"/>
      <c r="AO1047" s="209"/>
      <c r="AP1047" s="209"/>
    </row>
    <row r="1048">
      <c r="A1048" s="291"/>
      <c r="B1048" s="303" t="s">
        <v>3719</v>
      </c>
      <c r="C1048" s="304" t="s">
        <v>3716</v>
      </c>
      <c r="D1048" s="304" t="s">
        <v>3720</v>
      </c>
      <c r="E1048" s="308" t="s">
        <v>3721</v>
      </c>
      <c r="F1048" s="209"/>
      <c r="G1048" s="209"/>
      <c r="H1048" s="209"/>
      <c r="I1048" s="209"/>
      <c r="J1048" s="296" t="b">
        <v>1</v>
      </c>
      <c r="K1048" s="301" t="b">
        <v>0</v>
      </c>
      <c r="L1048" s="419"/>
      <c r="M1048" s="301" t="b">
        <v>0</v>
      </c>
      <c r="N1048" s="209"/>
      <c r="O1048" s="209"/>
      <c r="P1048" s="209"/>
      <c r="Q1048" s="209"/>
      <c r="R1048" s="209"/>
      <c r="S1048" s="209"/>
      <c r="T1048" s="209"/>
      <c r="U1048" s="209"/>
      <c r="V1048" s="209"/>
      <c r="W1048" s="209"/>
      <c r="X1048" s="209"/>
      <c r="Y1048" s="209"/>
      <c r="Z1048" s="209"/>
      <c r="AA1048" s="209"/>
      <c r="AB1048" s="209"/>
      <c r="AC1048" s="209"/>
      <c r="AD1048" s="209"/>
      <c r="AE1048" s="209"/>
      <c r="AF1048" s="209"/>
      <c r="AG1048" s="209"/>
      <c r="AH1048" s="209"/>
      <c r="AI1048" s="209"/>
      <c r="AJ1048" s="209"/>
      <c r="AK1048" s="209"/>
      <c r="AL1048" s="209"/>
      <c r="AM1048" s="209"/>
      <c r="AN1048" s="209"/>
      <c r="AO1048" s="209"/>
      <c r="AP1048" s="209"/>
    </row>
    <row r="1049">
      <c r="A1049" s="291"/>
      <c r="B1049" s="376" t="s">
        <v>3722</v>
      </c>
      <c r="C1049" s="377" t="s">
        <v>3723</v>
      </c>
      <c r="D1049" s="304" t="s">
        <v>3724</v>
      </c>
      <c r="E1049" s="308" t="s">
        <v>3725</v>
      </c>
      <c r="F1049" s="209"/>
      <c r="G1049" s="209"/>
      <c r="H1049" s="209"/>
      <c r="I1049" s="209"/>
      <c r="J1049" s="296" t="b">
        <v>1</v>
      </c>
      <c r="K1049" s="301" t="b">
        <v>0</v>
      </c>
      <c r="L1049" s="419"/>
      <c r="M1049" s="301" t="b">
        <v>0</v>
      </c>
      <c r="N1049" s="209"/>
      <c r="O1049" s="209"/>
      <c r="P1049" s="209"/>
      <c r="Q1049" s="209"/>
      <c r="R1049" s="209"/>
      <c r="S1049" s="209"/>
      <c r="T1049" s="209"/>
      <c r="U1049" s="209"/>
      <c r="V1049" s="209"/>
      <c r="W1049" s="209"/>
      <c r="X1049" s="209"/>
      <c r="Y1049" s="209"/>
      <c r="Z1049" s="209"/>
      <c r="AA1049" s="209"/>
      <c r="AB1049" s="209"/>
      <c r="AC1049" s="209"/>
      <c r="AD1049" s="209"/>
      <c r="AE1049" s="209"/>
      <c r="AF1049" s="209"/>
      <c r="AG1049" s="209"/>
      <c r="AH1049" s="209"/>
      <c r="AI1049" s="209"/>
      <c r="AJ1049" s="209"/>
      <c r="AK1049" s="209"/>
      <c r="AL1049" s="209"/>
      <c r="AM1049" s="209"/>
      <c r="AN1049" s="209"/>
      <c r="AO1049" s="209"/>
      <c r="AP1049" s="209"/>
    </row>
    <row r="1050">
      <c r="A1050" s="291"/>
      <c r="B1050" s="376" t="s">
        <v>3726</v>
      </c>
      <c r="C1050" s="377" t="s">
        <v>3476</v>
      </c>
      <c r="D1050" s="304" t="s">
        <v>3727</v>
      </c>
      <c r="E1050" s="308" t="s">
        <v>3728</v>
      </c>
      <c r="F1050" s="209"/>
      <c r="G1050" s="209"/>
      <c r="H1050" s="209"/>
      <c r="I1050" s="209"/>
      <c r="J1050" s="296" t="b">
        <v>1</v>
      </c>
      <c r="K1050" s="301" t="b">
        <v>0</v>
      </c>
      <c r="L1050" s="419"/>
      <c r="M1050" s="301" t="b">
        <v>0</v>
      </c>
      <c r="N1050" s="209"/>
      <c r="O1050" s="209"/>
      <c r="P1050" s="209"/>
      <c r="Q1050" s="209"/>
      <c r="R1050" s="209"/>
      <c r="S1050" s="209"/>
      <c r="T1050" s="209"/>
      <c r="U1050" s="209"/>
      <c r="V1050" s="209"/>
      <c r="W1050" s="209"/>
      <c r="X1050" s="209"/>
      <c r="Y1050" s="209"/>
      <c r="Z1050" s="209"/>
      <c r="AA1050" s="209"/>
      <c r="AB1050" s="209"/>
      <c r="AC1050" s="209"/>
      <c r="AD1050" s="209"/>
      <c r="AE1050" s="209"/>
      <c r="AF1050" s="209"/>
      <c r="AG1050" s="209"/>
      <c r="AH1050" s="209"/>
      <c r="AI1050" s="209"/>
      <c r="AJ1050" s="209"/>
      <c r="AK1050" s="209"/>
      <c r="AL1050" s="209"/>
      <c r="AM1050" s="209"/>
      <c r="AN1050" s="209"/>
      <c r="AO1050" s="209"/>
      <c r="AP1050" s="209"/>
    </row>
    <row r="1051">
      <c r="A1051" s="291"/>
      <c r="B1051" s="376" t="s">
        <v>3729</v>
      </c>
      <c r="C1051" s="377" t="s">
        <v>3476</v>
      </c>
      <c r="D1051" s="304" t="s">
        <v>3730</v>
      </c>
      <c r="E1051" s="308" t="s">
        <v>3731</v>
      </c>
      <c r="F1051" s="209"/>
      <c r="G1051" s="209"/>
      <c r="H1051" s="209"/>
      <c r="I1051" s="209"/>
      <c r="J1051" s="296" t="b">
        <v>1</v>
      </c>
      <c r="K1051" s="301" t="b">
        <v>0</v>
      </c>
      <c r="L1051" s="419"/>
      <c r="M1051" s="301" t="b">
        <v>0</v>
      </c>
      <c r="N1051" s="209"/>
      <c r="O1051" s="209"/>
      <c r="P1051" s="209"/>
      <c r="Q1051" s="209"/>
      <c r="R1051" s="209"/>
      <c r="S1051" s="209"/>
      <c r="T1051" s="209"/>
      <c r="U1051" s="209"/>
      <c r="V1051" s="209"/>
      <c r="W1051" s="209"/>
      <c r="X1051" s="209"/>
      <c r="Y1051" s="209"/>
      <c r="Z1051" s="209"/>
      <c r="AA1051" s="209"/>
      <c r="AB1051" s="209"/>
      <c r="AC1051" s="209"/>
      <c r="AD1051" s="209"/>
      <c r="AE1051" s="209"/>
      <c r="AF1051" s="209"/>
      <c r="AG1051" s="209"/>
      <c r="AH1051" s="209"/>
      <c r="AI1051" s="209"/>
      <c r="AJ1051" s="209"/>
      <c r="AK1051" s="209"/>
      <c r="AL1051" s="209"/>
      <c r="AM1051" s="209"/>
      <c r="AN1051" s="209"/>
      <c r="AO1051" s="209"/>
      <c r="AP1051" s="209"/>
    </row>
    <row r="1052">
      <c r="A1052" s="309"/>
      <c r="B1052" s="378" t="s">
        <v>3732</v>
      </c>
      <c r="C1052" s="379" t="s">
        <v>3476</v>
      </c>
      <c r="D1052" s="311" t="s">
        <v>3733</v>
      </c>
      <c r="E1052" s="335" t="s">
        <v>3734</v>
      </c>
      <c r="F1052" s="313"/>
      <c r="G1052" s="313"/>
      <c r="H1052" s="313"/>
      <c r="I1052" s="313"/>
      <c r="J1052" s="296" t="b">
        <v>1</v>
      </c>
      <c r="K1052" s="381" t="b">
        <v>0</v>
      </c>
      <c r="L1052" s="419"/>
      <c r="M1052" s="301" t="b">
        <v>0</v>
      </c>
      <c r="N1052" s="209"/>
      <c r="O1052" s="209"/>
      <c r="P1052" s="209"/>
      <c r="Q1052" s="209"/>
      <c r="R1052" s="209"/>
      <c r="S1052" s="209"/>
      <c r="T1052" s="209"/>
      <c r="U1052" s="209"/>
      <c r="V1052" s="209"/>
      <c r="W1052" s="209"/>
      <c r="X1052" s="209"/>
      <c r="Y1052" s="209"/>
      <c r="Z1052" s="209"/>
      <c r="AA1052" s="209"/>
      <c r="AB1052" s="209"/>
      <c r="AC1052" s="209"/>
      <c r="AD1052" s="209"/>
      <c r="AE1052" s="209"/>
      <c r="AF1052" s="209"/>
      <c r="AG1052" s="209"/>
      <c r="AH1052" s="209"/>
      <c r="AI1052" s="209"/>
      <c r="AJ1052" s="209"/>
      <c r="AK1052" s="209"/>
      <c r="AL1052" s="209"/>
      <c r="AM1052" s="209"/>
      <c r="AN1052" s="209"/>
      <c r="AO1052" s="209"/>
      <c r="AP1052" s="209"/>
    </row>
    <row r="1053">
      <c r="A1053" s="209"/>
      <c r="B1053" s="209"/>
      <c r="C1053" s="209"/>
      <c r="D1053" s="209"/>
      <c r="E1053" s="209"/>
      <c r="F1053" s="209"/>
      <c r="G1053" s="209"/>
      <c r="H1053" s="209"/>
      <c r="I1053" s="209"/>
      <c r="J1053" s="209"/>
      <c r="K1053" s="209"/>
      <c r="L1053" s="419"/>
      <c r="M1053" s="301" t="b">
        <v>0</v>
      </c>
      <c r="N1053" s="209"/>
      <c r="O1053" s="209"/>
      <c r="P1053" s="209"/>
      <c r="Q1053" s="209"/>
      <c r="R1053" s="209"/>
      <c r="S1053" s="209"/>
      <c r="T1053" s="209"/>
      <c r="U1053" s="209"/>
      <c r="V1053" s="209"/>
      <c r="W1053" s="209"/>
      <c r="X1053" s="209"/>
      <c r="Y1053" s="209"/>
      <c r="Z1053" s="209"/>
      <c r="AA1053" s="209"/>
      <c r="AB1053" s="209"/>
      <c r="AC1053" s="209"/>
      <c r="AD1053" s="209"/>
      <c r="AE1053" s="209"/>
      <c r="AF1053" s="209"/>
      <c r="AG1053" s="209"/>
      <c r="AH1053" s="209"/>
      <c r="AI1053" s="209"/>
      <c r="AJ1053" s="209"/>
      <c r="AK1053" s="209"/>
      <c r="AL1053" s="209"/>
      <c r="AM1053" s="209"/>
      <c r="AN1053" s="209"/>
      <c r="AO1053" s="209"/>
      <c r="AP1053" s="209"/>
    </row>
    <row r="1054">
      <c r="A1054" s="316" t="s">
        <v>3735</v>
      </c>
      <c r="B1054" s="319" t="s">
        <v>3736</v>
      </c>
      <c r="C1054" s="320"/>
      <c r="D1054" s="388" t="s">
        <v>3737</v>
      </c>
      <c r="E1054" s="336" t="s">
        <v>3738</v>
      </c>
      <c r="F1054" s="436"/>
      <c r="G1054" s="320"/>
      <c r="H1054" s="285" t="s">
        <v>2790</v>
      </c>
      <c r="I1054" s="285" t="s">
        <v>4428</v>
      </c>
      <c r="J1054" s="333" t="str">
        <f>IF(COUNTIF(J1055:J1072, TRUE) = COUNTA(J1055:J1072), "Complete!", IF(COUNTIF(J1055:J1072, TRUE) &gt; 0, "Partial", "Not Started"))</f>
        <v>Complete!</v>
      </c>
      <c r="K1054" s="334"/>
      <c r="L1054" s="419"/>
      <c r="M1054" s="301" t="b">
        <v>0</v>
      </c>
      <c r="N1054" s="280">
        <v>18.0</v>
      </c>
      <c r="O1054" s="209"/>
      <c r="P1054" s="209"/>
      <c r="Q1054" s="209"/>
      <c r="R1054" s="209"/>
      <c r="S1054" s="209"/>
      <c r="T1054" s="209"/>
      <c r="U1054" s="209"/>
      <c r="V1054" s="209"/>
      <c r="W1054" s="209"/>
      <c r="X1054" s="209"/>
      <c r="Y1054" s="209"/>
      <c r="Z1054" s="209"/>
      <c r="AA1054" s="209"/>
      <c r="AB1054" s="209"/>
      <c r="AC1054" s="209"/>
      <c r="AD1054" s="209"/>
      <c r="AE1054" s="209"/>
      <c r="AF1054" s="209"/>
      <c r="AG1054" s="209"/>
      <c r="AH1054" s="209"/>
      <c r="AI1054" s="209"/>
      <c r="AJ1054" s="209"/>
      <c r="AK1054" s="209"/>
      <c r="AL1054" s="209"/>
      <c r="AM1054" s="209"/>
      <c r="AN1054" s="209"/>
      <c r="AO1054" s="209"/>
      <c r="AP1054" s="209"/>
    </row>
    <row r="1055">
      <c r="A1055" s="291"/>
      <c r="B1055" s="303" t="s">
        <v>3740</v>
      </c>
      <c r="C1055" s="304" t="s">
        <v>3712</v>
      </c>
      <c r="D1055" s="304" t="s">
        <v>3741</v>
      </c>
      <c r="E1055" s="308" t="s">
        <v>3742</v>
      </c>
      <c r="F1055" s="209"/>
      <c r="G1055" s="209"/>
      <c r="H1055" s="209"/>
      <c r="I1055" s="209"/>
      <c r="J1055" s="300" t="b">
        <v>1</v>
      </c>
      <c r="K1055" s="301" t="b">
        <v>0</v>
      </c>
      <c r="L1055" s="365"/>
      <c r="M1055" s="314" t="b">
        <v>0</v>
      </c>
      <c r="N1055" s="209"/>
      <c r="O1055" s="209"/>
      <c r="P1055" s="209"/>
      <c r="Q1055" s="209"/>
      <c r="R1055" s="209"/>
      <c r="S1055" s="209"/>
      <c r="T1055" s="209"/>
      <c r="U1055" s="209"/>
      <c r="V1055" s="209"/>
      <c r="W1055" s="209"/>
      <c r="X1055" s="209"/>
      <c r="Y1055" s="209"/>
      <c r="Z1055" s="209"/>
      <c r="AA1055" s="209"/>
      <c r="AB1055" s="209"/>
      <c r="AC1055" s="209"/>
      <c r="AD1055" s="209"/>
      <c r="AE1055" s="209"/>
      <c r="AF1055" s="209"/>
      <c r="AG1055" s="209"/>
      <c r="AH1055" s="209"/>
      <c r="AI1055" s="209"/>
      <c r="AJ1055" s="209"/>
      <c r="AK1055" s="209"/>
      <c r="AL1055" s="209"/>
      <c r="AM1055" s="209"/>
      <c r="AN1055" s="209"/>
      <c r="AO1055" s="209"/>
      <c r="AP1055" s="209"/>
    </row>
    <row r="1056">
      <c r="A1056" s="291"/>
      <c r="B1056" s="303" t="s">
        <v>3743</v>
      </c>
      <c r="C1056" s="304" t="s">
        <v>3712</v>
      </c>
      <c r="D1056" s="304" t="s">
        <v>3744</v>
      </c>
      <c r="E1056" s="308" t="s">
        <v>3745</v>
      </c>
      <c r="F1056" s="209"/>
      <c r="G1056" s="209"/>
      <c r="H1056" s="209"/>
      <c r="I1056" s="209"/>
      <c r="J1056" s="300" t="b">
        <v>1</v>
      </c>
      <c r="K1056" s="301" t="b">
        <v>0</v>
      </c>
      <c r="L1056" s="209"/>
      <c r="M1056" s="209"/>
      <c r="N1056" s="209"/>
      <c r="O1056" s="209"/>
      <c r="P1056" s="209"/>
      <c r="Q1056" s="209"/>
      <c r="R1056" s="209"/>
      <c r="S1056" s="209"/>
      <c r="T1056" s="209"/>
      <c r="U1056" s="209"/>
      <c r="V1056" s="209"/>
      <c r="W1056" s="209"/>
      <c r="X1056" s="209"/>
      <c r="Y1056" s="209"/>
      <c r="Z1056" s="209"/>
      <c r="AA1056" s="209"/>
      <c r="AB1056" s="209"/>
      <c r="AC1056" s="209"/>
      <c r="AD1056" s="209"/>
      <c r="AE1056" s="209"/>
      <c r="AF1056" s="209"/>
      <c r="AG1056" s="209"/>
      <c r="AH1056" s="209"/>
      <c r="AI1056" s="209"/>
      <c r="AJ1056" s="209"/>
      <c r="AK1056" s="209"/>
      <c r="AL1056" s="209"/>
      <c r="AM1056" s="209"/>
      <c r="AN1056" s="209"/>
      <c r="AO1056" s="209"/>
      <c r="AP1056" s="209"/>
    </row>
    <row r="1057">
      <c r="A1057" s="291"/>
      <c r="B1057" s="303" t="s">
        <v>3746</v>
      </c>
      <c r="C1057" s="304" t="s">
        <v>3712</v>
      </c>
      <c r="D1057" s="304" t="s">
        <v>3747</v>
      </c>
      <c r="E1057" s="308" t="s">
        <v>3748</v>
      </c>
      <c r="F1057" s="209"/>
      <c r="G1057" s="209"/>
      <c r="H1057" s="209"/>
      <c r="I1057" s="209"/>
      <c r="J1057" s="300" t="b">
        <v>1</v>
      </c>
      <c r="K1057" s="301" t="b">
        <v>0</v>
      </c>
      <c r="L1057" s="285" t="s">
        <v>889</v>
      </c>
      <c r="M1057" s="465" t="str">
        <f>IF(COUNTIF(M1058:M1063, TRUE) = COUNTA(M1058:M1063), "Complete!", IF(COUNTIF(M1058:M1063, TRUE) &gt; 0, "Partial", "Not Started"))</f>
        <v>Not Started</v>
      </c>
      <c r="N1057" s="209"/>
      <c r="O1057" s="209"/>
      <c r="P1057" s="209"/>
      <c r="Q1057" s="209"/>
      <c r="R1057" s="209"/>
      <c r="S1057" s="209"/>
      <c r="T1057" s="209"/>
      <c r="U1057" s="209"/>
      <c r="V1057" s="209"/>
      <c r="W1057" s="209"/>
      <c r="X1057" s="209"/>
      <c r="Y1057" s="209"/>
      <c r="Z1057" s="209"/>
      <c r="AA1057" s="209"/>
      <c r="AB1057" s="209"/>
      <c r="AC1057" s="209"/>
      <c r="AD1057" s="209"/>
      <c r="AE1057" s="209"/>
      <c r="AF1057" s="209"/>
      <c r="AG1057" s="209"/>
      <c r="AH1057" s="209"/>
      <c r="AI1057" s="209"/>
      <c r="AJ1057" s="209"/>
      <c r="AK1057" s="209"/>
      <c r="AL1057" s="209"/>
      <c r="AM1057" s="209"/>
      <c r="AN1057" s="209"/>
      <c r="AO1057" s="209"/>
      <c r="AP1057" s="209"/>
    </row>
    <row r="1058">
      <c r="A1058" s="291"/>
      <c r="B1058" s="303" t="s">
        <v>3749</v>
      </c>
      <c r="C1058" s="304" t="s">
        <v>3712</v>
      </c>
      <c r="D1058" s="304" t="s">
        <v>3750</v>
      </c>
      <c r="E1058" s="308" t="s">
        <v>3751</v>
      </c>
      <c r="F1058" s="209"/>
      <c r="G1058" s="209"/>
      <c r="H1058" s="209"/>
      <c r="I1058" s="209"/>
      <c r="J1058" s="300" t="b">
        <v>1</v>
      </c>
      <c r="K1058" s="301" t="b">
        <v>0</v>
      </c>
      <c r="L1058" s="209"/>
      <c r="M1058" s="301" t="b">
        <v>0</v>
      </c>
      <c r="N1058" s="209"/>
      <c r="O1058" s="209"/>
      <c r="P1058" s="209"/>
      <c r="Q1058" s="209"/>
      <c r="R1058" s="209"/>
      <c r="S1058" s="209"/>
      <c r="T1058" s="209"/>
      <c r="U1058" s="209"/>
      <c r="V1058" s="209"/>
      <c r="W1058" s="209"/>
      <c r="X1058" s="209"/>
      <c r="Y1058" s="209"/>
      <c r="Z1058" s="209"/>
      <c r="AA1058" s="209"/>
      <c r="AB1058" s="209"/>
      <c r="AC1058" s="209"/>
      <c r="AD1058" s="209"/>
      <c r="AE1058" s="209"/>
      <c r="AF1058" s="209"/>
      <c r="AG1058" s="209"/>
      <c r="AH1058" s="209"/>
      <c r="AI1058" s="209"/>
      <c r="AJ1058" s="209"/>
      <c r="AK1058" s="209"/>
      <c r="AL1058" s="209"/>
      <c r="AM1058" s="209"/>
      <c r="AN1058" s="209"/>
      <c r="AO1058" s="209"/>
      <c r="AP1058" s="209"/>
    </row>
    <row r="1059">
      <c r="A1059" s="291"/>
      <c r="B1059" s="303" t="s">
        <v>3752</v>
      </c>
      <c r="C1059" s="304" t="s">
        <v>3712</v>
      </c>
      <c r="D1059" s="304" t="s">
        <v>3753</v>
      </c>
      <c r="E1059" s="308" t="s">
        <v>3754</v>
      </c>
      <c r="F1059" s="209"/>
      <c r="G1059" s="209"/>
      <c r="H1059" s="209"/>
      <c r="I1059" s="209"/>
      <c r="J1059" s="300" t="b">
        <v>1</v>
      </c>
      <c r="K1059" s="301" t="b">
        <v>0</v>
      </c>
      <c r="L1059" s="209"/>
      <c r="M1059" s="301" t="b">
        <v>0</v>
      </c>
      <c r="N1059" s="209"/>
      <c r="O1059" s="209"/>
      <c r="P1059" s="209"/>
      <c r="Q1059" s="209"/>
      <c r="R1059" s="209"/>
      <c r="S1059" s="209"/>
      <c r="T1059" s="209"/>
      <c r="U1059" s="209"/>
      <c r="V1059" s="209"/>
      <c r="W1059" s="209"/>
      <c r="X1059" s="209"/>
      <c r="Y1059" s="209"/>
      <c r="Z1059" s="209"/>
      <c r="AA1059" s="209"/>
      <c r="AB1059" s="209"/>
      <c r="AC1059" s="209"/>
      <c r="AD1059" s="209"/>
      <c r="AE1059" s="209"/>
      <c r="AF1059" s="209"/>
      <c r="AG1059" s="209"/>
      <c r="AH1059" s="209"/>
      <c r="AI1059" s="209"/>
      <c r="AJ1059" s="209"/>
      <c r="AK1059" s="209"/>
      <c r="AL1059" s="209"/>
      <c r="AM1059" s="209"/>
      <c r="AN1059" s="209"/>
      <c r="AO1059" s="209"/>
      <c r="AP1059" s="209"/>
    </row>
    <row r="1060">
      <c r="A1060" s="291"/>
      <c r="B1060" s="303" t="s">
        <v>3755</v>
      </c>
      <c r="C1060" s="304" t="s">
        <v>3712</v>
      </c>
      <c r="D1060" s="304" t="s">
        <v>3756</v>
      </c>
      <c r="E1060" s="308" t="s">
        <v>3757</v>
      </c>
      <c r="F1060" s="209"/>
      <c r="G1060" s="209"/>
      <c r="H1060" s="209"/>
      <c r="I1060" s="209"/>
      <c r="J1060" s="300" t="b">
        <v>1</v>
      </c>
      <c r="K1060" s="301" t="b">
        <v>0</v>
      </c>
      <c r="L1060" s="209"/>
      <c r="M1060" s="301" t="b">
        <v>0</v>
      </c>
      <c r="N1060" s="209"/>
      <c r="O1060" s="209"/>
      <c r="P1060" s="209"/>
      <c r="Q1060" s="209"/>
      <c r="R1060" s="209"/>
      <c r="S1060" s="209"/>
      <c r="T1060" s="209"/>
      <c r="U1060" s="209"/>
      <c r="V1060" s="209"/>
      <c r="W1060" s="209"/>
      <c r="X1060" s="209"/>
      <c r="Y1060" s="209"/>
      <c r="Z1060" s="209"/>
      <c r="AA1060" s="209"/>
      <c r="AB1060" s="209"/>
      <c r="AC1060" s="209"/>
      <c r="AD1060" s="209"/>
      <c r="AE1060" s="209"/>
      <c r="AF1060" s="209"/>
      <c r="AG1060" s="209"/>
      <c r="AH1060" s="209"/>
      <c r="AI1060" s="209"/>
      <c r="AJ1060" s="209"/>
      <c r="AK1060" s="209"/>
      <c r="AL1060" s="209"/>
      <c r="AM1060" s="209"/>
      <c r="AN1060" s="209"/>
      <c r="AO1060" s="209"/>
      <c r="AP1060" s="209"/>
    </row>
    <row r="1061">
      <c r="A1061" s="291"/>
      <c r="B1061" s="303" t="s">
        <v>3758</v>
      </c>
      <c r="C1061" s="304" t="s">
        <v>3712</v>
      </c>
      <c r="D1061" s="304" t="s">
        <v>3759</v>
      </c>
      <c r="E1061" s="308" t="s">
        <v>3760</v>
      </c>
      <c r="F1061" s="209"/>
      <c r="G1061" s="209"/>
      <c r="H1061" s="209"/>
      <c r="I1061" s="209"/>
      <c r="J1061" s="300" t="b">
        <v>1</v>
      </c>
      <c r="K1061" s="301" t="b">
        <v>0</v>
      </c>
      <c r="L1061" s="209"/>
      <c r="M1061" s="301" t="b">
        <v>0</v>
      </c>
      <c r="N1061" s="209"/>
      <c r="O1061" s="209"/>
      <c r="P1061" s="209"/>
      <c r="Q1061" s="209"/>
      <c r="R1061" s="209"/>
      <c r="S1061" s="209"/>
      <c r="T1061" s="209"/>
      <c r="U1061" s="209"/>
      <c r="V1061" s="209"/>
      <c r="W1061" s="209"/>
      <c r="X1061" s="209"/>
      <c r="Y1061" s="209"/>
      <c r="Z1061" s="209"/>
      <c r="AA1061" s="209"/>
      <c r="AB1061" s="209"/>
      <c r="AC1061" s="209"/>
      <c r="AD1061" s="209"/>
      <c r="AE1061" s="209"/>
      <c r="AF1061" s="209"/>
      <c r="AG1061" s="209"/>
      <c r="AH1061" s="209"/>
      <c r="AI1061" s="209"/>
      <c r="AJ1061" s="209"/>
      <c r="AK1061" s="209"/>
      <c r="AL1061" s="209"/>
      <c r="AM1061" s="209"/>
      <c r="AN1061" s="209"/>
      <c r="AO1061" s="209"/>
      <c r="AP1061" s="209"/>
    </row>
    <row r="1062">
      <c r="A1062" s="291"/>
      <c r="B1062" s="303" t="s">
        <v>3761</v>
      </c>
      <c r="C1062" s="304" t="s">
        <v>3712</v>
      </c>
      <c r="D1062" s="304" t="s">
        <v>3762</v>
      </c>
      <c r="E1062" s="308" t="s">
        <v>3763</v>
      </c>
      <c r="F1062" s="209"/>
      <c r="G1062" s="209"/>
      <c r="H1062" s="209"/>
      <c r="I1062" s="209"/>
      <c r="J1062" s="300" t="b">
        <v>1</v>
      </c>
      <c r="K1062" s="301" t="b">
        <v>0</v>
      </c>
      <c r="L1062" s="209"/>
      <c r="M1062" s="301" t="b">
        <v>0</v>
      </c>
      <c r="N1062" s="209"/>
      <c r="O1062" s="209"/>
      <c r="P1062" s="209"/>
      <c r="Q1062" s="209"/>
      <c r="R1062" s="209"/>
      <c r="S1062" s="209"/>
      <c r="T1062" s="209"/>
      <c r="U1062" s="209"/>
      <c r="V1062" s="209"/>
      <c r="W1062" s="209"/>
      <c r="X1062" s="209"/>
      <c r="Y1062" s="209"/>
      <c r="Z1062" s="209"/>
      <c r="AA1062" s="209"/>
      <c r="AB1062" s="209"/>
      <c r="AC1062" s="209"/>
      <c r="AD1062" s="209"/>
      <c r="AE1062" s="209"/>
      <c r="AF1062" s="209"/>
      <c r="AG1062" s="209"/>
      <c r="AH1062" s="209"/>
      <c r="AI1062" s="209"/>
      <c r="AJ1062" s="209"/>
      <c r="AK1062" s="209"/>
      <c r="AL1062" s="209"/>
      <c r="AM1062" s="209"/>
      <c r="AN1062" s="209"/>
      <c r="AO1062" s="209"/>
      <c r="AP1062" s="209"/>
    </row>
    <row r="1063">
      <c r="A1063" s="291"/>
      <c r="B1063" s="303" t="s">
        <v>3764</v>
      </c>
      <c r="C1063" s="304" t="s">
        <v>3712</v>
      </c>
      <c r="D1063" s="304" t="s">
        <v>3765</v>
      </c>
      <c r="E1063" s="308" t="s">
        <v>3766</v>
      </c>
      <c r="F1063" s="209"/>
      <c r="G1063" s="209"/>
      <c r="H1063" s="209"/>
      <c r="I1063" s="209"/>
      <c r="J1063" s="300" t="b">
        <v>1</v>
      </c>
      <c r="K1063" s="301" t="b">
        <v>0</v>
      </c>
      <c r="L1063" s="313"/>
      <c r="M1063" s="314" t="b">
        <v>0</v>
      </c>
      <c r="N1063" s="209"/>
      <c r="O1063" s="209"/>
      <c r="P1063" s="209"/>
      <c r="Q1063" s="209"/>
      <c r="R1063" s="209"/>
      <c r="S1063" s="209"/>
      <c r="T1063" s="209"/>
      <c r="U1063" s="209"/>
      <c r="V1063" s="209"/>
      <c r="W1063" s="209"/>
      <c r="X1063" s="209"/>
      <c r="Y1063" s="209"/>
      <c r="Z1063" s="209"/>
      <c r="AA1063" s="209"/>
      <c r="AB1063" s="209"/>
      <c r="AC1063" s="209"/>
      <c r="AD1063" s="209"/>
      <c r="AE1063" s="209"/>
      <c r="AF1063" s="209"/>
      <c r="AG1063" s="209"/>
      <c r="AH1063" s="209"/>
      <c r="AI1063" s="209"/>
      <c r="AJ1063" s="209"/>
      <c r="AK1063" s="209"/>
      <c r="AL1063" s="209"/>
      <c r="AM1063" s="209"/>
      <c r="AN1063" s="209"/>
      <c r="AO1063" s="209"/>
      <c r="AP1063" s="209"/>
    </row>
    <row r="1064">
      <c r="A1064" s="291"/>
      <c r="B1064" s="303" t="s">
        <v>3767</v>
      </c>
      <c r="C1064" s="304" t="s">
        <v>3712</v>
      </c>
      <c r="D1064" s="304" t="s">
        <v>3768</v>
      </c>
      <c r="E1064" s="308" t="s">
        <v>3769</v>
      </c>
      <c r="F1064" s="209"/>
      <c r="G1064" s="209"/>
      <c r="H1064" s="209"/>
      <c r="I1064" s="209"/>
      <c r="J1064" s="300" t="b">
        <v>1</v>
      </c>
      <c r="K1064" s="301" t="b">
        <v>0</v>
      </c>
      <c r="L1064" s="209"/>
      <c r="M1064" s="301" t="b">
        <v>0</v>
      </c>
      <c r="N1064" s="209"/>
      <c r="O1064" s="209"/>
      <c r="P1064" s="209"/>
      <c r="Q1064" s="209"/>
      <c r="R1064" s="209"/>
      <c r="S1064" s="209"/>
      <c r="T1064" s="209"/>
      <c r="U1064" s="209"/>
      <c r="V1064" s="209"/>
      <c r="W1064" s="209"/>
      <c r="X1064" s="209"/>
      <c r="Y1064" s="209"/>
      <c r="Z1064" s="209"/>
      <c r="AA1064" s="209"/>
      <c r="AB1064" s="209"/>
      <c r="AC1064" s="209"/>
      <c r="AD1064" s="209"/>
      <c r="AE1064" s="209"/>
      <c r="AF1064" s="209"/>
      <c r="AG1064" s="209"/>
      <c r="AH1064" s="209"/>
      <c r="AI1064" s="209"/>
      <c r="AJ1064" s="209"/>
      <c r="AK1064" s="209"/>
      <c r="AL1064" s="209"/>
      <c r="AM1064" s="209"/>
      <c r="AN1064" s="209"/>
      <c r="AO1064" s="209"/>
      <c r="AP1064" s="209"/>
    </row>
    <row r="1065">
      <c r="A1065" s="291"/>
      <c r="B1065" s="303" t="s">
        <v>3770</v>
      </c>
      <c r="C1065" s="304" t="s">
        <v>3712</v>
      </c>
      <c r="D1065" s="304" t="s">
        <v>3771</v>
      </c>
      <c r="E1065" s="308" t="s">
        <v>3772</v>
      </c>
      <c r="F1065" s="209"/>
      <c r="G1065" s="209"/>
      <c r="H1065" s="209"/>
      <c r="I1065" s="209"/>
      <c r="J1065" s="300" t="b">
        <v>1</v>
      </c>
      <c r="K1065" s="301" t="b">
        <v>0</v>
      </c>
      <c r="L1065" s="209"/>
      <c r="M1065" s="301" t="b">
        <v>0</v>
      </c>
      <c r="N1065" s="209"/>
      <c r="O1065" s="209"/>
      <c r="P1065" s="209"/>
      <c r="Q1065" s="209"/>
      <c r="R1065" s="209"/>
      <c r="S1065" s="209"/>
      <c r="T1065" s="209"/>
      <c r="U1065" s="209"/>
      <c r="V1065" s="209"/>
      <c r="W1065" s="209"/>
      <c r="X1065" s="209"/>
      <c r="Y1065" s="209"/>
      <c r="Z1065" s="209"/>
      <c r="AA1065" s="209"/>
      <c r="AB1065" s="209"/>
      <c r="AC1065" s="209"/>
      <c r="AD1065" s="209"/>
      <c r="AE1065" s="209"/>
      <c r="AF1065" s="209"/>
      <c r="AG1065" s="209"/>
      <c r="AH1065" s="209"/>
      <c r="AI1065" s="209"/>
      <c r="AJ1065" s="209"/>
      <c r="AK1065" s="209"/>
      <c r="AL1065" s="209"/>
      <c r="AM1065" s="209"/>
      <c r="AN1065" s="209"/>
      <c r="AO1065" s="209"/>
      <c r="AP1065" s="209"/>
    </row>
    <row r="1066">
      <c r="A1066" s="291"/>
      <c r="B1066" s="303" t="s">
        <v>3773</v>
      </c>
      <c r="C1066" s="304" t="s">
        <v>3712</v>
      </c>
      <c r="D1066" s="304" t="s">
        <v>3774</v>
      </c>
      <c r="E1066" s="308" t="s">
        <v>3775</v>
      </c>
      <c r="F1066" s="209"/>
      <c r="G1066" s="209"/>
      <c r="H1066" s="209"/>
      <c r="I1066" s="209"/>
      <c r="J1066" s="300" t="b">
        <v>1</v>
      </c>
      <c r="K1066" s="301" t="b">
        <v>0</v>
      </c>
      <c r="L1066" s="209"/>
      <c r="M1066" s="301" t="b">
        <v>0</v>
      </c>
      <c r="N1066" s="209"/>
      <c r="O1066" s="209"/>
      <c r="P1066" s="209"/>
      <c r="Q1066" s="209"/>
      <c r="R1066" s="209"/>
      <c r="S1066" s="209"/>
      <c r="T1066" s="209"/>
      <c r="U1066" s="209"/>
      <c r="V1066" s="209"/>
      <c r="W1066" s="209"/>
      <c r="X1066" s="209"/>
      <c r="Y1066" s="209"/>
      <c r="Z1066" s="209"/>
      <c r="AA1066" s="209"/>
      <c r="AB1066" s="209"/>
      <c r="AC1066" s="209"/>
      <c r="AD1066" s="209"/>
      <c r="AE1066" s="209"/>
      <c r="AF1066" s="209"/>
      <c r="AG1066" s="209"/>
      <c r="AH1066" s="209"/>
      <c r="AI1066" s="209"/>
      <c r="AJ1066" s="209"/>
      <c r="AK1066" s="209"/>
      <c r="AL1066" s="209"/>
      <c r="AM1066" s="209"/>
      <c r="AN1066" s="209"/>
      <c r="AO1066" s="209"/>
      <c r="AP1066" s="209"/>
    </row>
    <row r="1067">
      <c r="A1067" s="291"/>
      <c r="B1067" s="303" t="s">
        <v>3776</v>
      </c>
      <c r="C1067" s="304" t="s">
        <v>3712</v>
      </c>
      <c r="D1067" s="304" t="s">
        <v>3777</v>
      </c>
      <c r="E1067" s="308" t="s">
        <v>3778</v>
      </c>
      <c r="F1067" s="209"/>
      <c r="G1067" s="209"/>
      <c r="H1067" s="209"/>
      <c r="I1067" s="209"/>
      <c r="J1067" s="300" t="b">
        <v>1</v>
      </c>
      <c r="K1067" s="301" t="b">
        <v>0</v>
      </c>
      <c r="L1067" s="209"/>
      <c r="M1067" s="301" t="b">
        <v>0</v>
      </c>
      <c r="N1067" s="209"/>
      <c r="O1067" s="209"/>
      <c r="P1067" s="209"/>
      <c r="Q1067" s="209"/>
      <c r="R1067" s="209"/>
      <c r="S1067" s="209"/>
      <c r="T1067" s="209"/>
      <c r="U1067" s="209"/>
      <c r="V1067" s="209"/>
      <c r="W1067" s="209"/>
      <c r="X1067" s="209"/>
      <c r="Y1067" s="209"/>
      <c r="Z1067" s="209"/>
      <c r="AA1067" s="209"/>
      <c r="AB1067" s="209"/>
      <c r="AC1067" s="209"/>
      <c r="AD1067" s="209"/>
      <c r="AE1067" s="209"/>
      <c r="AF1067" s="209"/>
      <c r="AG1067" s="209"/>
      <c r="AH1067" s="209"/>
      <c r="AI1067" s="209"/>
      <c r="AJ1067" s="209"/>
      <c r="AK1067" s="209"/>
      <c r="AL1067" s="209"/>
      <c r="AM1067" s="209"/>
      <c r="AN1067" s="209"/>
      <c r="AO1067" s="209"/>
      <c r="AP1067" s="209"/>
    </row>
    <row r="1068">
      <c r="A1068" s="291"/>
      <c r="B1068" s="303" t="s">
        <v>3779</v>
      </c>
      <c r="C1068" s="304" t="s">
        <v>3712</v>
      </c>
      <c r="D1068" s="304" t="s">
        <v>3780</v>
      </c>
      <c r="E1068" s="308" t="s">
        <v>3780</v>
      </c>
      <c r="F1068" s="209"/>
      <c r="G1068" s="209"/>
      <c r="H1068" s="209"/>
      <c r="I1068" s="209"/>
      <c r="J1068" s="300" t="b">
        <v>1</v>
      </c>
      <c r="K1068" s="301" t="b">
        <v>0</v>
      </c>
      <c r="L1068" s="209"/>
      <c r="M1068" s="301" t="b">
        <v>0</v>
      </c>
      <c r="N1068" s="209"/>
      <c r="O1068" s="209"/>
      <c r="P1068" s="209"/>
      <c r="Q1068" s="209"/>
      <c r="R1068" s="209"/>
      <c r="S1068" s="209"/>
      <c r="T1068" s="209"/>
      <c r="U1068" s="209"/>
      <c r="V1068" s="209"/>
      <c r="W1068" s="209"/>
      <c r="X1068" s="209"/>
      <c r="Y1068" s="209"/>
      <c r="Z1068" s="209"/>
      <c r="AA1068" s="209"/>
      <c r="AB1068" s="209"/>
      <c r="AC1068" s="209"/>
      <c r="AD1068" s="209"/>
      <c r="AE1068" s="209"/>
      <c r="AF1068" s="209"/>
      <c r="AG1068" s="209"/>
      <c r="AH1068" s="209"/>
      <c r="AI1068" s="209"/>
      <c r="AJ1068" s="209"/>
      <c r="AK1068" s="209"/>
      <c r="AL1068" s="209"/>
      <c r="AM1068" s="209"/>
      <c r="AN1068" s="209"/>
      <c r="AO1068" s="209"/>
      <c r="AP1068" s="209"/>
    </row>
    <row r="1069">
      <c r="A1069" s="291"/>
      <c r="B1069" s="303" t="s">
        <v>3781</v>
      </c>
      <c r="C1069" s="304" t="s">
        <v>3712</v>
      </c>
      <c r="D1069" s="304" t="s">
        <v>3782</v>
      </c>
      <c r="E1069" s="308" t="s">
        <v>3783</v>
      </c>
      <c r="F1069" s="209"/>
      <c r="G1069" s="209"/>
      <c r="H1069" s="209"/>
      <c r="I1069" s="209"/>
      <c r="J1069" s="300" t="b">
        <v>1</v>
      </c>
      <c r="K1069" s="301" t="b">
        <v>0</v>
      </c>
      <c r="L1069" s="209"/>
      <c r="M1069" s="301" t="b">
        <v>0</v>
      </c>
      <c r="N1069" s="209"/>
      <c r="O1069" s="209"/>
      <c r="P1069" s="209"/>
      <c r="Q1069" s="209"/>
      <c r="R1069" s="209"/>
      <c r="S1069" s="209"/>
      <c r="T1069" s="209"/>
      <c r="U1069" s="209"/>
      <c r="V1069" s="209"/>
      <c r="W1069" s="209"/>
      <c r="X1069" s="209"/>
      <c r="Y1069" s="209"/>
      <c r="Z1069" s="209"/>
      <c r="AA1069" s="209"/>
      <c r="AB1069" s="209"/>
      <c r="AC1069" s="209"/>
      <c r="AD1069" s="209"/>
      <c r="AE1069" s="209"/>
      <c r="AF1069" s="209"/>
      <c r="AG1069" s="209"/>
      <c r="AH1069" s="209"/>
      <c r="AI1069" s="209"/>
      <c r="AJ1069" s="209"/>
      <c r="AK1069" s="209"/>
      <c r="AL1069" s="209"/>
      <c r="AM1069" s="209"/>
      <c r="AN1069" s="209"/>
      <c r="AO1069" s="209"/>
      <c r="AP1069" s="209"/>
    </row>
    <row r="1070">
      <c r="A1070" s="291"/>
      <c r="B1070" s="303" t="s">
        <v>3784</v>
      </c>
      <c r="C1070" s="304" t="s">
        <v>3712</v>
      </c>
      <c r="D1070" s="304" t="s">
        <v>3785</v>
      </c>
      <c r="E1070" s="308" t="s">
        <v>3786</v>
      </c>
      <c r="F1070" s="209"/>
      <c r="G1070" s="209"/>
      <c r="H1070" s="209"/>
      <c r="I1070" s="209"/>
      <c r="J1070" s="300" t="b">
        <v>1</v>
      </c>
      <c r="K1070" s="301" t="b">
        <v>0</v>
      </c>
      <c r="L1070" s="209"/>
      <c r="M1070" s="301" t="b">
        <v>0</v>
      </c>
      <c r="N1070" s="209"/>
      <c r="O1070" s="209"/>
      <c r="P1070" s="209"/>
      <c r="Q1070" s="209"/>
      <c r="R1070" s="209"/>
      <c r="S1070" s="209"/>
      <c r="T1070" s="209"/>
      <c r="U1070" s="209"/>
      <c r="V1070" s="209"/>
      <c r="W1070" s="209"/>
      <c r="X1070" s="209"/>
      <c r="Y1070" s="209"/>
      <c r="Z1070" s="209"/>
      <c r="AA1070" s="209"/>
      <c r="AB1070" s="209"/>
      <c r="AC1070" s="209"/>
      <c r="AD1070" s="209"/>
      <c r="AE1070" s="209"/>
      <c r="AF1070" s="209"/>
      <c r="AG1070" s="209"/>
      <c r="AH1070" s="209"/>
      <c r="AI1070" s="209"/>
      <c r="AJ1070" s="209"/>
      <c r="AK1070" s="209"/>
      <c r="AL1070" s="209"/>
      <c r="AM1070" s="209"/>
      <c r="AN1070" s="209"/>
      <c r="AO1070" s="209"/>
      <c r="AP1070" s="209"/>
    </row>
    <row r="1071">
      <c r="A1071" s="291"/>
      <c r="B1071" s="303" t="s">
        <v>3787</v>
      </c>
      <c r="C1071" s="304" t="s">
        <v>3712</v>
      </c>
      <c r="D1071" s="304" t="s">
        <v>3788</v>
      </c>
      <c r="E1071" s="308" t="s">
        <v>3789</v>
      </c>
      <c r="F1071" s="209"/>
      <c r="G1071" s="209"/>
      <c r="H1071" s="209"/>
      <c r="I1071" s="209"/>
      <c r="J1071" s="300" t="b">
        <v>1</v>
      </c>
      <c r="K1071" s="301" t="b">
        <v>0</v>
      </c>
      <c r="L1071" s="209"/>
      <c r="M1071" s="301" t="b">
        <v>0</v>
      </c>
      <c r="N1071" s="209"/>
      <c r="O1071" s="209"/>
      <c r="P1071" s="209"/>
      <c r="Q1071" s="209"/>
      <c r="R1071" s="209"/>
      <c r="S1071" s="209"/>
      <c r="T1071" s="209"/>
      <c r="U1071" s="209"/>
      <c r="V1071" s="209"/>
      <c r="W1071" s="209"/>
      <c r="X1071" s="209"/>
      <c r="Y1071" s="209"/>
      <c r="Z1071" s="209"/>
      <c r="AA1071" s="209"/>
      <c r="AB1071" s="209"/>
      <c r="AC1071" s="209"/>
      <c r="AD1071" s="209"/>
      <c r="AE1071" s="209"/>
      <c r="AF1071" s="209"/>
      <c r="AG1071" s="209"/>
      <c r="AH1071" s="209"/>
      <c r="AI1071" s="209"/>
      <c r="AJ1071" s="209"/>
      <c r="AK1071" s="209"/>
      <c r="AL1071" s="209"/>
      <c r="AM1071" s="209"/>
      <c r="AN1071" s="209"/>
      <c r="AO1071" s="209"/>
      <c r="AP1071" s="209"/>
    </row>
    <row r="1072">
      <c r="A1072" s="309"/>
      <c r="B1072" s="310" t="s">
        <v>3790</v>
      </c>
      <c r="C1072" s="311" t="s">
        <v>3712</v>
      </c>
      <c r="D1072" s="311" t="s">
        <v>3791</v>
      </c>
      <c r="E1072" s="335" t="s">
        <v>3792</v>
      </c>
      <c r="F1072" s="313"/>
      <c r="G1072" s="313"/>
      <c r="H1072" s="313"/>
      <c r="I1072" s="313"/>
      <c r="J1072" s="300" t="b">
        <v>1</v>
      </c>
      <c r="K1072" s="314" t="b">
        <v>0</v>
      </c>
      <c r="L1072" s="209"/>
      <c r="M1072" s="301" t="b">
        <v>0</v>
      </c>
      <c r="N1072" s="209"/>
      <c r="O1072" s="209"/>
      <c r="P1072" s="209"/>
      <c r="Q1072" s="209"/>
      <c r="R1072" s="209"/>
      <c r="S1072" s="209"/>
      <c r="T1072" s="209"/>
      <c r="U1072" s="209"/>
      <c r="V1072" s="209"/>
      <c r="W1072" s="209"/>
      <c r="X1072" s="209"/>
      <c r="Y1072" s="209"/>
      <c r="Z1072" s="209"/>
      <c r="AA1072" s="209"/>
      <c r="AB1072" s="209"/>
      <c r="AC1072" s="209"/>
      <c r="AD1072" s="209"/>
      <c r="AE1072" s="209"/>
      <c r="AF1072" s="209"/>
      <c r="AG1072" s="209"/>
      <c r="AH1072" s="209"/>
      <c r="AI1072" s="209"/>
      <c r="AJ1072" s="209"/>
      <c r="AK1072" s="209"/>
      <c r="AL1072" s="209"/>
      <c r="AM1072" s="209"/>
      <c r="AN1072" s="209"/>
      <c r="AO1072" s="209"/>
      <c r="AP1072" s="209"/>
    </row>
    <row r="1073">
      <c r="A1073" s="209"/>
      <c r="B1073" s="209"/>
      <c r="C1073" s="209"/>
      <c r="D1073" s="209"/>
      <c r="E1073" s="209"/>
      <c r="F1073" s="209"/>
      <c r="G1073" s="209"/>
      <c r="H1073" s="209"/>
      <c r="I1073" s="209"/>
      <c r="J1073" s="209"/>
      <c r="K1073" s="209"/>
      <c r="L1073" s="209"/>
      <c r="M1073" s="209"/>
      <c r="N1073" s="209"/>
      <c r="O1073" s="209"/>
      <c r="P1073" s="209"/>
      <c r="Q1073" s="209"/>
      <c r="R1073" s="209"/>
      <c r="S1073" s="209"/>
      <c r="T1073" s="209"/>
      <c r="U1073" s="209"/>
      <c r="V1073" s="209"/>
      <c r="W1073" s="209"/>
      <c r="X1073" s="209"/>
      <c r="Y1073" s="209"/>
      <c r="Z1073" s="209"/>
      <c r="AA1073" s="209"/>
      <c r="AB1073" s="209"/>
      <c r="AC1073" s="209"/>
      <c r="AD1073" s="209"/>
      <c r="AE1073" s="209"/>
      <c r="AF1073" s="209"/>
      <c r="AG1073" s="209"/>
      <c r="AH1073" s="209"/>
      <c r="AI1073" s="209"/>
      <c r="AJ1073" s="209"/>
      <c r="AK1073" s="209"/>
      <c r="AL1073" s="209"/>
      <c r="AM1073" s="209"/>
      <c r="AN1073" s="209"/>
      <c r="AO1073" s="209"/>
      <c r="AP1073" s="209"/>
    </row>
    <row r="1074">
      <c r="A1074" s="316" t="s">
        <v>3793</v>
      </c>
      <c r="B1074" s="319" t="s">
        <v>258</v>
      </c>
      <c r="C1074" s="320"/>
      <c r="D1074" s="283" t="s">
        <v>257</v>
      </c>
      <c r="E1074" s="336" t="s">
        <v>1595</v>
      </c>
      <c r="F1074" s="320"/>
      <c r="G1074" s="320"/>
      <c r="H1074" s="285" t="s">
        <v>4429</v>
      </c>
      <c r="I1074" s="285" t="s">
        <v>889</v>
      </c>
      <c r="J1074" s="333" t="str">
        <f>IF(COUNTIF(J1075:J1092, TRUE) = COUNTA(J1075:J1092), "Complete!", IF(COUNTIF(J1075:J1092, TRUE) &gt; 0, "Partial", "Not Started"))</f>
        <v>Partial</v>
      </c>
      <c r="K1074" s="334"/>
      <c r="L1074" s="209"/>
      <c r="M1074" s="301" t="b">
        <v>0</v>
      </c>
      <c r="N1074" s="280">
        <v>11.0</v>
      </c>
      <c r="O1074" s="209"/>
      <c r="P1074" s="209"/>
      <c r="Q1074" s="209"/>
      <c r="R1074" s="209"/>
      <c r="S1074" s="209"/>
      <c r="T1074" s="209"/>
      <c r="U1074" s="209"/>
      <c r="V1074" s="209"/>
      <c r="W1074" s="209"/>
      <c r="X1074" s="209"/>
      <c r="Y1074" s="209"/>
      <c r="Z1074" s="209"/>
      <c r="AA1074" s="209"/>
      <c r="AB1074" s="209"/>
      <c r="AC1074" s="209"/>
      <c r="AD1074" s="209"/>
      <c r="AE1074" s="209"/>
      <c r="AF1074" s="209"/>
      <c r="AG1074" s="209"/>
      <c r="AH1074" s="209"/>
      <c r="AI1074" s="209"/>
      <c r="AJ1074" s="209"/>
      <c r="AK1074" s="209"/>
      <c r="AL1074" s="209"/>
      <c r="AM1074" s="209"/>
      <c r="AN1074" s="209"/>
      <c r="AO1074" s="209"/>
      <c r="AP1074" s="209"/>
    </row>
    <row r="1075">
      <c r="A1075" s="291"/>
      <c r="B1075" s="382" t="s">
        <v>1600</v>
      </c>
      <c r="C1075" s="209" t="s">
        <v>390</v>
      </c>
      <c r="D1075" s="342" t="s">
        <v>1601</v>
      </c>
      <c r="E1075" s="383">
        <v>8.40472502219E11</v>
      </c>
      <c r="F1075" s="293" t="s">
        <v>1062</v>
      </c>
      <c r="G1075" s="295"/>
      <c r="H1075" s="295"/>
      <c r="I1075" s="295"/>
      <c r="J1075" s="296" t="b">
        <v>1</v>
      </c>
      <c r="K1075" s="297" t="b">
        <v>0</v>
      </c>
      <c r="L1075" s="209"/>
      <c r="M1075" s="301" t="b">
        <v>0</v>
      </c>
      <c r="N1075" s="209"/>
      <c r="O1075" s="209"/>
      <c r="P1075" s="209"/>
      <c r="Q1075" s="209"/>
      <c r="R1075" s="209"/>
      <c r="S1075" s="209"/>
      <c r="T1075" s="209"/>
      <c r="U1075" s="209"/>
      <c r="V1075" s="209"/>
      <c r="W1075" s="209"/>
      <c r="X1075" s="209"/>
      <c r="Y1075" s="209"/>
      <c r="Z1075" s="209"/>
      <c r="AA1075" s="209"/>
      <c r="AB1075" s="209"/>
      <c r="AC1075" s="209"/>
      <c r="AD1075" s="209"/>
      <c r="AE1075" s="209"/>
      <c r="AF1075" s="209"/>
      <c r="AG1075" s="209"/>
      <c r="AH1075" s="209"/>
      <c r="AI1075" s="209"/>
      <c r="AJ1075" s="209"/>
      <c r="AK1075" s="209"/>
      <c r="AL1075" s="209"/>
      <c r="AM1075" s="209"/>
      <c r="AN1075" s="209"/>
      <c r="AO1075" s="209"/>
      <c r="AP1075" s="209"/>
    </row>
    <row r="1076">
      <c r="A1076" s="291"/>
      <c r="B1076" s="303" t="s">
        <v>1605</v>
      </c>
      <c r="C1076" s="209" t="s">
        <v>400</v>
      </c>
      <c r="D1076" s="384" t="s">
        <v>1606</v>
      </c>
      <c r="E1076" s="385">
        <v>8.40472502226E11</v>
      </c>
      <c r="F1076" s="304" t="s">
        <v>1062</v>
      </c>
      <c r="G1076" s="295"/>
      <c r="H1076" s="209"/>
      <c r="I1076" s="295"/>
      <c r="J1076" s="296" t="b">
        <v>1</v>
      </c>
      <c r="K1076" s="301" t="b">
        <v>0</v>
      </c>
      <c r="L1076" s="209"/>
      <c r="M1076" s="301" t="b">
        <v>0</v>
      </c>
      <c r="N1076" s="209"/>
      <c r="O1076" s="209"/>
      <c r="P1076" s="209"/>
      <c r="Q1076" s="209"/>
      <c r="R1076" s="209"/>
      <c r="S1076" s="209"/>
      <c r="T1076" s="209"/>
      <c r="U1076" s="209"/>
      <c r="V1076" s="209"/>
      <c r="W1076" s="209"/>
      <c r="X1076" s="209"/>
      <c r="Y1076" s="209"/>
      <c r="Z1076" s="209"/>
      <c r="AA1076" s="209"/>
      <c r="AB1076" s="209"/>
      <c r="AC1076" s="209"/>
      <c r="AD1076" s="209"/>
      <c r="AE1076" s="209"/>
      <c r="AF1076" s="209"/>
      <c r="AG1076" s="209"/>
      <c r="AH1076" s="209"/>
      <c r="AI1076" s="209"/>
      <c r="AJ1076" s="209"/>
      <c r="AK1076" s="209"/>
      <c r="AL1076" s="209"/>
      <c r="AM1076" s="209"/>
      <c r="AN1076" s="209"/>
      <c r="AO1076" s="209"/>
      <c r="AP1076" s="209"/>
    </row>
    <row r="1077">
      <c r="A1077" s="291"/>
      <c r="B1077" s="303" t="s">
        <v>1610</v>
      </c>
      <c r="C1077" s="209" t="s">
        <v>1611</v>
      </c>
      <c r="D1077" s="304" t="s">
        <v>1612</v>
      </c>
      <c r="E1077" s="305">
        <v>8.40472502233E11</v>
      </c>
      <c r="F1077" s="304" t="s">
        <v>1062</v>
      </c>
      <c r="G1077" s="295"/>
      <c r="H1077" s="209"/>
      <c r="I1077" s="295"/>
      <c r="J1077" s="296" t="b">
        <v>1</v>
      </c>
      <c r="K1077" s="301" t="b">
        <v>0</v>
      </c>
      <c r="L1077" s="209"/>
      <c r="M1077" s="301" t="b">
        <v>0</v>
      </c>
      <c r="N1077" s="209"/>
      <c r="O1077" s="209"/>
      <c r="P1077" s="209"/>
      <c r="Q1077" s="209"/>
      <c r="R1077" s="209"/>
      <c r="S1077" s="209"/>
      <c r="T1077" s="209"/>
      <c r="U1077" s="209"/>
      <c r="V1077" s="209"/>
      <c r="W1077" s="209"/>
      <c r="X1077" s="209"/>
      <c r="Y1077" s="209"/>
      <c r="Z1077" s="209"/>
      <c r="AA1077" s="209"/>
      <c r="AB1077" s="209"/>
      <c r="AC1077" s="209"/>
      <c r="AD1077" s="209"/>
      <c r="AE1077" s="209"/>
      <c r="AF1077" s="209"/>
      <c r="AG1077" s="209"/>
      <c r="AH1077" s="209"/>
      <c r="AI1077" s="209"/>
      <c r="AJ1077" s="209"/>
      <c r="AK1077" s="209"/>
      <c r="AL1077" s="209"/>
      <c r="AM1077" s="209"/>
      <c r="AN1077" s="209"/>
      <c r="AO1077" s="209"/>
      <c r="AP1077" s="209"/>
    </row>
    <row r="1078">
      <c r="A1078" s="291"/>
      <c r="B1078" s="303" t="s">
        <v>1616</v>
      </c>
      <c r="C1078" s="209" t="s">
        <v>679</v>
      </c>
      <c r="D1078" s="304" t="s">
        <v>1617</v>
      </c>
      <c r="E1078" s="305">
        <v>8.4047250224E11</v>
      </c>
      <c r="F1078" s="304" t="s">
        <v>1062</v>
      </c>
      <c r="G1078" s="295"/>
      <c r="H1078" s="209"/>
      <c r="I1078" s="295"/>
      <c r="J1078" s="296" t="b">
        <v>1</v>
      </c>
      <c r="K1078" s="301" t="b">
        <v>0</v>
      </c>
      <c r="L1078" s="209"/>
      <c r="M1078" s="301" t="b">
        <v>0</v>
      </c>
      <c r="N1078" s="209"/>
      <c r="O1078" s="209"/>
      <c r="P1078" s="209"/>
      <c r="Q1078" s="209"/>
      <c r="R1078" s="209"/>
      <c r="S1078" s="209"/>
      <c r="T1078" s="209"/>
      <c r="U1078" s="209"/>
      <c r="V1078" s="209"/>
      <c r="W1078" s="209"/>
      <c r="X1078" s="209"/>
      <c r="Y1078" s="209"/>
      <c r="Z1078" s="209"/>
      <c r="AA1078" s="209"/>
      <c r="AB1078" s="209"/>
      <c r="AC1078" s="209"/>
      <c r="AD1078" s="209"/>
      <c r="AE1078" s="209"/>
      <c r="AF1078" s="209"/>
      <c r="AG1078" s="209"/>
      <c r="AH1078" s="209"/>
      <c r="AI1078" s="209"/>
      <c r="AJ1078" s="209"/>
      <c r="AK1078" s="209"/>
      <c r="AL1078" s="209"/>
      <c r="AM1078" s="209"/>
      <c r="AN1078" s="209"/>
      <c r="AO1078" s="209"/>
      <c r="AP1078" s="209"/>
    </row>
    <row r="1079">
      <c r="A1079" s="291"/>
      <c r="B1079" s="303" t="s">
        <v>1621</v>
      </c>
      <c r="C1079" s="209" t="s">
        <v>431</v>
      </c>
      <c r="D1079" s="304" t="s">
        <v>1622</v>
      </c>
      <c r="E1079" s="305">
        <v>8.40472502257E11</v>
      </c>
      <c r="F1079" s="304" t="s">
        <v>1062</v>
      </c>
      <c r="G1079" s="295"/>
      <c r="H1079" s="209"/>
      <c r="I1079" s="295"/>
      <c r="J1079" s="296" t="b">
        <v>1</v>
      </c>
      <c r="K1079" s="301" t="b">
        <v>0</v>
      </c>
      <c r="L1079" s="313"/>
      <c r="M1079" s="314" t="b">
        <v>0</v>
      </c>
      <c r="N1079" s="209"/>
      <c r="O1079" s="209"/>
      <c r="P1079" s="209"/>
      <c r="Q1079" s="209"/>
      <c r="R1079" s="209"/>
      <c r="S1079" s="209"/>
      <c r="T1079" s="209"/>
      <c r="U1079" s="209"/>
      <c r="V1079" s="209"/>
      <c r="W1079" s="209"/>
      <c r="X1079" s="209"/>
      <c r="Y1079" s="209"/>
      <c r="Z1079" s="209"/>
      <c r="AA1079" s="209"/>
      <c r="AB1079" s="209"/>
      <c r="AC1079" s="209"/>
      <c r="AD1079" s="209"/>
      <c r="AE1079" s="209"/>
      <c r="AF1079" s="209"/>
      <c r="AG1079" s="209"/>
      <c r="AH1079" s="209"/>
      <c r="AI1079" s="209"/>
      <c r="AJ1079" s="209"/>
      <c r="AK1079" s="209"/>
      <c r="AL1079" s="209"/>
      <c r="AM1079" s="209"/>
      <c r="AN1079" s="209"/>
      <c r="AO1079" s="209"/>
      <c r="AP1079" s="209"/>
    </row>
    <row r="1080">
      <c r="A1080" s="291"/>
      <c r="B1080" s="303" t="s">
        <v>1626</v>
      </c>
      <c r="C1080" s="209" t="s">
        <v>421</v>
      </c>
      <c r="D1080" s="304" t="s">
        <v>1627</v>
      </c>
      <c r="E1080" s="305">
        <v>8.40472502264E11</v>
      </c>
      <c r="F1080" s="304" t="s">
        <v>1062</v>
      </c>
      <c r="G1080" s="295"/>
      <c r="H1080" s="209"/>
      <c r="I1080" s="295"/>
      <c r="J1080" s="296" t="b">
        <v>1</v>
      </c>
      <c r="K1080" s="301" t="b">
        <v>0</v>
      </c>
      <c r="L1080" s="209"/>
      <c r="M1080" s="209"/>
      <c r="N1080" s="209"/>
      <c r="O1080" s="209"/>
      <c r="P1080" s="209"/>
      <c r="Q1080" s="209"/>
      <c r="R1080" s="209"/>
      <c r="S1080" s="209"/>
      <c r="T1080" s="209"/>
      <c r="U1080" s="209"/>
      <c r="V1080" s="209"/>
      <c r="W1080" s="209"/>
      <c r="X1080" s="209"/>
      <c r="Y1080" s="209"/>
      <c r="Z1080" s="209"/>
      <c r="AA1080" s="209"/>
      <c r="AB1080" s="209"/>
      <c r="AC1080" s="209"/>
      <c r="AD1080" s="209"/>
      <c r="AE1080" s="209"/>
      <c r="AF1080" s="209"/>
      <c r="AG1080" s="209"/>
      <c r="AH1080" s="209"/>
      <c r="AI1080" s="209"/>
      <c r="AJ1080" s="209"/>
      <c r="AK1080" s="209"/>
      <c r="AL1080" s="209"/>
      <c r="AM1080" s="209"/>
      <c r="AN1080" s="209"/>
      <c r="AO1080" s="209"/>
      <c r="AP1080" s="209"/>
    </row>
    <row r="1081">
      <c r="A1081" s="291"/>
      <c r="B1081" s="303" t="s">
        <v>1628</v>
      </c>
      <c r="C1081" s="209" t="s">
        <v>449</v>
      </c>
      <c r="D1081" s="304" t="s">
        <v>1629</v>
      </c>
      <c r="E1081" s="305">
        <v>8.40472502271E11</v>
      </c>
      <c r="F1081" s="304" t="s">
        <v>1062</v>
      </c>
      <c r="G1081" s="295"/>
      <c r="H1081" s="209"/>
      <c r="I1081" s="295"/>
      <c r="J1081" s="296" t="b">
        <v>1</v>
      </c>
      <c r="K1081" s="301" t="b">
        <v>0</v>
      </c>
      <c r="L1081" s="209"/>
      <c r="M1081" s="209"/>
      <c r="N1081" s="209"/>
      <c r="O1081" s="209"/>
      <c r="P1081" s="209"/>
      <c r="Q1081" s="209"/>
      <c r="R1081" s="209"/>
      <c r="S1081" s="209"/>
      <c r="T1081" s="209"/>
      <c r="U1081" s="209"/>
      <c r="V1081" s="209"/>
      <c r="W1081" s="209"/>
      <c r="X1081" s="209"/>
      <c r="Y1081" s="209"/>
      <c r="Z1081" s="209"/>
      <c r="AA1081" s="209"/>
      <c r="AB1081" s="209"/>
      <c r="AC1081" s="209"/>
      <c r="AD1081" s="209"/>
      <c r="AE1081" s="209"/>
      <c r="AF1081" s="209"/>
      <c r="AG1081" s="209"/>
      <c r="AH1081" s="209"/>
      <c r="AI1081" s="209"/>
      <c r="AJ1081" s="209"/>
      <c r="AK1081" s="209"/>
      <c r="AL1081" s="209"/>
      <c r="AM1081" s="209"/>
      <c r="AN1081" s="209"/>
      <c r="AO1081" s="209"/>
      <c r="AP1081" s="209"/>
    </row>
    <row r="1082">
      <c r="A1082" s="291"/>
      <c r="B1082" s="303" t="s">
        <v>1634</v>
      </c>
      <c r="C1082" s="209" t="s">
        <v>440</v>
      </c>
      <c r="D1082" s="304" t="s">
        <v>1635</v>
      </c>
      <c r="E1082" s="305">
        <v>8.40472502288E11</v>
      </c>
      <c r="F1082" s="304" t="s">
        <v>1062</v>
      </c>
      <c r="G1082" s="295"/>
      <c r="H1082" s="209"/>
      <c r="I1082" s="295"/>
      <c r="J1082" s="296" t="b">
        <v>1</v>
      </c>
      <c r="K1082" s="301" t="b">
        <v>0</v>
      </c>
      <c r="L1082" s="209"/>
      <c r="M1082" s="209"/>
      <c r="N1082" s="209"/>
      <c r="O1082" s="209"/>
      <c r="P1082" s="209"/>
      <c r="Q1082" s="209"/>
      <c r="R1082" s="209"/>
      <c r="S1082" s="209"/>
      <c r="T1082" s="209"/>
      <c r="U1082" s="209"/>
      <c r="V1082" s="209"/>
      <c r="W1082" s="209"/>
      <c r="X1082" s="209"/>
      <c r="Y1082" s="209"/>
      <c r="Z1082" s="209"/>
      <c r="AA1082" s="209"/>
      <c r="AB1082" s="209"/>
      <c r="AC1082" s="209"/>
      <c r="AD1082" s="209"/>
      <c r="AE1082" s="209"/>
      <c r="AF1082" s="209"/>
      <c r="AG1082" s="209"/>
      <c r="AH1082" s="209"/>
      <c r="AI1082" s="209"/>
      <c r="AJ1082" s="209"/>
      <c r="AK1082" s="209"/>
      <c r="AL1082" s="209"/>
      <c r="AM1082" s="209"/>
      <c r="AN1082" s="209"/>
      <c r="AO1082" s="209"/>
      <c r="AP1082" s="209"/>
    </row>
    <row r="1083">
      <c r="A1083" s="291"/>
      <c r="B1083" s="303" t="s">
        <v>1639</v>
      </c>
      <c r="C1083" s="304" t="s">
        <v>505</v>
      </c>
      <c r="D1083" s="304" t="s">
        <v>1640</v>
      </c>
      <c r="E1083" s="307">
        <v>8.40472502295E11</v>
      </c>
      <c r="F1083" s="304" t="s">
        <v>1062</v>
      </c>
      <c r="G1083" s="295"/>
      <c r="H1083" s="209"/>
      <c r="I1083" s="295"/>
      <c r="J1083" s="296" t="b">
        <v>1</v>
      </c>
      <c r="K1083" s="301" t="b">
        <v>0</v>
      </c>
      <c r="L1083" s="209"/>
      <c r="M1083" s="209"/>
      <c r="N1083" s="209"/>
      <c r="O1083" s="209"/>
      <c r="P1083" s="209"/>
      <c r="Q1083" s="209"/>
      <c r="R1083" s="209"/>
      <c r="S1083" s="209"/>
      <c r="T1083" s="209"/>
      <c r="U1083" s="209"/>
      <c r="V1083" s="209"/>
      <c r="W1083" s="209"/>
      <c r="X1083" s="209"/>
      <c r="Y1083" s="209"/>
      <c r="Z1083" s="209"/>
      <c r="AA1083" s="209"/>
      <c r="AB1083" s="209"/>
      <c r="AC1083" s="209"/>
      <c r="AD1083" s="209"/>
      <c r="AE1083" s="209"/>
      <c r="AF1083" s="209"/>
      <c r="AG1083" s="209"/>
      <c r="AH1083" s="209"/>
      <c r="AI1083" s="209"/>
      <c r="AJ1083" s="209"/>
      <c r="AK1083" s="209"/>
      <c r="AL1083" s="209"/>
      <c r="AM1083" s="209"/>
      <c r="AN1083" s="209"/>
      <c r="AO1083" s="209"/>
      <c r="AP1083" s="209"/>
    </row>
    <row r="1084">
      <c r="A1084" s="291"/>
      <c r="B1084" s="303" t="s">
        <v>1644</v>
      </c>
      <c r="C1084" s="304" t="s">
        <v>529</v>
      </c>
      <c r="D1084" s="304" t="s">
        <v>1645</v>
      </c>
      <c r="E1084" s="307">
        <v>8.40472502301E11</v>
      </c>
      <c r="F1084" s="304" t="s">
        <v>1062</v>
      </c>
      <c r="G1084" s="295"/>
      <c r="H1084" s="209"/>
      <c r="I1084" s="295"/>
      <c r="J1084" s="296" t="b">
        <v>1</v>
      </c>
      <c r="K1084" s="301" t="b">
        <v>0</v>
      </c>
      <c r="L1084" s="209"/>
      <c r="M1084" s="209"/>
      <c r="N1084" s="209"/>
      <c r="O1084" s="209"/>
      <c r="P1084" s="209"/>
      <c r="Q1084" s="209"/>
      <c r="R1084" s="209"/>
      <c r="S1084" s="209"/>
      <c r="T1084" s="209"/>
      <c r="U1084" s="209"/>
      <c r="V1084" s="209"/>
      <c r="W1084" s="209"/>
      <c r="X1084" s="209"/>
      <c r="Y1084" s="209"/>
      <c r="Z1084" s="209"/>
      <c r="AA1084" s="209"/>
      <c r="AB1084" s="209"/>
      <c r="AC1084" s="209"/>
      <c r="AD1084" s="209"/>
      <c r="AE1084" s="209"/>
      <c r="AF1084" s="209"/>
      <c r="AG1084" s="209"/>
      <c r="AH1084" s="209"/>
      <c r="AI1084" s="209"/>
      <c r="AJ1084" s="209"/>
      <c r="AK1084" s="209"/>
      <c r="AL1084" s="209"/>
      <c r="AM1084" s="209"/>
      <c r="AN1084" s="209"/>
      <c r="AO1084" s="209"/>
      <c r="AP1084" s="209"/>
    </row>
    <row r="1085">
      <c r="A1085" s="309"/>
      <c r="B1085" s="310" t="s">
        <v>1649</v>
      </c>
      <c r="C1085" s="311" t="s">
        <v>539</v>
      </c>
      <c r="D1085" s="311" t="s">
        <v>1650</v>
      </c>
      <c r="E1085" s="318">
        <v>8.40472502318E11</v>
      </c>
      <c r="F1085" s="311" t="s">
        <v>1062</v>
      </c>
      <c r="G1085" s="313"/>
      <c r="H1085" s="313"/>
      <c r="I1085" s="295"/>
      <c r="J1085" s="296" t="b">
        <v>1</v>
      </c>
      <c r="K1085" s="314" t="b">
        <v>0</v>
      </c>
      <c r="L1085" s="209"/>
      <c r="M1085" s="209"/>
      <c r="N1085" s="209"/>
      <c r="O1085" s="209"/>
      <c r="P1085" s="209"/>
      <c r="Q1085" s="209"/>
      <c r="R1085" s="209"/>
      <c r="S1085" s="209"/>
      <c r="T1085" s="209"/>
      <c r="U1085" s="209"/>
      <c r="V1085" s="209"/>
      <c r="W1085" s="209"/>
      <c r="X1085" s="209"/>
      <c r="Y1085" s="209"/>
      <c r="Z1085" s="209"/>
      <c r="AA1085" s="209"/>
      <c r="AB1085" s="209"/>
      <c r="AC1085" s="209"/>
      <c r="AD1085" s="209"/>
      <c r="AE1085" s="209"/>
      <c r="AF1085" s="209"/>
      <c r="AG1085" s="209"/>
      <c r="AH1085" s="209"/>
      <c r="AI1085" s="209"/>
      <c r="AJ1085" s="209"/>
      <c r="AK1085" s="209"/>
      <c r="AL1085" s="209"/>
      <c r="AM1085" s="209"/>
      <c r="AN1085" s="209"/>
      <c r="AO1085" s="209"/>
      <c r="AP1085" s="209"/>
    </row>
    <row r="1086">
      <c r="A1086" s="209"/>
      <c r="B1086" s="209"/>
      <c r="C1086" s="209"/>
      <c r="D1086" s="209"/>
      <c r="E1086" s="209"/>
      <c r="F1086" s="209"/>
      <c r="G1086" s="209"/>
      <c r="H1086" s="209"/>
      <c r="I1086" s="209"/>
      <c r="J1086" s="209"/>
      <c r="K1086" s="209"/>
      <c r="L1086" s="209"/>
      <c r="M1086" s="209"/>
      <c r="N1086" s="209"/>
      <c r="O1086" s="209"/>
      <c r="P1086" s="209"/>
      <c r="Q1086" s="209"/>
      <c r="R1086" s="209"/>
      <c r="S1086" s="209"/>
      <c r="T1086" s="209"/>
      <c r="U1086" s="209"/>
      <c r="V1086" s="209"/>
      <c r="W1086" s="209"/>
      <c r="X1086" s="209"/>
      <c r="Y1086" s="209"/>
      <c r="Z1086" s="209"/>
      <c r="AA1086" s="209"/>
      <c r="AB1086" s="209"/>
      <c r="AC1086" s="209"/>
      <c r="AD1086" s="209"/>
      <c r="AE1086" s="209"/>
      <c r="AF1086" s="209"/>
      <c r="AG1086" s="209"/>
      <c r="AH1086" s="209"/>
      <c r="AI1086" s="209"/>
      <c r="AJ1086" s="209"/>
      <c r="AK1086" s="209"/>
      <c r="AL1086" s="209"/>
      <c r="AM1086" s="209"/>
      <c r="AN1086" s="209"/>
      <c r="AO1086" s="209"/>
      <c r="AP1086" s="209"/>
    </row>
    <row r="1087">
      <c r="A1087" s="316" t="s">
        <v>3858</v>
      </c>
      <c r="B1087" s="319" t="s">
        <v>261</v>
      </c>
      <c r="C1087" s="320"/>
      <c r="D1087" s="283" t="s">
        <v>260</v>
      </c>
      <c r="E1087" s="336" t="s">
        <v>1595</v>
      </c>
      <c r="F1087" s="320"/>
      <c r="G1087" s="320"/>
      <c r="H1087" s="285" t="s">
        <v>4429</v>
      </c>
      <c r="I1087" s="285" t="s">
        <v>889</v>
      </c>
      <c r="J1087" s="333" t="str">
        <f>IF(COUNTIF(J1088:J1105, TRUE) = COUNTA(J1088:J1105), "Complete!", IF(COUNTIF(J1088:J1105, TRUE) &gt; 0, "Partial", "Not Started"))</f>
        <v>Partial</v>
      </c>
      <c r="K1087" s="334"/>
      <c r="L1087" s="209"/>
      <c r="M1087" s="209"/>
      <c r="N1087" s="280">
        <v>9.0</v>
      </c>
      <c r="O1087" s="209"/>
      <c r="P1087" s="209"/>
      <c r="Q1087" s="209"/>
      <c r="R1087" s="209"/>
      <c r="S1087" s="209"/>
      <c r="T1087" s="209"/>
      <c r="U1087" s="209"/>
      <c r="V1087" s="209"/>
      <c r="W1087" s="209"/>
      <c r="X1087" s="209"/>
      <c r="Y1087" s="209"/>
      <c r="Z1087" s="209"/>
      <c r="AA1087" s="209"/>
      <c r="AB1087" s="209"/>
      <c r="AC1087" s="209"/>
      <c r="AD1087" s="209"/>
      <c r="AE1087" s="209"/>
      <c r="AF1087" s="209"/>
      <c r="AG1087" s="209"/>
      <c r="AH1087" s="209"/>
      <c r="AI1087" s="209"/>
      <c r="AJ1087" s="209"/>
      <c r="AK1087" s="209"/>
      <c r="AL1087" s="209"/>
      <c r="AM1087" s="209"/>
      <c r="AN1087" s="209"/>
      <c r="AO1087" s="209"/>
      <c r="AP1087" s="209"/>
    </row>
    <row r="1088">
      <c r="A1088" s="291"/>
      <c r="B1088" s="382" t="s">
        <v>1660</v>
      </c>
      <c r="C1088" s="293" t="s">
        <v>390</v>
      </c>
      <c r="D1088" s="293" t="s">
        <v>1661</v>
      </c>
      <c r="E1088" s="296">
        <v>8.40472502325E11</v>
      </c>
      <c r="F1088" s="293" t="s">
        <v>1062</v>
      </c>
      <c r="G1088" s="295"/>
      <c r="H1088" s="295"/>
      <c r="I1088" s="295"/>
      <c r="J1088" s="296" t="b">
        <v>1</v>
      </c>
      <c r="K1088" s="297" t="b">
        <v>0</v>
      </c>
      <c r="L1088" s="209"/>
      <c r="M1088" s="209"/>
      <c r="N1088" s="209"/>
      <c r="O1088" s="209"/>
      <c r="P1088" s="209"/>
      <c r="Q1088" s="209"/>
      <c r="R1088" s="209"/>
      <c r="S1088" s="209"/>
      <c r="T1088" s="209"/>
      <c r="U1088" s="209"/>
      <c r="V1088" s="209"/>
      <c r="W1088" s="209"/>
      <c r="X1088" s="209"/>
      <c r="Y1088" s="209"/>
      <c r="Z1088" s="209"/>
      <c r="AA1088" s="209"/>
      <c r="AB1088" s="209"/>
      <c r="AC1088" s="209"/>
      <c r="AD1088" s="209"/>
      <c r="AE1088" s="209"/>
      <c r="AF1088" s="209"/>
      <c r="AG1088" s="209"/>
      <c r="AH1088" s="209"/>
      <c r="AI1088" s="209"/>
      <c r="AJ1088" s="209"/>
      <c r="AK1088" s="209"/>
      <c r="AL1088" s="209"/>
      <c r="AM1088" s="209"/>
      <c r="AN1088" s="209"/>
      <c r="AO1088" s="209"/>
      <c r="AP1088" s="209"/>
    </row>
    <row r="1089">
      <c r="A1089" s="291"/>
      <c r="B1089" s="303" t="s">
        <v>1665</v>
      </c>
      <c r="C1089" s="293" t="s">
        <v>400</v>
      </c>
      <c r="D1089" s="304" t="s">
        <v>1666</v>
      </c>
      <c r="E1089" s="307">
        <v>8.40472502332E11</v>
      </c>
      <c r="F1089" s="304" t="s">
        <v>1062</v>
      </c>
      <c r="G1089" s="295"/>
      <c r="H1089" s="209"/>
      <c r="I1089" s="295"/>
      <c r="J1089" s="296" t="b">
        <v>1</v>
      </c>
      <c r="K1089" s="301" t="b">
        <v>0</v>
      </c>
      <c r="L1089" s="209"/>
      <c r="M1089" s="209"/>
      <c r="N1089" s="209"/>
      <c r="O1089" s="209"/>
      <c r="P1089" s="209"/>
      <c r="Q1089" s="209"/>
      <c r="R1089" s="209"/>
      <c r="S1089" s="209"/>
      <c r="T1089" s="209"/>
      <c r="U1089" s="209"/>
      <c r="V1089" s="209"/>
      <c r="W1089" s="209"/>
      <c r="X1089" s="209"/>
      <c r="Y1089" s="209"/>
      <c r="Z1089" s="209"/>
      <c r="AA1089" s="209"/>
      <c r="AB1089" s="209"/>
      <c r="AC1089" s="209"/>
      <c r="AD1089" s="209"/>
      <c r="AE1089" s="209"/>
      <c r="AF1089" s="209"/>
      <c r="AG1089" s="209"/>
      <c r="AH1089" s="209"/>
      <c r="AI1089" s="209"/>
      <c r="AJ1089" s="209"/>
      <c r="AK1089" s="209"/>
      <c r="AL1089" s="209"/>
      <c r="AM1089" s="209"/>
      <c r="AN1089" s="209"/>
      <c r="AO1089" s="209"/>
      <c r="AP1089" s="209"/>
    </row>
    <row r="1090">
      <c r="A1090" s="291"/>
      <c r="B1090" s="303" t="s">
        <v>1670</v>
      </c>
      <c r="C1090" s="304" t="s">
        <v>412</v>
      </c>
      <c r="D1090" s="304" t="s">
        <v>1671</v>
      </c>
      <c r="E1090" s="307">
        <v>8.40472502349E11</v>
      </c>
      <c r="F1090" s="304" t="s">
        <v>1062</v>
      </c>
      <c r="G1090" s="295"/>
      <c r="H1090" s="209"/>
      <c r="I1090" s="295"/>
      <c r="J1090" s="296" t="b">
        <v>1</v>
      </c>
      <c r="K1090" s="301" t="b">
        <v>0</v>
      </c>
      <c r="L1090" s="209"/>
      <c r="M1090" s="209"/>
      <c r="N1090" s="209"/>
      <c r="O1090" s="209"/>
      <c r="P1090" s="209"/>
      <c r="Q1090" s="209"/>
      <c r="R1090" s="209"/>
      <c r="S1090" s="209"/>
      <c r="T1090" s="209"/>
      <c r="U1090" s="209"/>
      <c r="V1090" s="209"/>
      <c r="W1090" s="209"/>
      <c r="X1090" s="209"/>
      <c r="Y1090" s="209"/>
      <c r="Z1090" s="209"/>
      <c r="AA1090" s="209"/>
      <c r="AB1090" s="209"/>
      <c r="AC1090" s="209"/>
      <c r="AD1090" s="209"/>
      <c r="AE1090" s="209"/>
      <c r="AF1090" s="209"/>
      <c r="AG1090" s="209"/>
      <c r="AH1090" s="209"/>
      <c r="AI1090" s="209"/>
      <c r="AJ1090" s="209"/>
      <c r="AK1090" s="209"/>
      <c r="AL1090" s="209"/>
      <c r="AM1090" s="209"/>
      <c r="AN1090" s="209"/>
      <c r="AO1090" s="209"/>
      <c r="AP1090" s="209"/>
    </row>
    <row r="1091">
      <c r="A1091" s="291"/>
      <c r="B1091" s="303" t="s">
        <v>1675</v>
      </c>
      <c r="C1091" s="304" t="s">
        <v>679</v>
      </c>
      <c r="D1091" s="304" t="s">
        <v>1676</v>
      </c>
      <c r="E1091" s="307">
        <v>8.40472502356E11</v>
      </c>
      <c r="F1091" s="304" t="s">
        <v>1062</v>
      </c>
      <c r="G1091" s="295"/>
      <c r="H1091" s="209"/>
      <c r="I1091" s="295"/>
      <c r="J1091" s="296" t="b">
        <v>1</v>
      </c>
      <c r="K1091" s="301" t="b">
        <v>0</v>
      </c>
      <c r="L1091" s="209"/>
      <c r="M1091" s="209"/>
      <c r="N1091" s="209"/>
      <c r="O1091" s="209"/>
      <c r="P1091" s="209"/>
      <c r="Q1091" s="209"/>
      <c r="R1091" s="209"/>
      <c r="S1091" s="209"/>
      <c r="T1091" s="209"/>
      <c r="U1091" s="209"/>
      <c r="V1091" s="209"/>
      <c r="W1091" s="209"/>
      <c r="X1091" s="209"/>
      <c r="Y1091" s="209"/>
      <c r="Z1091" s="209"/>
      <c r="AA1091" s="209"/>
      <c r="AB1091" s="209"/>
      <c r="AC1091" s="209"/>
      <c r="AD1091" s="209"/>
      <c r="AE1091" s="209"/>
      <c r="AF1091" s="209"/>
      <c r="AG1091" s="209"/>
      <c r="AH1091" s="209"/>
      <c r="AI1091" s="209"/>
      <c r="AJ1091" s="209"/>
      <c r="AK1091" s="209"/>
      <c r="AL1091" s="209"/>
      <c r="AM1091" s="209"/>
      <c r="AN1091" s="209"/>
      <c r="AO1091" s="209"/>
      <c r="AP1091" s="209"/>
    </row>
    <row r="1092">
      <c r="A1092" s="291"/>
      <c r="B1092" s="303" t="s">
        <v>1680</v>
      </c>
      <c r="C1092" s="304" t="s">
        <v>431</v>
      </c>
      <c r="D1092" s="304" t="s">
        <v>1681</v>
      </c>
      <c r="E1092" s="307">
        <v>8.40472502363E11</v>
      </c>
      <c r="F1092" s="304" t="s">
        <v>1062</v>
      </c>
      <c r="G1092" s="295"/>
      <c r="H1092" s="209"/>
      <c r="I1092" s="295"/>
      <c r="J1092" s="296" t="b">
        <v>1</v>
      </c>
      <c r="K1092" s="301" t="b">
        <v>0</v>
      </c>
      <c r="L1092" s="209"/>
      <c r="M1092" s="209"/>
      <c r="N1092" s="209"/>
      <c r="O1092" s="209"/>
      <c r="P1092" s="209"/>
      <c r="Q1092" s="209"/>
      <c r="R1092" s="209"/>
      <c r="S1092" s="209"/>
      <c r="T1092" s="209"/>
      <c r="U1092" s="209"/>
      <c r="V1092" s="209"/>
      <c r="W1092" s="209"/>
      <c r="X1092" s="209"/>
      <c r="Y1092" s="209"/>
      <c r="Z1092" s="209"/>
      <c r="AA1092" s="209"/>
      <c r="AB1092" s="209"/>
      <c r="AC1092" s="209"/>
      <c r="AD1092" s="209"/>
      <c r="AE1092" s="209"/>
      <c r="AF1092" s="209"/>
      <c r="AG1092" s="209"/>
      <c r="AH1092" s="209"/>
      <c r="AI1092" s="209"/>
      <c r="AJ1092" s="209"/>
      <c r="AK1092" s="209"/>
      <c r="AL1092" s="209"/>
      <c r="AM1092" s="209"/>
      <c r="AN1092" s="209"/>
      <c r="AO1092" s="209"/>
      <c r="AP1092" s="209"/>
    </row>
    <row r="1093">
      <c r="A1093" s="291"/>
      <c r="B1093" s="303" t="s">
        <v>1685</v>
      </c>
      <c r="C1093" s="304" t="s">
        <v>449</v>
      </c>
      <c r="D1093" s="304" t="s">
        <v>1686</v>
      </c>
      <c r="E1093" s="307">
        <v>8.40472502387E11</v>
      </c>
      <c r="F1093" s="304" t="s">
        <v>1062</v>
      </c>
      <c r="G1093" s="295"/>
      <c r="H1093" s="209"/>
      <c r="I1093" s="295"/>
      <c r="J1093" s="296" t="b">
        <v>1</v>
      </c>
      <c r="K1093" s="301" t="b">
        <v>0</v>
      </c>
      <c r="L1093" s="209"/>
      <c r="M1093" s="209"/>
      <c r="N1093" s="209"/>
      <c r="O1093" s="209"/>
      <c r="P1093" s="209"/>
      <c r="Q1093" s="209"/>
      <c r="R1093" s="209"/>
      <c r="S1093" s="209"/>
      <c r="T1093" s="209"/>
      <c r="U1093" s="209"/>
      <c r="V1093" s="209"/>
      <c r="W1093" s="209"/>
      <c r="X1093" s="209"/>
      <c r="Y1093" s="209"/>
      <c r="Z1093" s="209"/>
      <c r="AA1093" s="209"/>
      <c r="AB1093" s="209"/>
      <c r="AC1093" s="209"/>
      <c r="AD1093" s="209"/>
      <c r="AE1093" s="209"/>
      <c r="AF1093" s="209"/>
      <c r="AG1093" s="209"/>
      <c r="AH1093" s="209"/>
      <c r="AI1093" s="209"/>
      <c r="AJ1093" s="209"/>
      <c r="AK1093" s="209"/>
      <c r="AL1093" s="209"/>
      <c r="AM1093" s="209"/>
      <c r="AN1093" s="209"/>
      <c r="AO1093" s="209"/>
      <c r="AP1093" s="209"/>
    </row>
    <row r="1094">
      <c r="A1094" s="291"/>
      <c r="B1094" s="303" t="s">
        <v>1687</v>
      </c>
      <c r="C1094" s="304" t="s">
        <v>440</v>
      </c>
      <c r="D1094" s="304" t="s">
        <v>1688</v>
      </c>
      <c r="E1094" s="307">
        <v>8.40472502394E11</v>
      </c>
      <c r="F1094" s="304" t="s">
        <v>1062</v>
      </c>
      <c r="G1094" s="295"/>
      <c r="H1094" s="209"/>
      <c r="I1094" s="295"/>
      <c r="J1094" s="296" t="b">
        <v>1</v>
      </c>
      <c r="K1094" s="301" t="b">
        <v>0</v>
      </c>
      <c r="L1094" s="209"/>
      <c r="M1094" s="209"/>
      <c r="N1094" s="209"/>
      <c r="O1094" s="209"/>
      <c r="P1094" s="209"/>
      <c r="Q1094" s="209"/>
      <c r="R1094" s="209"/>
      <c r="S1094" s="209"/>
      <c r="T1094" s="209"/>
      <c r="U1094" s="209"/>
      <c r="V1094" s="209"/>
      <c r="W1094" s="209"/>
      <c r="X1094" s="209"/>
      <c r="Y1094" s="209"/>
      <c r="Z1094" s="209"/>
      <c r="AA1094" s="209"/>
      <c r="AB1094" s="209"/>
      <c r="AC1094" s="209"/>
      <c r="AD1094" s="209"/>
      <c r="AE1094" s="209"/>
      <c r="AF1094" s="209"/>
      <c r="AG1094" s="209"/>
      <c r="AH1094" s="209"/>
      <c r="AI1094" s="209"/>
      <c r="AJ1094" s="209"/>
      <c r="AK1094" s="209"/>
      <c r="AL1094" s="209"/>
      <c r="AM1094" s="209"/>
      <c r="AN1094" s="209"/>
      <c r="AO1094" s="209"/>
      <c r="AP1094" s="209"/>
    </row>
    <row r="1095">
      <c r="A1095" s="291"/>
      <c r="B1095" s="303" t="s">
        <v>1692</v>
      </c>
      <c r="C1095" s="304" t="s">
        <v>505</v>
      </c>
      <c r="D1095" s="304" t="s">
        <v>1693</v>
      </c>
      <c r="E1095" s="307">
        <v>8.404725024E11</v>
      </c>
      <c r="F1095" s="304" t="s">
        <v>1062</v>
      </c>
      <c r="G1095" s="295"/>
      <c r="H1095" s="209"/>
      <c r="I1095" s="295"/>
      <c r="J1095" s="296" t="b">
        <v>1</v>
      </c>
      <c r="K1095" s="301" t="b">
        <v>0</v>
      </c>
      <c r="L1095" s="209"/>
      <c r="M1095" s="209"/>
      <c r="N1095" s="209"/>
      <c r="O1095" s="209"/>
      <c r="P1095" s="209"/>
      <c r="Q1095" s="209"/>
      <c r="R1095" s="209"/>
      <c r="S1095" s="209"/>
      <c r="T1095" s="209"/>
      <c r="U1095" s="209"/>
      <c r="V1095" s="209"/>
      <c r="W1095" s="209"/>
      <c r="X1095" s="209"/>
      <c r="Y1095" s="209"/>
      <c r="Z1095" s="209"/>
      <c r="AA1095" s="209"/>
      <c r="AB1095" s="209"/>
      <c r="AC1095" s="209"/>
      <c r="AD1095" s="209"/>
      <c r="AE1095" s="209"/>
      <c r="AF1095" s="209"/>
      <c r="AG1095" s="209"/>
      <c r="AH1095" s="209"/>
      <c r="AI1095" s="209"/>
      <c r="AJ1095" s="209"/>
      <c r="AK1095" s="209"/>
      <c r="AL1095" s="209"/>
      <c r="AM1095" s="209"/>
      <c r="AN1095" s="209"/>
      <c r="AO1095" s="209"/>
      <c r="AP1095" s="209"/>
    </row>
    <row r="1096">
      <c r="A1096" s="309"/>
      <c r="B1096" s="310" t="s">
        <v>1697</v>
      </c>
      <c r="C1096" s="311" t="s">
        <v>529</v>
      </c>
      <c r="D1096" s="311" t="s">
        <v>1698</v>
      </c>
      <c r="E1096" s="318">
        <v>8.40472502417E11</v>
      </c>
      <c r="F1096" s="311" t="s">
        <v>1062</v>
      </c>
      <c r="G1096" s="295"/>
      <c r="H1096" s="313"/>
      <c r="I1096" s="295"/>
      <c r="J1096" s="296" t="b">
        <v>1</v>
      </c>
      <c r="K1096" s="314" t="b">
        <v>0</v>
      </c>
      <c r="L1096" s="209"/>
      <c r="M1096" s="209"/>
      <c r="N1096" s="209"/>
      <c r="O1096" s="209"/>
      <c r="P1096" s="209"/>
      <c r="Q1096" s="209"/>
      <c r="R1096" s="209"/>
      <c r="S1096" s="209"/>
      <c r="T1096" s="209"/>
      <c r="U1096" s="209"/>
      <c r="V1096" s="209"/>
      <c r="W1096" s="209"/>
      <c r="X1096" s="209"/>
      <c r="Y1096" s="209"/>
      <c r="Z1096" s="209"/>
      <c r="AA1096" s="209"/>
      <c r="AB1096" s="209"/>
      <c r="AC1096" s="209"/>
      <c r="AD1096" s="209"/>
      <c r="AE1096" s="209"/>
      <c r="AF1096" s="209"/>
      <c r="AG1096" s="209"/>
      <c r="AH1096" s="209"/>
      <c r="AI1096" s="209"/>
      <c r="AJ1096" s="209"/>
      <c r="AK1096" s="209"/>
      <c r="AL1096" s="209"/>
      <c r="AM1096" s="209"/>
      <c r="AN1096" s="209"/>
      <c r="AO1096" s="209"/>
      <c r="AP1096" s="209"/>
    </row>
    <row r="1097">
      <c r="A1097" s="209"/>
      <c r="B1097" s="209"/>
      <c r="C1097" s="209"/>
      <c r="D1097" s="209"/>
      <c r="E1097" s="209"/>
      <c r="F1097" s="209"/>
      <c r="G1097" s="209"/>
      <c r="H1097" s="209"/>
      <c r="I1097" s="209"/>
      <c r="J1097" s="209"/>
      <c r="K1097" s="209"/>
      <c r="L1097" s="209"/>
      <c r="M1097" s="209"/>
      <c r="N1097" s="209"/>
      <c r="O1097" s="209"/>
      <c r="P1097" s="209"/>
      <c r="Q1097" s="209"/>
      <c r="R1097" s="209"/>
      <c r="S1097" s="209"/>
      <c r="T1097" s="209"/>
      <c r="U1097" s="209"/>
      <c r="V1097" s="209"/>
      <c r="W1097" s="209"/>
      <c r="X1097" s="209"/>
      <c r="Y1097" s="209"/>
      <c r="Z1097" s="209"/>
      <c r="AA1097" s="209"/>
      <c r="AB1097" s="209"/>
      <c r="AC1097" s="209"/>
      <c r="AD1097" s="209"/>
      <c r="AE1097" s="209"/>
      <c r="AF1097" s="209"/>
      <c r="AG1097" s="209"/>
      <c r="AH1097" s="209"/>
      <c r="AI1097" s="209"/>
      <c r="AJ1097" s="209"/>
      <c r="AK1097" s="209"/>
      <c r="AL1097" s="209"/>
      <c r="AM1097" s="209"/>
      <c r="AN1097" s="209"/>
      <c r="AO1097" s="209"/>
      <c r="AP1097" s="209"/>
    </row>
    <row r="1098">
      <c r="A1098" s="316" t="s">
        <v>3918</v>
      </c>
      <c r="B1098" s="319" t="s">
        <v>221</v>
      </c>
      <c r="C1098" s="320"/>
      <c r="D1098" s="388" t="s">
        <v>220</v>
      </c>
      <c r="E1098" s="336" t="s">
        <v>1705</v>
      </c>
      <c r="F1098" s="273"/>
      <c r="G1098" s="273"/>
      <c r="H1098" s="285" t="s">
        <v>888</v>
      </c>
      <c r="I1098" s="285" t="s">
        <v>889</v>
      </c>
      <c r="J1098" s="333" t="str">
        <f>IF(COUNTIF(J1099:J1116, TRUE) = COUNTA(J1099:J1116), "Complete!", IF(COUNTIF(J1099:J1116, TRUE) &gt; 0, "Partial", "Not Started"))</f>
        <v>Partial</v>
      </c>
      <c r="K1098" s="334"/>
      <c r="L1098" s="209"/>
      <c r="M1098" s="209"/>
      <c r="N1098" s="280">
        <v>7.0</v>
      </c>
      <c r="O1098" s="209"/>
      <c r="P1098" s="209"/>
      <c r="Q1098" s="209"/>
      <c r="R1098" s="209"/>
      <c r="S1098" s="209"/>
      <c r="T1098" s="209"/>
      <c r="U1098" s="209"/>
      <c r="V1098" s="209"/>
      <c r="W1098" s="209"/>
      <c r="X1098" s="209"/>
      <c r="Y1098" s="209"/>
      <c r="Z1098" s="209"/>
      <c r="AA1098" s="209"/>
      <c r="AB1098" s="209"/>
      <c r="AC1098" s="209"/>
      <c r="AD1098" s="209"/>
      <c r="AE1098" s="209"/>
      <c r="AF1098" s="209"/>
      <c r="AG1098" s="209"/>
      <c r="AH1098" s="209"/>
      <c r="AI1098" s="209"/>
      <c r="AJ1098" s="209"/>
      <c r="AK1098" s="209"/>
      <c r="AL1098" s="209"/>
      <c r="AM1098" s="209"/>
      <c r="AN1098" s="209"/>
      <c r="AO1098" s="209"/>
      <c r="AP1098" s="209"/>
    </row>
    <row r="1099">
      <c r="A1099" s="291"/>
      <c r="B1099" s="292" t="s">
        <v>1710</v>
      </c>
      <c r="C1099" s="293" t="s">
        <v>384</v>
      </c>
      <c r="D1099" s="293" t="s">
        <v>1711</v>
      </c>
      <c r="E1099" s="299">
        <v>8.4047250266E11</v>
      </c>
      <c r="F1099" s="293" t="s">
        <v>1062</v>
      </c>
      <c r="G1099" s="295"/>
      <c r="H1099" s="295"/>
      <c r="I1099" s="295"/>
      <c r="J1099" s="296" t="b">
        <v>1</v>
      </c>
      <c r="K1099" s="297" t="b">
        <v>0</v>
      </c>
      <c r="L1099" s="209"/>
      <c r="M1099" s="209"/>
      <c r="N1099" s="209"/>
      <c r="O1099" s="209"/>
      <c r="P1099" s="209"/>
      <c r="Q1099" s="209"/>
      <c r="R1099" s="209"/>
      <c r="S1099" s="209"/>
      <c r="T1099" s="209"/>
      <c r="U1099" s="209"/>
      <c r="V1099" s="209"/>
      <c r="W1099" s="209"/>
      <c r="X1099" s="209"/>
      <c r="Y1099" s="209"/>
      <c r="Z1099" s="209"/>
      <c r="AA1099" s="209"/>
      <c r="AB1099" s="209"/>
      <c r="AC1099" s="209"/>
      <c r="AD1099" s="209"/>
      <c r="AE1099" s="209"/>
      <c r="AF1099" s="209"/>
      <c r="AG1099" s="209"/>
      <c r="AH1099" s="209"/>
      <c r="AI1099" s="209"/>
      <c r="AJ1099" s="209"/>
      <c r="AK1099" s="209"/>
      <c r="AL1099" s="209"/>
      <c r="AM1099" s="209"/>
      <c r="AN1099" s="209"/>
      <c r="AO1099" s="209"/>
      <c r="AP1099" s="209"/>
    </row>
    <row r="1100">
      <c r="A1100" s="291"/>
      <c r="B1100" s="303" t="s">
        <v>1715</v>
      </c>
      <c r="C1100" s="304" t="s">
        <v>404</v>
      </c>
      <c r="D1100" s="304" t="s">
        <v>1716</v>
      </c>
      <c r="E1100" s="307">
        <v>8.40472502677E11</v>
      </c>
      <c r="F1100" s="304" t="s">
        <v>1062</v>
      </c>
      <c r="G1100" s="295"/>
      <c r="H1100" s="209"/>
      <c r="I1100" s="295"/>
      <c r="J1100" s="296" t="b">
        <v>1</v>
      </c>
      <c r="K1100" s="301" t="b">
        <v>0</v>
      </c>
      <c r="L1100" s="209"/>
      <c r="M1100" s="209"/>
      <c r="N1100" s="209"/>
      <c r="O1100" s="209"/>
      <c r="P1100" s="209"/>
      <c r="Q1100" s="209"/>
      <c r="R1100" s="209"/>
      <c r="S1100" s="209"/>
      <c r="T1100" s="209"/>
      <c r="U1100" s="209"/>
      <c r="V1100" s="209"/>
      <c r="W1100" s="209"/>
      <c r="X1100" s="209"/>
      <c r="Y1100" s="209"/>
      <c r="Z1100" s="209"/>
      <c r="AA1100" s="209"/>
      <c r="AB1100" s="209"/>
      <c r="AC1100" s="209"/>
      <c r="AD1100" s="209"/>
      <c r="AE1100" s="209"/>
      <c r="AF1100" s="209"/>
      <c r="AG1100" s="209"/>
      <c r="AH1100" s="209"/>
      <c r="AI1100" s="209"/>
      <c r="AJ1100" s="209"/>
      <c r="AK1100" s="209"/>
      <c r="AL1100" s="209"/>
      <c r="AM1100" s="209"/>
      <c r="AN1100" s="209"/>
      <c r="AO1100" s="209"/>
      <c r="AP1100" s="209"/>
    </row>
    <row r="1101">
      <c r="A1101" s="291"/>
      <c r="B1101" s="303" t="s">
        <v>1720</v>
      </c>
      <c r="C1101" s="304" t="s">
        <v>390</v>
      </c>
      <c r="D1101" s="304" t="s">
        <v>1721</v>
      </c>
      <c r="E1101" s="307">
        <v>8.40472502684E11</v>
      </c>
      <c r="F1101" s="304" t="s">
        <v>1062</v>
      </c>
      <c r="G1101" s="295"/>
      <c r="H1101" s="209"/>
      <c r="I1101" s="295"/>
      <c r="J1101" s="296" t="b">
        <v>1</v>
      </c>
      <c r="K1101" s="301" t="b">
        <v>0</v>
      </c>
      <c r="L1101" s="209"/>
      <c r="M1101" s="209"/>
      <c r="N1101" s="209"/>
      <c r="O1101" s="209"/>
      <c r="P1101" s="209"/>
      <c r="Q1101" s="209"/>
      <c r="R1101" s="209"/>
      <c r="S1101" s="209"/>
      <c r="T1101" s="209"/>
      <c r="U1101" s="209"/>
      <c r="V1101" s="209"/>
      <c r="W1101" s="209"/>
      <c r="X1101" s="209"/>
      <c r="Y1101" s="209"/>
      <c r="Z1101" s="209"/>
      <c r="AA1101" s="209"/>
      <c r="AB1101" s="209"/>
      <c r="AC1101" s="209"/>
      <c r="AD1101" s="209"/>
      <c r="AE1101" s="209"/>
      <c r="AF1101" s="209"/>
      <c r="AG1101" s="209"/>
      <c r="AH1101" s="209"/>
      <c r="AI1101" s="209"/>
      <c r="AJ1101" s="209"/>
      <c r="AK1101" s="209"/>
      <c r="AL1101" s="209"/>
      <c r="AM1101" s="209"/>
      <c r="AN1101" s="209"/>
      <c r="AO1101" s="209"/>
      <c r="AP1101" s="209"/>
    </row>
    <row r="1102">
      <c r="A1102" s="291"/>
      <c r="B1102" s="303" t="s">
        <v>1722</v>
      </c>
      <c r="C1102" s="304" t="s">
        <v>400</v>
      </c>
      <c r="D1102" s="304" t="s">
        <v>1723</v>
      </c>
      <c r="E1102" s="307">
        <v>8.40472502707E11</v>
      </c>
      <c r="F1102" s="304" t="s">
        <v>1062</v>
      </c>
      <c r="G1102" s="295"/>
      <c r="H1102" s="209"/>
      <c r="I1102" s="295"/>
      <c r="J1102" s="296" t="b">
        <v>1</v>
      </c>
      <c r="K1102" s="301" t="b">
        <v>0</v>
      </c>
      <c r="L1102" s="209"/>
      <c r="M1102" s="209"/>
      <c r="N1102" s="209"/>
      <c r="O1102" s="209"/>
      <c r="P1102" s="209"/>
      <c r="Q1102" s="209"/>
      <c r="R1102" s="209"/>
      <c r="S1102" s="209"/>
      <c r="T1102" s="209"/>
      <c r="U1102" s="209"/>
      <c r="V1102" s="209"/>
      <c r="W1102" s="209"/>
      <c r="X1102" s="209"/>
      <c r="Y1102" s="209"/>
      <c r="Z1102" s="209"/>
      <c r="AA1102" s="209"/>
      <c r="AB1102" s="209"/>
      <c r="AC1102" s="209"/>
      <c r="AD1102" s="209"/>
      <c r="AE1102" s="209"/>
      <c r="AF1102" s="209"/>
      <c r="AG1102" s="209"/>
      <c r="AH1102" s="209"/>
      <c r="AI1102" s="209"/>
      <c r="AJ1102" s="209"/>
      <c r="AK1102" s="209"/>
      <c r="AL1102" s="209"/>
      <c r="AM1102" s="209"/>
      <c r="AN1102" s="209"/>
      <c r="AO1102" s="209"/>
      <c r="AP1102" s="209"/>
    </row>
    <row r="1103">
      <c r="A1103" s="291"/>
      <c r="B1103" s="303" t="s">
        <v>1727</v>
      </c>
      <c r="C1103" s="304" t="s">
        <v>1728</v>
      </c>
      <c r="D1103" s="304" t="s">
        <v>1729</v>
      </c>
      <c r="E1103" s="307">
        <v>8.40472502721E11</v>
      </c>
      <c r="F1103" s="304" t="s">
        <v>1062</v>
      </c>
      <c r="G1103" s="295"/>
      <c r="H1103" s="209"/>
      <c r="I1103" s="295"/>
      <c r="J1103" s="296" t="b">
        <v>1</v>
      </c>
      <c r="K1103" s="301" t="b">
        <v>0</v>
      </c>
      <c r="L1103" s="209"/>
      <c r="M1103" s="209"/>
      <c r="N1103" s="209"/>
      <c r="O1103" s="209"/>
      <c r="P1103" s="209"/>
      <c r="Q1103" s="209"/>
      <c r="R1103" s="209"/>
      <c r="S1103" s="209"/>
      <c r="T1103" s="209"/>
      <c r="U1103" s="209"/>
      <c r="V1103" s="209"/>
      <c r="W1103" s="209"/>
      <c r="X1103" s="209"/>
      <c r="Y1103" s="209"/>
      <c r="Z1103" s="209"/>
      <c r="AA1103" s="209"/>
      <c r="AB1103" s="209"/>
      <c r="AC1103" s="209"/>
      <c r="AD1103" s="209"/>
      <c r="AE1103" s="209"/>
      <c r="AF1103" s="209"/>
      <c r="AG1103" s="209"/>
      <c r="AH1103" s="209"/>
      <c r="AI1103" s="209"/>
      <c r="AJ1103" s="209"/>
      <c r="AK1103" s="209"/>
      <c r="AL1103" s="209"/>
      <c r="AM1103" s="209"/>
      <c r="AN1103" s="209"/>
      <c r="AO1103" s="209"/>
      <c r="AP1103" s="209"/>
    </row>
    <row r="1104">
      <c r="A1104" s="291"/>
      <c r="B1104" s="303" t="s">
        <v>1732</v>
      </c>
      <c r="C1104" s="304" t="s">
        <v>662</v>
      </c>
      <c r="D1104" s="304" t="s">
        <v>1554</v>
      </c>
      <c r="E1104" s="307">
        <v>8.40472502691E11</v>
      </c>
      <c r="F1104" s="304" t="s">
        <v>1062</v>
      </c>
      <c r="G1104" s="295"/>
      <c r="H1104" s="209"/>
      <c r="I1104" s="295"/>
      <c r="J1104" s="296" t="b">
        <v>1</v>
      </c>
      <c r="K1104" s="301" t="b">
        <v>0</v>
      </c>
      <c r="L1104" s="209"/>
      <c r="M1104" s="209"/>
      <c r="N1104" s="209"/>
      <c r="O1104" s="209"/>
      <c r="P1104" s="209"/>
      <c r="Q1104" s="209"/>
      <c r="R1104" s="209"/>
      <c r="S1104" s="209"/>
      <c r="T1104" s="209"/>
      <c r="U1104" s="209"/>
      <c r="V1104" s="209"/>
      <c r="W1104" s="209"/>
      <c r="X1104" s="209"/>
      <c r="Y1104" s="209"/>
      <c r="Z1104" s="209"/>
      <c r="AA1104" s="209"/>
      <c r="AB1104" s="209"/>
      <c r="AC1104" s="209"/>
      <c r="AD1104" s="209"/>
      <c r="AE1104" s="209"/>
      <c r="AF1104" s="209"/>
      <c r="AG1104" s="209"/>
      <c r="AH1104" s="209"/>
      <c r="AI1104" s="209"/>
      <c r="AJ1104" s="209"/>
      <c r="AK1104" s="209"/>
      <c r="AL1104" s="209"/>
      <c r="AM1104" s="209"/>
      <c r="AN1104" s="209"/>
      <c r="AO1104" s="209"/>
      <c r="AP1104" s="209"/>
    </row>
    <row r="1105">
      <c r="A1105" s="309"/>
      <c r="B1105" s="310" t="s">
        <v>1735</v>
      </c>
      <c r="C1105" s="304" t="s">
        <v>1736</v>
      </c>
      <c r="D1105" s="311" t="s">
        <v>1569</v>
      </c>
      <c r="E1105" s="318">
        <v>8.40472502714E11</v>
      </c>
      <c r="F1105" s="311" t="s">
        <v>1062</v>
      </c>
      <c r="G1105" s="295"/>
      <c r="H1105" s="313"/>
      <c r="I1105" s="295"/>
      <c r="J1105" s="296" t="b">
        <v>1</v>
      </c>
      <c r="K1105" s="314" t="b">
        <v>0</v>
      </c>
      <c r="L1105" s="209"/>
      <c r="M1105" s="209"/>
      <c r="N1105" s="209"/>
      <c r="O1105" s="209"/>
      <c r="P1105" s="209"/>
      <c r="Q1105" s="209"/>
      <c r="R1105" s="209"/>
      <c r="S1105" s="209"/>
      <c r="T1105" s="209"/>
      <c r="U1105" s="209"/>
      <c r="V1105" s="209"/>
      <c r="W1105" s="209"/>
      <c r="X1105" s="209"/>
      <c r="Y1105" s="209"/>
      <c r="Z1105" s="209"/>
      <c r="AA1105" s="209"/>
      <c r="AB1105" s="209"/>
      <c r="AC1105" s="209"/>
      <c r="AD1105" s="209"/>
      <c r="AE1105" s="209"/>
      <c r="AF1105" s="209"/>
      <c r="AG1105" s="209"/>
      <c r="AH1105" s="209"/>
      <c r="AI1105" s="209"/>
      <c r="AJ1105" s="209"/>
      <c r="AK1105" s="209"/>
      <c r="AL1105" s="209"/>
      <c r="AM1105" s="209"/>
      <c r="AN1105" s="209"/>
      <c r="AO1105" s="209"/>
      <c r="AP1105" s="209"/>
    </row>
    <row r="1106">
      <c r="A1106" s="209"/>
      <c r="B1106" s="209"/>
      <c r="C1106" s="209"/>
      <c r="D1106" s="209"/>
      <c r="E1106" s="209"/>
      <c r="F1106" s="209"/>
      <c r="G1106" s="209"/>
      <c r="H1106" s="209"/>
      <c r="I1106" s="209"/>
      <c r="J1106" s="209"/>
      <c r="K1106" s="209"/>
      <c r="L1106" s="209"/>
      <c r="M1106" s="209"/>
      <c r="N1106" s="209"/>
      <c r="O1106" s="209"/>
      <c r="P1106" s="209"/>
      <c r="Q1106" s="209"/>
      <c r="R1106" s="209"/>
      <c r="S1106" s="209"/>
      <c r="T1106" s="209"/>
      <c r="U1106" s="209"/>
      <c r="V1106" s="209"/>
      <c r="W1106" s="209"/>
      <c r="X1106" s="209"/>
      <c r="Y1106" s="209"/>
      <c r="Z1106" s="209"/>
      <c r="AA1106" s="209"/>
      <c r="AB1106" s="209"/>
      <c r="AC1106" s="209"/>
      <c r="AD1106" s="209"/>
      <c r="AE1106" s="209"/>
      <c r="AF1106" s="209"/>
      <c r="AG1106" s="209"/>
      <c r="AH1106" s="209"/>
      <c r="AI1106" s="209"/>
      <c r="AJ1106" s="209"/>
      <c r="AK1106" s="209"/>
      <c r="AL1106" s="209"/>
      <c r="AM1106" s="209"/>
      <c r="AN1106" s="209"/>
      <c r="AO1106" s="209"/>
      <c r="AP1106" s="209"/>
    </row>
    <row r="1107">
      <c r="A1107" s="316" t="s">
        <v>3954</v>
      </c>
      <c r="B1107" s="319" t="s">
        <v>225</v>
      </c>
      <c r="C1107" s="320"/>
      <c r="D1107" s="388" t="s">
        <v>224</v>
      </c>
      <c r="E1107" s="336" t="s">
        <v>1705</v>
      </c>
      <c r="F1107" s="273"/>
      <c r="G1107" s="273"/>
      <c r="H1107" s="285" t="s">
        <v>888</v>
      </c>
      <c r="I1107" s="285" t="s">
        <v>889</v>
      </c>
      <c r="J1107" s="333" t="str">
        <f>IF(COUNTIF(J1108:J1125, TRUE) = COUNTA(J1108:J1125), "Complete!", IF(COUNTIF(J1108:J1125, TRUE) &gt; 0, "Partial", "Not Started"))</f>
        <v>Partial</v>
      </c>
      <c r="K1107" s="334"/>
      <c r="L1107" s="209"/>
      <c r="M1107" s="209"/>
      <c r="N1107" s="280">
        <v>7.0</v>
      </c>
      <c r="O1107" s="209"/>
      <c r="P1107" s="209"/>
      <c r="Q1107" s="209"/>
      <c r="R1107" s="209"/>
      <c r="S1107" s="209"/>
      <c r="T1107" s="209"/>
      <c r="U1107" s="209"/>
      <c r="V1107" s="209"/>
      <c r="W1107" s="209"/>
      <c r="X1107" s="209"/>
      <c r="Y1107" s="209"/>
      <c r="Z1107" s="209"/>
      <c r="AA1107" s="209"/>
      <c r="AB1107" s="209"/>
      <c r="AC1107" s="209"/>
      <c r="AD1107" s="209"/>
      <c r="AE1107" s="209"/>
      <c r="AF1107" s="209"/>
      <c r="AG1107" s="209"/>
      <c r="AH1107" s="209"/>
      <c r="AI1107" s="209"/>
      <c r="AJ1107" s="209"/>
      <c r="AK1107" s="209"/>
      <c r="AL1107" s="209"/>
      <c r="AM1107" s="209"/>
      <c r="AN1107" s="209"/>
      <c r="AO1107" s="209"/>
      <c r="AP1107" s="209"/>
    </row>
    <row r="1108">
      <c r="A1108" s="291"/>
      <c r="B1108" s="292" t="s">
        <v>1743</v>
      </c>
      <c r="C1108" s="293" t="s">
        <v>384</v>
      </c>
      <c r="D1108" s="293" t="s">
        <v>1744</v>
      </c>
      <c r="E1108" s="299">
        <v>8.40472502738E11</v>
      </c>
      <c r="F1108" s="293" t="s">
        <v>1062</v>
      </c>
      <c r="G1108" s="295"/>
      <c r="H1108" s="295"/>
      <c r="I1108" s="295"/>
      <c r="J1108" s="296" t="b">
        <v>1</v>
      </c>
      <c r="K1108" s="297" t="b">
        <v>0</v>
      </c>
      <c r="L1108" s="209"/>
      <c r="M1108" s="209"/>
      <c r="N1108" s="209"/>
      <c r="O1108" s="209"/>
      <c r="P1108" s="209"/>
      <c r="Q1108" s="209"/>
      <c r="R1108" s="209"/>
      <c r="S1108" s="209"/>
      <c r="T1108" s="209"/>
      <c r="U1108" s="209"/>
      <c r="V1108" s="209"/>
      <c r="W1108" s="209"/>
      <c r="X1108" s="209"/>
      <c r="Y1108" s="209"/>
      <c r="Z1108" s="209"/>
      <c r="AA1108" s="209"/>
      <c r="AB1108" s="209"/>
      <c r="AC1108" s="209"/>
      <c r="AD1108" s="209"/>
      <c r="AE1108" s="209"/>
      <c r="AF1108" s="209"/>
      <c r="AG1108" s="209"/>
      <c r="AH1108" s="209"/>
      <c r="AI1108" s="209"/>
      <c r="AJ1108" s="209"/>
      <c r="AK1108" s="209"/>
      <c r="AL1108" s="209"/>
      <c r="AM1108" s="209"/>
      <c r="AN1108" s="209"/>
      <c r="AO1108" s="209"/>
      <c r="AP1108" s="209"/>
    </row>
    <row r="1109">
      <c r="A1109" s="291"/>
      <c r="B1109" s="303" t="s">
        <v>1745</v>
      </c>
      <c r="C1109" s="304" t="s">
        <v>404</v>
      </c>
      <c r="D1109" s="304" t="s">
        <v>1746</v>
      </c>
      <c r="E1109" s="307">
        <v>8.40472502745E11</v>
      </c>
      <c r="F1109" s="304" t="s">
        <v>1062</v>
      </c>
      <c r="G1109" s="209"/>
      <c r="H1109" s="209"/>
      <c r="I1109" s="209"/>
      <c r="J1109" s="296" t="b">
        <v>1</v>
      </c>
      <c r="K1109" s="301" t="b">
        <v>0</v>
      </c>
      <c r="L1109" s="209"/>
      <c r="M1109" s="209"/>
      <c r="N1109" s="209"/>
      <c r="O1109" s="209"/>
      <c r="P1109" s="209"/>
      <c r="Q1109" s="209"/>
      <c r="R1109" s="209"/>
      <c r="S1109" s="209"/>
      <c r="T1109" s="209"/>
      <c r="U1109" s="209"/>
      <c r="V1109" s="209"/>
      <c r="W1109" s="209"/>
      <c r="X1109" s="209"/>
      <c r="Y1109" s="209"/>
      <c r="Z1109" s="209"/>
      <c r="AA1109" s="209"/>
      <c r="AB1109" s="209"/>
      <c r="AC1109" s="209"/>
      <c r="AD1109" s="209"/>
      <c r="AE1109" s="209"/>
      <c r="AF1109" s="209"/>
      <c r="AG1109" s="209"/>
      <c r="AH1109" s="209"/>
      <c r="AI1109" s="209"/>
      <c r="AJ1109" s="209"/>
      <c r="AK1109" s="209"/>
      <c r="AL1109" s="209"/>
      <c r="AM1109" s="209"/>
      <c r="AN1109" s="209"/>
      <c r="AO1109" s="209"/>
      <c r="AP1109" s="209"/>
    </row>
    <row r="1110">
      <c r="A1110" s="291"/>
      <c r="B1110" s="303" t="s">
        <v>1752</v>
      </c>
      <c r="C1110" s="304" t="s">
        <v>390</v>
      </c>
      <c r="D1110" s="304" t="s">
        <v>1753</v>
      </c>
      <c r="E1110" s="307">
        <v>8.40472502752E11</v>
      </c>
      <c r="F1110" s="304" t="s">
        <v>1062</v>
      </c>
      <c r="G1110" s="209"/>
      <c r="H1110" s="209"/>
      <c r="I1110" s="209"/>
      <c r="J1110" s="296" t="b">
        <v>1</v>
      </c>
      <c r="K1110" s="301" t="b">
        <v>0</v>
      </c>
      <c r="L1110" s="209"/>
      <c r="M1110" s="209"/>
      <c r="N1110" s="209"/>
      <c r="O1110" s="209"/>
      <c r="P1110" s="209"/>
      <c r="Q1110" s="209"/>
      <c r="R1110" s="209"/>
      <c r="S1110" s="209"/>
      <c r="T1110" s="209"/>
      <c r="U1110" s="209"/>
      <c r="V1110" s="209"/>
      <c r="W1110" s="209"/>
      <c r="X1110" s="209"/>
      <c r="Y1110" s="209"/>
      <c r="Z1110" s="209"/>
      <c r="AA1110" s="209"/>
      <c r="AB1110" s="209"/>
      <c r="AC1110" s="209"/>
      <c r="AD1110" s="209"/>
      <c r="AE1110" s="209"/>
      <c r="AF1110" s="209"/>
      <c r="AG1110" s="209"/>
      <c r="AH1110" s="209"/>
      <c r="AI1110" s="209"/>
      <c r="AJ1110" s="209"/>
      <c r="AK1110" s="209"/>
      <c r="AL1110" s="209"/>
      <c r="AM1110" s="209"/>
      <c r="AN1110" s="209"/>
      <c r="AO1110" s="209"/>
      <c r="AP1110" s="209"/>
    </row>
    <row r="1111">
      <c r="A1111" s="291"/>
      <c r="B1111" s="303" t="s">
        <v>1756</v>
      </c>
      <c r="C1111" s="304" t="s">
        <v>400</v>
      </c>
      <c r="D1111" s="304" t="s">
        <v>1757</v>
      </c>
      <c r="E1111" s="307">
        <v>8.40472502776E11</v>
      </c>
      <c r="F1111" s="304" t="s">
        <v>1062</v>
      </c>
      <c r="G1111" s="209"/>
      <c r="H1111" s="209"/>
      <c r="I1111" s="209"/>
      <c r="J1111" s="296" t="b">
        <v>1</v>
      </c>
      <c r="K1111" s="301" t="b">
        <v>0</v>
      </c>
      <c r="L1111" s="209"/>
      <c r="M1111" s="209"/>
      <c r="N1111" s="209"/>
      <c r="O1111" s="209"/>
      <c r="P1111" s="209"/>
      <c r="Q1111" s="209"/>
      <c r="R1111" s="209"/>
      <c r="S1111" s="209"/>
      <c r="T1111" s="209"/>
      <c r="U1111" s="209"/>
      <c r="V1111" s="209"/>
      <c r="W1111" s="209"/>
      <c r="X1111" s="209"/>
      <c r="Y1111" s="209"/>
      <c r="Z1111" s="209"/>
      <c r="AA1111" s="209"/>
      <c r="AB1111" s="209"/>
      <c r="AC1111" s="209"/>
      <c r="AD1111" s="209"/>
      <c r="AE1111" s="209"/>
      <c r="AF1111" s="209"/>
      <c r="AG1111" s="209"/>
      <c r="AH1111" s="209"/>
      <c r="AI1111" s="209"/>
      <c r="AJ1111" s="209"/>
      <c r="AK1111" s="209"/>
      <c r="AL1111" s="209"/>
      <c r="AM1111" s="209"/>
      <c r="AN1111" s="209"/>
      <c r="AO1111" s="209"/>
      <c r="AP1111" s="209"/>
    </row>
    <row r="1112">
      <c r="A1112" s="291"/>
      <c r="B1112" s="303" t="s">
        <v>1760</v>
      </c>
      <c r="C1112" s="304" t="s">
        <v>1728</v>
      </c>
      <c r="D1112" s="304" t="s">
        <v>1761</v>
      </c>
      <c r="E1112" s="307">
        <v>8.4047250279E11</v>
      </c>
      <c r="F1112" s="304" t="s">
        <v>1062</v>
      </c>
      <c r="G1112" s="209"/>
      <c r="H1112" s="209"/>
      <c r="I1112" s="209"/>
      <c r="J1112" s="296" t="b">
        <v>1</v>
      </c>
      <c r="K1112" s="301" t="b">
        <v>0</v>
      </c>
      <c r="L1112" s="209"/>
      <c r="M1112" s="209"/>
      <c r="N1112" s="209"/>
      <c r="O1112" s="209"/>
      <c r="P1112" s="209"/>
      <c r="Q1112" s="209"/>
      <c r="R1112" s="209"/>
      <c r="S1112" s="209"/>
      <c r="T1112" s="209"/>
      <c r="U1112" s="209"/>
      <c r="V1112" s="209"/>
      <c r="W1112" s="209"/>
      <c r="X1112" s="209"/>
      <c r="Y1112" s="209"/>
      <c r="Z1112" s="209"/>
      <c r="AA1112" s="209"/>
      <c r="AB1112" s="209"/>
      <c r="AC1112" s="209"/>
      <c r="AD1112" s="209"/>
      <c r="AE1112" s="209"/>
      <c r="AF1112" s="209"/>
      <c r="AG1112" s="209"/>
      <c r="AH1112" s="209"/>
      <c r="AI1112" s="209"/>
      <c r="AJ1112" s="209"/>
      <c r="AK1112" s="209"/>
      <c r="AL1112" s="209"/>
      <c r="AM1112" s="209"/>
      <c r="AN1112" s="209"/>
      <c r="AO1112" s="209"/>
      <c r="AP1112" s="209"/>
    </row>
    <row r="1113">
      <c r="A1113" s="291"/>
      <c r="B1113" s="303" t="s">
        <v>1764</v>
      </c>
      <c r="C1113" s="304" t="s">
        <v>662</v>
      </c>
      <c r="D1113" s="304" t="s">
        <v>1765</v>
      </c>
      <c r="E1113" s="307">
        <v>8.40472502769E11</v>
      </c>
      <c r="F1113" s="304" t="s">
        <v>1062</v>
      </c>
      <c r="G1113" s="209"/>
      <c r="H1113" s="209"/>
      <c r="I1113" s="209"/>
      <c r="J1113" s="296" t="b">
        <v>1</v>
      </c>
      <c r="K1113" s="301" t="b">
        <v>0</v>
      </c>
      <c r="L1113" s="209"/>
      <c r="M1113" s="209"/>
      <c r="N1113" s="209"/>
      <c r="O1113" s="209"/>
      <c r="P1113" s="209"/>
      <c r="Q1113" s="209"/>
      <c r="R1113" s="209"/>
      <c r="S1113" s="209"/>
      <c r="T1113" s="209"/>
      <c r="U1113" s="209"/>
      <c r="V1113" s="209"/>
      <c r="W1113" s="209"/>
      <c r="X1113" s="209"/>
      <c r="Y1113" s="209"/>
      <c r="Z1113" s="209"/>
      <c r="AA1113" s="209"/>
      <c r="AB1113" s="209"/>
      <c r="AC1113" s="209"/>
      <c r="AD1113" s="209"/>
      <c r="AE1113" s="209"/>
      <c r="AF1113" s="209"/>
      <c r="AG1113" s="209"/>
      <c r="AH1113" s="209"/>
      <c r="AI1113" s="209"/>
      <c r="AJ1113" s="209"/>
      <c r="AK1113" s="209"/>
      <c r="AL1113" s="209"/>
      <c r="AM1113" s="209"/>
      <c r="AN1113" s="209"/>
      <c r="AO1113" s="209"/>
      <c r="AP1113" s="209"/>
    </row>
    <row r="1114">
      <c r="A1114" s="309"/>
      <c r="B1114" s="310" t="s">
        <v>1768</v>
      </c>
      <c r="C1114" s="304" t="s">
        <v>1736</v>
      </c>
      <c r="D1114" s="311" t="s">
        <v>1769</v>
      </c>
      <c r="E1114" s="318">
        <v>8.40472502783E11</v>
      </c>
      <c r="F1114" s="311" t="s">
        <v>1062</v>
      </c>
      <c r="G1114" s="313"/>
      <c r="H1114" s="313"/>
      <c r="I1114" s="313"/>
      <c r="J1114" s="296" t="b">
        <v>1</v>
      </c>
      <c r="K1114" s="314" t="b">
        <v>0</v>
      </c>
      <c r="L1114" s="209"/>
      <c r="M1114" s="209"/>
      <c r="N1114" s="209"/>
      <c r="O1114" s="209"/>
      <c r="P1114" s="209"/>
      <c r="Q1114" s="209"/>
      <c r="R1114" s="209"/>
      <c r="S1114" s="209"/>
      <c r="T1114" s="209"/>
      <c r="U1114" s="209"/>
      <c r="V1114" s="209"/>
      <c r="W1114" s="209"/>
      <c r="X1114" s="209"/>
      <c r="Y1114" s="209"/>
      <c r="Z1114" s="209"/>
      <c r="AA1114" s="209"/>
      <c r="AB1114" s="209"/>
      <c r="AC1114" s="209"/>
      <c r="AD1114" s="209"/>
      <c r="AE1114" s="209"/>
      <c r="AF1114" s="209"/>
      <c r="AG1114" s="209"/>
      <c r="AH1114" s="209"/>
      <c r="AI1114" s="209"/>
      <c r="AJ1114" s="209"/>
      <c r="AK1114" s="209"/>
      <c r="AL1114" s="209"/>
      <c r="AM1114" s="209"/>
      <c r="AN1114" s="209"/>
      <c r="AO1114" s="209"/>
      <c r="AP1114" s="209"/>
    </row>
    <row r="1115">
      <c r="A1115" s="209"/>
      <c r="B1115" s="209"/>
      <c r="C1115" s="209"/>
      <c r="D1115" s="209"/>
      <c r="E1115" s="209"/>
      <c r="F1115" s="209"/>
      <c r="G1115" s="209"/>
      <c r="H1115" s="209"/>
      <c r="I1115" s="209"/>
      <c r="J1115" s="209"/>
      <c r="K1115" s="209"/>
      <c r="L1115" s="209"/>
      <c r="M1115" s="209"/>
      <c r="N1115" s="209"/>
      <c r="O1115" s="209"/>
      <c r="P1115" s="209"/>
      <c r="Q1115" s="209"/>
      <c r="R1115" s="209"/>
      <c r="S1115" s="209"/>
      <c r="T1115" s="209"/>
      <c r="U1115" s="209"/>
      <c r="V1115" s="209"/>
      <c r="W1115" s="209"/>
      <c r="X1115" s="209"/>
      <c r="Y1115" s="209"/>
      <c r="Z1115" s="209"/>
      <c r="AA1115" s="209"/>
      <c r="AB1115" s="209"/>
      <c r="AC1115" s="209"/>
      <c r="AD1115" s="209"/>
      <c r="AE1115" s="209"/>
      <c r="AF1115" s="209"/>
      <c r="AG1115" s="209"/>
      <c r="AH1115" s="209"/>
      <c r="AI1115" s="209"/>
      <c r="AJ1115" s="209"/>
      <c r="AK1115" s="209"/>
      <c r="AL1115" s="209"/>
      <c r="AM1115" s="209"/>
      <c r="AN1115" s="209"/>
      <c r="AO1115" s="209"/>
      <c r="AP1115" s="209"/>
    </row>
    <row r="1116">
      <c r="A1116" s="316" t="s">
        <v>3975</v>
      </c>
      <c r="B1116" s="319" t="s">
        <v>252</v>
      </c>
      <c r="C1116" s="320"/>
      <c r="D1116" s="388" t="s">
        <v>251</v>
      </c>
      <c r="E1116" s="336" t="s">
        <v>1773</v>
      </c>
      <c r="F1116" s="273"/>
      <c r="G1116" s="273"/>
      <c r="H1116" s="285" t="s">
        <v>888</v>
      </c>
      <c r="I1116" s="285" t="s">
        <v>889</v>
      </c>
      <c r="J1116" s="333" t="str">
        <f>IF(COUNTIF(J1117:J1134, TRUE) = COUNTA(J1117:J1134), "Complete!", IF(COUNTIF(J1117:J1134, TRUE) &gt; 0, "Partial", "Not Started"))</f>
        <v>Partial</v>
      </c>
      <c r="K1116" s="334"/>
      <c r="L1116" s="209"/>
      <c r="M1116" s="209"/>
      <c r="N1116" s="280">
        <v>16.0</v>
      </c>
      <c r="O1116" s="209"/>
      <c r="P1116" s="209"/>
      <c r="Q1116" s="209"/>
      <c r="R1116" s="209"/>
      <c r="S1116" s="209"/>
      <c r="T1116" s="209"/>
      <c r="U1116" s="209"/>
      <c r="V1116" s="209"/>
      <c r="W1116" s="209"/>
      <c r="X1116" s="209"/>
      <c r="Y1116" s="209"/>
      <c r="Z1116" s="209"/>
      <c r="AA1116" s="209"/>
      <c r="AB1116" s="209"/>
      <c r="AC1116" s="209"/>
      <c r="AD1116" s="209"/>
      <c r="AE1116" s="209"/>
      <c r="AF1116" s="209"/>
      <c r="AG1116" s="209"/>
      <c r="AH1116" s="209"/>
      <c r="AI1116" s="209"/>
      <c r="AJ1116" s="209"/>
      <c r="AK1116" s="209"/>
      <c r="AL1116" s="209"/>
      <c r="AM1116" s="209"/>
      <c r="AN1116" s="209"/>
      <c r="AO1116" s="209"/>
      <c r="AP1116" s="209"/>
    </row>
    <row r="1117">
      <c r="A1117" s="291"/>
      <c r="B1117" s="292" t="s">
        <v>1777</v>
      </c>
      <c r="C1117" s="293" t="s">
        <v>404</v>
      </c>
      <c r="D1117" s="293" t="s">
        <v>1778</v>
      </c>
      <c r="E1117" s="299">
        <v>8.40472502806E11</v>
      </c>
      <c r="F1117" s="293" t="s">
        <v>1062</v>
      </c>
      <c r="G1117" s="295"/>
      <c r="H1117" s="295"/>
      <c r="I1117" s="295"/>
      <c r="J1117" s="296" t="b">
        <v>1</v>
      </c>
      <c r="K1117" s="297" t="b">
        <v>0</v>
      </c>
      <c r="L1117" s="209"/>
      <c r="M1117" s="209"/>
      <c r="N1117" s="209"/>
      <c r="O1117" s="209"/>
      <c r="P1117" s="209"/>
      <c r="Q1117" s="209"/>
      <c r="R1117" s="209"/>
      <c r="S1117" s="209"/>
      <c r="T1117" s="209"/>
      <c r="U1117" s="209"/>
      <c r="V1117" s="209"/>
      <c r="W1117" s="209"/>
      <c r="X1117" s="209"/>
      <c r="Y1117" s="209"/>
      <c r="Z1117" s="209"/>
      <c r="AA1117" s="209"/>
      <c r="AB1117" s="209"/>
      <c r="AC1117" s="209"/>
      <c r="AD1117" s="209"/>
      <c r="AE1117" s="209"/>
      <c r="AF1117" s="209"/>
      <c r="AG1117" s="209"/>
      <c r="AH1117" s="209"/>
      <c r="AI1117" s="209"/>
      <c r="AJ1117" s="209"/>
      <c r="AK1117" s="209"/>
      <c r="AL1117" s="209"/>
      <c r="AM1117" s="209"/>
      <c r="AN1117" s="209"/>
      <c r="AO1117" s="209"/>
      <c r="AP1117" s="209"/>
    </row>
    <row r="1118">
      <c r="A1118" s="291"/>
      <c r="B1118" s="303" t="s">
        <v>1781</v>
      </c>
      <c r="C1118" s="304" t="s">
        <v>662</v>
      </c>
      <c r="D1118" s="304" t="s">
        <v>1782</v>
      </c>
      <c r="E1118" s="307">
        <v>8.40472502813E11</v>
      </c>
      <c r="F1118" s="304" t="s">
        <v>1062</v>
      </c>
      <c r="G1118" s="209"/>
      <c r="H1118" s="209"/>
      <c r="I1118" s="209"/>
      <c r="J1118" s="296" t="b">
        <v>1</v>
      </c>
      <c r="K1118" s="301" t="b">
        <v>0</v>
      </c>
      <c r="L1118" s="209"/>
      <c r="M1118" s="209"/>
      <c r="N1118" s="209"/>
      <c r="O1118" s="209"/>
      <c r="P1118" s="209"/>
      <c r="Q1118" s="209"/>
      <c r="R1118" s="209"/>
      <c r="S1118" s="209"/>
      <c r="T1118" s="209"/>
      <c r="U1118" s="209"/>
      <c r="V1118" s="209"/>
      <c r="W1118" s="209"/>
      <c r="X1118" s="209"/>
      <c r="Y1118" s="209"/>
      <c r="Z1118" s="209"/>
      <c r="AA1118" s="209"/>
      <c r="AB1118" s="209"/>
      <c r="AC1118" s="209"/>
      <c r="AD1118" s="209"/>
      <c r="AE1118" s="209"/>
      <c r="AF1118" s="209"/>
      <c r="AG1118" s="209"/>
      <c r="AH1118" s="209"/>
      <c r="AI1118" s="209"/>
      <c r="AJ1118" s="209"/>
      <c r="AK1118" s="209"/>
      <c r="AL1118" s="209"/>
      <c r="AM1118" s="209"/>
      <c r="AN1118" s="209"/>
      <c r="AO1118" s="209"/>
      <c r="AP1118" s="209"/>
    </row>
    <row r="1119">
      <c r="A1119" s="291"/>
      <c r="B1119" s="303" t="s">
        <v>1785</v>
      </c>
      <c r="C1119" s="304" t="s">
        <v>400</v>
      </c>
      <c r="D1119" s="304" t="s">
        <v>1786</v>
      </c>
      <c r="E1119" s="307">
        <v>8.4047250282E11</v>
      </c>
      <c r="F1119" s="304" t="s">
        <v>1062</v>
      </c>
      <c r="G1119" s="209"/>
      <c r="H1119" s="209"/>
      <c r="I1119" s="209"/>
      <c r="J1119" s="296" t="b">
        <v>1</v>
      </c>
      <c r="K1119" s="301" t="b">
        <v>0</v>
      </c>
      <c r="L1119" s="209"/>
      <c r="M1119" s="209"/>
      <c r="N1119" s="209"/>
      <c r="O1119" s="209"/>
      <c r="P1119" s="209"/>
      <c r="Q1119" s="209"/>
      <c r="R1119" s="209"/>
      <c r="S1119" s="209"/>
      <c r="T1119" s="209"/>
      <c r="U1119" s="209"/>
      <c r="V1119" s="209"/>
      <c r="W1119" s="209"/>
      <c r="X1119" s="209"/>
      <c r="Y1119" s="209"/>
      <c r="Z1119" s="209"/>
      <c r="AA1119" s="209"/>
      <c r="AB1119" s="209"/>
      <c r="AC1119" s="209"/>
      <c r="AD1119" s="209"/>
      <c r="AE1119" s="209"/>
      <c r="AF1119" s="209"/>
      <c r="AG1119" s="209"/>
      <c r="AH1119" s="209"/>
      <c r="AI1119" s="209"/>
      <c r="AJ1119" s="209"/>
      <c r="AK1119" s="209"/>
      <c r="AL1119" s="209"/>
      <c r="AM1119" s="209"/>
      <c r="AN1119" s="209"/>
      <c r="AO1119" s="209"/>
      <c r="AP1119" s="209"/>
    </row>
    <row r="1120">
      <c r="A1120" s="291"/>
      <c r="B1120" s="303" t="s">
        <v>1789</v>
      </c>
      <c r="C1120" s="304" t="s">
        <v>671</v>
      </c>
      <c r="D1120" s="304" t="s">
        <v>1790</v>
      </c>
      <c r="E1120" s="307">
        <v>8.40472502837E11</v>
      </c>
      <c r="F1120" s="304" t="s">
        <v>1062</v>
      </c>
      <c r="G1120" s="209"/>
      <c r="H1120" s="209"/>
      <c r="I1120" s="209"/>
      <c r="J1120" s="296" t="b">
        <v>1</v>
      </c>
      <c r="K1120" s="301" t="b">
        <v>0</v>
      </c>
      <c r="L1120" s="209"/>
      <c r="M1120" s="209"/>
      <c r="N1120" s="209"/>
      <c r="O1120" s="209"/>
      <c r="P1120" s="209"/>
      <c r="Q1120" s="209"/>
      <c r="R1120" s="209"/>
      <c r="S1120" s="209"/>
      <c r="T1120" s="209"/>
      <c r="U1120" s="209"/>
      <c r="V1120" s="209"/>
      <c r="W1120" s="209"/>
      <c r="X1120" s="209"/>
      <c r="Y1120" s="209"/>
      <c r="Z1120" s="209"/>
      <c r="AA1120" s="209"/>
      <c r="AB1120" s="209"/>
      <c r="AC1120" s="209"/>
      <c r="AD1120" s="209"/>
      <c r="AE1120" s="209"/>
      <c r="AF1120" s="209"/>
      <c r="AG1120" s="209"/>
      <c r="AH1120" s="209"/>
      <c r="AI1120" s="209"/>
      <c r="AJ1120" s="209"/>
      <c r="AK1120" s="209"/>
      <c r="AL1120" s="209"/>
      <c r="AM1120" s="209"/>
      <c r="AN1120" s="209"/>
      <c r="AO1120" s="209"/>
      <c r="AP1120" s="209"/>
    </row>
    <row r="1121">
      <c r="A1121" s="291"/>
      <c r="B1121" s="303" t="s">
        <v>1791</v>
      </c>
      <c r="C1121" s="304" t="s">
        <v>705</v>
      </c>
      <c r="D1121" s="304" t="s">
        <v>1792</v>
      </c>
      <c r="E1121" s="307">
        <v>8.40472502844E11</v>
      </c>
      <c r="F1121" s="304" t="s">
        <v>1062</v>
      </c>
      <c r="G1121" s="209"/>
      <c r="H1121" s="209"/>
      <c r="I1121" s="209"/>
      <c r="J1121" s="296" t="b">
        <v>1</v>
      </c>
      <c r="K1121" s="301" t="b">
        <v>0</v>
      </c>
      <c r="L1121" s="209"/>
      <c r="M1121" s="209"/>
      <c r="N1121" s="209"/>
      <c r="O1121" s="209"/>
      <c r="P1121" s="209"/>
      <c r="Q1121" s="209"/>
      <c r="R1121" s="209"/>
      <c r="S1121" s="209"/>
      <c r="T1121" s="209"/>
      <c r="U1121" s="209"/>
      <c r="V1121" s="209"/>
      <c r="W1121" s="209"/>
      <c r="X1121" s="209"/>
      <c r="Y1121" s="209"/>
      <c r="Z1121" s="209"/>
      <c r="AA1121" s="209"/>
      <c r="AB1121" s="209"/>
      <c r="AC1121" s="209"/>
      <c r="AD1121" s="209"/>
      <c r="AE1121" s="209"/>
      <c r="AF1121" s="209"/>
      <c r="AG1121" s="209"/>
      <c r="AH1121" s="209"/>
      <c r="AI1121" s="209"/>
      <c r="AJ1121" s="209"/>
      <c r="AK1121" s="209"/>
      <c r="AL1121" s="209"/>
      <c r="AM1121" s="209"/>
      <c r="AN1121" s="209"/>
      <c r="AO1121" s="209"/>
      <c r="AP1121" s="209"/>
    </row>
    <row r="1122">
      <c r="A1122" s="291"/>
      <c r="B1122" s="303" t="s">
        <v>1798</v>
      </c>
      <c r="C1122" s="304" t="s">
        <v>679</v>
      </c>
      <c r="D1122" s="304" t="s">
        <v>1799</v>
      </c>
      <c r="E1122" s="307">
        <v>8.40472502851E11</v>
      </c>
      <c r="F1122" s="304" t="s">
        <v>1062</v>
      </c>
      <c r="G1122" s="209"/>
      <c r="H1122" s="209"/>
      <c r="I1122" s="209"/>
      <c r="J1122" s="296" t="b">
        <v>1</v>
      </c>
      <c r="K1122" s="301" t="b">
        <v>0</v>
      </c>
      <c r="L1122" s="209"/>
      <c r="M1122" s="209"/>
      <c r="N1122" s="209"/>
      <c r="O1122" s="209"/>
      <c r="P1122" s="209"/>
      <c r="Q1122" s="209"/>
      <c r="R1122" s="209"/>
      <c r="S1122" s="209"/>
      <c r="T1122" s="209"/>
      <c r="U1122" s="209"/>
      <c r="V1122" s="209"/>
      <c r="W1122" s="209"/>
      <c r="X1122" s="209"/>
      <c r="Y1122" s="209"/>
      <c r="Z1122" s="209"/>
      <c r="AA1122" s="209"/>
      <c r="AB1122" s="209"/>
      <c r="AC1122" s="209"/>
      <c r="AD1122" s="209"/>
      <c r="AE1122" s="209"/>
      <c r="AF1122" s="209"/>
      <c r="AG1122" s="209"/>
      <c r="AH1122" s="209"/>
      <c r="AI1122" s="209"/>
      <c r="AJ1122" s="209"/>
      <c r="AK1122" s="209"/>
      <c r="AL1122" s="209"/>
      <c r="AM1122" s="209"/>
      <c r="AN1122" s="209"/>
      <c r="AO1122" s="209"/>
      <c r="AP1122" s="209"/>
    </row>
    <row r="1123">
      <c r="A1123" s="291"/>
      <c r="B1123" s="303" t="s">
        <v>1802</v>
      </c>
      <c r="C1123" s="304" t="s">
        <v>431</v>
      </c>
      <c r="D1123" s="304" t="s">
        <v>1803</v>
      </c>
      <c r="E1123" s="307">
        <v>8.40472502868E11</v>
      </c>
      <c r="F1123" s="304" t="s">
        <v>1062</v>
      </c>
      <c r="G1123" s="209"/>
      <c r="H1123" s="209"/>
      <c r="I1123" s="209"/>
      <c r="J1123" s="296" t="b">
        <v>1</v>
      </c>
      <c r="K1123" s="301" t="b">
        <v>0</v>
      </c>
      <c r="L1123" s="209"/>
      <c r="M1123" s="209"/>
      <c r="N1123" s="209"/>
      <c r="O1123" s="209"/>
      <c r="P1123" s="209"/>
      <c r="Q1123" s="209"/>
      <c r="R1123" s="209"/>
      <c r="S1123" s="209"/>
      <c r="T1123" s="209"/>
      <c r="U1123" s="209"/>
      <c r="V1123" s="209"/>
      <c r="W1123" s="209"/>
      <c r="X1123" s="209"/>
      <c r="Y1123" s="209"/>
      <c r="Z1123" s="209"/>
      <c r="AA1123" s="209"/>
      <c r="AB1123" s="209"/>
      <c r="AC1123" s="209"/>
      <c r="AD1123" s="209"/>
      <c r="AE1123" s="209"/>
      <c r="AF1123" s="209"/>
      <c r="AG1123" s="209"/>
      <c r="AH1123" s="209"/>
      <c r="AI1123" s="209"/>
      <c r="AJ1123" s="209"/>
      <c r="AK1123" s="209"/>
      <c r="AL1123" s="209"/>
      <c r="AM1123" s="209"/>
      <c r="AN1123" s="209"/>
      <c r="AO1123" s="209"/>
      <c r="AP1123" s="209"/>
    </row>
    <row r="1124">
      <c r="A1124" s="291"/>
      <c r="B1124" s="303" t="s">
        <v>1806</v>
      </c>
      <c r="C1124" s="304" t="s">
        <v>449</v>
      </c>
      <c r="D1124" s="304" t="s">
        <v>1807</v>
      </c>
      <c r="E1124" s="307">
        <v>8.40472502875E11</v>
      </c>
      <c r="F1124" s="304" t="s">
        <v>1062</v>
      </c>
      <c r="G1124" s="209"/>
      <c r="H1124" s="209"/>
      <c r="I1124" s="209"/>
      <c r="J1124" s="296" t="b">
        <v>1</v>
      </c>
      <c r="K1124" s="301" t="b">
        <v>0</v>
      </c>
      <c r="L1124" s="209"/>
      <c r="M1124" s="209"/>
      <c r="N1124" s="209"/>
      <c r="O1124" s="209"/>
      <c r="P1124" s="209"/>
      <c r="Q1124" s="209"/>
      <c r="R1124" s="209"/>
      <c r="S1124" s="209"/>
      <c r="T1124" s="209"/>
      <c r="U1124" s="209"/>
      <c r="V1124" s="209"/>
      <c r="W1124" s="209"/>
      <c r="X1124" s="209"/>
      <c r="Y1124" s="209"/>
      <c r="Z1124" s="209"/>
      <c r="AA1124" s="209"/>
      <c r="AB1124" s="209"/>
      <c r="AC1124" s="209"/>
      <c r="AD1124" s="209"/>
      <c r="AE1124" s="209"/>
      <c r="AF1124" s="209"/>
      <c r="AG1124" s="209"/>
      <c r="AH1124" s="209"/>
      <c r="AI1124" s="209"/>
      <c r="AJ1124" s="209"/>
      <c r="AK1124" s="209"/>
      <c r="AL1124" s="209"/>
      <c r="AM1124" s="209"/>
      <c r="AN1124" s="209"/>
      <c r="AO1124" s="209"/>
      <c r="AP1124" s="209"/>
    </row>
    <row r="1125">
      <c r="A1125" s="291"/>
      <c r="B1125" s="303" t="s">
        <v>1810</v>
      </c>
      <c r="C1125" s="304" t="s">
        <v>404</v>
      </c>
      <c r="D1125" s="304" t="s">
        <v>1811</v>
      </c>
      <c r="E1125" s="307">
        <v>8.40472502882E11</v>
      </c>
      <c r="F1125" s="304" t="s">
        <v>1062</v>
      </c>
      <c r="G1125" s="209"/>
      <c r="H1125" s="209"/>
      <c r="I1125" s="209"/>
      <c r="J1125" s="296" t="b">
        <v>1</v>
      </c>
      <c r="K1125" s="301" t="b">
        <v>0</v>
      </c>
      <c r="L1125" s="209"/>
      <c r="M1125" s="209"/>
      <c r="N1125" s="209"/>
      <c r="O1125" s="209"/>
      <c r="P1125" s="209"/>
      <c r="Q1125" s="209"/>
      <c r="R1125" s="209"/>
      <c r="S1125" s="209"/>
      <c r="T1125" s="209"/>
      <c r="U1125" s="209"/>
      <c r="V1125" s="209"/>
      <c r="W1125" s="209"/>
      <c r="X1125" s="209"/>
      <c r="Y1125" s="209"/>
      <c r="Z1125" s="209"/>
      <c r="AA1125" s="209"/>
      <c r="AB1125" s="209"/>
      <c r="AC1125" s="209"/>
      <c r="AD1125" s="209"/>
      <c r="AE1125" s="209"/>
      <c r="AF1125" s="209"/>
      <c r="AG1125" s="209"/>
      <c r="AH1125" s="209"/>
      <c r="AI1125" s="209"/>
      <c r="AJ1125" s="209"/>
      <c r="AK1125" s="209"/>
      <c r="AL1125" s="209"/>
      <c r="AM1125" s="209"/>
      <c r="AN1125" s="209"/>
      <c r="AO1125" s="209"/>
      <c r="AP1125" s="209"/>
    </row>
    <row r="1126">
      <c r="A1126" s="291"/>
      <c r="B1126" s="303" t="s">
        <v>1814</v>
      </c>
      <c r="C1126" s="304" t="s">
        <v>662</v>
      </c>
      <c r="D1126" s="304" t="s">
        <v>1815</v>
      </c>
      <c r="E1126" s="307">
        <v>8.40472502899E11</v>
      </c>
      <c r="F1126" s="304" t="s">
        <v>1062</v>
      </c>
      <c r="G1126" s="209"/>
      <c r="H1126" s="209"/>
      <c r="I1126" s="209"/>
      <c r="J1126" s="296" t="b">
        <v>1</v>
      </c>
      <c r="K1126" s="301" t="b">
        <v>0</v>
      </c>
      <c r="L1126" s="209"/>
      <c r="M1126" s="209"/>
      <c r="N1126" s="209"/>
      <c r="O1126" s="209"/>
      <c r="P1126" s="209"/>
      <c r="Q1126" s="209"/>
      <c r="R1126" s="209"/>
      <c r="S1126" s="209"/>
      <c r="T1126" s="209"/>
      <c r="U1126" s="209"/>
      <c r="V1126" s="209"/>
      <c r="W1126" s="209"/>
      <c r="X1126" s="209"/>
      <c r="Y1126" s="209"/>
      <c r="Z1126" s="209"/>
      <c r="AA1126" s="209"/>
      <c r="AB1126" s="209"/>
      <c r="AC1126" s="209"/>
      <c r="AD1126" s="209"/>
      <c r="AE1126" s="209"/>
      <c r="AF1126" s="209"/>
      <c r="AG1126" s="209"/>
      <c r="AH1126" s="209"/>
      <c r="AI1126" s="209"/>
      <c r="AJ1126" s="209"/>
      <c r="AK1126" s="209"/>
      <c r="AL1126" s="209"/>
      <c r="AM1126" s="209"/>
      <c r="AN1126" s="209"/>
      <c r="AO1126" s="209"/>
      <c r="AP1126" s="209"/>
    </row>
    <row r="1127">
      <c r="A1127" s="291"/>
      <c r="B1127" s="303" t="s">
        <v>1816</v>
      </c>
      <c r="C1127" s="304" t="s">
        <v>400</v>
      </c>
      <c r="D1127" s="304" t="s">
        <v>1817</v>
      </c>
      <c r="E1127" s="307">
        <v>8.40472502905E11</v>
      </c>
      <c r="F1127" s="304" t="s">
        <v>1062</v>
      </c>
      <c r="G1127" s="209"/>
      <c r="H1127" s="209"/>
      <c r="I1127" s="209"/>
      <c r="J1127" s="296" t="b">
        <v>1</v>
      </c>
      <c r="K1127" s="301" t="b">
        <v>0</v>
      </c>
      <c r="L1127" s="209"/>
      <c r="M1127" s="209"/>
      <c r="N1127" s="209"/>
      <c r="O1127" s="209"/>
      <c r="P1127" s="209"/>
      <c r="Q1127" s="209"/>
      <c r="R1127" s="209"/>
      <c r="S1127" s="209"/>
      <c r="T1127" s="209"/>
      <c r="U1127" s="209"/>
      <c r="V1127" s="209"/>
      <c r="W1127" s="209"/>
      <c r="X1127" s="209"/>
      <c r="Y1127" s="209"/>
      <c r="Z1127" s="209"/>
      <c r="AA1127" s="209"/>
      <c r="AB1127" s="209"/>
      <c r="AC1127" s="209"/>
      <c r="AD1127" s="209"/>
      <c r="AE1127" s="209"/>
      <c r="AF1127" s="209"/>
      <c r="AG1127" s="209"/>
      <c r="AH1127" s="209"/>
      <c r="AI1127" s="209"/>
      <c r="AJ1127" s="209"/>
      <c r="AK1127" s="209"/>
      <c r="AL1127" s="209"/>
      <c r="AM1127" s="209"/>
      <c r="AN1127" s="209"/>
      <c r="AO1127" s="209"/>
      <c r="AP1127" s="209"/>
    </row>
    <row r="1128">
      <c r="A1128" s="291"/>
      <c r="B1128" s="303" t="s">
        <v>1822</v>
      </c>
      <c r="C1128" s="304" t="s">
        <v>671</v>
      </c>
      <c r="D1128" s="304" t="s">
        <v>1823</v>
      </c>
      <c r="E1128" s="307">
        <v>8.40472502912E11</v>
      </c>
      <c r="F1128" s="304" t="s">
        <v>1062</v>
      </c>
      <c r="G1128" s="209"/>
      <c r="H1128" s="209"/>
      <c r="I1128" s="209"/>
      <c r="J1128" s="296" t="b">
        <v>1</v>
      </c>
      <c r="K1128" s="301" t="b">
        <v>0</v>
      </c>
      <c r="L1128" s="209"/>
      <c r="M1128" s="209"/>
      <c r="N1128" s="209"/>
      <c r="O1128" s="209"/>
      <c r="P1128" s="209"/>
      <c r="Q1128" s="209"/>
      <c r="R1128" s="209"/>
      <c r="S1128" s="209"/>
      <c r="T1128" s="209"/>
      <c r="U1128" s="209"/>
      <c r="V1128" s="209"/>
      <c r="W1128" s="209"/>
      <c r="X1128" s="209"/>
      <c r="Y1128" s="209"/>
      <c r="Z1128" s="209"/>
      <c r="AA1128" s="209"/>
      <c r="AB1128" s="209"/>
      <c r="AC1128" s="209"/>
      <c r="AD1128" s="209"/>
      <c r="AE1128" s="209"/>
      <c r="AF1128" s="209"/>
      <c r="AG1128" s="209"/>
      <c r="AH1128" s="209"/>
      <c r="AI1128" s="209"/>
      <c r="AJ1128" s="209"/>
      <c r="AK1128" s="209"/>
      <c r="AL1128" s="209"/>
      <c r="AM1128" s="209"/>
      <c r="AN1128" s="209"/>
      <c r="AO1128" s="209"/>
      <c r="AP1128" s="209"/>
    </row>
    <row r="1129">
      <c r="A1129" s="291"/>
      <c r="B1129" s="303" t="s">
        <v>1827</v>
      </c>
      <c r="C1129" s="304" t="s">
        <v>705</v>
      </c>
      <c r="D1129" s="304" t="s">
        <v>1828</v>
      </c>
      <c r="E1129" s="307">
        <v>8.40472502929E11</v>
      </c>
      <c r="F1129" s="304" t="s">
        <v>1062</v>
      </c>
      <c r="G1129" s="209"/>
      <c r="H1129" s="209"/>
      <c r="I1129" s="209"/>
      <c r="J1129" s="296" t="b">
        <v>1</v>
      </c>
      <c r="K1129" s="301" t="b">
        <v>0</v>
      </c>
      <c r="L1129" s="209"/>
      <c r="M1129" s="209"/>
      <c r="N1129" s="209"/>
      <c r="O1129" s="209"/>
      <c r="P1129" s="209"/>
      <c r="Q1129" s="209"/>
      <c r="R1129" s="209"/>
      <c r="S1129" s="209"/>
      <c r="T1129" s="209"/>
      <c r="U1129" s="209"/>
      <c r="V1129" s="209"/>
      <c r="W1129" s="209"/>
      <c r="X1129" s="209"/>
      <c r="Y1129" s="209"/>
      <c r="Z1129" s="209"/>
      <c r="AA1129" s="209"/>
      <c r="AB1129" s="209"/>
      <c r="AC1129" s="209"/>
      <c r="AD1129" s="209"/>
      <c r="AE1129" s="209"/>
      <c r="AF1129" s="209"/>
      <c r="AG1129" s="209"/>
      <c r="AH1129" s="209"/>
      <c r="AI1129" s="209"/>
      <c r="AJ1129" s="209"/>
      <c r="AK1129" s="209"/>
      <c r="AL1129" s="209"/>
      <c r="AM1129" s="209"/>
      <c r="AN1129" s="209"/>
      <c r="AO1129" s="209"/>
      <c r="AP1129" s="209"/>
    </row>
    <row r="1130">
      <c r="A1130" s="291"/>
      <c r="B1130" s="303" t="s">
        <v>1831</v>
      </c>
      <c r="C1130" s="304" t="s">
        <v>679</v>
      </c>
      <c r="D1130" s="304" t="s">
        <v>1832</v>
      </c>
      <c r="E1130" s="307">
        <v>8.40472502936E11</v>
      </c>
      <c r="F1130" s="304" t="s">
        <v>1062</v>
      </c>
      <c r="G1130" s="209"/>
      <c r="H1130" s="209"/>
      <c r="I1130" s="209"/>
      <c r="J1130" s="296" t="b">
        <v>1</v>
      </c>
      <c r="K1130" s="301" t="b">
        <v>0</v>
      </c>
      <c r="L1130" s="209"/>
      <c r="M1130" s="209"/>
      <c r="N1130" s="209"/>
      <c r="O1130" s="209"/>
      <c r="P1130" s="209"/>
      <c r="Q1130" s="209"/>
      <c r="R1130" s="209"/>
      <c r="S1130" s="209"/>
      <c r="T1130" s="209"/>
      <c r="U1130" s="209"/>
      <c r="V1130" s="209"/>
      <c r="W1130" s="209"/>
      <c r="X1130" s="209"/>
      <c r="Y1130" s="209"/>
      <c r="Z1130" s="209"/>
      <c r="AA1130" s="209"/>
      <c r="AB1130" s="209"/>
      <c r="AC1130" s="209"/>
      <c r="AD1130" s="209"/>
      <c r="AE1130" s="209"/>
      <c r="AF1130" s="209"/>
      <c r="AG1130" s="209"/>
      <c r="AH1130" s="209"/>
      <c r="AI1130" s="209"/>
      <c r="AJ1130" s="209"/>
      <c r="AK1130" s="209"/>
      <c r="AL1130" s="209"/>
      <c r="AM1130" s="209"/>
      <c r="AN1130" s="209"/>
      <c r="AO1130" s="209"/>
      <c r="AP1130" s="209"/>
    </row>
    <row r="1131">
      <c r="A1131" s="291"/>
      <c r="B1131" s="303" t="s">
        <v>1835</v>
      </c>
      <c r="C1131" s="304" t="s">
        <v>431</v>
      </c>
      <c r="D1131" s="304" t="s">
        <v>1836</v>
      </c>
      <c r="E1131" s="307">
        <v>8.40472502943E11</v>
      </c>
      <c r="F1131" s="304" t="s">
        <v>1062</v>
      </c>
      <c r="G1131" s="209"/>
      <c r="H1131" s="209"/>
      <c r="I1131" s="209"/>
      <c r="J1131" s="296" t="b">
        <v>1</v>
      </c>
      <c r="K1131" s="301" t="b">
        <v>0</v>
      </c>
      <c r="L1131" s="209"/>
      <c r="M1131" s="209"/>
      <c r="N1131" s="209"/>
      <c r="O1131" s="209"/>
      <c r="P1131" s="209"/>
      <c r="Q1131" s="209"/>
      <c r="R1131" s="209"/>
      <c r="S1131" s="209"/>
      <c r="T1131" s="209"/>
      <c r="U1131" s="209"/>
      <c r="V1131" s="209"/>
      <c r="W1131" s="209"/>
      <c r="X1131" s="209"/>
      <c r="Y1131" s="209"/>
      <c r="Z1131" s="209"/>
      <c r="AA1131" s="209"/>
      <c r="AB1131" s="209"/>
      <c r="AC1131" s="209"/>
      <c r="AD1131" s="209"/>
      <c r="AE1131" s="209"/>
      <c r="AF1131" s="209"/>
      <c r="AG1131" s="209"/>
      <c r="AH1131" s="209"/>
      <c r="AI1131" s="209"/>
      <c r="AJ1131" s="209"/>
      <c r="AK1131" s="209"/>
      <c r="AL1131" s="209"/>
      <c r="AM1131" s="209"/>
      <c r="AN1131" s="209"/>
      <c r="AO1131" s="209"/>
      <c r="AP1131" s="209"/>
    </row>
    <row r="1132">
      <c r="A1132" s="309"/>
      <c r="B1132" s="310" t="s">
        <v>1839</v>
      </c>
      <c r="C1132" s="311" t="s">
        <v>449</v>
      </c>
      <c r="D1132" s="311" t="s">
        <v>1840</v>
      </c>
      <c r="E1132" s="318">
        <v>8.4047250295E11</v>
      </c>
      <c r="F1132" s="311" t="s">
        <v>1062</v>
      </c>
      <c r="G1132" s="313"/>
      <c r="H1132" s="313"/>
      <c r="I1132" s="313"/>
      <c r="J1132" s="296" t="b">
        <v>1</v>
      </c>
      <c r="K1132" s="314" t="b">
        <v>0</v>
      </c>
      <c r="L1132" s="209"/>
      <c r="M1132" s="209"/>
      <c r="N1132" s="209"/>
      <c r="O1132" s="209"/>
      <c r="P1132" s="209"/>
      <c r="Q1132" s="209"/>
      <c r="R1132" s="209"/>
      <c r="S1132" s="209"/>
      <c r="T1132" s="209"/>
      <c r="U1132" s="209"/>
      <c r="V1132" s="209"/>
      <c r="W1132" s="209"/>
      <c r="X1132" s="209"/>
      <c r="Y1132" s="209"/>
      <c r="Z1132" s="209"/>
      <c r="AA1132" s="209"/>
      <c r="AB1132" s="209"/>
      <c r="AC1132" s="209"/>
      <c r="AD1132" s="209"/>
      <c r="AE1132" s="209"/>
      <c r="AF1132" s="209"/>
      <c r="AG1132" s="209"/>
      <c r="AH1132" s="209"/>
      <c r="AI1132" s="209"/>
      <c r="AJ1132" s="209"/>
      <c r="AK1132" s="209"/>
      <c r="AL1132" s="209"/>
      <c r="AM1132" s="209"/>
      <c r="AN1132" s="209"/>
      <c r="AO1132" s="209"/>
      <c r="AP1132" s="209"/>
    </row>
    <row r="1133">
      <c r="A1133" s="209"/>
      <c r="B1133" s="209"/>
      <c r="C1133" s="209"/>
      <c r="D1133" s="209"/>
      <c r="E1133" s="209"/>
      <c r="F1133" s="209"/>
      <c r="G1133" s="209"/>
      <c r="H1133" s="209"/>
      <c r="I1133" s="209"/>
      <c r="J1133" s="209"/>
      <c r="K1133" s="209"/>
      <c r="L1133" s="209"/>
      <c r="M1133" s="209"/>
      <c r="N1133" s="209"/>
      <c r="O1133" s="209"/>
      <c r="P1133" s="209"/>
      <c r="Q1133" s="209"/>
      <c r="R1133" s="209"/>
      <c r="S1133" s="209"/>
      <c r="T1133" s="209"/>
      <c r="U1133" s="209"/>
      <c r="V1133" s="209"/>
      <c r="W1133" s="209"/>
      <c r="X1133" s="209"/>
      <c r="Y1133" s="209"/>
      <c r="Z1133" s="209"/>
      <c r="AA1133" s="209"/>
      <c r="AB1133" s="209"/>
      <c r="AC1133" s="209"/>
      <c r="AD1133" s="209"/>
      <c r="AE1133" s="209"/>
      <c r="AF1133" s="209"/>
      <c r="AG1133" s="209"/>
      <c r="AH1133" s="209"/>
      <c r="AI1133" s="209"/>
      <c r="AJ1133" s="209"/>
      <c r="AK1133" s="209"/>
      <c r="AL1133" s="209"/>
      <c r="AM1133" s="209"/>
      <c r="AN1133" s="209"/>
      <c r="AO1133" s="209"/>
      <c r="AP1133" s="209"/>
    </row>
    <row r="1134">
      <c r="A1134" s="316" t="s">
        <v>4015</v>
      </c>
      <c r="B1134" s="319" t="s">
        <v>255</v>
      </c>
      <c r="C1134" s="320"/>
      <c r="D1134" s="283" t="s">
        <v>254</v>
      </c>
      <c r="E1134" s="320"/>
      <c r="F1134" s="320"/>
      <c r="G1134" s="320"/>
      <c r="H1134" s="285" t="s">
        <v>888</v>
      </c>
      <c r="I1134" s="285" t="s">
        <v>889</v>
      </c>
      <c r="J1134" s="333" t="str">
        <f>IF(COUNTIF(J1135:J1152, TRUE) = COUNTA(J1135:J1152), "Complete!", IF(COUNTIF(J1135:J1152, TRUE) &gt; 0, "Partial", "Not Started"))</f>
        <v>Complete!</v>
      </c>
      <c r="K1134" s="334"/>
      <c r="L1134" s="209"/>
      <c r="M1134" s="209"/>
      <c r="N1134" s="209"/>
      <c r="O1134" s="209"/>
      <c r="P1134" s="209"/>
      <c r="Q1134" s="209"/>
      <c r="R1134" s="209"/>
      <c r="S1134" s="209"/>
      <c r="T1134" s="209"/>
      <c r="U1134" s="209"/>
      <c r="V1134" s="209"/>
      <c r="W1134" s="209"/>
      <c r="X1134" s="209"/>
      <c r="Y1134" s="209"/>
      <c r="Z1134" s="209"/>
      <c r="AA1134" s="209"/>
      <c r="AB1134" s="209"/>
      <c r="AC1134" s="209"/>
      <c r="AD1134" s="209"/>
      <c r="AE1134" s="209"/>
      <c r="AF1134" s="209"/>
      <c r="AG1134" s="209"/>
      <c r="AH1134" s="209"/>
      <c r="AI1134" s="209"/>
      <c r="AJ1134" s="209"/>
      <c r="AK1134" s="209"/>
      <c r="AL1134" s="209"/>
      <c r="AM1134" s="209"/>
      <c r="AN1134" s="209"/>
      <c r="AO1134" s="209"/>
      <c r="AP1134" s="209"/>
    </row>
    <row r="1135">
      <c r="A1135" s="291"/>
      <c r="B1135" s="292" t="s">
        <v>1851</v>
      </c>
      <c r="C1135" s="293" t="s">
        <v>404</v>
      </c>
      <c r="D1135" s="293" t="s">
        <v>1852</v>
      </c>
      <c r="E1135" s="299">
        <v>8.40472503254E11</v>
      </c>
      <c r="F1135" s="293" t="s">
        <v>1062</v>
      </c>
      <c r="G1135" s="295"/>
      <c r="H1135" s="295"/>
      <c r="I1135" s="293" t="s">
        <v>4262</v>
      </c>
      <c r="J1135" s="296" t="b">
        <v>1</v>
      </c>
      <c r="K1135" s="297" t="b">
        <v>0</v>
      </c>
      <c r="L1135" s="209"/>
      <c r="M1135" s="209"/>
      <c r="N1135" s="209"/>
      <c r="O1135" s="209"/>
      <c r="P1135" s="209"/>
      <c r="Q1135" s="209"/>
      <c r="R1135" s="209"/>
      <c r="S1135" s="209"/>
      <c r="T1135" s="209"/>
      <c r="U1135" s="209"/>
      <c r="V1135" s="209"/>
      <c r="W1135" s="209"/>
      <c r="X1135" s="209"/>
      <c r="Y1135" s="209"/>
      <c r="Z1135" s="209"/>
      <c r="AA1135" s="209"/>
      <c r="AB1135" s="209"/>
      <c r="AC1135" s="209"/>
      <c r="AD1135" s="209"/>
      <c r="AE1135" s="209"/>
      <c r="AF1135" s="209"/>
      <c r="AG1135" s="209"/>
      <c r="AH1135" s="209"/>
      <c r="AI1135" s="209"/>
      <c r="AJ1135" s="209"/>
      <c r="AK1135" s="209"/>
      <c r="AL1135" s="209"/>
      <c r="AM1135" s="209"/>
      <c r="AN1135" s="209"/>
      <c r="AO1135" s="209"/>
      <c r="AP1135" s="209"/>
    </row>
    <row r="1136">
      <c r="A1136" s="291"/>
      <c r="B1136" s="303" t="s">
        <v>1856</v>
      </c>
      <c r="C1136" s="304" t="s">
        <v>404</v>
      </c>
      <c r="D1136" s="304" t="s">
        <v>1857</v>
      </c>
      <c r="E1136" s="307">
        <v>8.40472503261E11</v>
      </c>
      <c r="F1136" s="304" t="s">
        <v>1062</v>
      </c>
      <c r="G1136" s="209"/>
      <c r="H1136" s="209"/>
      <c r="I1136" s="304" t="s">
        <v>4262</v>
      </c>
      <c r="J1136" s="296" t="b">
        <v>1</v>
      </c>
      <c r="K1136" s="301" t="b">
        <v>0</v>
      </c>
      <c r="L1136" s="209"/>
      <c r="M1136" s="209"/>
      <c r="N1136" s="209"/>
      <c r="O1136" s="209"/>
      <c r="P1136" s="209"/>
      <c r="Q1136" s="209"/>
      <c r="R1136" s="209"/>
      <c r="S1136" s="209"/>
      <c r="T1136" s="209"/>
      <c r="U1136" s="209"/>
      <c r="V1136" s="209"/>
      <c r="W1136" s="209"/>
      <c r="X1136" s="209"/>
      <c r="Y1136" s="209"/>
      <c r="Z1136" s="209"/>
      <c r="AA1136" s="209"/>
      <c r="AB1136" s="209"/>
      <c r="AC1136" s="209"/>
      <c r="AD1136" s="209"/>
      <c r="AE1136" s="209"/>
      <c r="AF1136" s="209"/>
      <c r="AG1136" s="209"/>
      <c r="AH1136" s="209"/>
      <c r="AI1136" s="209"/>
      <c r="AJ1136" s="209"/>
      <c r="AK1136" s="209"/>
      <c r="AL1136" s="209"/>
      <c r="AM1136" s="209"/>
      <c r="AN1136" s="209"/>
      <c r="AO1136" s="209"/>
      <c r="AP1136" s="209"/>
    </row>
    <row r="1137">
      <c r="A1137" s="291"/>
      <c r="B1137" s="303" t="s">
        <v>1860</v>
      </c>
      <c r="C1137" s="304" t="s">
        <v>390</v>
      </c>
      <c r="D1137" s="304" t="s">
        <v>1861</v>
      </c>
      <c r="E1137" s="307">
        <v>8.40472503278E11</v>
      </c>
      <c r="F1137" s="304" t="s">
        <v>1062</v>
      </c>
      <c r="G1137" s="209"/>
      <c r="H1137" s="209"/>
      <c r="I1137" s="304" t="s">
        <v>4262</v>
      </c>
      <c r="J1137" s="296" t="b">
        <v>1</v>
      </c>
      <c r="K1137" s="301" t="b">
        <v>0</v>
      </c>
      <c r="L1137" s="209"/>
      <c r="M1137" s="209"/>
      <c r="N1137" s="209"/>
      <c r="O1137" s="209"/>
      <c r="P1137" s="209"/>
      <c r="Q1137" s="209"/>
      <c r="R1137" s="209"/>
      <c r="S1137" s="209"/>
      <c r="T1137" s="209"/>
      <c r="U1137" s="209"/>
      <c r="V1137" s="209"/>
      <c r="W1137" s="209"/>
      <c r="X1137" s="209"/>
      <c r="Y1137" s="209"/>
      <c r="Z1137" s="209"/>
      <c r="AA1137" s="209"/>
      <c r="AB1137" s="209"/>
      <c r="AC1137" s="209"/>
      <c r="AD1137" s="209"/>
      <c r="AE1137" s="209"/>
      <c r="AF1137" s="209"/>
      <c r="AG1137" s="209"/>
      <c r="AH1137" s="209"/>
      <c r="AI1137" s="209"/>
      <c r="AJ1137" s="209"/>
      <c r="AK1137" s="209"/>
      <c r="AL1137" s="209"/>
      <c r="AM1137" s="209"/>
      <c r="AN1137" s="209"/>
      <c r="AO1137" s="209"/>
      <c r="AP1137" s="209"/>
    </row>
    <row r="1138">
      <c r="A1138" s="291"/>
      <c r="B1138" s="303" t="s">
        <v>1864</v>
      </c>
      <c r="C1138" s="304" t="s">
        <v>390</v>
      </c>
      <c r="D1138" s="304" t="s">
        <v>1865</v>
      </c>
      <c r="E1138" s="307">
        <v>8.40472503285E11</v>
      </c>
      <c r="F1138" s="304" t="s">
        <v>1062</v>
      </c>
      <c r="G1138" s="209"/>
      <c r="H1138" s="209"/>
      <c r="I1138" s="304" t="s">
        <v>4262</v>
      </c>
      <c r="J1138" s="296" t="b">
        <v>1</v>
      </c>
      <c r="K1138" s="301" t="b">
        <v>0</v>
      </c>
      <c r="L1138" s="209"/>
      <c r="M1138" s="209"/>
      <c r="N1138" s="209"/>
      <c r="O1138" s="209"/>
      <c r="P1138" s="209"/>
      <c r="Q1138" s="209"/>
      <c r="R1138" s="209"/>
      <c r="S1138" s="209"/>
      <c r="T1138" s="209"/>
      <c r="U1138" s="209"/>
      <c r="V1138" s="209"/>
      <c r="W1138" s="209"/>
      <c r="X1138" s="209"/>
      <c r="Y1138" s="209"/>
      <c r="Z1138" s="209"/>
      <c r="AA1138" s="209"/>
      <c r="AB1138" s="209"/>
      <c r="AC1138" s="209"/>
      <c r="AD1138" s="209"/>
      <c r="AE1138" s="209"/>
      <c r="AF1138" s="209"/>
      <c r="AG1138" s="209"/>
      <c r="AH1138" s="209"/>
      <c r="AI1138" s="209"/>
      <c r="AJ1138" s="209"/>
      <c r="AK1138" s="209"/>
      <c r="AL1138" s="209"/>
      <c r="AM1138" s="209"/>
      <c r="AN1138" s="209"/>
      <c r="AO1138" s="209"/>
      <c r="AP1138" s="209"/>
    </row>
    <row r="1139">
      <c r="A1139" s="291"/>
      <c r="B1139" s="303" t="s">
        <v>1867</v>
      </c>
      <c r="C1139" s="304" t="s">
        <v>400</v>
      </c>
      <c r="D1139" s="304" t="s">
        <v>1868</v>
      </c>
      <c r="E1139" s="307">
        <v>8.40472503292E11</v>
      </c>
      <c r="F1139" s="304" t="s">
        <v>1062</v>
      </c>
      <c r="G1139" s="209"/>
      <c r="H1139" s="209"/>
      <c r="I1139" s="304" t="s">
        <v>4262</v>
      </c>
      <c r="J1139" s="296" t="b">
        <v>1</v>
      </c>
      <c r="K1139" s="301" t="b">
        <v>0</v>
      </c>
      <c r="L1139" s="209"/>
      <c r="M1139" s="209"/>
      <c r="N1139" s="209"/>
      <c r="O1139" s="209"/>
      <c r="P1139" s="209"/>
      <c r="Q1139" s="209"/>
      <c r="R1139" s="209"/>
      <c r="S1139" s="209"/>
      <c r="T1139" s="209"/>
      <c r="U1139" s="209"/>
      <c r="V1139" s="209"/>
      <c r="W1139" s="209"/>
      <c r="X1139" s="209"/>
      <c r="Y1139" s="209"/>
      <c r="Z1139" s="209"/>
      <c r="AA1139" s="209"/>
      <c r="AB1139" s="209"/>
      <c r="AC1139" s="209"/>
      <c r="AD1139" s="209"/>
      <c r="AE1139" s="209"/>
      <c r="AF1139" s="209"/>
      <c r="AG1139" s="209"/>
      <c r="AH1139" s="209"/>
      <c r="AI1139" s="209"/>
      <c r="AJ1139" s="209"/>
      <c r="AK1139" s="209"/>
      <c r="AL1139" s="209"/>
      <c r="AM1139" s="209"/>
      <c r="AN1139" s="209"/>
      <c r="AO1139" s="209"/>
      <c r="AP1139" s="209"/>
    </row>
    <row r="1140">
      <c r="A1140" s="291"/>
      <c r="B1140" s="303" t="s">
        <v>1873</v>
      </c>
      <c r="C1140" s="304" t="s">
        <v>400</v>
      </c>
      <c r="D1140" s="304" t="s">
        <v>1874</v>
      </c>
      <c r="E1140" s="307">
        <v>8.40472503308E11</v>
      </c>
      <c r="F1140" s="304" t="s">
        <v>1062</v>
      </c>
      <c r="G1140" s="209"/>
      <c r="H1140" s="209"/>
      <c r="I1140" s="304" t="s">
        <v>4262</v>
      </c>
      <c r="J1140" s="296" t="b">
        <v>1</v>
      </c>
      <c r="K1140" s="301" t="b">
        <v>0</v>
      </c>
      <c r="L1140" s="209"/>
      <c r="M1140" s="209"/>
      <c r="N1140" s="209"/>
      <c r="O1140" s="209"/>
      <c r="P1140" s="209"/>
      <c r="Q1140" s="209"/>
      <c r="R1140" s="209"/>
      <c r="S1140" s="209"/>
      <c r="T1140" s="209"/>
      <c r="U1140" s="209"/>
      <c r="V1140" s="209"/>
      <c r="W1140" s="209"/>
      <c r="X1140" s="209"/>
      <c r="Y1140" s="209"/>
      <c r="Z1140" s="209"/>
      <c r="AA1140" s="209"/>
      <c r="AB1140" s="209"/>
      <c r="AC1140" s="209"/>
      <c r="AD1140" s="209"/>
      <c r="AE1140" s="209"/>
      <c r="AF1140" s="209"/>
      <c r="AG1140" s="209"/>
      <c r="AH1140" s="209"/>
      <c r="AI1140" s="209"/>
      <c r="AJ1140" s="209"/>
      <c r="AK1140" s="209"/>
      <c r="AL1140" s="209"/>
      <c r="AM1140" s="209"/>
      <c r="AN1140" s="209"/>
      <c r="AO1140" s="209"/>
      <c r="AP1140" s="209"/>
    </row>
    <row r="1141">
      <c r="A1141" s="291"/>
      <c r="B1141" s="303" t="s">
        <v>1878</v>
      </c>
      <c r="C1141" s="304" t="s">
        <v>671</v>
      </c>
      <c r="D1141" s="304" t="s">
        <v>1879</v>
      </c>
      <c r="E1141" s="307">
        <v>8.40472503315E11</v>
      </c>
      <c r="F1141" s="304" t="s">
        <v>1062</v>
      </c>
      <c r="G1141" s="209"/>
      <c r="H1141" s="209"/>
      <c r="I1141" s="304" t="s">
        <v>4262</v>
      </c>
      <c r="J1141" s="296" t="b">
        <v>1</v>
      </c>
      <c r="K1141" s="301" t="b">
        <v>0</v>
      </c>
      <c r="L1141" s="209"/>
      <c r="M1141" s="209"/>
      <c r="N1141" s="209"/>
      <c r="O1141" s="209"/>
      <c r="P1141" s="209"/>
      <c r="Q1141" s="209"/>
      <c r="R1141" s="209"/>
      <c r="S1141" s="209"/>
      <c r="T1141" s="209"/>
      <c r="U1141" s="209"/>
      <c r="V1141" s="209"/>
      <c r="W1141" s="209"/>
      <c r="X1141" s="209"/>
      <c r="Y1141" s="209"/>
      <c r="Z1141" s="209"/>
      <c r="AA1141" s="209"/>
      <c r="AB1141" s="209"/>
      <c r="AC1141" s="209"/>
      <c r="AD1141" s="209"/>
      <c r="AE1141" s="209"/>
      <c r="AF1141" s="209"/>
      <c r="AG1141" s="209"/>
      <c r="AH1141" s="209"/>
      <c r="AI1141" s="209"/>
      <c r="AJ1141" s="209"/>
      <c r="AK1141" s="209"/>
      <c r="AL1141" s="209"/>
      <c r="AM1141" s="209"/>
      <c r="AN1141" s="209"/>
      <c r="AO1141" s="209"/>
      <c r="AP1141" s="209"/>
    </row>
    <row r="1142">
      <c r="A1142" s="291"/>
      <c r="B1142" s="303" t="s">
        <v>1882</v>
      </c>
      <c r="C1142" s="304" t="s">
        <v>671</v>
      </c>
      <c r="D1142" s="304" t="s">
        <v>1883</v>
      </c>
      <c r="E1142" s="307">
        <v>8.40472503322E11</v>
      </c>
      <c r="F1142" s="304" t="s">
        <v>1062</v>
      </c>
      <c r="G1142" s="209"/>
      <c r="H1142" s="209"/>
      <c r="I1142" s="304" t="s">
        <v>4262</v>
      </c>
      <c r="J1142" s="296" t="b">
        <v>1</v>
      </c>
      <c r="K1142" s="301" t="b">
        <v>0</v>
      </c>
      <c r="L1142" s="209"/>
      <c r="M1142" s="209"/>
      <c r="N1142" s="209"/>
      <c r="O1142" s="209"/>
      <c r="P1142" s="209"/>
      <c r="Q1142" s="209"/>
      <c r="R1142" s="209"/>
      <c r="S1142" s="209"/>
      <c r="T1142" s="209"/>
      <c r="U1142" s="209"/>
      <c r="V1142" s="209"/>
      <c r="W1142" s="209"/>
      <c r="X1142" s="209"/>
      <c r="Y1142" s="209"/>
      <c r="Z1142" s="209"/>
      <c r="AA1142" s="209"/>
      <c r="AB1142" s="209"/>
      <c r="AC1142" s="209"/>
      <c r="AD1142" s="209"/>
      <c r="AE1142" s="209"/>
      <c r="AF1142" s="209"/>
      <c r="AG1142" s="209"/>
      <c r="AH1142" s="209"/>
      <c r="AI1142" s="209"/>
      <c r="AJ1142" s="209"/>
      <c r="AK1142" s="209"/>
      <c r="AL1142" s="209"/>
      <c r="AM1142" s="209"/>
      <c r="AN1142" s="209"/>
      <c r="AO1142" s="209"/>
      <c r="AP1142" s="209"/>
    </row>
    <row r="1143">
      <c r="A1143" s="291"/>
      <c r="B1143" s="303" t="s">
        <v>1886</v>
      </c>
      <c r="C1143" s="304" t="s">
        <v>705</v>
      </c>
      <c r="D1143" s="304" t="s">
        <v>1887</v>
      </c>
      <c r="E1143" s="307">
        <v>8.40472503339E11</v>
      </c>
      <c r="F1143" s="304" t="s">
        <v>1062</v>
      </c>
      <c r="G1143" s="209"/>
      <c r="H1143" s="209"/>
      <c r="I1143" s="304" t="s">
        <v>4262</v>
      </c>
      <c r="J1143" s="296" t="b">
        <v>1</v>
      </c>
      <c r="K1143" s="301" t="b">
        <v>0</v>
      </c>
      <c r="L1143" s="209"/>
      <c r="M1143" s="209"/>
      <c r="N1143" s="209"/>
      <c r="O1143" s="209"/>
      <c r="P1143" s="209"/>
      <c r="Q1143" s="209"/>
      <c r="R1143" s="209"/>
      <c r="S1143" s="209"/>
      <c r="T1143" s="209"/>
      <c r="U1143" s="209"/>
      <c r="V1143" s="209"/>
      <c r="W1143" s="209"/>
      <c r="X1143" s="209"/>
      <c r="Y1143" s="209"/>
      <c r="Z1143" s="209"/>
      <c r="AA1143" s="209"/>
      <c r="AB1143" s="209"/>
      <c r="AC1143" s="209"/>
      <c r="AD1143" s="209"/>
      <c r="AE1143" s="209"/>
      <c r="AF1143" s="209"/>
      <c r="AG1143" s="209"/>
      <c r="AH1143" s="209"/>
      <c r="AI1143" s="209"/>
      <c r="AJ1143" s="209"/>
      <c r="AK1143" s="209"/>
      <c r="AL1143" s="209"/>
      <c r="AM1143" s="209"/>
      <c r="AN1143" s="209"/>
      <c r="AO1143" s="209"/>
      <c r="AP1143" s="209"/>
    </row>
    <row r="1144">
      <c r="A1144" s="291"/>
      <c r="B1144" s="303" t="s">
        <v>1890</v>
      </c>
      <c r="C1144" s="304" t="s">
        <v>705</v>
      </c>
      <c r="D1144" s="304" t="s">
        <v>1891</v>
      </c>
      <c r="E1144" s="307">
        <v>8.40472503346E11</v>
      </c>
      <c r="F1144" s="304" t="s">
        <v>1062</v>
      </c>
      <c r="G1144" s="209"/>
      <c r="H1144" s="209"/>
      <c r="I1144" s="304" t="s">
        <v>4262</v>
      </c>
      <c r="J1144" s="296" t="b">
        <v>1</v>
      </c>
      <c r="K1144" s="301" t="b">
        <v>0</v>
      </c>
      <c r="L1144" s="209"/>
      <c r="M1144" s="209"/>
      <c r="N1144" s="209"/>
      <c r="O1144" s="209"/>
      <c r="P1144" s="209"/>
      <c r="Q1144" s="209"/>
      <c r="R1144" s="209"/>
      <c r="S1144" s="209"/>
      <c r="T1144" s="209"/>
      <c r="U1144" s="209"/>
      <c r="V1144" s="209"/>
      <c r="W1144" s="209"/>
      <c r="X1144" s="209"/>
      <c r="Y1144" s="209"/>
      <c r="Z1144" s="209"/>
      <c r="AA1144" s="209"/>
      <c r="AB1144" s="209"/>
      <c r="AC1144" s="209"/>
      <c r="AD1144" s="209"/>
      <c r="AE1144" s="209"/>
      <c r="AF1144" s="209"/>
      <c r="AG1144" s="209"/>
      <c r="AH1144" s="209"/>
      <c r="AI1144" s="209"/>
      <c r="AJ1144" s="209"/>
      <c r="AK1144" s="209"/>
      <c r="AL1144" s="209"/>
      <c r="AM1144" s="209"/>
      <c r="AN1144" s="209"/>
      <c r="AO1144" s="209"/>
      <c r="AP1144" s="209"/>
    </row>
    <row r="1145">
      <c r="A1145" s="291"/>
      <c r="B1145" s="303" t="s">
        <v>1892</v>
      </c>
      <c r="C1145" s="304" t="s">
        <v>679</v>
      </c>
      <c r="D1145" s="304" t="s">
        <v>1893</v>
      </c>
      <c r="E1145" s="307">
        <v>8.40472503353E11</v>
      </c>
      <c r="F1145" s="304" t="s">
        <v>1062</v>
      </c>
      <c r="G1145" s="209"/>
      <c r="H1145" s="209"/>
      <c r="I1145" s="304" t="s">
        <v>4262</v>
      </c>
      <c r="J1145" s="296" t="b">
        <v>1</v>
      </c>
      <c r="K1145" s="301" t="b">
        <v>0</v>
      </c>
      <c r="L1145" s="209"/>
      <c r="M1145" s="209"/>
      <c r="N1145" s="209"/>
      <c r="O1145" s="209"/>
      <c r="P1145" s="209"/>
      <c r="Q1145" s="209"/>
      <c r="R1145" s="209"/>
      <c r="S1145" s="209"/>
      <c r="T1145" s="209"/>
      <c r="U1145" s="209"/>
      <c r="V1145" s="209"/>
      <c r="W1145" s="209"/>
      <c r="X1145" s="209"/>
      <c r="Y1145" s="209"/>
      <c r="Z1145" s="209"/>
      <c r="AA1145" s="209"/>
      <c r="AB1145" s="209"/>
      <c r="AC1145" s="209"/>
      <c r="AD1145" s="209"/>
      <c r="AE1145" s="209"/>
      <c r="AF1145" s="209"/>
      <c r="AG1145" s="209"/>
      <c r="AH1145" s="209"/>
      <c r="AI1145" s="209"/>
      <c r="AJ1145" s="209"/>
      <c r="AK1145" s="209"/>
      <c r="AL1145" s="209"/>
      <c r="AM1145" s="209"/>
      <c r="AN1145" s="209"/>
      <c r="AO1145" s="209"/>
      <c r="AP1145" s="209"/>
    </row>
    <row r="1146">
      <c r="A1146" s="291"/>
      <c r="B1146" s="303" t="s">
        <v>1896</v>
      </c>
      <c r="C1146" s="304" t="s">
        <v>679</v>
      </c>
      <c r="D1146" s="304" t="s">
        <v>1897</v>
      </c>
      <c r="E1146" s="307">
        <v>8.4047250336E11</v>
      </c>
      <c r="F1146" s="304" t="s">
        <v>1062</v>
      </c>
      <c r="G1146" s="209"/>
      <c r="H1146" s="209"/>
      <c r="I1146" s="304" t="s">
        <v>4262</v>
      </c>
      <c r="J1146" s="296" t="b">
        <v>1</v>
      </c>
      <c r="K1146" s="301" t="b">
        <v>0</v>
      </c>
      <c r="L1146" s="209"/>
      <c r="M1146" s="209"/>
      <c r="N1146" s="209"/>
      <c r="O1146" s="209"/>
      <c r="P1146" s="209"/>
      <c r="Q1146" s="209"/>
      <c r="R1146" s="209"/>
      <c r="S1146" s="209"/>
      <c r="T1146" s="209"/>
      <c r="U1146" s="209"/>
      <c r="V1146" s="209"/>
      <c r="W1146" s="209"/>
      <c r="X1146" s="209"/>
      <c r="Y1146" s="209"/>
      <c r="Z1146" s="209"/>
      <c r="AA1146" s="209"/>
      <c r="AB1146" s="209"/>
      <c r="AC1146" s="209"/>
      <c r="AD1146" s="209"/>
      <c r="AE1146" s="209"/>
      <c r="AF1146" s="209"/>
      <c r="AG1146" s="209"/>
      <c r="AH1146" s="209"/>
      <c r="AI1146" s="209"/>
      <c r="AJ1146" s="209"/>
      <c r="AK1146" s="209"/>
      <c r="AL1146" s="209"/>
      <c r="AM1146" s="209"/>
      <c r="AN1146" s="209"/>
      <c r="AO1146" s="209"/>
      <c r="AP1146" s="209"/>
    </row>
    <row r="1147">
      <c r="A1147" s="291"/>
      <c r="B1147" s="303" t="s">
        <v>1900</v>
      </c>
      <c r="C1147" s="304" t="s">
        <v>431</v>
      </c>
      <c r="D1147" s="304" t="s">
        <v>1901</v>
      </c>
      <c r="E1147" s="307">
        <v>8.40472503377E11</v>
      </c>
      <c r="F1147" s="304" t="s">
        <v>1062</v>
      </c>
      <c r="G1147" s="209"/>
      <c r="H1147" s="209"/>
      <c r="I1147" s="304" t="s">
        <v>4262</v>
      </c>
      <c r="J1147" s="296" t="b">
        <v>1</v>
      </c>
      <c r="K1147" s="301" t="b">
        <v>0</v>
      </c>
      <c r="L1147" s="209"/>
      <c r="M1147" s="209"/>
      <c r="N1147" s="209"/>
      <c r="O1147" s="209"/>
      <c r="P1147" s="209"/>
      <c r="Q1147" s="209"/>
      <c r="R1147" s="209"/>
      <c r="S1147" s="209"/>
      <c r="T1147" s="209"/>
      <c r="U1147" s="209"/>
      <c r="V1147" s="209"/>
      <c r="W1147" s="209"/>
      <c r="X1147" s="209"/>
      <c r="Y1147" s="209"/>
      <c r="Z1147" s="209"/>
      <c r="AA1147" s="209"/>
      <c r="AB1147" s="209"/>
      <c r="AC1147" s="209"/>
      <c r="AD1147" s="209"/>
      <c r="AE1147" s="209"/>
      <c r="AF1147" s="209"/>
      <c r="AG1147" s="209"/>
      <c r="AH1147" s="209"/>
      <c r="AI1147" s="209"/>
      <c r="AJ1147" s="209"/>
      <c r="AK1147" s="209"/>
      <c r="AL1147" s="209"/>
      <c r="AM1147" s="209"/>
      <c r="AN1147" s="209"/>
      <c r="AO1147" s="209"/>
      <c r="AP1147" s="209"/>
    </row>
    <row r="1148">
      <c r="A1148" s="309"/>
      <c r="B1148" s="310" t="s">
        <v>1904</v>
      </c>
      <c r="C1148" s="304" t="s">
        <v>431</v>
      </c>
      <c r="D1148" s="311" t="s">
        <v>1905</v>
      </c>
      <c r="E1148" s="318">
        <v>8.40472503384E11</v>
      </c>
      <c r="F1148" s="311" t="s">
        <v>1062</v>
      </c>
      <c r="G1148" s="313"/>
      <c r="H1148" s="313"/>
      <c r="I1148" s="311" t="s">
        <v>4262</v>
      </c>
      <c r="J1148" s="296" t="b">
        <v>1</v>
      </c>
      <c r="K1148" s="314" t="b">
        <v>0</v>
      </c>
      <c r="L1148" s="209"/>
      <c r="M1148" s="209"/>
      <c r="N1148" s="209"/>
      <c r="O1148" s="209"/>
      <c r="P1148" s="209"/>
      <c r="Q1148" s="209"/>
      <c r="R1148" s="209"/>
      <c r="S1148" s="209"/>
      <c r="T1148" s="209"/>
      <c r="U1148" s="209"/>
      <c r="V1148" s="209"/>
      <c r="W1148" s="209"/>
      <c r="X1148" s="209"/>
      <c r="Y1148" s="209"/>
      <c r="Z1148" s="209"/>
      <c r="AA1148" s="209"/>
      <c r="AB1148" s="209"/>
      <c r="AC1148" s="209"/>
      <c r="AD1148" s="209"/>
      <c r="AE1148" s="209"/>
      <c r="AF1148" s="209"/>
      <c r="AG1148" s="209"/>
      <c r="AH1148" s="209"/>
      <c r="AI1148" s="209"/>
      <c r="AJ1148" s="209"/>
      <c r="AK1148" s="209"/>
      <c r="AL1148" s="209"/>
      <c r="AM1148" s="209"/>
      <c r="AN1148" s="209"/>
      <c r="AO1148" s="209"/>
      <c r="AP1148" s="209"/>
    </row>
    <row r="1149">
      <c r="A1149" s="209"/>
      <c r="B1149" s="209"/>
      <c r="C1149" s="209"/>
      <c r="D1149" s="209"/>
      <c r="E1149" s="209"/>
      <c r="F1149" s="209"/>
      <c r="G1149" s="209"/>
      <c r="H1149" s="209"/>
      <c r="I1149" s="209"/>
      <c r="J1149" s="209"/>
      <c r="K1149" s="209"/>
      <c r="L1149" s="209"/>
      <c r="M1149" s="209"/>
      <c r="N1149" s="209"/>
      <c r="O1149" s="209"/>
      <c r="P1149" s="209"/>
      <c r="Q1149" s="209"/>
      <c r="R1149" s="209"/>
      <c r="S1149" s="209"/>
      <c r="T1149" s="209"/>
      <c r="U1149" s="209"/>
      <c r="V1149" s="209"/>
      <c r="W1149" s="209"/>
      <c r="X1149" s="209"/>
      <c r="Y1149" s="209"/>
      <c r="Z1149" s="209"/>
      <c r="AA1149" s="209"/>
      <c r="AB1149" s="209"/>
      <c r="AC1149" s="209"/>
      <c r="AD1149" s="209"/>
      <c r="AE1149" s="209"/>
      <c r="AF1149" s="209"/>
      <c r="AG1149" s="209"/>
      <c r="AH1149" s="209"/>
      <c r="AI1149" s="209"/>
      <c r="AJ1149" s="209"/>
      <c r="AK1149" s="209"/>
      <c r="AL1149" s="209"/>
      <c r="AM1149" s="209"/>
      <c r="AN1149" s="209"/>
      <c r="AO1149" s="209"/>
      <c r="AP1149" s="209"/>
    </row>
    <row r="1150">
      <c r="A1150" s="209"/>
      <c r="B1150" s="209"/>
      <c r="C1150" s="209"/>
      <c r="D1150" s="209"/>
      <c r="E1150" s="209"/>
      <c r="F1150" s="209"/>
      <c r="G1150" s="209"/>
      <c r="H1150" s="209"/>
      <c r="I1150" s="209"/>
      <c r="J1150" s="209"/>
      <c r="K1150" s="209"/>
      <c r="L1150" s="209"/>
      <c r="M1150" s="209"/>
      <c r="N1150" s="209"/>
      <c r="O1150" s="209"/>
      <c r="P1150" s="209"/>
      <c r="Q1150" s="209"/>
      <c r="R1150" s="209"/>
      <c r="S1150" s="209"/>
      <c r="T1150" s="209"/>
      <c r="U1150" s="209"/>
      <c r="V1150" s="209"/>
      <c r="W1150" s="209"/>
      <c r="X1150" s="209"/>
      <c r="Y1150" s="209"/>
      <c r="Z1150" s="209"/>
      <c r="AA1150" s="209"/>
      <c r="AB1150" s="209"/>
      <c r="AC1150" s="209"/>
      <c r="AD1150" s="209"/>
      <c r="AE1150" s="209"/>
      <c r="AF1150" s="209"/>
      <c r="AG1150" s="209"/>
      <c r="AH1150" s="209"/>
      <c r="AI1150" s="209"/>
      <c r="AJ1150" s="209"/>
      <c r="AK1150" s="209"/>
      <c r="AL1150" s="209"/>
      <c r="AM1150" s="209"/>
      <c r="AN1150" s="209"/>
      <c r="AO1150" s="209"/>
      <c r="AP1150" s="209"/>
    </row>
    <row r="1151">
      <c r="A1151" s="209"/>
      <c r="B1151" s="209"/>
      <c r="C1151" s="209"/>
      <c r="D1151" s="209"/>
      <c r="E1151" s="209"/>
      <c r="F1151" s="209"/>
      <c r="G1151" s="209"/>
      <c r="H1151" s="209"/>
      <c r="I1151" s="209"/>
      <c r="J1151" s="209"/>
      <c r="K1151" s="209"/>
      <c r="L1151" s="209"/>
      <c r="M1151" s="209"/>
      <c r="N1151" s="209"/>
      <c r="O1151" s="209"/>
      <c r="P1151" s="209"/>
      <c r="Q1151" s="209"/>
      <c r="R1151" s="209"/>
      <c r="S1151" s="209"/>
      <c r="T1151" s="209"/>
      <c r="U1151" s="209"/>
      <c r="V1151" s="209"/>
      <c r="W1151" s="209"/>
      <c r="X1151" s="209"/>
      <c r="Y1151" s="209"/>
      <c r="Z1151" s="209"/>
      <c r="AA1151" s="209"/>
      <c r="AB1151" s="209"/>
      <c r="AC1151" s="209"/>
      <c r="AD1151" s="209"/>
      <c r="AE1151" s="209"/>
      <c r="AF1151" s="209"/>
      <c r="AG1151" s="209"/>
      <c r="AH1151" s="209"/>
      <c r="AI1151" s="209"/>
      <c r="AJ1151" s="209"/>
      <c r="AK1151" s="209"/>
      <c r="AL1151" s="209"/>
      <c r="AM1151" s="209"/>
      <c r="AN1151" s="209"/>
      <c r="AO1151" s="209"/>
      <c r="AP1151" s="209"/>
    </row>
    <row r="1152">
      <c r="A1152" s="209"/>
      <c r="B1152" s="209"/>
      <c r="C1152" s="209"/>
      <c r="D1152" s="209"/>
      <c r="E1152" s="209"/>
      <c r="F1152" s="209"/>
      <c r="G1152" s="209"/>
      <c r="H1152" s="209"/>
      <c r="I1152" s="209"/>
      <c r="J1152" s="209"/>
      <c r="K1152" s="209"/>
      <c r="L1152" s="209"/>
      <c r="M1152" s="209"/>
      <c r="N1152" s="209"/>
      <c r="O1152" s="209"/>
      <c r="P1152" s="209"/>
      <c r="Q1152" s="209"/>
      <c r="R1152" s="209"/>
      <c r="S1152" s="209"/>
      <c r="T1152" s="209"/>
      <c r="U1152" s="209"/>
      <c r="V1152" s="209"/>
      <c r="W1152" s="209"/>
      <c r="X1152" s="209"/>
      <c r="Y1152" s="209"/>
      <c r="Z1152" s="209"/>
      <c r="AA1152" s="209"/>
      <c r="AB1152" s="209"/>
      <c r="AC1152" s="209"/>
      <c r="AD1152" s="209"/>
      <c r="AE1152" s="209"/>
      <c r="AF1152" s="209"/>
      <c r="AG1152" s="209"/>
      <c r="AH1152" s="209"/>
      <c r="AI1152" s="209"/>
      <c r="AJ1152" s="209"/>
      <c r="AK1152" s="209"/>
      <c r="AL1152" s="209"/>
      <c r="AM1152" s="209"/>
      <c r="AN1152" s="209"/>
      <c r="AO1152" s="209"/>
      <c r="AP1152" s="209"/>
    </row>
    <row r="1153">
      <c r="A1153" s="209"/>
      <c r="B1153" s="209"/>
      <c r="C1153" s="209"/>
      <c r="D1153" s="209"/>
      <c r="E1153" s="209"/>
      <c r="F1153" s="209"/>
      <c r="G1153" s="209"/>
      <c r="H1153" s="209"/>
      <c r="I1153" s="209"/>
      <c r="J1153" s="209"/>
      <c r="K1153" s="209"/>
      <c r="L1153" s="209"/>
      <c r="M1153" s="209"/>
      <c r="N1153" s="209"/>
      <c r="O1153" s="209"/>
      <c r="P1153" s="209"/>
      <c r="Q1153" s="209"/>
      <c r="R1153" s="209"/>
      <c r="S1153" s="209"/>
      <c r="T1153" s="209"/>
      <c r="U1153" s="209"/>
      <c r="V1153" s="209"/>
      <c r="W1153" s="209"/>
      <c r="X1153" s="209"/>
      <c r="Y1153" s="209"/>
      <c r="Z1153" s="209"/>
      <c r="AA1153" s="209"/>
      <c r="AB1153" s="209"/>
      <c r="AC1153" s="209"/>
      <c r="AD1153" s="209"/>
      <c r="AE1153" s="209"/>
      <c r="AF1153" s="209"/>
      <c r="AG1153" s="209"/>
      <c r="AH1153" s="209"/>
      <c r="AI1153" s="209"/>
      <c r="AJ1153" s="209"/>
      <c r="AK1153" s="209"/>
      <c r="AL1153" s="209"/>
      <c r="AM1153" s="209"/>
      <c r="AN1153" s="209"/>
      <c r="AO1153" s="209"/>
      <c r="AP1153" s="209"/>
    </row>
    <row r="1154">
      <c r="A1154" s="209"/>
      <c r="B1154" s="209"/>
      <c r="C1154" s="209"/>
      <c r="D1154" s="209"/>
      <c r="E1154" s="209"/>
      <c r="F1154" s="209"/>
      <c r="G1154" s="209"/>
      <c r="H1154" s="209"/>
      <c r="I1154" s="209"/>
      <c r="J1154" s="209"/>
      <c r="K1154" s="209"/>
      <c r="L1154" s="209"/>
      <c r="M1154" s="209"/>
      <c r="N1154" s="209"/>
      <c r="O1154" s="209"/>
      <c r="P1154" s="209"/>
      <c r="Q1154" s="209"/>
      <c r="R1154" s="209"/>
      <c r="S1154" s="209"/>
      <c r="T1154" s="209"/>
      <c r="U1154" s="209"/>
      <c r="V1154" s="209"/>
      <c r="W1154" s="209"/>
      <c r="X1154" s="209"/>
      <c r="Y1154" s="209"/>
      <c r="Z1154" s="209"/>
      <c r="AA1154" s="209"/>
      <c r="AB1154" s="209"/>
      <c r="AC1154" s="209"/>
      <c r="AD1154" s="209"/>
      <c r="AE1154" s="209"/>
      <c r="AF1154" s="209"/>
      <c r="AG1154" s="209"/>
      <c r="AH1154" s="209"/>
      <c r="AI1154" s="209"/>
      <c r="AJ1154" s="209"/>
      <c r="AK1154" s="209"/>
      <c r="AL1154" s="209"/>
      <c r="AM1154" s="209"/>
      <c r="AN1154" s="209"/>
      <c r="AO1154" s="209"/>
      <c r="AP1154" s="209"/>
    </row>
    <row r="1155">
      <c r="A1155" s="209"/>
      <c r="B1155" s="209"/>
      <c r="C1155" s="209"/>
      <c r="D1155" s="209"/>
      <c r="E1155" s="209"/>
      <c r="F1155" s="209"/>
      <c r="G1155" s="209"/>
      <c r="H1155" s="209"/>
      <c r="I1155" s="209"/>
      <c r="J1155" s="209"/>
      <c r="K1155" s="209"/>
      <c r="L1155" s="209"/>
      <c r="M1155" s="209"/>
      <c r="N1155" s="209"/>
      <c r="O1155" s="209"/>
      <c r="P1155" s="209"/>
      <c r="Q1155" s="209"/>
      <c r="R1155" s="209"/>
      <c r="S1155" s="209"/>
      <c r="T1155" s="209"/>
      <c r="U1155" s="209"/>
      <c r="V1155" s="209"/>
      <c r="W1155" s="209"/>
      <c r="X1155" s="209"/>
      <c r="Y1155" s="209"/>
      <c r="Z1155" s="209"/>
      <c r="AA1155" s="209"/>
      <c r="AB1155" s="209"/>
      <c r="AC1155" s="209"/>
      <c r="AD1155" s="209"/>
      <c r="AE1155" s="209"/>
      <c r="AF1155" s="209"/>
      <c r="AG1155" s="209"/>
      <c r="AH1155" s="209"/>
      <c r="AI1155" s="209"/>
      <c r="AJ1155" s="209"/>
      <c r="AK1155" s="209"/>
      <c r="AL1155" s="209"/>
      <c r="AM1155" s="209"/>
      <c r="AN1155" s="209"/>
      <c r="AO1155" s="209"/>
      <c r="AP1155" s="209"/>
    </row>
    <row r="1156">
      <c r="A1156" s="209"/>
      <c r="B1156" s="209"/>
      <c r="C1156" s="209"/>
      <c r="D1156" s="209"/>
      <c r="E1156" s="209"/>
      <c r="F1156" s="209"/>
      <c r="G1156" s="209"/>
      <c r="H1156" s="209"/>
      <c r="I1156" s="209"/>
      <c r="J1156" s="209"/>
      <c r="K1156" s="209"/>
      <c r="L1156" s="209"/>
      <c r="M1156" s="209"/>
      <c r="N1156" s="209"/>
      <c r="O1156" s="209"/>
      <c r="P1156" s="209"/>
      <c r="Q1156" s="209"/>
      <c r="R1156" s="209"/>
      <c r="S1156" s="209"/>
      <c r="T1156" s="209"/>
      <c r="U1156" s="209"/>
      <c r="V1156" s="209"/>
      <c r="W1156" s="209"/>
      <c r="X1156" s="209"/>
      <c r="Y1156" s="209"/>
      <c r="Z1156" s="209"/>
      <c r="AA1156" s="209"/>
      <c r="AB1156" s="209"/>
      <c r="AC1156" s="209"/>
      <c r="AD1156" s="209"/>
      <c r="AE1156" s="209"/>
      <c r="AF1156" s="209"/>
      <c r="AG1156" s="209"/>
      <c r="AH1156" s="209"/>
      <c r="AI1156" s="209"/>
      <c r="AJ1156" s="209"/>
      <c r="AK1156" s="209"/>
      <c r="AL1156" s="209"/>
      <c r="AM1156" s="209"/>
      <c r="AN1156" s="209"/>
      <c r="AO1156" s="209"/>
      <c r="AP1156" s="209"/>
    </row>
    <row r="1157">
      <c r="A1157" s="209"/>
      <c r="B1157" s="209"/>
      <c r="C1157" s="209"/>
      <c r="D1157" s="209"/>
      <c r="E1157" s="209"/>
      <c r="F1157" s="209"/>
      <c r="G1157" s="209"/>
      <c r="H1157" s="209"/>
      <c r="I1157" s="209"/>
      <c r="J1157" s="209"/>
      <c r="K1157" s="209"/>
      <c r="L1157" s="209"/>
      <c r="M1157" s="209"/>
      <c r="N1157" s="209"/>
      <c r="O1157" s="209"/>
      <c r="P1157" s="209"/>
      <c r="Q1157" s="209"/>
      <c r="R1157" s="209"/>
      <c r="S1157" s="209"/>
      <c r="T1157" s="209"/>
      <c r="U1157" s="209"/>
      <c r="V1157" s="209"/>
      <c r="W1157" s="209"/>
      <c r="X1157" s="209"/>
      <c r="Y1157" s="209"/>
      <c r="Z1157" s="209"/>
      <c r="AA1157" s="209"/>
      <c r="AB1157" s="209"/>
      <c r="AC1157" s="209"/>
      <c r="AD1157" s="209"/>
      <c r="AE1157" s="209"/>
      <c r="AF1157" s="209"/>
      <c r="AG1157" s="209"/>
      <c r="AH1157" s="209"/>
      <c r="AI1157" s="209"/>
      <c r="AJ1157" s="209"/>
      <c r="AK1157" s="209"/>
      <c r="AL1157" s="209"/>
      <c r="AM1157" s="209"/>
      <c r="AN1157" s="209"/>
      <c r="AO1157" s="209"/>
      <c r="AP1157" s="209"/>
    </row>
    <row r="1158">
      <c r="A1158" s="209"/>
      <c r="B1158" s="209"/>
      <c r="C1158" s="209"/>
      <c r="D1158" s="209"/>
      <c r="E1158" s="209"/>
      <c r="F1158" s="209"/>
      <c r="G1158" s="209"/>
      <c r="H1158" s="209"/>
      <c r="I1158" s="209"/>
      <c r="J1158" s="209"/>
      <c r="K1158" s="209"/>
      <c r="L1158" s="209"/>
      <c r="M1158" s="209"/>
      <c r="N1158" s="209"/>
      <c r="O1158" s="209"/>
      <c r="P1158" s="209"/>
      <c r="Q1158" s="209"/>
      <c r="R1158" s="209"/>
      <c r="S1158" s="209"/>
      <c r="T1158" s="209"/>
      <c r="U1158" s="209"/>
      <c r="V1158" s="209"/>
      <c r="W1158" s="209"/>
      <c r="X1158" s="209"/>
      <c r="Y1158" s="209"/>
      <c r="Z1158" s="209"/>
      <c r="AA1158" s="209"/>
      <c r="AB1158" s="209"/>
      <c r="AC1158" s="209"/>
      <c r="AD1158" s="209"/>
      <c r="AE1158" s="209"/>
      <c r="AF1158" s="209"/>
      <c r="AG1158" s="209"/>
      <c r="AH1158" s="209"/>
      <c r="AI1158" s="209"/>
      <c r="AJ1158" s="209"/>
      <c r="AK1158" s="209"/>
      <c r="AL1158" s="209"/>
      <c r="AM1158" s="209"/>
      <c r="AN1158" s="209"/>
      <c r="AO1158" s="209"/>
      <c r="AP1158" s="209"/>
    </row>
    <row r="1159">
      <c r="A1159" s="209"/>
      <c r="B1159" s="209"/>
      <c r="C1159" s="209"/>
      <c r="D1159" s="209"/>
      <c r="E1159" s="209"/>
      <c r="F1159" s="209"/>
      <c r="G1159" s="209"/>
      <c r="H1159" s="209"/>
      <c r="I1159" s="209"/>
      <c r="J1159" s="209"/>
      <c r="K1159" s="209"/>
      <c r="L1159" s="209"/>
      <c r="M1159" s="209"/>
      <c r="N1159" s="209"/>
      <c r="O1159" s="209"/>
      <c r="P1159" s="209"/>
      <c r="Q1159" s="209"/>
      <c r="R1159" s="209"/>
      <c r="S1159" s="209"/>
      <c r="T1159" s="209"/>
      <c r="U1159" s="209"/>
      <c r="V1159" s="209"/>
      <c r="W1159" s="209"/>
      <c r="X1159" s="209"/>
      <c r="Y1159" s="209"/>
      <c r="Z1159" s="209"/>
      <c r="AA1159" s="209"/>
      <c r="AB1159" s="209"/>
      <c r="AC1159" s="209"/>
      <c r="AD1159" s="209"/>
      <c r="AE1159" s="209"/>
      <c r="AF1159" s="209"/>
      <c r="AG1159" s="209"/>
      <c r="AH1159" s="209"/>
      <c r="AI1159" s="209"/>
      <c r="AJ1159" s="209"/>
      <c r="AK1159" s="209"/>
      <c r="AL1159" s="209"/>
      <c r="AM1159" s="209"/>
      <c r="AN1159" s="209"/>
      <c r="AO1159" s="209"/>
      <c r="AP1159" s="209"/>
    </row>
    <row r="1160">
      <c r="A1160" s="209"/>
      <c r="B1160" s="209"/>
      <c r="C1160" s="209"/>
      <c r="D1160" s="209"/>
      <c r="E1160" s="209"/>
      <c r="F1160" s="209"/>
      <c r="G1160" s="209"/>
      <c r="H1160" s="209"/>
      <c r="I1160" s="209"/>
      <c r="J1160" s="209"/>
      <c r="K1160" s="209"/>
      <c r="L1160" s="209"/>
      <c r="M1160" s="209"/>
      <c r="N1160" s="209"/>
      <c r="O1160" s="209"/>
      <c r="P1160" s="209"/>
      <c r="Q1160" s="209"/>
      <c r="R1160" s="209"/>
      <c r="S1160" s="209"/>
      <c r="T1160" s="209"/>
      <c r="U1160" s="209"/>
      <c r="V1160" s="209"/>
      <c r="W1160" s="209"/>
      <c r="X1160" s="209"/>
      <c r="Y1160" s="209"/>
      <c r="Z1160" s="209"/>
      <c r="AA1160" s="209"/>
      <c r="AB1160" s="209"/>
      <c r="AC1160" s="209"/>
      <c r="AD1160" s="209"/>
      <c r="AE1160" s="209"/>
      <c r="AF1160" s="209"/>
      <c r="AG1160" s="209"/>
      <c r="AH1160" s="209"/>
      <c r="AI1160" s="209"/>
      <c r="AJ1160" s="209"/>
      <c r="AK1160" s="209"/>
      <c r="AL1160" s="209"/>
      <c r="AM1160" s="209"/>
      <c r="AN1160" s="209"/>
      <c r="AO1160" s="209"/>
      <c r="AP1160" s="209"/>
    </row>
    <row r="1161">
      <c r="A1161" s="209"/>
      <c r="B1161" s="209"/>
      <c r="C1161" s="209"/>
      <c r="D1161" s="209"/>
      <c r="E1161" s="209"/>
      <c r="F1161" s="209"/>
      <c r="G1161" s="209"/>
      <c r="H1161" s="209"/>
      <c r="I1161" s="209"/>
      <c r="J1161" s="209"/>
      <c r="K1161" s="209"/>
      <c r="L1161" s="209"/>
      <c r="M1161" s="209"/>
      <c r="N1161" s="209"/>
      <c r="O1161" s="209"/>
      <c r="P1161" s="209"/>
      <c r="Q1161" s="209"/>
      <c r="R1161" s="209"/>
      <c r="S1161" s="209"/>
      <c r="T1161" s="209"/>
      <c r="U1161" s="209"/>
      <c r="V1161" s="209"/>
      <c r="W1161" s="209"/>
      <c r="X1161" s="209"/>
      <c r="Y1161" s="209"/>
      <c r="Z1161" s="209"/>
      <c r="AA1161" s="209"/>
      <c r="AB1161" s="209"/>
      <c r="AC1161" s="209"/>
      <c r="AD1161" s="209"/>
      <c r="AE1161" s="209"/>
      <c r="AF1161" s="209"/>
      <c r="AG1161" s="209"/>
      <c r="AH1161" s="209"/>
      <c r="AI1161" s="209"/>
      <c r="AJ1161" s="209"/>
      <c r="AK1161" s="209"/>
      <c r="AL1161" s="209"/>
      <c r="AM1161" s="209"/>
      <c r="AN1161" s="209"/>
      <c r="AO1161" s="209"/>
      <c r="AP1161" s="209"/>
    </row>
    <row r="1162">
      <c r="A1162" s="209"/>
      <c r="B1162" s="209"/>
      <c r="C1162" s="209"/>
      <c r="D1162" s="209"/>
      <c r="E1162" s="209"/>
      <c r="F1162" s="209"/>
      <c r="G1162" s="209"/>
      <c r="H1162" s="209"/>
      <c r="I1162" s="209"/>
      <c r="J1162" s="209"/>
      <c r="K1162" s="209"/>
      <c r="L1162" s="209"/>
      <c r="M1162" s="209"/>
      <c r="N1162" s="209"/>
      <c r="O1162" s="209"/>
      <c r="P1162" s="209"/>
      <c r="Q1162" s="209"/>
      <c r="R1162" s="209"/>
      <c r="S1162" s="209"/>
      <c r="T1162" s="209"/>
      <c r="U1162" s="209"/>
      <c r="V1162" s="209"/>
      <c r="W1162" s="209"/>
      <c r="X1162" s="209"/>
      <c r="Y1162" s="209"/>
      <c r="Z1162" s="209"/>
      <c r="AA1162" s="209"/>
      <c r="AB1162" s="209"/>
      <c r="AC1162" s="209"/>
      <c r="AD1162" s="209"/>
      <c r="AE1162" s="209"/>
      <c r="AF1162" s="209"/>
      <c r="AG1162" s="209"/>
      <c r="AH1162" s="209"/>
      <c r="AI1162" s="209"/>
      <c r="AJ1162" s="209"/>
      <c r="AK1162" s="209"/>
      <c r="AL1162" s="209"/>
      <c r="AM1162" s="209"/>
      <c r="AN1162" s="209"/>
      <c r="AO1162" s="209"/>
      <c r="AP1162" s="209"/>
    </row>
    <row r="1163">
      <c r="A1163" s="209"/>
      <c r="B1163" s="209"/>
      <c r="C1163" s="209"/>
      <c r="D1163" s="209"/>
      <c r="E1163" s="209"/>
      <c r="F1163" s="209"/>
      <c r="G1163" s="209"/>
      <c r="H1163" s="209"/>
      <c r="I1163" s="209"/>
      <c r="J1163" s="209"/>
      <c r="K1163" s="209"/>
      <c r="L1163" s="209"/>
      <c r="M1163" s="209"/>
      <c r="N1163" s="209"/>
      <c r="O1163" s="209"/>
      <c r="P1163" s="209"/>
      <c r="Q1163" s="209"/>
      <c r="R1163" s="209"/>
      <c r="S1163" s="209"/>
      <c r="T1163" s="209"/>
      <c r="U1163" s="209"/>
      <c r="V1163" s="209"/>
      <c r="W1163" s="209"/>
      <c r="X1163" s="209"/>
      <c r="Y1163" s="209"/>
      <c r="Z1163" s="209"/>
      <c r="AA1163" s="209"/>
      <c r="AB1163" s="209"/>
      <c r="AC1163" s="209"/>
      <c r="AD1163" s="209"/>
      <c r="AE1163" s="209"/>
      <c r="AF1163" s="209"/>
      <c r="AG1163" s="209"/>
      <c r="AH1163" s="209"/>
      <c r="AI1163" s="209"/>
      <c r="AJ1163" s="209"/>
      <c r="AK1163" s="209"/>
      <c r="AL1163" s="209"/>
      <c r="AM1163" s="209"/>
      <c r="AN1163" s="209"/>
      <c r="AO1163" s="209"/>
      <c r="AP1163" s="209"/>
    </row>
    <row r="1164">
      <c r="A1164" s="209"/>
      <c r="B1164" s="209"/>
      <c r="C1164" s="209"/>
      <c r="D1164" s="209"/>
      <c r="E1164" s="209"/>
      <c r="F1164" s="209"/>
      <c r="G1164" s="209"/>
      <c r="H1164" s="209"/>
      <c r="I1164" s="209"/>
      <c r="J1164" s="209"/>
      <c r="K1164" s="209"/>
      <c r="L1164" s="209"/>
      <c r="M1164" s="209"/>
      <c r="N1164" s="209"/>
      <c r="O1164" s="209"/>
      <c r="P1164" s="209"/>
      <c r="Q1164" s="209"/>
      <c r="R1164" s="209"/>
      <c r="S1164" s="209"/>
      <c r="T1164" s="209"/>
      <c r="U1164" s="209"/>
      <c r="V1164" s="209"/>
      <c r="W1164" s="209"/>
      <c r="X1164" s="209"/>
      <c r="Y1164" s="209"/>
      <c r="Z1164" s="209"/>
      <c r="AA1164" s="209"/>
      <c r="AB1164" s="209"/>
      <c r="AC1164" s="209"/>
      <c r="AD1164" s="209"/>
      <c r="AE1164" s="209"/>
      <c r="AF1164" s="209"/>
      <c r="AG1164" s="209"/>
      <c r="AH1164" s="209"/>
      <c r="AI1164" s="209"/>
      <c r="AJ1164" s="209"/>
      <c r="AK1164" s="209"/>
      <c r="AL1164" s="209"/>
      <c r="AM1164" s="209"/>
      <c r="AN1164" s="209"/>
      <c r="AO1164" s="209"/>
      <c r="AP1164" s="209"/>
    </row>
    <row r="1165">
      <c r="A1165" s="209"/>
      <c r="B1165" s="209"/>
      <c r="C1165" s="209"/>
      <c r="D1165" s="209"/>
      <c r="E1165" s="209"/>
      <c r="F1165" s="209"/>
      <c r="G1165" s="209"/>
      <c r="H1165" s="209"/>
      <c r="I1165" s="209"/>
      <c r="J1165" s="209"/>
      <c r="K1165" s="209"/>
      <c r="L1165" s="209"/>
      <c r="M1165" s="209"/>
      <c r="N1165" s="209"/>
      <c r="O1165" s="209"/>
      <c r="P1165" s="209"/>
      <c r="Q1165" s="209"/>
      <c r="R1165" s="209"/>
      <c r="S1165" s="209"/>
      <c r="T1165" s="209"/>
      <c r="U1165" s="209"/>
      <c r="V1165" s="209"/>
      <c r="W1165" s="209"/>
      <c r="X1165" s="209"/>
      <c r="Y1165" s="209"/>
      <c r="Z1165" s="209"/>
      <c r="AA1165" s="209"/>
      <c r="AB1165" s="209"/>
      <c r="AC1165" s="209"/>
      <c r="AD1165" s="209"/>
      <c r="AE1165" s="209"/>
      <c r="AF1165" s="209"/>
      <c r="AG1165" s="209"/>
      <c r="AH1165" s="209"/>
      <c r="AI1165" s="209"/>
      <c r="AJ1165" s="209"/>
      <c r="AK1165" s="209"/>
      <c r="AL1165" s="209"/>
      <c r="AM1165" s="209"/>
      <c r="AN1165" s="209"/>
      <c r="AO1165" s="209"/>
      <c r="AP1165" s="209"/>
    </row>
    <row r="1166">
      <c r="A1166" s="209"/>
      <c r="B1166" s="209"/>
      <c r="C1166" s="209"/>
      <c r="D1166" s="209"/>
      <c r="E1166" s="209"/>
      <c r="F1166" s="209"/>
      <c r="G1166" s="209"/>
      <c r="H1166" s="209"/>
      <c r="I1166" s="209"/>
      <c r="J1166" s="209"/>
      <c r="K1166" s="209"/>
      <c r="L1166" s="209"/>
      <c r="M1166" s="209"/>
      <c r="N1166" s="209"/>
      <c r="O1166" s="209"/>
      <c r="P1166" s="209"/>
      <c r="Q1166" s="209"/>
      <c r="R1166" s="209"/>
      <c r="S1166" s="209"/>
      <c r="T1166" s="209"/>
      <c r="U1166" s="209"/>
      <c r="V1166" s="209"/>
      <c r="W1166" s="209"/>
      <c r="X1166" s="209"/>
      <c r="Y1166" s="209"/>
      <c r="Z1166" s="209"/>
      <c r="AA1166" s="209"/>
      <c r="AB1166" s="209"/>
      <c r="AC1166" s="209"/>
      <c r="AD1166" s="209"/>
      <c r="AE1166" s="209"/>
      <c r="AF1166" s="209"/>
      <c r="AG1166" s="209"/>
      <c r="AH1166" s="209"/>
      <c r="AI1166" s="209"/>
      <c r="AJ1166" s="209"/>
      <c r="AK1166" s="209"/>
      <c r="AL1166" s="209"/>
      <c r="AM1166" s="209"/>
      <c r="AN1166" s="209"/>
      <c r="AO1166" s="209"/>
      <c r="AP1166" s="209"/>
    </row>
    <row r="1167">
      <c r="A1167" s="209"/>
      <c r="B1167" s="209"/>
      <c r="C1167" s="209"/>
      <c r="D1167" s="209"/>
      <c r="E1167" s="209"/>
      <c r="F1167" s="209"/>
      <c r="G1167" s="209"/>
      <c r="H1167" s="209"/>
      <c r="I1167" s="209"/>
      <c r="J1167" s="209"/>
      <c r="K1167" s="209"/>
      <c r="L1167" s="209"/>
      <c r="M1167" s="209"/>
      <c r="N1167" s="209"/>
      <c r="O1167" s="209"/>
      <c r="P1167" s="209"/>
      <c r="Q1167" s="209"/>
      <c r="R1167" s="209"/>
      <c r="S1167" s="209"/>
      <c r="T1167" s="209"/>
      <c r="U1167" s="209"/>
      <c r="V1167" s="209"/>
      <c r="W1167" s="209"/>
      <c r="X1167" s="209"/>
      <c r="Y1167" s="209"/>
      <c r="Z1167" s="209"/>
      <c r="AA1167" s="209"/>
      <c r="AB1167" s="209"/>
      <c r="AC1167" s="209"/>
      <c r="AD1167" s="209"/>
      <c r="AE1167" s="209"/>
      <c r="AF1167" s="209"/>
      <c r="AG1167" s="209"/>
      <c r="AH1167" s="209"/>
      <c r="AI1167" s="209"/>
      <c r="AJ1167" s="209"/>
      <c r="AK1167" s="209"/>
      <c r="AL1167" s="209"/>
      <c r="AM1167" s="209"/>
      <c r="AN1167" s="209"/>
      <c r="AO1167" s="209"/>
      <c r="AP1167" s="209"/>
    </row>
    <row r="1168">
      <c r="A1168" s="209"/>
      <c r="B1168" s="209"/>
      <c r="C1168" s="209"/>
      <c r="D1168" s="209"/>
      <c r="E1168" s="209"/>
      <c r="F1168" s="209"/>
      <c r="G1168" s="209"/>
      <c r="H1168" s="209"/>
      <c r="I1168" s="209"/>
      <c r="J1168" s="209"/>
      <c r="K1168" s="209"/>
      <c r="L1168" s="209"/>
      <c r="M1168" s="209"/>
      <c r="N1168" s="209"/>
      <c r="O1168" s="209"/>
      <c r="P1168" s="209"/>
      <c r="Q1168" s="209"/>
      <c r="R1168" s="209"/>
      <c r="S1168" s="209"/>
      <c r="T1168" s="209"/>
      <c r="U1168" s="209"/>
      <c r="V1168" s="209"/>
      <c r="W1168" s="209"/>
      <c r="X1168" s="209"/>
      <c r="Y1168" s="209"/>
      <c r="Z1168" s="209"/>
      <c r="AA1168" s="209"/>
      <c r="AB1168" s="209"/>
      <c r="AC1168" s="209"/>
      <c r="AD1168" s="209"/>
      <c r="AE1168" s="209"/>
      <c r="AF1168" s="209"/>
      <c r="AG1168" s="209"/>
      <c r="AH1168" s="209"/>
      <c r="AI1168" s="209"/>
      <c r="AJ1168" s="209"/>
      <c r="AK1168" s="209"/>
      <c r="AL1168" s="209"/>
      <c r="AM1168" s="209"/>
      <c r="AN1168" s="209"/>
      <c r="AO1168" s="209"/>
      <c r="AP1168" s="209"/>
    </row>
    <row r="1169">
      <c r="A1169" s="209"/>
      <c r="B1169" s="209"/>
      <c r="C1169" s="209"/>
      <c r="D1169" s="209"/>
      <c r="E1169" s="209"/>
      <c r="F1169" s="209"/>
      <c r="G1169" s="209"/>
      <c r="H1169" s="209"/>
      <c r="I1169" s="209"/>
      <c r="J1169" s="209"/>
      <c r="K1169" s="209"/>
      <c r="L1169" s="209"/>
      <c r="M1169" s="209"/>
      <c r="N1169" s="209"/>
      <c r="O1169" s="209"/>
      <c r="P1169" s="209"/>
      <c r="Q1169" s="209"/>
      <c r="R1169" s="209"/>
      <c r="S1169" s="209"/>
      <c r="T1169" s="209"/>
      <c r="U1169" s="209"/>
      <c r="V1169" s="209"/>
      <c r="W1169" s="209"/>
      <c r="X1169" s="209"/>
      <c r="Y1169" s="209"/>
      <c r="Z1169" s="209"/>
      <c r="AA1169" s="209"/>
      <c r="AB1169" s="209"/>
      <c r="AC1169" s="209"/>
      <c r="AD1169" s="209"/>
      <c r="AE1169" s="209"/>
      <c r="AF1169" s="209"/>
      <c r="AG1169" s="209"/>
      <c r="AH1169" s="209"/>
      <c r="AI1169" s="209"/>
      <c r="AJ1169" s="209"/>
      <c r="AK1169" s="209"/>
      <c r="AL1169" s="209"/>
      <c r="AM1169" s="209"/>
      <c r="AN1169" s="209"/>
      <c r="AO1169" s="209"/>
      <c r="AP1169" s="209"/>
    </row>
    <row r="1170">
      <c r="A1170" s="209"/>
      <c r="B1170" s="209"/>
      <c r="C1170" s="209"/>
      <c r="D1170" s="209"/>
      <c r="E1170" s="209"/>
      <c r="F1170" s="209"/>
      <c r="G1170" s="209"/>
      <c r="H1170" s="209"/>
      <c r="I1170" s="209"/>
      <c r="J1170" s="209"/>
      <c r="K1170" s="209"/>
      <c r="L1170" s="209"/>
      <c r="M1170" s="209"/>
      <c r="N1170" s="209"/>
      <c r="O1170" s="209"/>
      <c r="P1170" s="209"/>
      <c r="Q1170" s="209"/>
      <c r="R1170" s="209"/>
      <c r="S1170" s="209"/>
      <c r="T1170" s="209"/>
      <c r="U1170" s="209"/>
      <c r="V1170" s="209"/>
      <c r="W1170" s="209"/>
      <c r="X1170" s="209"/>
      <c r="Y1170" s="209"/>
      <c r="Z1170" s="209"/>
      <c r="AA1170" s="209"/>
      <c r="AB1170" s="209"/>
      <c r="AC1170" s="209"/>
      <c r="AD1170" s="209"/>
      <c r="AE1170" s="209"/>
      <c r="AF1170" s="209"/>
      <c r="AG1170" s="209"/>
      <c r="AH1170" s="209"/>
      <c r="AI1170" s="209"/>
      <c r="AJ1170" s="209"/>
      <c r="AK1170" s="209"/>
      <c r="AL1170" s="209"/>
      <c r="AM1170" s="209"/>
      <c r="AN1170" s="209"/>
      <c r="AO1170" s="209"/>
      <c r="AP1170" s="209"/>
    </row>
    <row r="1171">
      <c r="A1171" s="209"/>
      <c r="B1171" s="209"/>
      <c r="C1171" s="209"/>
      <c r="D1171" s="209"/>
      <c r="E1171" s="209"/>
      <c r="F1171" s="209"/>
      <c r="G1171" s="209"/>
      <c r="H1171" s="209"/>
      <c r="I1171" s="209"/>
      <c r="J1171" s="209"/>
      <c r="K1171" s="209"/>
      <c r="L1171" s="209"/>
      <c r="M1171" s="209"/>
      <c r="N1171" s="209"/>
      <c r="O1171" s="209"/>
      <c r="P1171" s="209"/>
      <c r="Q1171" s="209"/>
      <c r="R1171" s="209"/>
      <c r="S1171" s="209"/>
      <c r="T1171" s="209"/>
      <c r="U1171" s="209"/>
      <c r="V1171" s="209"/>
      <c r="W1171" s="209"/>
      <c r="X1171" s="209"/>
      <c r="Y1171" s="209"/>
      <c r="Z1171" s="209"/>
      <c r="AA1171" s="209"/>
      <c r="AB1171" s="209"/>
      <c r="AC1171" s="209"/>
      <c r="AD1171" s="209"/>
      <c r="AE1171" s="209"/>
      <c r="AF1171" s="209"/>
      <c r="AG1171" s="209"/>
      <c r="AH1171" s="209"/>
      <c r="AI1171" s="209"/>
      <c r="AJ1171" s="209"/>
      <c r="AK1171" s="209"/>
      <c r="AL1171" s="209"/>
      <c r="AM1171" s="209"/>
      <c r="AN1171" s="209"/>
      <c r="AO1171" s="209"/>
      <c r="AP1171" s="209"/>
    </row>
    <row r="1172">
      <c r="A1172" s="209"/>
      <c r="B1172" s="209"/>
      <c r="C1172" s="209"/>
      <c r="D1172" s="209"/>
      <c r="E1172" s="209"/>
      <c r="F1172" s="209"/>
      <c r="G1172" s="209"/>
      <c r="H1172" s="209"/>
      <c r="I1172" s="209"/>
      <c r="J1172" s="209"/>
      <c r="K1172" s="209"/>
      <c r="L1172" s="209"/>
      <c r="M1172" s="209"/>
      <c r="N1172" s="209"/>
      <c r="O1172" s="209"/>
      <c r="P1172" s="209"/>
      <c r="Q1172" s="209"/>
      <c r="R1172" s="209"/>
      <c r="S1172" s="209"/>
      <c r="T1172" s="209"/>
      <c r="U1172" s="209"/>
      <c r="V1172" s="209"/>
      <c r="W1172" s="209"/>
      <c r="X1172" s="209"/>
      <c r="Y1172" s="209"/>
      <c r="Z1172" s="209"/>
      <c r="AA1172" s="209"/>
      <c r="AB1172" s="209"/>
      <c r="AC1172" s="209"/>
      <c r="AD1172" s="209"/>
      <c r="AE1172" s="209"/>
      <c r="AF1172" s="209"/>
      <c r="AG1172" s="209"/>
      <c r="AH1172" s="209"/>
      <c r="AI1172" s="209"/>
      <c r="AJ1172" s="209"/>
      <c r="AK1172" s="209"/>
      <c r="AL1172" s="209"/>
      <c r="AM1172" s="209"/>
      <c r="AN1172" s="209"/>
      <c r="AO1172" s="209"/>
      <c r="AP1172" s="209"/>
    </row>
    <row r="1173">
      <c r="A1173" s="209"/>
      <c r="B1173" s="209"/>
      <c r="C1173" s="209"/>
      <c r="D1173" s="209"/>
      <c r="E1173" s="209"/>
      <c r="F1173" s="209"/>
      <c r="G1173" s="209"/>
      <c r="H1173" s="209"/>
      <c r="I1173" s="209"/>
      <c r="J1173" s="209"/>
      <c r="K1173" s="209"/>
      <c r="L1173" s="209"/>
      <c r="M1173" s="209"/>
      <c r="N1173" s="209"/>
      <c r="O1173" s="209"/>
      <c r="P1173" s="209"/>
      <c r="Q1173" s="209"/>
      <c r="R1173" s="209"/>
      <c r="S1173" s="209"/>
      <c r="T1173" s="209"/>
      <c r="U1173" s="209"/>
      <c r="V1173" s="209"/>
      <c r="W1173" s="209"/>
      <c r="X1173" s="209"/>
      <c r="Y1173" s="209"/>
      <c r="Z1173" s="209"/>
      <c r="AA1173" s="209"/>
      <c r="AB1173" s="209"/>
      <c r="AC1173" s="209"/>
      <c r="AD1173" s="209"/>
      <c r="AE1173" s="209"/>
      <c r="AF1173" s="209"/>
      <c r="AG1173" s="209"/>
      <c r="AH1173" s="209"/>
      <c r="AI1173" s="209"/>
      <c r="AJ1173" s="209"/>
      <c r="AK1173" s="209"/>
      <c r="AL1173" s="209"/>
      <c r="AM1173" s="209"/>
      <c r="AN1173" s="209"/>
      <c r="AO1173" s="209"/>
      <c r="AP1173" s="209"/>
    </row>
    <row r="1174">
      <c r="A1174" s="209"/>
      <c r="B1174" s="209"/>
      <c r="C1174" s="209"/>
      <c r="D1174" s="209"/>
      <c r="E1174" s="209"/>
      <c r="F1174" s="209"/>
      <c r="G1174" s="209"/>
      <c r="H1174" s="209"/>
      <c r="I1174" s="209"/>
      <c r="J1174" s="209"/>
      <c r="K1174" s="209"/>
      <c r="L1174" s="209"/>
      <c r="M1174" s="209"/>
      <c r="N1174" s="209"/>
      <c r="O1174" s="209"/>
      <c r="P1174" s="209"/>
      <c r="Q1174" s="209"/>
      <c r="R1174" s="209"/>
      <c r="S1174" s="209"/>
      <c r="T1174" s="209"/>
      <c r="U1174" s="209"/>
      <c r="V1174" s="209"/>
      <c r="W1174" s="209"/>
      <c r="X1174" s="209"/>
      <c r="Y1174" s="209"/>
      <c r="Z1174" s="209"/>
      <c r="AA1174" s="209"/>
      <c r="AB1174" s="209"/>
      <c r="AC1174" s="209"/>
      <c r="AD1174" s="209"/>
      <c r="AE1174" s="209"/>
      <c r="AF1174" s="209"/>
      <c r="AG1174" s="209"/>
      <c r="AH1174" s="209"/>
      <c r="AI1174" s="209"/>
      <c r="AJ1174" s="209"/>
      <c r="AK1174" s="209"/>
      <c r="AL1174" s="209"/>
      <c r="AM1174" s="209"/>
      <c r="AN1174" s="209"/>
      <c r="AO1174" s="209"/>
      <c r="AP1174" s="209"/>
    </row>
    <row r="1175">
      <c r="A1175" s="209"/>
      <c r="B1175" s="209"/>
      <c r="C1175" s="209"/>
      <c r="D1175" s="209"/>
      <c r="E1175" s="209"/>
      <c r="F1175" s="209"/>
      <c r="G1175" s="209"/>
      <c r="H1175" s="209"/>
      <c r="I1175" s="209"/>
      <c r="J1175" s="209"/>
      <c r="K1175" s="209"/>
      <c r="L1175" s="209"/>
      <c r="M1175" s="209"/>
      <c r="N1175" s="209"/>
      <c r="O1175" s="209"/>
      <c r="P1175" s="209"/>
      <c r="Q1175" s="209"/>
      <c r="R1175" s="209"/>
      <c r="S1175" s="209"/>
      <c r="T1175" s="209"/>
      <c r="U1175" s="209"/>
      <c r="V1175" s="209"/>
      <c r="W1175" s="209"/>
      <c r="X1175" s="209"/>
      <c r="Y1175" s="209"/>
      <c r="Z1175" s="209"/>
      <c r="AA1175" s="209"/>
      <c r="AB1175" s="209"/>
      <c r="AC1175" s="209"/>
      <c r="AD1175" s="209"/>
      <c r="AE1175" s="209"/>
      <c r="AF1175" s="209"/>
      <c r="AG1175" s="209"/>
      <c r="AH1175" s="209"/>
      <c r="AI1175" s="209"/>
      <c r="AJ1175" s="209"/>
      <c r="AK1175" s="209"/>
      <c r="AL1175" s="209"/>
      <c r="AM1175" s="209"/>
      <c r="AN1175" s="209"/>
      <c r="AO1175" s="209"/>
      <c r="AP1175" s="209"/>
    </row>
    <row r="1176">
      <c r="A1176" s="209"/>
      <c r="B1176" s="209"/>
      <c r="C1176" s="209"/>
      <c r="D1176" s="209"/>
      <c r="E1176" s="209"/>
      <c r="F1176" s="209"/>
      <c r="G1176" s="209"/>
      <c r="H1176" s="209"/>
      <c r="I1176" s="209"/>
      <c r="J1176" s="209"/>
      <c r="K1176" s="209"/>
      <c r="L1176" s="209"/>
      <c r="M1176" s="209"/>
      <c r="N1176" s="209"/>
      <c r="O1176" s="209"/>
      <c r="P1176" s="209"/>
      <c r="Q1176" s="209"/>
      <c r="R1176" s="209"/>
      <c r="S1176" s="209"/>
      <c r="T1176" s="209"/>
      <c r="U1176" s="209"/>
      <c r="V1176" s="209"/>
      <c r="W1176" s="209"/>
      <c r="X1176" s="209"/>
      <c r="Y1176" s="209"/>
      <c r="Z1176" s="209"/>
      <c r="AA1176" s="209"/>
      <c r="AB1176" s="209"/>
      <c r="AC1176" s="209"/>
      <c r="AD1176" s="209"/>
      <c r="AE1176" s="209"/>
      <c r="AF1176" s="209"/>
      <c r="AG1176" s="209"/>
      <c r="AH1176" s="209"/>
      <c r="AI1176" s="209"/>
      <c r="AJ1176" s="209"/>
      <c r="AK1176" s="209"/>
      <c r="AL1176" s="209"/>
      <c r="AM1176" s="209"/>
      <c r="AN1176" s="209"/>
      <c r="AO1176" s="209"/>
      <c r="AP1176" s="209"/>
    </row>
    <row r="1177">
      <c r="A1177" s="209"/>
      <c r="B1177" s="209"/>
      <c r="C1177" s="209"/>
      <c r="D1177" s="209"/>
      <c r="E1177" s="209"/>
      <c r="F1177" s="209"/>
      <c r="G1177" s="209"/>
      <c r="H1177" s="209"/>
      <c r="I1177" s="209"/>
      <c r="J1177" s="209"/>
      <c r="K1177" s="209"/>
      <c r="L1177" s="209"/>
      <c r="M1177" s="209"/>
      <c r="N1177" s="209"/>
      <c r="O1177" s="209"/>
      <c r="P1177" s="209"/>
      <c r="Q1177" s="209"/>
      <c r="R1177" s="209"/>
      <c r="S1177" s="209"/>
      <c r="T1177" s="209"/>
      <c r="U1177" s="209"/>
      <c r="V1177" s="209"/>
      <c r="W1177" s="209"/>
      <c r="X1177" s="209"/>
      <c r="Y1177" s="209"/>
      <c r="Z1177" s="209"/>
      <c r="AA1177" s="209"/>
      <c r="AB1177" s="209"/>
      <c r="AC1177" s="209"/>
      <c r="AD1177" s="209"/>
      <c r="AE1177" s="209"/>
      <c r="AF1177" s="209"/>
      <c r="AG1177" s="209"/>
      <c r="AH1177" s="209"/>
      <c r="AI1177" s="209"/>
      <c r="AJ1177" s="209"/>
      <c r="AK1177" s="209"/>
      <c r="AL1177" s="209"/>
      <c r="AM1177" s="209"/>
      <c r="AN1177" s="209"/>
      <c r="AO1177" s="209"/>
      <c r="AP1177" s="209"/>
    </row>
    <row r="1178">
      <c r="A1178" s="209"/>
      <c r="B1178" s="209"/>
      <c r="C1178" s="209"/>
      <c r="D1178" s="209"/>
      <c r="E1178" s="209"/>
      <c r="F1178" s="209"/>
      <c r="G1178" s="209"/>
      <c r="H1178" s="209"/>
      <c r="I1178" s="209"/>
      <c r="J1178" s="209"/>
      <c r="K1178" s="209"/>
      <c r="L1178" s="209"/>
      <c r="M1178" s="209"/>
      <c r="N1178" s="209"/>
      <c r="O1178" s="209"/>
      <c r="P1178" s="209"/>
      <c r="Q1178" s="209"/>
      <c r="R1178" s="209"/>
      <c r="S1178" s="209"/>
      <c r="T1178" s="209"/>
      <c r="U1178" s="209"/>
      <c r="V1178" s="209"/>
      <c r="W1178" s="209"/>
      <c r="X1178" s="209"/>
      <c r="Y1178" s="209"/>
      <c r="Z1178" s="209"/>
      <c r="AA1178" s="209"/>
      <c r="AB1178" s="209"/>
      <c r="AC1178" s="209"/>
      <c r="AD1178" s="209"/>
      <c r="AE1178" s="209"/>
      <c r="AF1178" s="209"/>
      <c r="AG1178" s="209"/>
      <c r="AH1178" s="209"/>
      <c r="AI1178" s="209"/>
      <c r="AJ1178" s="209"/>
      <c r="AK1178" s="209"/>
      <c r="AL1178" s="209"/>
      <c r="AM1178" s="209"/>
      <c r="AN1178" s="209"/>
      <c r="AO1178" s="209"/>
      <c r="AP1178" s="209"/>
    </row>
    <row r="1179">
      <c r="A1179" s="209"/>
      <c r="B1179" s="209"/>
      <c r="C1179" s="209"/>
      <c r="D1179" s="209"/>
      <c r="E1179" s="209"/>
      <c r="F1179" s="209"/>
      <c r="G1179" s="209"/>
      <c r="H1179" s="209"/>
      <c r="I1179" s="209"/>
      <c r="J1179" s="209"/>
      <c r="K1179" s="209"/>
      <c r="L1179" s="209"/>
      <c r="M1179" s="209"/>
      <c r="N1179" s="209"/>
      <c r="O1179" s="209"/>
      <c r="P1179" s="209"/>
      <c r="Q1179" s="209"/>
      <c r="R1179" s="209"/>
      <c r="S1179" s="209"/>
      <c r="T1179" s="209"/>
      <c r="U1179" s="209"/>
      <c r="V1179" s="209"/>
      <c r="W1179" s="209"/>
      <c r="X1179" s="209"/>
      <c r="Y1179" s="209"/>
      <c r="Z1179" s="209"/>
      <c r="AA1179" s="209"/>
      <c r="AB1179" s="209"/>
      <c r="AC1179" s="209"/>
      <c r="AD1179" s="209"/>
      <c r="AE1179" s="209"/>
      <c r="AF1179" s="209"/>
      <c r="AG1179" s="209"/>
      <c r="AH1179" s="209"/>
      <c r="AI1179" s="209"/>
      <c r="AJ1179" s="209"/>
      <c r="AK1179" s="209"/>
      <c r="AL1179" s="209"/>
      <c r="AM1179" s="209"/>
      <c r="AN1179" s="209"/>
      <c r="AO1179" s="209"/>
      <c r="AP1179" s="209"/>
    </row>
    <row r="1180">
      <c r="A1180" s="209"/>
      <c r="B1180" s="209"/>
      <c r="C1180" s="209"/>
      <c r="D1180" s="209"/>
      <c r="E1180" s="209"/>
      <c r="F1180" s="209"/>
      <c r="G1180" s="209"/>
      <c r="H1180" s="209"/>
      <c r="I1180" s="209"/>
      <c r="J1180" s="209"/>
      <c r="K1180" s="209"/>
      <c r="L1180" s="209"/>
      <c r="M1180" s="209"/>
      <c r="N1180" s="209"/>
      <c r="O1180" s="209"/>
      <c r="P1180" s="209"/>
      <c r="Q1180" s="209"/>
      <c r="R1180" s="209"/>
      <c r="S1180" s="209"/>
      <c r="T1180" s="209"/>
      <c r="U1180" s="209"/>
      <c r="V1180" s="209"/>
      <c r="W1180" s="209"/>
      <c r="X1180" s="209"/>
      <c r="Y1180" s="209"/>
      <c r="Z1180" s="209"/>
      <c r="AA1180" s="209"/>
      <c r="AB1180" s="209"/>
      <c r="AC1180" s="209"/>
      <c r="AD1180" s="209"/>
      <c r="AE1180" s="209"/>
      <c r="AF1180" s="209"/>
      <c r="AG1180" s="209"/>
      <c r="AH1180" s="209"/>
      <c r="AI1180" s="209"/>
      <c r="AJ1180" s="209"/>
      <c r="AK1180" s="209"/>
      <c r="AL1180" s="209"/>
      <c r="AM1180" s="209"/>
      <c r="AN1180" s="209"/>
      <c r="AO1180" s="209"/>
      <c r="AP1180" s="209"/>
    </row>
    <row r="1181">
      <c r="A1181" s="209"/>
      <c r="B1181" s="209"/>
      <c r="C1181" s="209"/>
      <c r="D1181" s="209"/>
      <c r="E1181" s="209"/>
      <c r="F1181" s="209"/>
      <c r="G1181" s="209"/>
      <c r="H1181" s="209"/>
      <c r="I1181" s="209"/>
      <c r="J1181" s="209"/>
      <c r="K1181" s="209"/>
      <c r="L1181" s="209"/>
      <c r="M1181" s="209"/>
      <c r="N1181" s="209"/>
      <c r="O1181" s="209"/>
      <c r="P1181" s="209"/>
      <c r="Q1181" s="209"/>
      <c r="R1181" s="209"/>
      <c r="S1181" s="209"/>
      <c r="T1181" s="209"/>
      <c r="U1181" s="209"/>
      <c r="V1181" s="209"/>
      <c r="W1181" s="209"/>
      <c r="X1181" s="209"/>
      <c r="Y1181" s="209"/>
      <c r="Z1181" s="209"/>
      <c r="AA1181" s="209"/>
      <c r="AB1181" s="209"/>
      <c r="AC1181" s="209"/>
      <c r="AD1181" s="209"/>
      <c r="AE1181" s="209"/>
      <c r="AF1181" s="209"/>
      <c r="AG1181" s="209"/>
      <c r="AH1181" s="209"/>
      <c r="AI1181" s="209"/>
      <c r="AJ1181" s="209"/>
      <c r="AK1181" s="209"/>
      <c r="AL1181" s="209"/>
      <c r="AM1181" s="209"/>
      <c r="AN1181" s="209"/>
      <c r="AO1181" s="209"/>
      <c r="AP1181" s="209"/>
    </row>
    <row r="1182">
      <c r="A1182" s="209"/>
      <c r="B1182" s="209"/>
      <c r="C1182" s="209"/>
      <c r="D1182" s="209"/>
      <c r="E1182" s="209"/>
      <c r="F1182" s="209"/>
      <c r="G1182" s="209"/>
      <c r="H1182" s="209"/>
      <c r="I1182" s="209"/>
      <c r="J1182" s="209"/>
      <c r="K1182" s="209"/>
      <c r="L1182" s="209"/>
      <c r="M1182" s="209"/>
      <c r="N1182" s="209"/>
      <c r="O1182" s="209"/>
      <c r="P1182" s="209"/>
      <c r="Q1182" s="209"/>
      <c r="R1182" s="209"/>
      <c r="S1182" s="209"/>
      <c r="T1182" s="209"/>
      <c r="U1182" s="209"/>
      <c r="V1182" s="209"/>
      <c r="W1182" s="209"/>
      <c r="X1182" s="209"/>
      <c r="Y1182" s="209"/>
      <c r="Z1182" s="209"/>
      <c r="AA1182" s="209"/>
      <c r="AB1182" s="209"/>
      <c r="AC1182" s="209"/>
      <c r="AD1182" s="209"/>
      <c r="AE1182" s="209"/>
      <c r="AF1182" s="209"/>
      <c r="AG1182" s="209"/>
      <c r="AH1182" s="209"/>
      <c r="AI1182" s="209"/>
      <c r="AJ1182" s="209"/>
      <c r="AK1182" s="209"/>
      <c r="AL1182" s="209"/>
      <c r="AM1182" s="209"/>
      <c r="AN1182" s="209"/>
      <c r="AO1182" s="209"/>
      <c r="AP1182" s="209"/>
    </row>
    <row r="1183">
      <c r="A1183" s="209"/>
      <c r="B1183" s="209"/>
      <c r="C1183" s="209"/>
      <c r="D1183" s="209"/>
      <c r="E1183" s="209"/>
      <c r="F1183" s="209"/>
      <c r="G1183" s="209"/>
      <c r="H1183" s="209"/>
      <c r="I1183" s="209"/>
      <c r="J1183" s="209"/>
      <c r="K1183" s="209"/>
      <c r="L1183" s="209"/>
      <c r="M1183" s="209"/>
      <c r="N1183" s="209"/>
      <c r="O1183" s="209"/>
      <c r="P1183" s="209"/>
      <c r="Q1183" s="209"/>
      <c r="R1183" s="209"/>
      <c r="S1183" s="209"/>
      <c r="T1183" s="209"/>
      <c r="U1183" s="209"/>
      <c r="V1183" s="209"/>
      <c r="W1183" s="209"/>
      <c r="X1183" s="209"/>
      <c r="Y1183" s="209"/>
      <c r="Z1183" s="209"/>
      <c r="AA1183" s="209"/>
      <c r="AB1183" s="209"/>
      <c r="AC1183" s="209"/>
      <c r="AD1183" s="209"/>
      <c r="AE1183" s="209"/>
      <c r="AF1183" s="209"/>
      <c r="AG1183" s="209"/>
      <c r="AH1183" s="209"/>
      <c r="AI1183" s="209"/>
      <c r="AJ1183" s="209"/>
      <c r="AK1183" s="209"/>
      <c r="AL1183" s="209"/>
      <c r="AM1183" s="209"/>
      <c r="AN1183" s="209"/>
      <c r="AO1183" s="209"/>
      <c r="AP1183" s="209"/>
    </row>
    <row r="1184">
      <c r="A1184" s="209"/>
      <c r="B1184" s="209"/>
      <c r="C1184" s="209"/>
      <c r="D1184" s="209"/>
      <c r="E1184" s="209"/>
      <c r="F1184" s="209"/>
      <c r="G1184" s="209"/>
      <c r="H1184" s="209"/>
      <c r="I1184" s="209"/>
      <c r="J1184" s="209"/>
      <c r="K1184" s="209"/>
      <c r="L1184" s="209"/>
      <c r="M1184" s="209"/>
      <c r="N1184" s="209"/>
      <c r="O1184" s="209"/>
      <c r="P1184" s="209"/>
      <c r="Q1184" s="209"/>
      <c r="R1184" s="209"/>
      <c r="S1184" s="209"/>
      <c r="T1184" s="209"/>
      <c r="U1184" s="209"/>
      <c r="V1184" s="209"/>
      <c r="W1184" s="209"/>
      <c r="X1184" s="209"/>
      <c r="Y1184" s="209"/>
      <c r="Z1184" s="209"/>
      <c r="AA1184" s="209"/>
      <c r="AB1184" s="209"/>
      <c r="AC1184" s="209"/>
      <c r="AD1184" s="209"/>
      <c r="AE1184" s="209"/>
      <c r="AF1184" s="209"/>
      <c r="AG1184" s="209"/>
      <c r="AH1184" s="209"/>
      <c r="AI1184" s="209"/>
      <c r="AJ1184" s="209"/>
      <c r="AK1184" s="209"/>
      <c r="AL1184" s="209"/>
      <c r="AM1184" s="209"/>
      <c r="AN1184" s="209"/>
      <c r="AO1184" s="209"/>
      <c r="AP1184" s="209"/>
    </row>
    <row r="1185">
      <c r="A1185" s="209"/>
      <c r="B1185" s="209"/>
      <c r="C1185" s="209"/>
      <c r="D1185" s="209"/>
      <c r="E1185" s="209"/>
      <c r="F1185" s="209"/>
      <c r="G1185" s="209"/>
      <c r="H1185" s="209"/>
      <c r="I1185" s="209"/>
      <c r="J1185" s="209"/>
      <c r="K1185" s="209"/>
      <c r="L1185" s="209"/>
      <c r="M1185" s="209"/>
      <c r="N1185" s="209"/>
      <c r="O1185" s="209"/>
      <c r="P1185" s="209"/>
      <c r="Q1185" s="209"/>
      <c r="R1185" s="209"/>
      <c r="S1185" s="209"/>
      <c r="T1185" s="209"/>
      <c r="U1185" s="209"/>
      <c r="V1185" s="209"/>
      <c r="W1185" s="209"/>
      <c r="X1185" s="209"/>
      <c r="Y1185" s="209"/>
      <c r="Z1185" s="209"/>
      <c r="AA1185" s="209"/>
      <c r="AB1185" s="209"/>
      <c r="AC1185" s="209"/>
      <c r="AD1185" s="209"/>
      <c r="AE1185" s="209"/>
      <c r="AF1185" s="209"/>
      <c r="AG1185" s="209"/>
      <c r="AH1185" s="209"/>
      <c r="AI1185" s="209"/>
      <c r="AJ1185" s="209"/>
      <c r="AK1185" s="209"/>
      <c r="AL1185" s="209"/>
      <c r="AM1185" s="209"/>
      <c r="AN1185" s="209"/>
      <c r="AO1185" s="209"/>
      <c r="AP1185" s="209"/>
    </row>
    <row r="1186">
      <c r="A1186" s="209"/>
      <c r="B1186" s="209"/>
      <c r="C1186" s="209"/>
      <c r="D1186" s="209"/>
      <c r="E1186" s="209"/>
      <c r="F1186" s="209"/>
      <c r="G1186" s="209"/>
      <c r="H1186" s="209"/>
      <c r="I1186" s="209"/>
      <c r="J1186" s="209"/>
      <c r="K1186" s="209"/>
      <c r="L1186" s="209"/>
      <c r="M1186" s="209"/>
      <c r="N1186" s="209"/>
      <c r="O1186" s="209"/>
      <c r="P1186" s="209"/>
      <c r="Q1186" s="209"/>
      <c r="R1186" s="209"/>
      <c r="S1186" s="209"/>
      <c r="T1186" s="209"/>
      <c r="U1186" s="209"/>
      <c r="V1186" s="209"/>
      <c r="W1186" s="209"/>
      <c r="X1186" s="209"/>
      <c r="Y1186" s="209"/>
      <c r="Z1186" s="209"/>
      <c r="AA1186" s="209"/>
      <c r="AB1186" s="209"/>
      <c r="AC1186" s="209"/>
      <c r="AD1186" s="209"/>
      <c r="AE1186" s="209"/>
      <c r="AF1186" s="209"/>
      <c r="AG1186" s="209"/>
      <c r="AH1186" s="209"/>
      <c r="AI1186" s="209"/>
      <c r="AJ1186" s="209"/>
      <c r="AK1186" s="209"/>
      <c r="AL1186" s="209"/>
      <c r="AM1186" s="209"/>
      <c r="AN1186" s="209"/>
      <c r="AO1186" s="209"/>
      <c r="AP1186" s="209"/>
    </row>
    <row r="1187">
      <c r="A1187" s="209"/>
      <c r="B1187" s="209"/>
      <c r="C1187" s="209"/>
      <c r="D1187" s="209"/>
      <c r="E1187" s="209"/>
      <c r="F1187" s="209"/>
      <c r="G1187" s="209"/>
      <c r="H1187" s="209"/>
      <c r="I1187" s="209"/>
      <c r="J1187" s="209"/>
      <c r="K1187" s="209"/>
      <c r="L1187" s="209"/>
      <c r="M1187" s="209"/>
      <c r="N1187" s="209"/>
      <c r="O1187" s="209"/>
      <c r="P1187" s="209"/>
      <c r="Q1187" s="209"/>
      <c r="R1187" s="209"/>
      <c r="S1187" s="209"/>
      <c r="T1187" s="209"/>
      <c r="U1187" s="209"/>
      <c r="V1187" s="209"/>
      <c r="W1187" s="209"/>
      <c r="X1187" s="209"/>
      <c r="Y1187" s="209"/>
      <c r="Z1187" s="209"/>
      <c r="AA1187" s="209"/>
      <c r="AB1187" s="209"/>
      <c r="AC1187" s="209"/>
      <c r="AD1187" s="209"/>
      <c r="AE1187" s="209"/>
      <c r="AF1187" s="209"/>
      <c r="AG1187" s="209"/>
      <c r="AH1187" s="209"/>
      <c r="AI1187" s="209"/>
      <c r="AJ1187" s="209"/>
      <c r="AK1187" s="209"/>
      <c r="AL1187" s="209"/>
      <c r="AM1187" s="209"/>
      <c r="AN1187" s="209"/>
      <c r="AO1187" s="209"/>
      <c r="AP1187" s="209"/>
    </row>
    <row r="1188">
      <c r="A1188" s="209"/>
      <c r="B1188" s="209"/>
      <c r="C1188" s="209"/>
      <c r="D1188" s="209"/>
      <c r="E1188" s="209"/>
      <c r="F1188" s="209"/>
      <c r="G1188" s="209"/>
      <c r="H1188" s="209"/>
      <c r="I1188" s="209"/>
      <c r="J1188" s="209"/>
      <c r="K1188" s="209"/>
      <c r="L1188" s="209"/>
      <c r="M1188" s="209"/>
      <c r="N1188" s="209"/>
      <c r="O1188" s="209"/>
      <c r="P1188" s="209"/>
      <c r="Q1188" s="209"/>
      <c r="R1188" s="209"/>
      <c r="S1188" s="209"/>
      <c r="T1188" s="209"/>
      <c r="U1188" s="209"/>
      <c r="V1188" s="209"/>
      <c r="W1188" s="209"/>
      <c r="X1188" s="209"/>
      <c r="Y1188" s="209"/>
      <c r="Z1188" s="209"/>
      <c r="AA1188" s="209"/>
      <c r="AB1188" s="209"/>
      <c r="AC1188" s="209"/>
      <c r="AD1188" s="209"/>
      <c r="AE1188" s="209"/>
      <c r="AF1188" s="209"/>
      <c r="AG1188" s="209"/>
      <c r="AH1188" s="209"/>
      <c r="AI1188" s="209"/>
      <c r="AJ1188" s="209"/>
      <c r="AK1188" s="209"/>
      <c r="AL1188" s="209"/>
      <c r="AM1188" s="209"/>
      <c r="AN1188" s="209"/>
      <c r="AO1188" s="209"/>
      <c r="AP1188" s="209"/>
    </row>
    <row r="1189">
      <c r="A1189" s="209"/>
      <c r="B1189" s="209"/>
      <c r="C1189" s="209"/>
      <c r="D1189" s="209"/>
      <c r="E1189" s="209"/>
      <c r="F1189" s="209"/>
      <c r="G1189" s="209"/>
      <c r="H1189" s="209"/>
      <c r="I1189" s="209"/>
      <c r="J1189" s="209"/>
      <c r="K1189" s="209"/>
      <c r="L1189" s="209"/>
      <c r="M1189" s="209"/>
      <c r="N1189" s="209"/>
      <c r="O1189" s="209"/>
      <c r="P1189" s="209"/>
      <c r="Q1189" s="209"/>
      <c r="R1189" s="209"/>
      <c r="S1189" s="209"/>
      <c r="T1189" s="209"/>
      <c r="U1189" s="209"/>
      <c r="V1189" s="209"/>
      <c r="W1189" s="209"/>
      <c r="X1189" s="209"/>
      <c r="Y1189" s="209"/>
      <c r="Z1189" s="209"/>
      <c r="AA1189" s="209"/>
      <c r="AB1189" s="209"/>
      <c r="AC1189" s="209"/>
      <c r="AD1189" s="209"/>
      <c r="AE1189" s="209"/>
      <c r="AF1189" s="209"/>
      <c r="AG1189" s="209"/>
      <c r="AH1189" s="209"/>
      <c r="AI1189" s="209"/>
      <c r="AJ1189" s="209"/>
      <c r="AK1189" s="209"/>
      <c r="AL1189" s="209"/>
      <c r="AM1189" s="209"/>
      <c r="AN1189" s="209"/>
      <c r="AO1189" s="209"/>
      <c r="AP1189" s="209"/>
    </row>
    <row r="1190">
      <c r="A1190" s="209"/>
      <c r="B1190" s="209"/>
      <c r="C1190" s="209"/>
      <c r="D1190" s="209"/>
      <c r="E1190" s="209"/>
      <c r="F1190" s="209"/>
      <c r="G1190" s="209"/>
      <c r="H1190" s="209"/>
      <c r="I1190" s="209"/>
      <c r="J1190" s="209"/>
      <c r="K1190" s="209"/>
      <c r="L1190" s="209"/>
      <c r="M1190" s="209"/>
      <c r="N1190" s="209"/>
      <c r="O1190" s="209"/>
      <c r="P1190" s="209"/>
      <c r="Q1190" s="209"/>
      <c r="R1190" s="209"/>
      <c r="S1190" s="209"/>
      <c r="T1190" s="209"/>
      <c r="U1190" s="209"/>
      <c r="V1190" s="209"/>
      <c r="W1190" s="209"/>
      <c r="X1190" s="209"/>
      <c r="Y1190" s="209"/>
      <c r="Z1190" s="209"/>
      <c r="AA1190" s="209"/>
      <c r="AB1190" s="209"/>
      <c r="AC1190" s="209"/>
      <c r="AD1190" s="209"/>
      <c r="AE1190" s="209"/>
      <c r="AF1190" s="209"/>
      <c r="AG1190" s="209"/>
      <c r="AH1190" s="209"/>
      <c r="AI1190" s="209"/>
      <c r="AJ1190" s="209"/>
      <c r="AK1190" s="209"/>
      <c r="AL1190" s="209"/>
      <c r="AM1190" s="209"/>
      <c r="AN1190" s="209"/>
      <c r="AO1190" s="209"/>
      <c r="AP1190" s="209"/>
    </row>
    <row r="1191">
      <c r="A1191" s="209"/>
      <c r="B1191" s="209"/>
      <c r="C1191" s="209"/>
      <c r="D1191" s="209"/>
      <c r="E1191" s="209"/>
      <c r="F1191" s="209"/>
      <c r="G1191" s="209"/>
      <c r="H1191" s="209"/>
      <c r="I1191" s="209"/>
      <c r="J1191" s="209"/>
      <c r="K1191" s="209"/>
      <c r="L1191" s="209"/>
      <c r="M1191" s="209"/>
      <c r="N1191" s="209"/>
      <c r="O1191" s="209"/>
      <c r="P1191" s="209"/>
      <c r="Q1191" s="209"/>
      <c r="R1191" s="209"/>
      <c r="S1191" s="209"/>
      <c r="T1191" s="209"/>
      <c r="U1191" s="209"/>
      <c r="V1191" s="209"/>
      <c r="W1191" s="209"/>
      <c r="X1191" s="209"/>
      <c r="Y1191" s="209"/>
      <c r="Z1191" s="209"/>
      <c r="AA1191" s="209"/>
      <c r="AB1191" s="209"/>
      <c r="AC1191" s="209"/>
      <c r="AD1191" s="209"/>
      <c r="AE1191" s="209"/>
      <c r="AF1191" s="209"/>
      <c r="AG1191" s="209"/>
      <c r="AH1191" s="209"/>
      <c r="AI1191" s="209"/>
      <c r="AJ1191" s="209"/>
      <c r="AK1191" s="209"/>
      <c r="AL1191" s="209"/>
      <c r="AM1191" s="209"/>
      <c r="AN1191" s="209"/>
      <c r="AO1191" s="209"/>
      <c r="AP1191" s="209"/>
    </row>
    <row r="1192">
      <c r="A1192" s="209"/>
      <c r="B1192" s="209"/>
      <c r="C1192" s="209"/>
      <c r="D1192" s="209"/>
      <c r="E1192" s="209"/>
      <c r="F1192" s="209"/>
      <c r="G1192" s="209"/>
      <c r="H1192" s="209"/>
      <c r="I1192" s="209"/>
      <c r="J1192" s="209"/>
      <c r="K1192" s="209"/>
      <c r="L1192" s="209"/>
      <c r="M1192" s="209"/>
      <c r="N1192" s="209"/>
      <c r="O1192" s="209"/>
      <c r="P1192" s="209"/>
      <c r="Q1192" s="209"/>
      <c r="R1192" s="209"/>
      <c r="S1192" s="209"/>
      <c r="T1192" s="209"/>
      <c r="U1192" s="209"/>
      <c r="V1192" s="209"/>
      <c r="W1192" s="209"/>
      <c r="X1192" s="209"/>
      <c r="Y1192" s="209"/>
      <c r="Z1192" s="209"/>
      <c r="AA1192" s="209"/>
      <c r="AB1192" s="209"/>
      <c r="AC1192" s="209"/>
      <c r="AD1192" s="209"/>
      <c r="AE1192" s="209"/>
      <c r="AF1192" s="209"/>
      <c r="AG1192" s="209"/>
      <c r="AH1192" s="209"/>
      <c r="AI1192" s="209"/>
      <c r="AJ1192" s="209"/>
      <c r="AK1192" s="209"/>
      <c r="AL1192" s="209"/>
      <c r="AM1192" s="209"/>
      <c r="AN1192" s="209"/>
      <c r="AO1192" s="209"/>
      <c r="AP1192" s="209"/>
    </row>
    <row r="1193">
      <c r="A1193" s="209"/>
      <c r="B1193" s="209"/>
      <c r="C1193" s="209"/>
      <c r="D1193" s="209"/>
      <c r="E1193" s="209"/>
      <c r="F1193" s="209"/>
      <c r="G1193" s="209"/>
      <c r="H1193" s="209"/>
      <c r="I1193" s="209"/>
      <c r="J1193" s="209"/>
      <c r="K1193" s="209"/>
      <c r="L1193" s="209"/>
      <c r="M1193" s="209"/>
      <c r="N1193" s="209"/>
      <c r="O1193" s="209"/>
      <c r="P1193" s="209"/>
      <c r="Q1193" s="209"/>
      <c r="R1193" s="209"/>
      <c r="S1193" s="209"/>
      <c r="T1193" s="209"/>
      <c r="U1193" s="209"/>
      <c r="V1193" s="209"/>
      <c r="W1193" s="209"/>
      <c r="X1193" s="209"/>
      <c r="Y1193" s="209"/>
      <c r="Z1193" s="209"/>
      <c r="AA1193" s="209"/>
      <c r="AB1193" s="209"/>
      <c r="AC1193" s="209"/>
      <c r="AD1193" s="209"/>
      <c r="AE1193" s="209"/>
      <c r="AF1193" s="209"/>
      <c r="AG1193" s="209"/>
      <c r="AH1193" s="209"/>
      <c r="AI1193" s="209"/>
      <c r="AJ1193" s="209"/>
      <c r="AK1193" s="209"/>
      <c r="AL1193" s="209"/>
      <c r="AM1193" s="209"/>
      <c r="AN1193" s="209"/>
      <c r="AO1193" s="209"/>
      <c r="AP1193" s="209"/>
    </row>
    <row r="1194">
      <c r="A1194" s="209"/>
      <c r="B1194" s="209"/>
      <c r="C1194" s="209"/>
      <c r="D1194" s="209"/>
      <c r="E1194" s="209"/>
      <c r="F1194" s="209"/>
      <c r="G1194" s="209"/>
      <c r="H1194" s="209"/>
      <c r="I1194" s="209"/>
      <c r="J1194" s="209"/>
      <c r="K1194" s="209"/>
      <c r="L1194" s="209"/>
      <c r="M1194" s="209"/>
      <c r="N1194" s="209"/>
      <c r="O1194" s="209"/>
      <c r="P1194" s="209"/>
      <c r="Q1194" s="209"/>
      <c r="R1194" s="209"/>
      <c r="S1194" s="209"/>
      <c r="T1194" s="209"/>
      <c r="U1194" s="209"/>
      <c r="V1194" s="209"/>
      <c r="W1194" s="209"/>
      <c r="X1194" s="209"/>
      <c r="Y1194" s="209"/>
      <c r="Z1194" s="209"/>
      <c r="AA1194" s="209"/>
      <c r="AB1194" s="209"/>
      <c r="AC1194" s="209"/>
      <c r="AD1194" s="209"/>
      <c r="AE1194" s="209"/>
      <c r="AF1194" s="209"/>
      <c r="AG1194" s="209"/>
      <c r="AH1194" s="209"/>
      <c r="AI1194" s="209"/>
      <c r="AJ1194" s="209"/>
      <c r="AK1194" s="209"/>
      <c r="AL1194" s="209"/>
      <c r="AM1194" s="209"/>
      <c r="AN1194" s="209"/>
      <c r="AO1194" s="209"/>
      <c r="AP1194" s="209"/>
    </row>
    <row r="1195">
      <c r="A1195" s="209"/>
      <c r="B1195" s="209"/>
      <c r="C1195" s="209"/>
      <c r="D1195" s="209"/>
      <c r="E1195" s="209"/>
      <c r="F1195" s="209"/>
      <c r="G1195" s="209"/>
      <c r="H1195" s="209"/>
      <c r="I1195" s="209"/>
      <c r="J1195" s="209"/>
      <c r="K1195" s="209"/>
      <c r="L1195" s="209"/>
      <c r="M1195" s="209"/>
      <c r="N1195" s="209"/>
      <c r="O1195" s="209"/>
      <c r="P1195" s="209"/>
      <c r="Q1195" s="209"/>
      <c r="R1195" s="209"/>
      <c r="S1195" s="209"/>
      <c r="T1195" s="209"/>
      <c r="U1195" s="209"/>
      <c r="V1195" s="209"/>
      <c r="W1195" s="209"/>
      <c r="X1195" s="209"/>
      <c r="Y1195" s="209"/>
      <c r="Z1195" s="209"/>
      <c r="AA1195" s="209"/>
      <c r="AB1195" s="209"/>
      <c r="AC1195" s="209"/>
      <c r="AD1195" s="209"/>
      <c r="AE1195" s="209"/>
      <c r="AF1195" s="209"/>
      <c r="AG1195" s="209"/>
      <c r="AH1195" s="209"/>
      <c r="AI1195" s="209"/>
      <c r="AJ1195" s="209"/>
      <c r="AK1195" s="209"/>
      <c r="AL1195" s="209"/>
      <c r="AM1195" s="209"/>
      <c r="AN1195" s="209"/>
      <c r="AO1195" s="209"/>
      <c r="AP1195" s="209"/>
    </row>
    <row r="1196">
      <c r="A1196" s="209"/>
      <c r="B1196" s="209"/>
      <c r="C1196" s="209"/>
      <c r="D1196" s="209"/>
      <c r="E1196" s="209"/>
      <c r="F1196" s="209"/>
      <c r="G1196" s="209"/>
      <c r="H1196" s="209"/>
      <c r="I1196" s="209"/>
      <c r="J1196" s="209"/>
      <c r="K1196" s="209"/>
      <c r="L1196" s="209"/>
      <c r="M1196" s="209"/>
      <c r="N1196" s="209"/>
      <c r="O1196" s="209"/>
      <c r="P1196" s="209"/>
      <c r="Q1196" s="209"/>
      <c r="R1196" s="209"/>
      <c r="S1196" s="209"/>
      <c r="T1196" s="209"/>
      <c r="U1196" s="209"/>
      <c r="V1196" s="209"/>
      <c r="W1196" s="209"/>
      <c r="X1196" s="209"/>
      <c r="Y1196" s="209"/>
      <c r="Z1196" s="209"/>
      <c r="AA1196" s="209"/>
      <c r="AB1196" s="209"/>
      <c r="AC1196" s="209"/>
      <c r="AD1196" s="209"/>
      <c r="AE1196" s="209"/>
      <c r="AF1196" s="209"/>
      <c r="AG1196" s="209"/>
      <c r="AH1196" s="209"/>
      <c r="AI1196" s="209"/>
      <c r="AJ1196" s="209"/>
      <c r="AK1196" s="209"/>
      <c r="AL1196" s="209"/>
      <c r="AM1196" s="209"/>
      <c r="AN1196" s="209"/>
      <c r="AO1196" s="209"/>
      <c r="AP1196" s="209"/>
    </row>
    <row r="1197">
      <c r="A1197" s="209"/>
      <c r="B1197" s="209"/>
      <c r="C1197" s="209"/>
      <c r="D1197" s="209"/>
      <c r="E1197" s="209"/>
      <c r="F1197" s="209"/>
      <c r="G1197" s="209"/>
      <c r="H1197" s="209"/>
      <c r="I1197" s="209"/>
      <c r="J1197" s="209"/>
      <c r="K1197" s="209"/>
      <c r="L1197" s="209"/>
      <c r="M1197" s="209"/>
      <c r="N1197" s="209"/>
      <c r="O1197" s="209"/>
      <c r="P1197" s="209"/>
      <c r="Q1197" s="209"/>
      <c r="R1197" s="209"/>
      <c r="S1197" s="209"/>
      <c r="T1197" s="209"/>
      <c r="U1197" s="209"/>
      <c r="V1197" s="209"/>
      <c r="W1197" s="209"/>
      <c r="X1197" s="209"/>
      <c r="Y1197" s="209"/>
      <c r="Z1197" s="209"/>
      <c r="AA1197" s="209"/>
      <c r="AB1197" s="209"/>
      <c r="AC1197" s="209"/>
      <c r="AD1197" s="209"/>
      <c r="AE1197" s="209"/>
      <c r="AF1197" s="209"/>
      <c r="AG1197" s="209"/>
      <c r="AH1197" s="209"/>
      <c r="AI1197" s="209"/>
      <c r="AJ1197" s="209"/>
      <c r="AK1197" s="209"/>
      <c r="AL1197" s="209"/>
      <c r="AM1197" s="209"/>
      <c r="AN1197" s="209"/>
      <c r="AO1197" s="209"/>
      <c r="AP1197" s="209"/>
    </row>
    <row r="1198">
      <c r="A1198" s="209"/>
      <c r="B1198" s="209"/>
      <c r="C1198" s="209"/>
      <c r="D1198" s="209"/>
      <c r="E1198" s="209"/>
      <c r="F1198" s="209"/>
      <c r="G1198" s="209"/>
      <c r="H1198" s="209"/>
      <c r="I1198" s="209"/>
      <c r="J1198" s="209"/>
      <c r="K1198" s="209"/>
      <c r="L1198" s="209"/>
      <c r="M1198" s="209"/>
      <c r="N1198" s="209"/>
      <c r="O1198" s="209"/>
      <c r="P1198" s="209"/>
      <c r="Q1198" s="209"/>
      <c r="R1198" s="209"/>
      <c r="S1198" s="209"/>
      <c r="T1198" s="209"/>
      <c r="U1198" s="209"/>
      <c r="V1198" s="209"/>
      <c r="W1198" s="209"/>
      <c r="X1198" s="209"/>
      <c r="Y1198" s="209"/>
      <c r="Z1198" s="209"/>
      <c r="AA1198" s="209"/>
      <c r="AB1198" s="209"/>
      <c r="AC1198" s="209"/>
      <c r="AD1198" s="209"/>
      <c r="AE1198" s="209"/>
      <c r="AF1198" s="209"/>
      <c r="AG1198" s="209"/>
      <c r="AH1198" s="209"/>
      <c r="AI1198" s="209"/>
      <c r="AJ1198" s="209"/>
      <c r="AK1198" s="209"/>
      <c r="AL1198" s="209"/>
      <c r="AM1198" s="209"/>
      <c r="AN1198" s="209"/>
      <c r="AO1198" s="209"/>
      <c r="AP1198" s="209"/>
    </row>
    <row r="1199">
      <c r="A1199" s="209"/>
      <c r="B1199" s="209"/>
      <c r="C1199" s="209"/>
      <c r="D1199" s="209"/>
      <c r="E1199" s="209"/>
      <c r="F1199" s="209"/>
      <c r="G1199" s="209"/>
      <c r="H1199" s="209"/>
      <c r="I1199" s="209"/>
      <c r="J1199" s="209"/>
      <c r="K1199" s="209"/>
      <c r="L1199" s="209"/>
      <c r="M1199" s="209"/>
      <c r="N1199" s="209"/>
      <c r="O1199" s="209"/>
      <c r="P1199" s="209"/>
      <c r="Q1199" s="209"/>
      <c r="R1199" s="209"/>
      <c r="S1199" s="209"/>
      <c r="T1199" s="209"/>
      <c r="U1199" s="209"/>
      <c r="V1199" s="209"/>
      <c r="W1199" s="209"/>
      <c r="X1199" s="209"/>
      <c r="Y1199" s="209"/>
      <c r="Z1199" s="209"/>
      <c r="AA1199" s="209"/>
      <c r="AB1199" s="209"/>
      <c r="AC1199" s="209"/>
      <c r="AD1199" s="209"/>
      <c r="AE1199" s="209"/>
      <c r="AF1199" s="209"/>
      <c r="AG1199" s="209"/>
      <c r="AH1199" s="209"/>
      <c r="AI1199" s="209"/>
      <c r="AJ1199" s="209"/>
      <c r="AK1199" s="209"/>
      <c r="AL1199" s="209"/>
      <c r="AM1199" s="209"/>
      <c r="AN1199" s="209"/>
      <c r="AO1199" s="209"/>
      <c r="AP1199" s="209"/>
    </row>
    <row r="1200">
      <c r="A1200" s="209"/>
      <c r="B1200" s="209"/>
      <c r="C1200" s="209"/>
      <c r="D1200" s="209"/>
      <c r="E1200" s="209"/>
      <c r="F1200" s="209"/>
      <c r="G1200" s="209"/>
      <c r="H1200" s="209"/>
      <c r="I1200" s="209"/>
      <c r="J1200" s="209"/>
      <c r="K1200" s="209"/>
      <c r="L1200" s="209"/>
      <c r="M1200" s="209"/>
      <c r="N1200" s="209"/>
      <c r="O1200" s="209"/>
      <c r="P1200" s="209"/>
      <c r="Q1200" s="209"/>
      <c r="R1200" s="209"/>
      <c r="S1200" s="209"/>
      <c r="T1200" s="209"/>
      <c r="U1200" s="209"/>
      <c r="V1200" s="209"/>
      <c r="W1200" s="209"/>
      <c r="X1200" s="209"/>
      <c r="Y1200" s="209"/>
      <c r="Z1200" s="209"/>
      <c r="AA1200" s="209"/>
      <c r="AB1200" s="209"/>
      <c r="AC1200" s="209"/>
      <c r="AD1200" s="209"/>
      <c r="AE1200" s="209"/>
      <c r="AF1200" s="209"/>
      <c r="AG1200" s="209"/>
      <c r="AH1200" s="209"/>
      <c r="AI1200" s="209"/>
      <c r="AJ1200" s="209"/>
      <c r="AK1200" s="209"/>
      <c r="AL1200" s="209"/>
      <c r="AM1200" s="209"/>
      <c r="AN1200" s="209"/>
      <c r="AO1200" s="209"/>
      <c r="AP1200" s="209"/>
    </row>
    <row r="1201">
      <c r="A1201" s="209"/>
      <c r="B1201" s="209"/>
      <c r="C1201" s="209"/>
      <c r="D1201" s="209"/>
      <c r="E1201" s="209"/>
      <c r="F1201" s="209"/>
      <c r="G1201" s="209"/>
      <c r="H1201" s="209"/>
      <c r="I1201" s="209"/>
      <c r="J1201" s="209"/>
      <c r="K1201" s="209"/>
      <c r="L1201" s="209"/>
      <c r="M1201" s="209"/>
      <c r="N1201" s="209"/>
      <c r="O1201" s="209"/>
      <c r="P1201" s="209"/>
      <c r="Q1201" s="209"/>
      <c r="R1201" s="209"/>
      <c r="S1201" s="209"/>
      <c r="T1201" s="209"/>
      <c r="U1201" s="209"/>
      <c r="V1201" s="209"/>
      <c r="W1201" s="209"/>
      <c r="X1201" s="209"/>
      <c r="Y1201" s="209"/>
      <c r="Z1201" s="209"/>
      <c r="AA1201" s="209"/>
      <c r="AB1201" s="209"/>
      <c r="AC1201" s="209"/>
      <c r="AD1201" s="209"/>
      <c r="AE1201" s="209"/>
      <c r="AF1201" s="209"/>
      <c r="AG1201" s="209"/>
      <c r="AH1201" s="209"/>
      <c r="AI1201" s="209"/>
      <c r="AJ1201" s="209"/>
      <c r="AK1201" s="209"/>
      <c r="AL1201" s="209"/>
      <c r="AM1201" s="209"/>
      <c r="AN1201" s="209"/>
      <c r="AO1201" s="209"/>
      <c r="AP1201" s="209"/>
    </row>
    <row r="1202">
      <c r="A1202" s="209"/>
      <c r="B1202" s="209"/>
      <c r="C1202" s="209"/>
      <c r="D1202" s="209"/>
      <c r="E1202" s="209"/>
      <c r="F1202" s="209"/>
      <c r="G1202" s="209"/>
      <c r="H1202" s="209"/>
      <c r="I1202" s="209"/>
      <c r="J1202" s="209"/>
      <c r="K1202" s="209"/>
      <c r="L1202" s="209"/>
      <c r="M1202" s="209"/>
      <c r="N1202" s="209"/>
      <c r="O1202" s="209"/>
      <c r="P1202" s="209"/>
      <c r="Q1202" s="209"/>
      <c r="R1202" s="209"/>
      <c r="S1202" s="209"/>
      <c r="T1202" s="209"/>
      <c r="U1202" s="209"/>
      <c r="V1202" s="209"/>
      <c r="W1202" s="209"/>
      <c r="X1202" s="209"/>
      <c r="Y1202" s="209"/>
      <c r="Z1202" s="209"/>
      <c r="AA1202" s="209"/>
      <c r="AB1202" s="209"/>
      <c r="AC1202" s="209"/>
      <c r="AD1202" s="209"/>
      <c r="AE1202" s="209"/>
      <c r="AF1202" s="209"/>
      <c r="AG1202" s="209"/>
      <c r="AH1202" s="209"/>
      <c r="AI1202" s="209"/>
      <c r="AJ1202" s="209"/>
      <c r="AK1202" s="209"/>
      <c r="AL1202" s="209"/>
      <c r="AM1202" s="209"/>
      <c r="AN1202" s="209"/>
      <c r="AO1202" s="209"/>
      <c r="AP1202" s="209"/>
    </row>
    <row r="1203">
      <c r="A1203" s="209"/>
      <c r="B1203" s="209"/>
      <c r="C1203" s="209"/>
      <c r="D1203" s="209"/>
      <c r="E1203" s="209"/>
      <c r="F1203" s="209"/>
      <c r="G1203" s="209"/>
      <c r="H1203" s="209"/>
      <c r="I1203" s="209"/>
      <c r="J1203" s="209"/>
      <c r="K1203" s="209"/>
      <c r="L1203" s="209"/>
      <c r="M1203" s="209"/>
      <c r="N1203" s="209"/>
      <c r="O1203" s="209"/>
      <c r="P1203" s="209"/>
      <c r="Q1203" s="209"/>
      <c r="R1203" s="209"/>
      <c r="S1203" s="209"/>
      <c r="T1203" s="209"/>
      <c r="U1203" s="209"/>
      <c r="V1203" s="209"/>
      <c r="W1203" s="209"/>
      <c r="X1203" s="209"/>
      <c r="Y1203" s="209"/>
      <c r="Z1203" s="209"/>
      <c r="AA1203" s="209"/>
      <c r="AB1203" s="209"/>
      <c r="AC1203" s="209"/>
      <c r="AD1203" s="209"/>
      <c r="AE1203" s="209"/>
      <c r="AF1203" s="209"/>
      <c r="AG1203" s="209"/>
      <c r="AH1203" s="209"/>
      <c r="AI1203" s="209"/>
      <c r="AJ1203" s="209"/>
      <c r="AK1203" s="209"/>
      <c r="AL1203" s="209"/>
      <c r="AM1203" s="209"/>
      <c r="AN1203" s="209"/>
      <c r="AO1203" s="209"/>
      <c r="AP1203" s="209"/>
    </row>
    <row r="1204">
      <c r="A1204" s="209"/>
      <c r="B1204" s="209"/>
      <c r="C1204" s="209"/>
      <c r="D1204" s="209"/>
      <c r="E1204" s="209"/>
      <c r="F1204" s="209"/>
      <c r="G1204" s="209"/>
      <c r="H1204" s="209"/>
      <c r="I1204" s="209"/>
      <c r="J1204" s="209"/>
      <c r="K1204" s="209"/>
      <c r="L1204" s="209"/>
      <c r="M1204" s="209"/>
      <c r="N1204" s="209"/>
      <c r="O1204" s="209"/>
      <c r="P1204" s="209"/>
      <c r="Q1204" s="209"/>
      <c r="R1204" s="209"/>
      <c r="S1204" s="209"/>
      <c r="T1204" s="209"/>
      <c r="U1204" s="209"/>
      <c r="V1204" s="209"/>
      <c r="W1204" s="209"/>
      <c r="X1204" s="209"/>
      <c r="Y1204" s="209"/>
      <c r="Z1204" s="209"/>
      <c r="AA1204" s="209"/>
      <c r="AB1204" s="209"/>
      <c r="AC1204" s="209"/>
      <c r="AD1204" s="209"/>
      <c r="AE1204" s="209"/>
      <c r="AF1204" s="209"/>
      <c r="AG1204" s="209"/>
      <c r="AH1204" s="209"/>
      <c r="AI1204" s="209"/>
      <c r="AJ1204" s="209"/>
      <c r="AK1204" s="209"/>
      <c r="AL1204" s="209"/>
      <c r="AM1204" s="209"/>
      <c r="AN1204" s="209"/>
      <c r="AO1204" s="209"/>
      <c r="AP1204" s="209"/>
    </row>
    <row r="1205">
      <c r="A1205" s="209"/>
      <c r="B1205" s="209"/>
      <c r="C1205" s="209"/>
      <c r="D1205" s="209"/>
      <c r="E1205" s="209"/>
      <c r="F1205" s="209"/>
      <c r="G1205" s="209"/>
      <c r="H1205" s="209"/>
      <c r="I1205" s="209"/>
      <c r="J1205" s="209"/>
      <c r="K1205" s="209"/>
      <c r="L1205" s="209"/>
      <c r="M1205" s="209"/>
      <c r="N1205" s="209"/>
      <c r="O1205" s="209"/>
      <c r="P1205" s="209"/>
      <c r="Q1205" s="209"/>
      <c r="R1205" s="209"/>
      <c r="S1205" s="209"/>
      <c r="T1205" s="209"/>
      <c r="U1205" s="209"/>
      <c r="V1205" s="209"/>
      <c r="W1205" s="209"/>
      <c r="X1205" s="209"/>
      <c r="Y1205" s="209"/>
      <c r="Z1205" s="209"/>
      <c r="AA1205" s="209"/>
      <c r="AB1205" s="209"/>
      <c r="AC1205" s="209"/>
      <c r="AD1205" s="209"/>
      <c r="AE1205" s="209"/>
      <c r="AF1205" s="209"/>
      <c r="AG1205" s="209"/>
      <c r="AH1205" s="209"/>
      <c r="AI1205" s="209"/>
      <c r="AJ1205" s="209"/>
      <c r="AK1205" s="209"/>
      <c r="AL1205" s="209"/>
      <c r="AM1205" s="209"/>
      <c r="AN1205" s="209"/>
      <c r="AO1205" s="209"/>
      <c r="AP1205" s="209"/>
    </row>
    <row r="1206">
      <c r="A1206" s="209"/>
      <c r="B1206" s="209"/>
      <c r="C1206" s="209"/>
      <c r="D1206" s="209"/>
      <c r="E1206" s="209"/>
      <c r="F1206" s="209"/>
      <c r="G1206" s="209"/>
      <c r="H1206" s="209"/>
      <c r="I1206" s="209"/>
      <c r="J1206" s="209"/>
      <c r="K1206" s="209"/>
      <c r="L1206" s="209"/>
      <c r="M1206" s="209"/>
      <c r="N1206" s="209"/>
      <c r="O1206" s="209"/>
      <c r="P1206" s="209"/>
      <c r="Q1206" s="209"/>
      <c r="R1206" s="209"/>
      <c r="S1206" s="209"/>
      <c r="T1206" s="209"/>
      <c r="U1206" s="209"/>
      <c r="V1206" s="209"/>
      <c r="W1206" s="209"/>
      <c r="X1206" s="209"/>
      <c r="Y1206" s="209"/>
      <c r="Z1206" s="209"/>
      <c r="AA1206" s="209"/>
      <c r="AB1206" s="209"/>
      <c r="AC1206" s="209"/>
      <c r="AD1206" s="209"/>
      <c r="AE1206" s="209"/>
      <c r="AF1206" s="209"/>
      <c r="AG1206" s="209"/>
      <c r="AH1206" s="209"/>
      <c r="AI1206" s="209"/>
      <c r="AJ1206" s="209"/>
      <c r="AK1206" s="209"/>
      <c r="AL1206" s="209"/>
      <c r="AM1206" s="209"/>
      <c r="AN1206" s="209"/>
      <c r="AO1206" s="209"/>
      <c r="AP1206" s="209"/>
    </row>
    <row r="1207">
      <c r="A1207" s="209"/>
      <c r="B1207" s="209"/>
      <c r="C1207" s="209"/>
      <c r="D1207" s="209"/>
      <c r="E1207" s="209"/>
      <c r="F1207" s="209"/>
      <c r="G1207" s="209"/>
      <c r="H1207" s="209"/>
      <c r="I1207" s="209"/>
      <c r="J1207" s="209"/>
      <c r="K1207" s="209"/>
      <c r="L1207" s="209"/>
      <c r="M1207" s="209"/>
      <c r="N1207" s="209"/>
      <c r="O1207" s="209"/>
      <c r="P1207" s="209"/>
      <c r="Q1207" s="209"/>
      <c r="R1207" s="209"/>
      <c r="S1207" s="209"/>
      <c r="T1207" s="209"/>
      <c r="U1207" s="209"/>
      <c r="V1207" s="209"/>
      <c r="W1207" s="209"/>
      <c r="X1207" s="209"/>
      <c r="Y1207" s="209"/>
      <c r="Z1207" s="209"/>
      <c r="AA1207" s="209"/>
      <c r="AB1207" s="209"/>
      <c r="AC1207" s="209"/>
      <c r="AD1207" s="209"/>
      <c r="AE1207" s="209"/>
      <c r="AF1207" s="209"/>
      <c r="AG1207" s="209"/>
      <c r="AH1207" s="209"/>
      <c r="AI1207" s="209"/>
      <c r="AJ1207" s="209"/>
      <c r="AK1207" s="209"/>
      <c r="AL1207" s="209"/>
      <c r="AM1207" s="209"/>
      <c r="AN1207" s="209"/>
      <c r="AO1207" s="209"/>
      <c r="AP1207" s="209"/>
    </row>
    <row r="1208">
      <c r="A1208" s="209"/>
      <c r="B1208" s="209"/>
      <c r="C1208" s="209"/>
      <c r="D1208" s="209"/>
      <c r="E1208" s="209"/>
      <c r="F1208" s="209"/>
      <c r="G1208" s="209"/>
      <c r="H1208" s="209"/>
      <c r="I1208" s="209"/>
      <c r="J1208" s="209"/>
      <c r="K1208" s="209"/>
      <c r="L1208" s="209"/>
      <c r="M1208" s="209"/>
      <c r="N1208" s="209"/>
      <c r="O1208" s="209"/>
      <c r="P1208" s="209"/>
      <c r="Q1208" s="209"/>
      <c r="R1208" s="209"/>
      <c r="S1208" s="209"/>
      <c r="T1208" s="209"/>
      <c r="U1208" s="209"/>
      <c r="V1208" s="209"/>
      <c r="W1208" s="209"/>
      <c r="X1208" s="209"/>
      <c r="Y1208" s="209"/>
      <c r="Z1208" s="209"/>
      <c r="AA1208" s="209"/>
      <c r="AB1208" s="209"/>
      <c r="AC1208" s="209"/>
      <c r="AD1208" s="209"/>
      <c r="AE1208" s="209"/>
      <c r="AF1208" s="209"/>
      <c r="AG1208" s="209"/>
      <c r="AH1208" s="209"/>
      <c r="AI1208" s="209"/>
      <c r="AJ1208" s="209"/>
      <c r="AK1208" s="209"/>
      <c r="AL1208" s="209"/>
      <c r="AM1208" s="209"/>
      <c r="AN1208" s="209"/>
      <c r="AO1208" s="209"/>
      <c r="AP1208" s="209"/>
    </row>
    <row r="1209">
      <c r="A1209" s="209"/>
      <c r="B1209" s="209"/>
      <c r="C1209" s="209"/>
      <c r="D1209" s="209"/>
      <c r="E1209" s="209"/>
      <c r="F1209" s="209"/>
      <c r="G1209" s="209"/>
      <c r="H1209" s="209"/>
      <c r="I1209" s="209"/>
      <c r="J1209" s="209"/>
      <c r="K1209" s="209"/>
      <c r="L1209" s="209"/>
      <c r="M1209" s="209"/>
      <c r="N1209" s="209"/>
      <c r="O1209" s="209"/>
      <c r="P1209" s="209"/>
      <c r="Q1209" s="209"/>
      <c r="R1209" s="209"/>
      <c r="S1209" s="209"/>
      <c r="T1209" s="209"/>
      <c r="U1209" s="209"/>
      <c r="V1209" s="209"/>
      <c r="W1209" s="209"/>
      <c r="X1209" s="209"/>
      <c r="Y1209" s="209"/>
      <c r="Z1209" s="209"/>
      <c r="AA1209" s="209"/>
      <c r="AB1209" s="209"/>
      <c r="AC1209" s="209"/>
      <c r="AD1209" s="209"/>
      <c r="AE1209" s="209"/>
      <c r="AF1209" s="209"/>
      <c r="AG1209" s="209"/>
      <c r="AH1209" s="209"/>
      <c r="AI1209" s="209"/>
      <c r="AJ1209" s="209"/>
      <c r="AK1209" s="209"/>
      <c r="AL1209" s="209"/>
      <c r="AM1209" s="209"/>
      <c r="AN1209" s="209"/>
      <c r="AO1209" s="209"/>
      <c r="AP1209" s="209"/>
    </row>
    <row r="1210">
      <c r="A1210" s="209"/>
      <c r="B1210" s="209"/>
      <c r="C1210" s="209"/>
      <c r="D1210" s="209"/>
      <c r="E1210" s="209"/>
      <c r="F1210" s="209"/>
      <c r="G1210" s="209"/>
      <c r="H1210" s="209"/>
      <c r="I1210" s="209"/>
      <c r="J1210" s="209"/>
      <c r="K1210" s="209"/>
      <c r="L1210" s="209"/>
      <c r="M1210" s="209"/>
      <c r="N1210" s="209"/>
      <c r="O1210" s="209"/>
      <c r="P1210" s="209"/>
      <c r="Q1210" s="209"/>
      <c r="R1210" s="209"/>
      <c r="S1210" s="209"/>
      <c r="T1210" s="209"/>
      <c r="U1210" s="209"/>
      <c r="V1210" s="209"/>
      <c r="W1210" s="209"/>
      <c r="X1210" s="209"/>
      <c r="Y1210" s="209"/>
      <c r="Z1210" s="209"/>
      <c r="AA1210" s="209"/>
      <c r="AB1210" s="209"/>
      <c r="AC1210" s="209"/>
      <c r="AD1210" s="209"/>
      <c r="AE1210" s="209"/>
      <c r="AF1210" s="209"/>
      <c r="AG1210" s="209"/>
      <c r="AH1210" s="209"/>
      <c r="AI1210" s="209"/>
      <c r="AJ1210" s="209"/>
      <c r="AK1210" s="209"/>
      <c r="AL1210" s="209"/>
      <c r="AM1210" s="209"/>
      <c r="AN1210" s="209"/>
      <c r="AO1210" s="209"/>
      <c r="AP1210" s="209"/>
    </row>
    <row r="1211">
      <c r="A1211" s="209"/>
      <c r="B1211" s="209"/>
      <c r="C1211" s="209"/>
      <c r="D1211" s="209"/>
      <c r="E1211" s="209"/>
      <c r="F1211" s="209"/>
      <c r="G1211" s="209"/>
      <c r="H1211" s="209"/>
      <c r="I1211" s="209"/>
      <c r="J1211" s="209"/>
      <c r="K1211" s="209"/>
      <c r="L1211" s="209"/>
      <c r="M1211" s="209"/>
      <c r="N1211" s="209"/>
      <c r="O1211" s="209"/>
      <c r="P1211" s="209"/>
      <c r="Q1211" s="209"/>
      <c r="R1211" s="209"/>
      <c r="S1211" s="209"/>
      <c r="T1211" s="209"/>
      <c r="U1211" s="209"/>
      <c r="V1211" s="209"/>
      <c r="W1211" s="209"/>
      <c r="X1211" s="209"/>
      <c r="Y1211" s="209"/>
      <c r="Z1211" s="209"/>
      <c r="AA1211" s="209"/>
      <c r="AB1211" s="209"/>
      <c r="AC1211" s="209"/>
      <c r="AD1211" s="209"/>
      <c r="AE1211" s="209"/>
      <c r="AF1211" s="209"/>
      <c r="AG1211" s="209"/>
      <c r="AH1211" s="209"/>
      <c r="AI1211" s="209"/>
      <c r="AJ1211" s="209"/>
      <c r="AK1211" s="209"/>
      <c r="AL1211" s="209"/>
      <c r="AM1211" s="209"/>
      <c r="AN1211" s="209"/>
      <c r="AO1211" s="209"/>
      <c r="AP1211" s="209"/>
    </row>
    <row r="1212">
      <c r="A1212" s="209"/>
      <c r="B1212" s="209"/>
      <c r="C1212" s="209"/>
      <c r="D1212" s="209"/>
      <c r="E1212" s="209"/>
      <c r="F1212" s="209"/>
      <c r="G1212" s="209"/>
      <c r="H1212" s="209"/>
      <c r="I1212" s="209"/>
      <c r="J1212" s="209"/>
      <c r="K1212" s="209"/>
      <c r="L1212" s="209"/>
      <c r="M1212" s="209"/>
      <c r="N1212" s="209"/>
      <c r="O1212" s="209"/>
      <c r="P1212" s="209"/>
      <c r="Q1212" s="209"/>
      <c r="R1212" s="209"/>
      <c r="S1212" s="209"/>
      <c r="T1212" s="209"/>
      <c r="U1212" s="209"/>
      <c r="V1212" s="209"/>
      <c r="W1212" s="209"/>
      <c r="X1212" s="209"/>
      <c r="Y1212" s="209"/>
      <c r="Z1212" s="209"/>
      <c r="AA1212" s="209"/>
      <c r="AB1212" s="209"/>
      <c r="AC1212" s="209"/>
      <c r="AD1212" s="209"/>
      <c r="AE1212" s="209"/>
      <c r="AF1212" s="209"/>
      <c r="AG1212" s="209"/>
      <c r="AH1212" s="209"/>
      <c r="AI1212" s="209"/>
      <c r="AJ1212" s="209"/>
      <c r="AK1212" s="209"/>
      <c r="AL1212" s="209"/>
      <c r="AM1212" s="209"/>
      <c r="AN1212" s="209"/>
      <c r="AO1212" s="209"/>
      <c r="AP1212" s="209"/>
    </row>
    <row r="1213">
      <c r="A1213" s="209"/>
      <c r="B1213" s="209"/>
      <c r="C1213" s="209"/>
      <c r="D1213" s="209"/>
      <c r="E1213" s="209"/>
      <c r="F1213" s="209"/>
      <c r="G1213" s="209"/>
      <c r="H1213" s="209"/>
      <c r="I1213" s="209"/>
      <c r="J1213" s="209"/>
      <c r="K1213" s="209"/>
      <c r="L1213" s="209"/>
      <c r="M1213" s="209"/>
      <c r="N1213" s="209"/>
      <c r="O1213" s="209"/>
      <c r="P1213" s="209"/>
      <c r="Q1213" s="209"/>
      <c r="R1213" s="209"/>
      <c r="S1213" s="209"/>
      <c r="T1213" s="209"/>
      <c r="U1213" s="209"/>
      <c r="V1213" s="209"/>
      <c r="W1213" s="209"/>
      <c r="X1213" s="209"/>
      <c r="Y1213" s="209"/>
      <c r="Z1213" s="209"/>
      <c r="AA1213" s="209"/>
      <c r="AB1213" s="209"/>
      <c r="AC1213" s="209"/>
      <c r="AD1213" s="209"/>
      <c r="AE1213" s="209"/>
      <c r="AF1213" s="209"/>
      <c r="AG1213" s="209"/>
      <c r="AH1213" s="209"/>
      <c r="AI1213" s="209"/>
      <c r="AJ1213" s="209"/>
      <c r="AK1213" s="209"/>
      <c r="AL1213" s="209"/>
      <c r="AM1213" s="209"/>
      <c r="AN1213" s="209"/>
      <c r="AO1213" s="209"/>
      <c r="AP1213" s="209"/>
    </row>
    <row r="1214">
      <c r="A1214" s="209"/>
      <c r="B1214" s="209"/>
      <c r="C1214" s="209"/>
      <c r="D1214" s="209"/>
      <c r="E1214" s="209"/>
      <c r="F1214" s="209"/>
      <c r="G1214" s="209"/>
      <c r="H1214" s="209"/>
      <c r="I1214" s="209"/>
      <c r="J1214" s="209"/>
      <c r="K1214" s="209"/>
      <c r="L1214" s="209"/>
      <c r="M1214" s="209"/>
      <c r="N1214" s="209"/>
      <c r="O1214" s="209"/>
      <c r="P1214" s="209"/>
      <c r="Q1214" s="209"/>
      <c r="R1214" s="209"/>
      <c r="S1214" s="209"/>
      <c r="T1214" s="209"/>
      <c r="U1214" s="209"/>
      <c r="V1214" s="209"/>
      <c r="W1214" s="209"/>
      <c r="X1214" s="209"/>
      <c r="Y1214" s="209"/>
      <c r="Z1214" s="209"/>
      <c r="AA1214" s="209"/>
      <c r="AB1214" s="209"/>
      <c r="AC1214" s="209"/>
      <c r="AD1214" s="209"/>
      <c r="AE1214" s="209"/>
      <c r="AF1214" s="209"/>
      <c r="AG1214" s="209"/>
      <c r="AH1214" s="209"/>
      <c r="AI1214" s="209"/>
      <c r="AJ1214" s="209"/>
      <c r="AK1214" s="209"/>
      <c r="AL1214" s="209"/>
      <c r="AM1214" s="209"/>
      <c r="AN1214" s="209"/>
      <c r="AO1214" s="209"/>
      <c r="AP1214" s="209"/>
    </row>
    <row r="1215">
      <c r="A1215" s="209"/>
      <c r="B1215" s="209"/>
      <c r="C1215" s="209"/>
      <c r="D1215" s="209"/>
      <c r="E1215" s="209"/>
      <c r="F1215" s="209"/>
      <c r="G1215" s="209"/>
      <c r="H1215" s="209"/>
      <c r="I1215" s="209"/>
      <c r="J1215" s="209"/>
      <c r="K1215" s="209"/>
      <c r="L1215" s="209"/>
      <c r="M1215" s="209"/>
      <c r="N1215" s="209"/>
      <c r="O1215" s="209"/>
      <c r="P1215" s="209"/>
      <c r="Q1215" s="209"/>
      <c r="R1215" s="209"/>
      <c r="S1215" s="209"/>
      <c r="T1215" s="209"/>
      <c r="U1215" s="209"/>
      <c r="V1215" s="209"/>
      <c r="W1215" s="209"/>
      <c r="X1215" s="209"/>
      <c r="Y1215" s="209"/>
      <c r="Z1215" s="209"/>
      <c r="AA1215" s="209"/>
      <c r="AB1215" s="209"/>
      <c r="AC1215" s="209"/>
      <c r="AD1215" s="209"/>
      <c r="AE1215" s="209"/>
      <c r="AF1215" s="209"/>
      <c r="AG1215" s="209"/>
      <c r="AH1215" s="209"/>
      <c r="AI1215" s="209"/>
      <c r="AJ1215" s="209"/>
      <c r="AK1215" s="209"/>
      <c r="AL1215" s="209"/>
      <c r="AM1215" s="209"/>
      <c r="AN1215" s="209"/>
      <c r="AO1215" s="209"/>
      <c r="AP1215" s="209"/>
    </row>
    <row r="1216">
      <c r="A1216" s="209"/>
      <c r="B1216" s="209"/>
      <c r="C1216" s="209"/>
      <c r="D1216" s="209"/>
      <c r="E1216" s="209"/>
      <c r="F1216" s="209"/>
      <c r="G1216" s="209"/>
      <c r="H1216" s="209"/>
      <c r="I1216" s="209"/>
      <c r="J1216" s="209"/>
      <c r="K1216" s="209"/>
      <c r="L1216" s="209"/>
      <c r="M1216" s="209"/>
      <c r="N1216" s="209"/>
      <c r="O1216" s="209"/>
      <c r="P1216" s="209"/>
      <c r="Q1216" s="209"/>
      <c r="R1216" s="209"/>
      <c r="S1216" s="209"/>
      <c r="T1216" s="209"/>
      <c r="U1216" s="209"/>
      <c r="V1216" s="209"/>
      <c r="W1216" s="209"/>
      <c r="X1216" s="209"/>
      <c r="Y1216" s="209"/>
      <c r="Z1216" s="209"/>
      <c r="AA1216" s="209"/>
      <c r="AB1216" s="209"/>
      <c r="AC1216" s="209"/>
      <c r="AD1216" s="209"/>
      <c r="AE1216" s="209"/>
      <c r="AF1216" s="209"/>
      <c r="AG1216" s="209"/>
      <c r="AH1216" s="209"/>
      <c r="AI1216" s="209"/>
      <c r="AJ1216" s="209"/>
      <c r="AK1216" s="209"/>
      <c r="AL1216" s="209"/>
      <c r="AM1216" s="209"/>
      <c r="AN1216" s="209"/>
      <c r="AO1216" s="209"/>
      <c r="AP1216" s="209"/>
    </row>
    <row r="1217">
      <c r="A1217" s="209"/>
      <c r="B1217" s="209"/>
      <c r="C1217" s="209"/>
      <c r="D1217" s="209"/>
      <c r="E1217" s="209"/>
      <c r="F1217" s="209"/>
      <c r="G1217" s="209"/>
      <c r="H1217" s="209"/>
      <c r="I1217" s="209"/>
      <c r="J1217" s="209"/>
      <c r="K1217" s="209"/>
      <c r="L1217" s="209"/>
      <c r="M1217" s="209"/>
      <c r="N1217" s="209"/>
      <c r="O1217" s="209"/>
      <c r="P1217" s="209"/>
      <c r="Q1217" s="209"/>
      <c r="R1217" s="209"/>
      <c r="S1217" s="209"/>
      <c r="T1217" s="209"/>
      <c r="U1217" s="209"/>
      <c r="V1217" s="209"/>
      <c r="W1217" s="209"/>
      <c r="X1217" s="209"/>
      <c r="Y1217" s="209"/>
      <c r="Z1217" s="209"/>
      <c r="AA1217" s="209"/>
      <c r="AB1217" s="209"/>
      <c r="AC1217" s="209"/>
      <c r="AD1217" s="209"/>
      <c r="AE1217" s="209"/>
      <c r="AF1217" s="209"/>
      <c r="AG1217" s="209"/>
      <c r="AH1217" s="209"/>
      <c r="AI1217" s="209"/>
      <c r="AJ1217" s="209"/>
      <c r="AK1217" s="209"/>
      <c r="AL1217" s="209"/>
      <c r="AM1217" s="209"/>
      <c r="AN1217" s="209"/>
      <c r="AO1217" s="209"/>
      <c r="AP1217" s="209"/>
    </row>
    <row r="1218">
      <c r="A1218" s="209"/>
      <c r="B1218" s="209"/>
      <c r="C1218" s="209"/>
      <c r="D1218" s="209"/>
      <c r="E1218" s="209"/>
      <c r="F1218" s="209"/>
      <c r="G1218" s="209"/>
      <c r="H1218" s="209"/>
      <c r="I1218" s="209"/>
      <c r="J1218" s="209"/>
      <c r="K1218" s="209"/>
      <c r="L1218" s="209"/>
      <c r="M1218" s="209"/>
      <c r="N1218" s="209"/>
      <c r="O1218" s="209"/>
      <c r="P1218" s="209"/>
      <c r="Q1218" s="209"/>
      <c r="R1218" s="209"/>
      <c r="S1218" s="209"/>
      <c r="T1218" s="209"/>
      <c r="U1218" s="209"/>
      <c r="V1218" s="209"/>
      <c r="W1218" s="209"/>
      <c r="X1218" s="209"/>
      <c r="Y1218" s="209"/>
      <c r="Z1218" s="209"/>
      <c r="AA1218" s="209"/>
      <c r="AB1218" s="209"/>
      <c r="AC1218" s="209"/>
      <c r="AD1218" s="209"/>
      <c r="AE1218" s="209"/>
      <c r="AF1218" s="209"/>
      <c r="AG1218" s="209"/>
      <c r="AH1218" s="209"/>
      <c r="AI1218" s="209"/>
      <c r="AJ1218" s="209"/>
      <c r="AK1218" s="209"/>
      <c r="AL1218" s="209"/>
      <c r="AM1218" s="209"/>
      <c r="AN1218" s="209"/>
      <c r="AO1218" s="209"/>
      <c r="AP1218" s="209"/>
    </row>
    <row r="1219">
      <c r="A1219" s="209"/>
      <c r="B1219" s="209"/>
      <c r="C1219" s="209"/>
      <c r="D1219" s="209"/>
      <c r="E1219" s="209"/>
      <c r="F1219" s="209"/>
      <c r="G1219" s="209"/>
      <c r="H1219" s="209"/>
      <c r="I1219" s="209"/>
      <c r="J1219" s="209"/>
      <c r="K1219" s="209"/>
      <c r="L1219" s="209"/>
      <c r="M1219" s="209"/>
      <c r="N1219" s="209"/>
      <c r="O1219" s="209"/>
      <c r="P1219" s="209"/>
      <c r="Q1219" s="209"/>
      <c r="R1219" s="209"/>
      <c r="S1219" s="209"/>
      <c r="T1219" s="209"/>
      <c r="U1219" s="209"/>
      <c r="V1219" s="209"/>
      <c r="W1219" s="209"/>
      <c r="X1219" s="209"/>
      <c r="Y1219" s="209"/>
      <c r="Z1219" s="209"/>
      <c r="AA1219" s="209"/>
      <c r="AB1219" s="209"/>
      <c r="AC1219" s="209"/>
      <c r="AD1219" s="209"/>
      <c r="AE1219" s="209"/>
      <c r="AF1219" s="209"/>
      <c r="AG1219" s="209"/>
      <c r="AH1219" s="209"/>
      <c r="AI1219" s="209"/>
      <c r="AJ1219" s="209"/>
      <c r="AK1219" s="209"/>
      <c r="AL1219" s="209"/>
      <c r="AM1219" s="209"/>
      <c r="AN1219" s="209"/>
      <c r="AO1219" s="209"/>
      <c r="AP1219" s="209"/>
    </row>
    <row r="1220">
      <c r="A1220" s="209"/>
      <c r="B1220" s="209"/>
      <c r="C1220" s="209"/>
      <c r="D1220" s="209"/>
      <c r="E1220" s="209"/>
      <c r="F1220" s="209"/>
      <c r="G1220" s="209"/>
      <c r="H1220" s="209"/>
      <c r="I1220" s="209"/>
      <c r="J1220" s="209"/>
      <c r="K1220" s="209"/>
      <c r="L1220" s="209"/>
      <c r="M1220" s="209"/>
      <c r="N1220" s="209"/>
      <c r="O1220" s="209"/>
      <c r="P1220" s="209"/>
      <c r="Q1220" s="209"/>
      <c r="R1220" s="209"/>
      <c r="S1220" s="209"/>
      <c r="T1220" s="209"/>
      <c r="U1220" s="209"/>
      <c r="V1220" s="209"/>
      <c r="W1220" s="209"/>
      <c r="X1220" s="209"/>
      <c r="Y1220" s="209"/>
      <c r="Z1220" s="209"/>
      <c r="AA1220" s="209"/>
      <c r="AB1220" s="209"/>
      <c r="AC1220" s="209"/>
      <c r="AD1220" s="209"/>
      <c r="AE1220" s="209"/>
      <c r="AF1220" s="209"/>
      <c r="AG1220" s="209"/>
      <c r="AH1220" s="209"/>
      <c r="AI1220" s="209"/>
      <c r="AJ1220" s="209"/>
      <c r="AK1220" s="209"/>
      <c r="AL1220" s="209"/>
      <c r="AM1220" s="209"/>
      <c r="AN1220" s="209"/>
      <c r="AO1220" s="209"/>
      <c r="AP1220" s="209"/>
    </row>
    <row r="1221">
      <c r="A1221" s="209"/>
      <c r="B1221" s="209"/>
      <c r="C1221" s="209"/>
      <c r="D1221" s="209"/>
      <c r="E1221" s="209"/>
      <c r="F1221" s="209"/>
      <c r="G1221" s="209"/>
      <c r="H1221" s="209"/>
      <c r="I1221" s="209"/>
      <c r="J1221" s="209"/>
      <c r="K1221" s="209"/>
      <c r="L1221" s="209"/>
      <c r="M1221" s="209"/>
      <c r="N1221" s="209"/>
      <c r="O1221" s="209"/>
      <c r="P1221" s="209"/>
      <c r="Q1221" s="209"/>
      <c r="R1221" s="209"/>
      <c r="S1221" s="209"/>
      <c r="T1221" s="209"/>
      <c r="U1221" s="209"/>
      <c r="V1221" s="209"/>
      <c r="W1221" s="209"/>
      <c r="X1221" s="209"/>
      <c r="Y1221" s="209"/>
      <c r="Z1221" s="209"/>
      <c r="AA1221" s="209"/>
      <c r="AB1221" s="209"/>
      <c r="AC1221" s="209"/>
      <c r="AD1221" s="209"/>
      <c r="AE1221" s="209"/>
      <c r="AF1221" s="209"/>
      <c r="AG1221" s="209"/>
      <c r="AH1221" s="209"/>
      <c r="AI1221" s="209"/>
      <c r="AJ1221" s="209"/>
      <c r="AK1221" s="209"/>
      <c r="AL1221" s="209"/>
      <c r="AM1221" s="209"/>
      <c r="AN1221" s="209"/>
      <c r="AO1221" s="209"/>
      <c r="AP1221" s="209"/>
    </row>
    <row r="1222">
      <c r="A1222" s="209"/>
      <c r="B1222" s="209"/>
      <c r="C1222" s="209"/>
      <c r="D1222" s="209"/>
      <c r="E1222" s="209"/>
      <c r="F1222" s="209"/>
      <c r="G1222" s="209"/>
      <c r="H1222" s="209"/>
      <c r="I1222" s="209"/>
      <c r="J1222" s="209"/>
      <c r="K1222" s="209"/>
      <c r="L1222" s="209"/>
      <c r="M1222" s="209"/>
      <c r="N1222" s="209"/>
      <c r="O1222" s="209"/>
      <c r="P1222" s="209"/>
      <c r="Q1222" s="209"/>
      <c r="R1222" s="209"/>
      <c r="S1222" s="209"/>
      <c r="T1222" s="209"/>
      <c r="U1222" s="209"/>
      <c r="V1222" s="209"/>
      <c r="W1222" s="209"/>
      <c r="X1222" s="209"/>
      <c r="Y1222" s="209"/>
      <c r="Z1222" s="209"/>
      <c r="AA1222" s="209"/>
      <c r="AB1222" s="209"/>
      <c r="AC1222" s="209"/>
      <c r="AD1222" s="209"/>
      <c r="AE1222" s="209"/>
      <c r="AF1222" s="209"/>
      <c r="AG1222" s="209"/>
      <c r="AH1222" s="209"/>
      <c r="AI1222" s="209"/>
      <c r="AJ1222" s="209"/>
      <c r="AK1222" s="209"/>
      <c r="AL1222" s="209"/>
      <c r="AM1222" s="209"/>
      <c r="AN1222" s="209"/>
      <c r="AO1222" s="209"/>
      <c r="AP1222" s="209"/>
    </row>
    <row r="1223">
      <c r="A1223" s="209"/>
      <c r="B1223" s="209"/>
      <c r="C1223" s="209"/>
      <c r="D1223" s="209"/>
      <c r="E1223" s="209"/>
      <c r="F1223" s="209"/>
      <c r="G1223" s="209"/>
      <c r="H1223" s="209"/>
      <c r="I1223" s="209"/>
      <c r="J1223" s="209"/>
      <c r="K1223" s="209"/>
      <c r="L1223" s="209"/>
      <c r="M1223" s="209"/>
      <c r="N1223" s="209"/>
      <c r="O1223" s="209"/>
      <c r="P1223" s="209"/>
      <c r="Q1223" s="209"/>
      <c r="R1223" s="209"/>
      <c r="S1223" s="209"/>
      <c r="T1223" s="209"/>
      <c r="U1223" s="209"/>
      <c r="V1223" s="209"/>
      <c r="W1223" s="209"/>
      <c r="X1223" s="209"/>
      <c r="Y1223" s="209"/>
      <c r="Z1223" s="209"/>
      <c r="AA1223" s="209"/>
      <c r="AB1223" s="209"/>
      <c r="AC1223" s="209"/>
      <c r="AD1223" s="209"/>
      <c r="AE1223" s="209"/>
      <c r="AF1223" s="209"/>
      <c r="AG1223" s="209"/>
      <c r="AH1223" s="209"/>
      <c r="AI1223" s="209"/>
      <c r="AJ1223" s="209"/>
      <c r="AK1223" s="209"/>
      <c r="AL1223" s="209"/>
      <c r="AM1223" s="209"/>
      <c r="AN1223" s="209"/>
      <c r="AO1223" s="209"/>
      <c r="AP1223" s="209"/>
    </row>
    <row r="1224">
      <c r="A1224" s="209"/>
      <c r="B1224" s="209"/>
      <c r="C1224" s="209"/>
      <c r="D1224" s="209"/>
      <c r="E1224" s="209"/>
      <c r="F1224" s="209"/>
      <c r="G1224" s="209"/>
      <c r="H1224" s="209"/>
      <c r="I1224" s="209"/>
      <c r="J1224" s="209"/>
      <c r="K1224" s="209"/>
      <c r="L1224" s="209"/>
      <c r="M1224" s="209"/>
      <c r="N1224" s="209"/>
      <c r="O1224" s="209"/>
      <c r="P1224" s="209"/>
      <c r="Q1224" s="209"/>
      <c r="R1224" s="209"/>
      <c r="S1224" s="209"/>
      <c r="T1224" s="209"/>
      <c r="U1224" s="209"/>
      <c r="V1224" s="209"/>
      <c r="W1224" s="209"/>
      <c r="X1224" s="209"/>
      <c r="Y1224" s="209"/>
      <c r="Z1224" s="209"/>
      <c r="AA1224" s="209"/>
      <c r="AB1224" s="209"/>
      <c r="AC1224" s="209"/>
      <c r="AD1224" s="209"/>
      <c r="AE1224" s="209"/>
      <c r="AF1224" s="209"/>
      <c r="AG1224" s="209"/>
      <c r="AH1224" s="209"/>
      <c r="AI1224" s="209"/>
      <c r="AJ1224" s="209"/>
      <c r="AK1224" s="209"/>
      <c r="AL1224" s="209"/>
      <c r="AM1224" s="209"/>
      <c r="AN1224" s="209"/>
      <c r="AO1224" s="209"/>
      <c r="AP1224" s="209"/>
    </row>
    <row r="1225">
      <c r="A1225" s="209"/>
      <c r="B1225" s="209"/>
      <c r="C1225" s="209"/>
      <c r="D1225" s="209"/>
      <c r="E1225" s="209"/>
      <c r="F1225" s="209"/>
      <c r="G1225" s="209"/>
      <c r="H1225" s="209"/>
      <c r="I1225" s="209"/>
      <c r="J1225" s="209"/>
      <c r="K1225" s="209"/>
      <c r="L1225" s="209"/>
      <c r="M1225" s="209"/>
      <c r="N1225" s="209"/>
      <c r="O1225" s="209"/>
      <c r="P1225" s="209"/>
      <c r="Q1225" s="209"/>
      <c r="R1225" s="209"/>
      <c r="S1225" s="209"/>
      <c r="T1225" s="209"/>
      <c r="U1225" s="209"/>
      <c r="V1225" s="209"/>
      <c r="W1225" s="209"/>
      <c r="X1225" s="209"/>
      <c r="Y1225" s="209"/>
      <c r="Z1225" s="209"/>
      <c r="AA1225" s="209"/>
      <c r="AB1225" s="209"/>
      <c r="AC1225" s="209"/>
      <c r="AD1225" s="209"/>
      <c r="AE1225" s="209"/>
      <c r="AF1225" s="209"/>
      <c r="AG1225" s="209"/>
      <c r="AH1225" s="209"/>
      <c r="AI1225" s="209"/>
      <c r="AJ1225" s="209"/>
      <c r="AK1225" s="209"/>
      <c r="AL1225" s="209"/>
      <c r="AM1225" s="209"/>
      <c r="AN1225" s="209"/>
      <c r="AO1225" s="209"/>
      <c r="AP1225" s="209"/>
    </row>
    <row r="1226">
      <c r="A1226" s="209"/>
      <c r="B1226" s="209"/>
      <c r="C1226" s="209"/>
      <c r="D1226" s="209"/>
      <c r="E1226" s="209"/>
      <c r="F1226" s="209"/>
      <c r="G1226" s="209"/>
      <c r="H1226" s="209"/>
      <c r="I1226" s="209"/>
      <c r="J1226" s="209"/>
      <c r="K1226" s="209"/>
      <c r="L1226" s="209"/>
      <c r="M1226" s="209"/>
      <c r="N1226" s="209"/>
      <c r="O1226" s="209"/>
      <c r="P1226" s="209"/>
      <c r="Q1226" s="209"/>
      <c r="R1226" s="209"/>
      <c r="S1226" s="209"/>
      <c r="T1226" s="209"/>
      <c r="U1226" s="209"/>
      <c r="V1226" s="209"/>
      <c r="W1226" s="209"/>
      <c r="X1226" s="209"/>
      <c r="Y1226" s="209"/>
      <c r="Z1226" s="209"/>
      <c r="AA1226" s="209"/>
      <c r="AB1226" s="209"/>
      <c r="AC1226" s="209"/>
      <c r="AD1226" s="209"/>
      <c r="AE1226" s="209"/>
      <c r="AF1226" s="209"/>
      <c r="AG1226" s="209"/>
      <c r="AH1226" s="209"/>
      <c r="AI1226" s="209"/>
      <c r="AJ1226" s="209"/>
      <c r="AK1226" s="209"/>
      <c r="AL1226" s="209"/>
      <c r="AM1226" s="209"/>
      <c r="AN1226" s="209"/>
      <c r="AO1226" s="209"/>
      <c r="AP1226" s="209"/>
    </row>
    <row r="1227">
      <c r="A1227" s="209"/>
      <c r="B1227" s="209"/>
      <c r="C1227" s="209"/>
      <c r="D1227" s="209"/>
      <c r="E1227" s="209"/>
      <c r="F1227" s="209"/>
      <c r="G1227" s="209"/>
      <c r="H1227" s="209"/>
      <c r="I1227" s="209"/>
      <c r="J1227" s="209"/>
      <c r="K1227" s="209"/>
      <c r="L1227" s="209"/>
      <c r="M1227" s="209"/>
      <c r="N1227" s="209"/>
      <c r="O1227" s="209"/>
      <c r="P1227" s="209"/>
      <c r="Q1227" s="209"/>
      <c r="R1227" s="209"/>
      <c r="S1227" s="209"/>
      <c r="T1227" s="209"/>
      <c r="U1227" s="209"/>
      <c r="V1227" s="209"/>
      <c r="W1227" s="209"/>
      <c r="X1227" s="209"/>
      <c r="Y1227" s="209"/>
      <c r="Z1227" s="209"/>
      <c r="AA1227" s="209"/>
      <c r="AB1227" s="209"/>
      <c r="AC1227" s="209"/>
      <c r="AD1227" s="209"/>
      <c r="AE1227" s="209"/>
      <c r="AF1227" s="209"/>
      <c r="AG1227" s="209"/>
      <c r="AH1227" s="209"/>
      <c r="AI1227" s="209"/>
      <c r="AJ1227" s="209"/>
      <c r="AK1227" s="209"/>
      <c r="AL1227" s="209"/>
      <c r="AM1227" s="209"/>
      <c r="AN1227" s="209"/>
      <c r="AO1227" s="209"/>
      <c r="AP1227" s="209"/>
    </row>
    <row r="1228">
      <c r="A1228" s="209"/>
      <c r="B1228" s="209"/>
      <c r="C1228" s="209"/>
      <c r="D1228" s="209"/>
      <c r="E1228" s="209"/>
      <c r="F1228" s="209"/>
      <c r="G1228" s="209"/>
      <c r="H1228" s="209"/>
      <c r="I1228" s="209"/>
      <c r="J1228" s="209"/>
      <c r="K1228" s="209"/>
      <c r="L1228" s="209"/>
      <c r="M1228" s="209"/>
      <c r="N1228" s="209"/>
      <c r="O1228" s="209"/>
      <c r="P1228" s="209"/>
      <c r="Q1228" s="209"/>
      <c r="R1228" s="209"/>
      <c r="S1228" s="209"/>
      <c r="T1228" s="209"/>
      <c r="U1228" s="209"/>
      <c r="V1228" s="209"/>
      <c r="W1228" s="209"/>
      <c r="X1228" s="209"/>
      <c r="Y1228" s="209"/>
      <c r="Z1228" s="209"/>
      <c r="AA1228" s="209"/>
      <c r="AB1228" s="209"/>
      <c r="AC1228" s="209"/>
      <c r="AD1228" s="209"/>
      <c r="AE1228" s="209"/>
      <c r="AF1228" s="209"/>
      <c r="AG1228" s="209"/>
      <c r="AH1228" s="209"/>
      <c r="AI1228" s="209"/>
      <c r="AJ1228" s="209"/>
      <c r="AK1228" s="209"/>
      <c r="AL1228" s="209"/>
      <c r="AM1228" s="209"/>
      <c r="AN1228" s="209"/>
      <c r="AO1228" s="209"/>
      <c r="AP1228" s="209"/>
    </row>
    <row r="1229">
      <c r="A1229" s="209"/>
      <c r="B1229" s="209"/>
      <c r="C1229" s="209"/>
      <c r="D1229" s="209"/>
      <c r="E1229" s="209"/>
      <c r="F1229" s="209"/>
      <c r="G1229" s="209"/>
      <c r="H1229" s="209"/>
      <c r="I1229" s="209"/>
      <c r="J1229" s="209"/>
      <c r="K1229" s="209"/>
      <c r="L1229" s="209"/>
      <c r="M1229" s="209"/>
      <c r="N1229" s="209"/>
      <c r="O1229" s="209"/>
      <c r="P1229" s="209"/>
      <c r="Q1229" s="209"/>
      <c r="R1229" s="209"/>
      <c r="S1229" s="209"/>
      <c r="T1229" s="209"/>
      <c r="U1229" s="209"/>
      <c r="V1229" s="209"/>
      <c r="W1229" s="209"/>
      <c r="X1229" s="209"/>
      <c r="Y1229" s="209"/>
      <c r="Z1229" s="209"/>
      <c r="AA1229" s="209"/>
      <c r="AB1229" s="209"/>
      <c r="AC1229" s="209"/>
      <c r="AD1229" s="209"/>
      <c r="AE1229" s="209"/>
      <c r="AF1229" s="209"/>
      <c r="AG1229" s="209"/>
      <c r="AH1229" s="209"/>
      <c r="AI1229" s="209"/>
      <c r="AJ1229" s="209"/>
      <c r="AK1229" s="209"/>
      <c r="AL1229" s="209"/>
      <c r="AM1229" s="209"/>
      <c r="AN1229" s="209"/>
      <c r="AO1229" s="209"/>
      <c r="AP1229" s="209"/>
    </row>
    <row r="1230">
      <c r="A1230" s="209"/>
      <c r="B1230" s="209"/>
      <c r="C1230" s="209"/>
      <c r="D1230" s="209"/>
      <c r="E1230" s="209"/>
      <c r="F1230" s="209"/>
      <c r="G1230" s="209"/>
      <c r="H1230" s="209"/>
      <c r="I1230" s="209"/>
      <c r="J1230" s="209"/>
      <c r="K1230" s="209"/>
      <c r="L1230" s="209"/>
      <c r="M1230" s="209"/>
      <c r="N1230" s="209"/>
      <c r="O1230" s="209"/>
      <c r="P1230" s="209"/>
      <c r="Q1230" s="209"/>
      <c r="R1230" s="209"/>
      <c r="S1230" s="209"/>
      <c r="T1230" s="209"/>
      <c r="U1230" s="209"/>
      <c r="V1230" s="209"/>
      <c r="W1230" s="209"/>
      <c r="X1230" s="209"/>
      <c r="Y1230" s="209"/>
      <c r="Z1230" s="209"/>
      <c r="AA1230" s="209"/>
      <c r="AB1230" s="209"/>
      <c r="AC1230" s="209"/>
      <c r="AD1230" s="209"/>
      <c r="AE1230" s="209"/>
      <c r="AF1230" s="209"/>
      <c r="AG1230" s="209"/>
      <c r="AH1230" s="209"/>
      <c r="AI1230" s="209"/>
      <c r="AJ1230" s="209"/>
      <c r="AK1230" s="209"/>
      <c r="AL1230" s="209"/>
      <c r="AM1230" s="209"/>
      <c r="AN1230" s="209"/>
      <c r="AO1230" s="209"/>
      <c r="AP1230" s="209"/>
    </row>
    <row r="1231">
      <c r="A1231" s="209"/>
      <c r="B1231" s="209"/>
      <c r="C1231" s="209"/>
      <c r="D1231" s="209"/>
      <c r="E1231" s="209"/>
      <c r="F1231" s="209"/>
      <c r="G1231" s="209"/>
      <c r="H1231" s="209"/>
      <c r="I1231" s="209"/>
      <c r="J1231" s="209"/>
      <c r="K1231" s="209"/>
      <c r="L1231" s="209"/>
      <c r="M1231" s="209"/>
      <c r="N1231" s="209"/>
      <c r="O1231" s="209"/>
      <c r="P1231" s="209"/>
      <c r="Q1231" s="209"/>
      <c r="R1231" s="209"/>
      <c r="S1231" s="209"/>
      <c r="T1231" s="209"/>
      <c r="U1231" s="209"/>
      <c r="V1231" s="209"/>
      <c r="W1231" s="209"/>
      <c r="X1231" s="209"/>
      <c r="Y1231" s="209"/>
      <c r="Z1231" s="209"/>
      <c r="AA1231" s="209"/>
      <c r="AB1231" s="209"/>
      <c r="AC1231" s="209"/>
      <c r="AD1231" s="209"/>
      <c r="AE1231" s="209"/>
      <c r="AF1231" s="209"/>
      <c r="AG1231" s="209"/>
      <c r="AH1231" s="209"/>
      <c r="AI1231" s="209"/>
      <c r="AJ1231" s="209"/>
      <c r="AK1231" s="209"/>
      <c r="AL1231" s="209"/>
      <c r="AM1231" s="209"/>
      <c r="AN1231" s="209"/>
      <c r="AO1231" s="209"/>
      <c r="AP1231" s="209"/>
    </row>
    <row r="1232">
      <c r="A1232" s="209"/>
      <c r="B1232" s="209"/>
      <c r="C1232" s="209"/>
      <c r="D1232" s="209"/>
      <c r="E1232" s="209"/>
      <c r="F1232" s="209"/>
      <c r="G1232" s="209"/>
      <c r="H1232" s="209"/>
      <c r="I1232" s="209"/>
      <c r="J1232" s="209"/>
      <c r="K1232" s="209"/>
      <c r="L1232" s="209"/>
      <c r="M1232" s="209"/>
      <c r="N1232" s="209"/>
      <c r="O1232" s="209"/>
      <c r="P1232" s="209"/>
      <c r="Q1232" s="209"/>
      <c r="R1232" s="209"/>
      <c r="S1232" s="209"/>
      <c r="T1232" s="209"/>
      <c r="U1232" s="209"/>
      <c r="V1232" s="209"/>
      <c r="W1232" s="209"/>
      <c r="X1232" s="209"/>
      <c r="Y1232" s="209"/>
      <c r="Z1232" s="209"/>
      <c r="AA1232" s="209"/>
      <c r="AB1232" s="209"/>
      <c r="AC1232" s="209"/>
      <c r="AD1232" s="209"/>
      <c r="AE1232" s="209"/>
      <c r="AF1232" s="209"/>
      <c r="AG1232" s="209"/>
      <c r="AH1232" s="209"/>
      <c r="AI1232" s="209"/>
      <c r="AJ1232" s="209"/>
      <c r="AK1232" s="209"/>
      <c r="AL1232" s="209"/>
      <c r="AM1232" s="209"/>
      <c r="AN1232" s="209"/>
      <c r="AO1232" s="209"/>
      <c r="AP1232" s="209"/>
    </row>
    <row r="1233">
      <c r="A1233" s="209"/>
      <c r="B1233" s="209"/>
      <c r="C1233" s="209"/>
      <c r="D1233" s="209"/>
      <c r="E1233" s="209"/>
      <c r="F1233" s="209"/>
      <c r="G1233" s="209"/>
      <c r="H1233" s="209"/>
      <c r="I1233" s="209"/>
      <c r="J1233" s="209"/>
      <c r="K1233" s="209"/>
      <c r="L1233" s="209"/>
      <c r="M1233" s="209"/>
      <c r="N1233" s="209"/>
      <c r="O1233" s="209"/>
      <c r="P1233" s="209"/>
      <c r="Q1233" s="209"/>
      <c r="R1233" s="209"/>
      <c r="S1233" s="209"/>
      <c r="T1233" s="209"/>
      <c r="U1233" s="209"/>
      <c r="V1233" s="209"/>
      <c r="W1233" s="209"/>
      <c r="X1233" s="209"/>
      <c r="Y1233" s="209"/>
      <c r="Z1233" s="209"/>
      <c r="AA1233" s="209"/>
      <c r="AB1233" s="209"/>
      <c r="AC1233" s="209"/>
      <c r="AD1233" s="209"/>
      <c r="AE1233" s="209"/>
      <c r="AF1233" s="209"/>
      <c r="AG1233" s="209"/>
      <c r="AH1233" s="209"/>
      <c r="AI1233" s="209"/>
      <c r="AJ1233" s="209"/>
      <c r="AK1233" s="209"/>
      <c r="AL1233" s="209"/>
      <c r="AM1233" s="209"/>
      <c r="AN1233" s="209"/>
      <c r="AO1233" s="209"/>
      <c r="AP1233" s="209"/>
    </row>
    <row r="1234">
      <c r="A1234" s="209"/>
      <c r="B1234" s="209"/>
      <c r="C1234" s="209"/>
      <c r="D1234" s="209"/>
      <c r="E1234" s="209"/>
      <c r="F1234" s="209"/>
      <c r="G1234" s="209"/>
      <c r="H1234" s="209"/>
      <c r="I1234" s="209"/>
      <c r="J1234" s="209"/>
      <c r="K1234" s="209"/>
      <c r="L1234" s="209"/>
      <c r="M1234" s="209"/>
      <c r="N1234" s="209"/>
      <c r="O1234" s="209"/>
      <c r="P1234" s="209"/>
      <c r="Q1234" s="209"/>
      <c r="R1234" s="209"/>
      <c r="S1234" s="209"/>
      <c r="T1234" s="209"/>
      <c r="U1234" s="209"/>
      <c r="V1234" s="209"/>
      <c r="W1234" s="209"/>
      <c r="X1234" s="209"/>
      <c r="Y1234" s="209"/>
      <c r="Z1234" s="209"/>
      <c r="AA1234" s="209"/>
      <c r="AB1234" s="209"/>
      <c r="AC1234" s="209"/>
      <c r="AD1234" s="209"/>
      <c r="AE1234" s="209"/>
      <c r="AF1234" s="209"/>
      <c r="AG1234" s="209"/>
      <c r="AH1234" s="209"/>
      <c r="AI1234" s="209"/>
      <c r="AJ1234" s="209"/>
      <c r="AK1234" s="209"/>
      <c r="AL1234" s="209"/>
      <c r="AM1234" s="209"/>
      <c r="AN1234" s="209"/>
      <c r="AO1234" s="209"/>
      <c r="AP1234" s="209"/>
    </row>
    <row r="1235">
      <c r="A1235" s="209"/>
      <c r="B1235" s="209"/>
      <c r="C1235" s="209"/>
      <c r="D1235" s="209"/>
      <c r="E1235" s="209"/>
      <c r="F1235" s="209"/>
      <c r="G1235" s="209"/>
      <c r="H1235" s="209"/>
      <c r="I1235" s="209"/>
      <c r="J1235" s="209"/>
      <c r="K1235" s="209"/>
      <c r="L1235" s="209"/>
      <c r="M1235" s="209"/>
      <c r="N1235" s="209"/>
      <c r="O1235" s="209"/>
      <c r="P1235" s="209"/>
      <c r="Q1235" s="209"/>
      <c r="R1235" s="209"/>
      <c r="S1235" s="209"/>
      <c r="T1235" s="209"/>
      <c r="U1235" s="209"/>
      <c r="V1235" s="209"/>
      <c r="W1235" s="209"/>
      <c r="X1235" s="209"/>
      <c r="Y1235" s="209"/>
      <c r="Z1235" s="209"/>
      <c r="AA1235" s="209"/>
      <c r="AB1235" s="209"/>
      <c r="AC1235" s="209"/>
      <c r="AD1235" s="209"/>
      <c r="AE1235" s="209"/>
      <c r="AF1235" s="209"/>
      <c r="AG1235" s="209"/>
      <c r="AH1235" s="209"/>
      <c r="AI1235" s="209"/>
      <c r="AJ1235" s="209"/>
      <c r="AK1235" s="209"/>
      <c r="AL1235" s="209"/>
      <c r="AM1235" s="209"/>
      <c r="AN1235" s="209"/>
      <c r="AO1235" s="209"/>
      <c r="AP1235" s="209"/>
    </row>
    <row r="1236">
      <c r="A1236" s="209"/>
      <c r="B1236" s="209"/>
      <c r="C1236" s="209"/>
      <c r="D1236" s="209"/>
      <c r="E1236" s="209"/>
      <c r="F1236" s="209"/>
      <c r="G1236" s="209"/>
      <c r="H1236" s="209"/>
      <c r="I1236" s="209"/>
      <c r="J1236" s="209"/>
      <c r="K1236" s="209"/>
      <c r="L1236" s="209"/>
      <c r="M1236" s="209"/>
      <c r="N1236" s="209"/>
      <c r="O1236" s="209"/>
      <c r="P1236" s="209"/>
      <c r="Q1236" s="209"/>
      <c r="R1236" s="209"/>
      <c r="S1236" s="209"/>
      <c r="T1236" s="209"/>
      <c r="U1236" s="209"/>
      <c r="V1236" s="209"/>
      <c r="W1236" s="209"/>
      <c r="X1236" s="209"/>
      <c r="Y1236" s="209"/>
      <c r="Z1236" s="209"/>
      <c r="AA1236" s="209"/>
      <c r="AB1236" s="209"/>
      <c r="AC1236" s="209"/>
      <c r="AD1236" s="209"/>
      <c r="AE1236" s="209"/>
      <c r="AF1236" s="209"/>
      <c r="AG1236" s="209"/>
      <c r="AH1236" s="209"/>
      <c r="AI1236" s="209"/>
      <c r="AJ1236" s="209"/>
      <c r="AK1236" s="209"/>
      <c r="AL1236" s="209"/>
      <c r="AM1236" s="209"/>
      <c r="AN1236" s="209"/>
      <c r="AO1236" s="209"/>
      <c r="AP1236" s="209"/>
    </row>
    <row r="1237">
      <c r="A1237" s="209"/>
      <c r="B1237" s="209"/>
      <c r="C1237" s="209"/>
      <c r="D1237" s="209"/>
      <c r="E1237" s="209"/>
      <c r="F1237" s="209"/>
      <c r="G1237" s="209"/>
      <c r="H1237" s="209"/>
      <c r="I1237" s="209"/>
      <c r="J1237" s="209"/>
      <c r="K1237" s="209"/>
      <c r="L1237" s="209"/>
      <c r="M1237" s="209"/>
      <c r="N1237" s="209"/>
      <c r="O1237" s="209"/>
      <c r="P1237" s="209"/>
      <c r="Q1237" s="209"/>
      <c r="R1237" s="209"/>
      <c r="S1237" s="209"/>
      <c r="T1237" s="209"/>
      <c r="U1237" s="209"/>
      <c r="V1237" s="209"/>
      <c r="W1237" s="209"/>
      <c r="X1237" s="209"/>
      <c r="Y1237" s="209"/>
      <c r="Z1237" s="209"/>
      <c r="AA1237" s="209"/>
      <c r="AB1237" s="209"/>
      <c r="AC1237" s="209"/>
      <c r="AD1237" s="209"/>
      <c r="AE1237" s="209"/>
      <c r="AF1237" s="209"/>
      <c r="AG1237" s="209"/>
      <c r="AH1237" s="209"/>
      <c r="AI1237" s="209"/>
      <c r="AJ1237" s="209"/>
      <c r="AK1237" s="209"/>
      <c r="AL1237" s="209"/>
      <c r="AM1237" s="209"/>
      <c r="AN1237" s="209"/>
      <c r="AO1237" s="209"/>
      <c r="AP1237" s="209"/>
    </row>
    <row r="1238">
      <c r="A1238" s="209"/>
      <c r="B1238" s="209"/>
      <c r="C1238" s="209"/>
      <c r="D1238" s="209"/>
      <c r="E1238" s="209"/>
      <c r="F1238" s="209"/>
      <c r="G1238" s="209"/>
      <c r="H1238" s="209"/>
      <c r="I1238" s="209"/>
      <c r="J1238" s="209"/>
      <c r="K1238" s="209"/>
      <c r="L1238" s="209"/>
      <c r="M1238" s="209"/>
      <c r="N1238" s="209"/>
      <c r="O1238" s="209"/>
      <c r="P1238" s="209"/>
      <c r="Q1238" s="209"/>
      <c r="R1238" s="209"/>
      <c r="S1238" s="209"/>
      <c r="T1238" s="209"/>
      <c r="U1238" s="209"/>
      <c r="V1238" s="209"/>
      <c r="W1238" s="209"/>
      <c r="X1238" s="209"/>
      <c r="Y1238" s="209"/>
      <c r="Z1238" s="209"/>
      <c r="AA1238" s="209"/>
      <c r="AB1238" s="209"/>
      <c r="AC1238" s="209"/>
      <c r="AD1238" s="209"/>
      <c r="AE1238" s="209"/>
      <c r="AF1238" s="209"/>
      <c r="AG1238" s="209"/>
      <c r="AH1238" s="209"/>
      <c r="AI1238" s="209"/>
      <c r="AJ1238" s="209"/>
      <c r="AK1238" s="209"/>
      <c r="AL1238" s="209"/>
      <c r="AM1238" s="209"/>
      <c r="AN1238" s="209"/>
      <c r="AO1238" s="209"/>
      <c r="AP1238" s="209"/>
    </row>
    <row r="1239">
      <c r="A1239" s="209"/>
      <c r="B1239" s="209"/>
      <c r="C1239" s="209"/>
      <c r="D1239" s="209"/>
      <c r="E1239" s="209"/>
      <c r="F1239" s="209"/>
      <c r="G1239" s="209"/>
      <c r="H1239" s="209"/>
      <c r="I1239" s="209"/>
      <c r="J1239" s="209"/>
      <c r="K1239" s="209"/>
      <c r="L1239" s="209"/>
      <c r="M1239" s="209"/>
      <c r="N1239" s="209"/>
      <c r="O1239" s="209"/>
      <c r="P1239" s="209"/>
      <c r="Q1239" s="209"/>
      <c r="R1239" s="209"/>
      <c r="S1239" s="209"/>
      <c r="T1239" s="209"/>
      <c r="U1239" s="209"/>
      <c r="V1239" s="209"/>
      <c r="W1239" s="209"/>
      <c r="X1239" s="209"/>
      <c r="Y1239" s="209"/>
      <c r="Z1239" s="209"/>
      <c r="AA1239" s="209"/>
      <c r="AB1239" s="209"/>
      <c r="AC1239" s="209"/>
      <c r="AD1239" s="209"/>
      <c r="AE1239" s="209"/>
      <c r="AF1239" s="209"/>
      <c r="AG1239" s="209"/>
      <c r="AH1239" s="209"/>
      <c r="AI1239" s="209"/>
      <c r="AJ1239" s="209"/>
      <c r="AK1239" s="209"/>
      <c r="AL1239" s="209"/>
      <c r="AM1239" s="209"/>
      <c r="AN1239" s="209"/>
      <c r="AO1239" s="209"/>
      <c r="AP1239" s="209"/>
    </row>
    <row r="1240">
      <c r="A1240" s="209"/>
      <c r="B1240" s="209"/>
      <c r="C1240" s="209"/>
      <c r="D1240" s="209"/>
      <c r="E1240" s="209"/>
      <c r="F1240" s="209"/>
      <c r="G1240" s="209"/>
      <c r="H1240" s="209"/>
      <c r="I1240" s="209"/>
      <c r="J1240" s="209"/>
      <c r="K1240" s="209"/>
      <c r="L1240" s="209"/>
      <c r="M1240" s="209"/>
      <c r="N1240" s="209"/>
      <c r="O1240" s="209"/>
      <c r="P1240" s="209"/>
      <c r="Q1240" s="209"/>
      <c r="R1240" s="209"/>
      <c r="S1240" s="209"/>
      <c r="T1240" s="209"/>
      <c r="U1240" s="209"/>
      <c r="V1240" s="209"/>
      <c r="W1240" s="209"/>
      <c r="X1240" s="209"/>
      <c r="Y1240" s="209"/>
      <c r="Z1240" s="209"/>
      <c r="AA1240" s="209"/>
      <c r="AB1240" s="209"/>
      <c r="AC1240" s="209"/>
      <c r="AD1240" s="209"/>
      <c r="AE1240" s="209"/>
      <c r="AF1240" s="209"/>
      <c r="AG1240" s="209"/>
      <c r="AH1240" s="209"/>
      <c r="AI1240" s="209"/>
      <c r="AJ1240" s="209"/>
      <c r="AK1240" s="209"/>
      <c r="AL1240" s="209"/>
      <c r="AM1240" s="209"/>
      <c r="AN1240" s="209"/>
      <c r="AO1240" s="209"/>
      <c r="AP1240" s="209"/>
    </row>
    <row r="1241">
      <c r="A1241" s="209"/>
      <c r="B1241" s="209"/>
      <c r="C1241" s="209"/>
      <c r="D1241" s="209"/>
      <c r="E1241" s="209"/>
      <c r="F1241" s="209"/>
      <c r="G1241" s="209"/>
      <c r="H1241" s="209"/>
      <c r="I1241" s="209"/>
      <c r="J1241" s="209"/>
      <c r="K1241" s="209"/>
      <c r="L1241" s="209"/>
      <c r="M1241" s="209"/>
      <c r="N1241" s="209"/>
      <c r="O1241" s="209"/>
      <c r="P1241" s="209"/>
      <c r="Q1241" s="209"/>
      <c r="R1241" s="209"/>
      <c r="S1241" s="209"/>
      <c r="T1241" s="209"/>
      <c r="U1241" s="209"/>
      <c r="V1241" s="209"/>
      <c r="W1241" s="209"/>
      <c r="X1241" s="209"/>
      <c r="Y1241" s="209"/>
      <c r="Z1241" s="209"/>
      <c r="AA1241" s="209"/>
      <c r="AB1241" s="209"/>
      <c r="AC1241" s="209"/>
      <c r="AD1241" s="209"/>
      <c r="AE1241" s="209"/>
      <c r="AF1241" s="209"/>
      <c r="AG1241" s="209"/>
      <c r="AH1241" s="209"/>
      <c r="AI1241" s="209"/>
      <c r="AJ1241" s="209"/>
      <c r="AK1241" s="209"/>
      <c r="AL1241" s="209"/>
      <c r="AM1241" s="209"/>
      <c r="AN1241" s="209"/>
      <c r="AO1241" s="209"/>
      <c r="AP1241" s="209"/>
    </row>
    <row r="1242">
      <c r="A1242" s="209"/>
      <c r="B1242" s="209"/>
      <c r="C1242" s="209"/>
      <c r="D1242" s="209"/>
      <c r="E1242" s="209"/>
      <c r="F1242" s="209"/>
      <c r="G1242" s="209"/>
      <c r="H1242" s="209"/>
      <c r="I1242" s="209"/>
      <c r="J1242" s="209"/>
      <c r="K1242" s="209"/>
      <c r="L1242" s="209"/>
      <c r="M1242" s="209"/>
      <c r="N1242" s="209"/>
      <c r="O1242" s="209"/>
      <c r="P1242" s="209"/>
      <c r="Q1242" s="209"/>
      <c r="R1242" s="209"/>
      <c r="S1242" s="209"/>
      <c r="T1242" s="209"/>
      <c r="U1242" s="209"/>
      <c r="V1242" s="209"/>
      <c r="W1242" s="209"/>
      <c r="X1242" s="209"/>
      <c r="Y1242" s="209"/>
      <c r="Z1242" s="209"/>
      <c r="AA1242" s="209"/>
      <c r="AB1242" s="209"/>
      <c r="AC1242" s="209"/>
      <c r="AD1242" s="209"/>
      <c r="AE1242" s="209"/>
      <c r="AF1242" s="209"/>
      <c r="AG1242" s="209"/>
      <c r="AH1242" s="209"/>
      <c r="AI1242" s="209"/>
      <c r="AJ1242" s="209"/>
      <c r="AK1242" s="209"/>
      <c r="AL1242" s="209"/>
      <c r="AM1242" s="209"/>
      <c r="AN1242" s="209"/>
      <c r="AO1242" s="209"/>
      <c r="AP1242" s="209"/>
    </row>
    <row r="1243">
      <c r="A1243" s="209"/>
      <c r="B1243" s="209"/>
      <c r="C1243" s="209"/>
      <c r="D1243" s="209"/>
      <c r="E1243" s="209"/>
      <c r="F1243" s="209"/>
      <c r="G1243" s="209"/>
      <c r="H1243" s="209"/>
      <c r="I1243" s="209"/>
      <c r="J1243" s="209"/>
      <c r="K1243" s="209"/>
      <c r="L1243" s="209"/>
      <c r="M1243" s="209"/>
      <c r="N1243" s="209"/>
      <c r="O1243" s="209"/>
      <c r="P1243" s="209"/>
      <c r="Q1243" s="209"/>
      <c r="R1243" s="209"/>
      <c r="S1243" s="209"/>
      <c r="T1243" s="209"/>
      <c r="U1243" s="209"/>
      <c r="V1243" s="209"/>
      <c r="W1243" s="209"/>
      <c r="X1243" s="209"/>
      <c r="Y1243" s="209"/>
      <c r="Z1243" s="209"/>
      <c r="AA1243" s="209"/>
      <c r="AB1243" s="209"/>
      <c r="AC1243" s="209"/>
      <c r="AD1243" s="209"/>
      <c r="AE1243" s="209"/>
      <c r="AF1243" s="209"/>
      <c r="AG1243" s="209"/>
      <c r="AH1243" s="209"/>
      <c r="AI1243" s="209"/>
      <c r="AJ1243" s="209"/>
      <c r="AK1243" s="209"/>
      <c r="AL1243" s="209"/>
      <c r="AM1243" s="209"/>
      <c r="AN1243" s="209"/>
      <c r="AO1243" s="209"/>
      <c r="AP1243" s="209"/>
    </row>
    <row r="1244">
      <c r="A1244" s="209"/>
      <c r="B1244" s="209"/>
      <c r="C1244" s="209"/>
      <c r="D1244" s="209"/>
      <c r="E1244" s="209"/>
      <c r="F1244" s="209"/>
      <c r="G1244" s="209"/>
      <c r="H1244" s="209"/>
      <c r="I1244" s="209"/>
      <c r="J1244" s="209"/>
      <c r="K1244" s="209"/>
      <c r="L1244" s="209"/>
      <c r="M1244" s="209"/>
      <c r="N1244" s="209"/>
      <c r="O1244" s="209"/>
      <c r="P1244" s="209"/>
      <c r="Q1244" s="209"/>
      <c r="R1244" s="209"/>
      <c r="S1244" s="209"/>
      <c r="T1244" s="209"/>
      <c r="U1244" s="209"/>
      <c r="V1244" s="209"/>
      <c r="W1244" s="209"/>
      <c r="X1244" s="209"/>
      <c r="Y1244" s="209"/>
      <c r="Z1244" s="209"/>
      <c r="AA1244" s="209"/>
      <c r="AB1244" s="209"/>
      <c r="AC1244" s="209"/>
      <c r="AD1244" s="209"/>
      <c r="AE1244" s="209"/>
      <c r="AF1244" s="209"/>
      <c r="AG1244" s="209"/>
      <c r="AH1244" s="209"/>
      <c r="AI1244" s="209"/>
      <c r="AJ1244" s="209"/>
      <c r="AK1244" s="209"/>
      <c r="AL1244" s="209"/>
      <c r="AM1244" s="209"/>
      <c r="AN1244" s="209"/>
      <c r="AO1244" s="209"/>
      <c r="AP1244" s="209"/>
    </row>
    <row r="1245">
      <c r="A1245" s="209"/>
      <c r="B1245" s="209"/>
      <c r="C1245" s="209"/>
      <c r="D1245" s="209"/>
      <c r="E1245" s="209"/>
      <c r="F1245" s="209"/>
      <c r="G1245" s="209"/>
      <c r="H1245" s="209"/>
      <c r="I1245" s="209"/>
      <c r="J1245" s="209"/>
      <c r="K1245" s="209"/>
      <c r="L1245" s="209"/>
      <c r="M1245" s="209"/>
      <c r="N1245" s="209"/>
      <c r="O1245" s="209"/>
      <c r="P1245" s="209"/>
      <c r="Q1245" s="209"/>
      <c r="R1245" s="209"/>
      <c r="S1245" s="209"/>
      <c r="T1245" s="209"/>
      <c r="U1245" s="209"/>
      <c r="V1245" s="209"/>
      <c r="W1245" s="209"/>
      <c r="X1245" s="209"/>
      <c r="Y1245" s="209"/>
      <c r="Z1245" s="209"/>
      <c r="AA1245" s="209"/>
      <c r="AB1245" s="209"/>
      <c r="AC1245" s="209"/>
      <c r="AD1245" s="209"/>
      <c r="AE1245" s="209"/>
      <c r="AF1245" s="209"/>
      <c r="AG1245" s="209"/>
      <c r="AH1245" s="209"/>
      <c r="AI1245" s="209"/>
      <c r="AJ1245" s="209"/>
      <c r="AK1245" s="209"/>
      <c r="AL1245" s="209"/>
      <c r="AM1245" s="209"/>
      <c r="AN1245" s="209"/>
      <c r="AO1245" s="209"/>
      <c r="AP1245" s="209"/>
    </row>
    <row r="1246">
      <c r="A1246" s="209"/>
      <c r="B1246" s="209"/>
      <c r="C1246" s="209"/>
      <c r="D1246" s="209"/>
      <c r="E1246" s="209"/>
      <c r="F1246" s="209"/>
      <c r="G1246" s="209"/>
      <c r="H1246" s="209"/>
      <c r="I1246" s="209"/>
      <c r="J1246" s="209"/>
      <c r="K1246" s="209"/>
      <c r="L1246" s="209"/>
      <c r="M1246" s="209"/>
      <c r="N1246" s="209"/>
      <c r="O1246" s="209"/>
      <c r="P1246" s="209"/>
      <c r="Q1246" s="209"/>
      <c r="R1246" s="209"/>
      <c r="S1246" s="209"/>
      <c r="T1246" s="209"/>
      <c r="U1246" s="209"/>
      <c r="V1246" s="209"/>
      <c r="W1246" s="209"/>
      <c r="X1246" s="209"/>
      <c r="Y1246" s="209"/>
      <c r="Z1246" s="209"/>
      <c r="AA1246" s="209"/>
      <c r="AB1246" s="209"/>
      <c r="AC1246" s="209"/>
      <c r="AD1246" s="209"/>
      <c r="AE1246" s="209"/>
      <c r="AF1246" s="209"/>
      <c r="AG1246" s="209"/>
      <c r="AH1246" s="209"/>
      <c r="AI1246" s="209"/>
      <c r="AJ1246" s="209"/>
      <c r="AK1246" s="209"/>
      <c r="AL1246" s="209"/>
      <c r="AM1246" s="209"/>
      <c r="AN1246" s="209"/>
      <c r="AO1246" s="209"/>
      <c r="AP1246" s="209"/>
    </row>
    <row r="1247">
      <c r="A1247" s="209"/>
      <c r="B1247" s="209"/>
      <c r="C1247" s="209"/>
      <c r="D1247" s="209"/>
      <c r="E1247" s="209"/>
      <c r="F1247" s="209"/>
      <c r="G1247" s="209"/>
      <c r="H1247" s="209"/>
      <c r="I1247" s="209"/>
      <c r="J1247" s="209"/>
      <c r="K1247" s="209"/>
      <c r="L1247" s="209"/>
      <c r="M1247" s="209"/>
      <c r="N1247" s="209"/>
      <c r="O1247" s="209"/>
      <c r="P1247" s="209"/>
      <c r="Q1247" s="209"/>
      <c r="R1247" s="209"/>
      <c r="S1247" s="209"/>
      <c r="T1247" s="209"/>
      <c r="U1247" s="209"/>
      <c r="V1247" s="209"/>
      <c r="W1247" s="209"/>
      <c r="X1247" s="209"/>
      <c r="Y1247" s="209"/>
      <c r="Z1247" s="209"/>
      <c r="AA1247" s="209"/>
      <c r="AB1247" s="209"/>
      <c r="AC1247" s="209"/>
      <c r="AD1247" s="209"/>
      <c r="AE1247" s="209"/>
      <c r="AF1247" s="209"/>
      <c r="AG1247" s="209"/>
      <c r="AH1247" s="209"/>
      <c r="AI1247" s="209"/>
      <c r="AJ1247" s="209"/>
      <c r="AK1247" s="209"/>
      <c r="AL1247" s="209"/>
      <c r="AM1247" s="209"/>
      <c r="AN1247" s="209"/>
      <c r="AO1247" s="209"/>
      <c r="AP1247" s="209"/>
    </row>
    <row r="1248">
      <c r="A1248" s="209"/>
      <c r="B1248" s="209"/>
      <c r="C1248" s="209"/>
      <c r="D1248" s="209"/>
      <c r="E1248" s="209"/>
      <c r="F1248" s="209"/>
      <c r="G1248" s="209"/>
      <c r="H1248" s="209"/>
      <c r="I1248" s="209"/>
      <c r="J1248" s="209"/>
      <c r="K1248" s="209"/>
      <c r="L1248" s="209"/>
      <c r="M1248" s="209"/>
      <c r="N1248" s="209"/>
      <c r="O1248" s="209"/>
      <c r="P1248" s="209"/>
      <c r="Q1248" s="209"/>
      <c r="R1248" s="209"/>
      <c r="S1248" s="209"/>
      <c r="T1248" s="209"/>
      <c r="U1248" s="209"/>
      <c r="V1248" s="209"/>
      <c r="W1248" s="209"/>
      <c r="X1248" s="209"/>
      <c r="Y1248" s="209"/>
      <c r="Z1248" s="209"/>
      <c r="AA1248" s="209"/>
      <c r="AB1248" s="209"/>
      <c r="AC1248" s="209"/>
      <c r="AD1248" s="209"/>
      <c r="AE1248" s="209"/>
      <c r="AF1248" s="209"/>
      <c r="AG1248" s="209"/>
      <c r="AH1248" s="209"/>
      <c r="AI1248" s="209"/>
      <c r="AJ1248" s="209"/>
      <c r="AK1248" s="209"/>
      <c r="AL1248" s="209"/>
      <c r="AM1248" s="209"/>
      <c r="AN1248" s="209"/>
      <c r="AO1248" s="209"/>
      <c r="AP1248" s="209"/>
    </row>
    <row r="1249">
      <c r="A1249" s="209"/>
      <c r="B1249" s="209"/>
      <c r="C1249" s="209"/>
      <c r="D1249" s="209"/>
      <c r="E1249" s="209"/>
      <c r="F1249" s="209"/>
      <c r="G1249" s="209"/>
      <c r="H1249" s="209"/>
      <c r="I1249" s="209"/>
      <c r="J1249" s="209"/>
      <c r="K1249" s="209"/>
      <c r="L1249" s="209"/>
      <c r="M1249" s="209"/>
      <c r="N1249" s="209"/>
      <c r="O1249" s="209"/>
      <c r="P1249" s="209"/>
      <c r="Q1249" s="209"/>
      <c r="R1249" s="209"/>
      <c r="S1249" s="209"/>
      <c r="T1249" s="209"/>
      <c r="U1249" s="209"/>
      <c r="V1249" s="209"/>
      <c r="W1249" s="209"/>
      <c r="X1249" s="209"/>
      <c r="Y1249" s="209"/>
      <c r="Z1249" s="209"/>
      <c r="AA1249" s="209"/>
      <c r="AB1249" s="209"/>
      <c r="AC1249" s="209"/>
      <c r="AD1249" s="209"/>
      <c r="AE1249" s="209"/>
      <c r="AF1249" s="209"/>
      <c r="AG1249" s="209"/>
      <c r="AH1249" s="209"/>
      <c r="AI1249" s="209"/>
      <c r="AJ1249" s="209"/>
      <c r="AK1249" s="209"/>
      <c r="AL1249" s="209"/>
      <c r="AM1249" s="209"/>
      <c r="AN1249" s="209"/>
      <c r="AO1249" s="209"/>
      <c r="AP1249" s="209"/>
    </row>
    <row r="1250">
      <c r="A1250" s="209"/>
      <c r="B1250" s="209"/>
      <c r="C1250" s="209"/>
      <c r="D1250" s="209"/>
      <c r="E1250" s="209"/>
      <c r="F1250" s="209"/>
      <c r="G1250" s="209"/>
      <c r="H1250" s="209"/>
      <c r="I1250" s="209"/>
      <c r="J1250" s="209"/>
      <c r="K1250" s="209"/>
      <c r="L1250" s="209"/>
      <c r="M1250" s="209"/>
      <c r="N1250" s="209"/>
      <c r="O1250" s="209"/>
      <c r="P1250" s="209"/>
      <c r="Q1250" s="209"/>
      <c r="R1250" s="209"/>
      <c r="S1250" s="209"/>
      <c r="T1250" s="209"/>
      <c r="U1250" s="209"/>
      <c r="V1250" s="209"/>
      <c r="W1250" s="209"/>
      <c r="X1250" s="209"/>
      <c r="Y1250" s="209"/>
      <c r="Z1250" s="209"/>
      <c r="AA1250" s="209"/>
      <c r="AB1250" s="209"/>
      <c r="AC1250" s="209"/>
      <c r="AD1250" s="209"/>
      <c r="AE1250" s="209"/>
      <c r="AF1250" s="209"/>
      <c r="AG1250" s="209"/>
      <c r="AH1250" s="209"/>
      <c r="AI1250" s="209"/>
      <c r="AJ1250" s="209"/>
      <c r="AK1250" s="209"/>
      <c r="AL1250" s="209"/>
      <c r="AM1250" s="209"/>
      <c r="AN1250" s="209"/>
      <c r="AO1250" s="209"/>
      <c r="AP1250" s="209"/>
    </row>
    <row r="1251">
      <c r="A1251" s="209"/>
      <c r="B1251" s="209"/>
      <c r="C1251" s="209"/>
      <c r="D1251" s="209"/>
      <c r="E1251" s="209"/>
      <c r="F1251" s="209"/>
      <c r="G1251" s="209"/>
      <c r="H1251" s="209"/>
      <c r="I1251" s="209"/>
      <c r="J1251" s="209"/>
      <c r="K1251" s="209"/>
      <c r="L1251" s="209"/>
      <c r="M1251" s="209"/>
      <c r="N1251" s="209"/>
      <c r="O1251" s="209"/>
      <c r="P1251" s="209"/>
      <c r="Q1251" s="209"/>
      <c r="R1251" s="209"/>
      <c r="S1251" s="209"/>
      <c r="T1251" s="209"/>
      <c r="U1251" s="209"/>
      <c r="V1251" s="209"/>
      <c r="W1251" s="209"/>
      <c r="X1251" s="209"/>
      <c r="Y1251" s="209"/>
      <c r="Z1251" s="209"/>
      <c r="AA1251" s="209"/>
      <c r="AB1251" s="209"/>
      <c r="AC1251" s="209"/>
      <c r="AD1251" s="209"/>
      <c r="AE1251" s="209"/>
      <c r="AF1251" s="209"/>
      <c r="AG1251" s="209"/>
      <c r="AH1251" s="209"/>
      <c r="AI1251" s="209"/>
      <c r="AJ1251" s="209"/>
      <c r="AK1251" s="209"/>
      <c r="AL1251" s="209"/>
      <c r="AM1251" s="209"/>
      <c r="AN1251" s="209"/>
      <c r="AO1251" s="209"/>
      <c r="AP1251" s="209"/>
    </row>
    <row r="1252">
      <c r="A1252" s="209"/>
      <c r="B1252" s="209"/>
      <c r="C1252" s="209"/>
      <c r="D1252" s="209"/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209"/>
      <c r="P1252" s="209"/>
      <c r="Q1252" s="209"/>
      <c r="R1252" s="209"/>
      <c r="S1252" s="209"/>
      <c r="T1252" s="209"/>
      <c r="U1252" s="209"/>
      <c r="V1252" s="209"/>
      <c r="W1252" s="209"/>
      <c r="X1252" s="209"/>
      <c r="Y1252" s="209"/>
      <c r="Z1252" s="209"/>
      <c r="AA1252" s="209"/>
      <c r="AB1252" s="209"/>
      <c r="AC1252" s="209"/>
      <c r="AD1252" s="209"/>
      <c r="AE1252" s="209"/>
      <c r="AF1252" s="209"/>
      <c r="AG1252" s="209"/>
      <c r="AH1252" s="209"/>
      <c r="AI1252" s="209"/>
      <c r="AJ1252" s="209"/>
      <c r="AK1252" s="209"/>
      <c r="AL1252" s="209"/>
      <c r="AM1252" s="209"/>
      <c r="AN1252" s="209"/>
      <c r="AO1252" s="209"/>
      <c r="AP1252" s="209"/>
    </row>
    <row r="1253">
      <c r="A1253" s="209"/>
      <c r="B1253" s="209"/>
      <c r="C1253" s="209"/>
      <c r="D1253" s="209"/>
      <c r="E1253" s="209"/>
      <c r="F1253" s="209"/>
      <c r="G1253" s="209"/>
      <c r="H1253" s="209"/>
      <c r="I1253" s="209"/>
      <c r="J1253" s="209"/>
      <c r="K1253" s="209"/>
      <c r="L1253" s="209"/>
      <c r="M1253" s="209"/>
      <c r="N1253" s="209"/>
      <c r="O1253" s="209"/>
      <c r="P1253" s="209"/>
      <c r="Q1253" s="209"/>
      <c r="R1253" s="209"/>
      <c r="S1253" s="209"/>
      <c r="T1253" s="209"/>
      <c r="U1253" s="209"/>
      <c r="V1253" s="209"/>
      <c r="W1253" s="209"/>
      <c r="X1253" s="209"/>
      <c r="Y1253" s="209"/>
      <c r="Z1253" s="209"/>
      <c r="AA1253" s="209"/>
      <c r="AB1253" s="209"/>
      <c r="AC1253" s="209"/>
      <c r="AD1253" s="209"/>
      <c r="AE1253" s="209"/>
      <c r="AF1253" s="209"/>
      <c r="AG1253" s="209"/>
      <c r="AH1253" s="209"/>
      <c r="AI1253" s="209"/>
      <c r="AJ1253" s="209"/>
      <c r="AK1253" s="209"/>
      <c r="AL1253" s="209"/>
      <c r="AM1253" s="209"/>
      <c r="AN1253" s="209"/>
      <c r="AO1253" s="209"/>
      <c r="AP1253" s="209"/>
    </row>
    <row r="1254">
      <c r="A1254" s="209"/>
      <c r="B1254" s="209"/>
      <c r="C1254" s="209"/>
      <c r="D1254" s="209"/>
      <c r="E1254" s="209"/>
      <c r="F1254" s="209"/>
      <c r="G1254" s="209"/>
      <c r="H1254" s="209"/>
      <c r="I1254" s="209"/>
      <c r="J1254" s="209"/>
      <c r="K1254" s="209"/>
      <c r="L1254" s="209"/>
      <c r="M1254" s="209"/>
      <c r="N1254" s="209"/>
      <c r="O1254" s="209"/>
      <c r="P1254" s="209"/>
      <c r="Q1254" s="209"/>
      <c r="R1254" s="209"/>
      <c r="S1254" s="209"/>
      <c r="T1254" s="209"/>
      <c r="U1254" s="209"/>
      <c r="V1254" s="209"/>
      <c r="W1254" s="209"/>
      <c r="X1254" s="209"/>
      <c r="Y1254" s="209"/>
      <c r="Z1254" s="209"/>
      <c r="AA1254" s="209"/>
      <c r="AB1254" s="209"/>
      <c r="AC1254" s="209"/>
      <c r="AD1254" s="209"/>
      <c r="AE1254" s="209"/>
      <c r="AF1254" s="209"/>
      <c r="AG1254" s="209"/>
      <c r="AH1254" s="209"/>
      <c r="AI1254" s="209"/>
      <c r="AJ1254" s="209"/>
      <c r="AK1254" s="209"/>
      <c r="AL1254" s="209"/>
      <c r="AM1254" s="209"/>
      <c r="AN1254" s="209"/>
      <c r="AO1254" s="209"/>
      <c r="AP1254" s="209"/>
    </row>
    <row r="1255">
      <c r="A1255" s="209"/>
      <c r="B1255" s="209"/>
      <c r="C1255" s="209"/>
      <c r="D1255" s="209"/>
      <c r="E1255" s="209"/>
      <c r="F1255" s="209"/>
      <c r="G1255" s="209"/>
      <c r="H1255" s="209"/>
      <c r="I1255" s="209"/>
      <c r="J1255" s="209"/>
      <c r="K1255" s="209"/>
      <c r="L1255" s="209"/>
      <c r="M1255" s="209"/>
      <c r="N1255" s="209"/>
      <c r="O1255" s="209"/>
      <c r="P1255" s="209"/>
      <c r="Q1255" s="209"/>
      <c r="R1255" s="209"/>
      <c r="S1255" s="209"/>
      <c r="T1255" s="209"/>
      <c r="U1255" s="209"/>
      <c r="V1255" s="209"/>
      <c r="W1255" s="209"/>
      <c r="X1255" s="209"/>
      <c r="Y1255" s="209"/>
      <c r="Z1255" s="209"/>
      <c r="AA1255" s="209"/>
      <c r="AB1255" s="209"/>
      <c r="AC1255" s="209"/>
      <c r="AD1255" s="209"/>
      <c r="AE1255" s="209"/>
      <c r="AF1255" s="209"/>
      <c r="AG1255" s="209"/>
      <c r="AH1255" s="209"/>
      <c r="AI1255" s="209"/>
      <c r="AJ1255" s="209"/>
      <c r="AK1255" s="209"/>
      <c r="AL1255" s="209"/>
      <c r="AM1255" s="209"/>
      <c r="AN1255" s="209"/>
      <c r="AO1255" s="209"/>
      <c r="AP1255" s="209"/>
    </row>
    <row r="1256">
      <c r="A1256" s="209"/>
      <c r="B1256" s="209"/>
      <c r="C1256" s="209"/>
      <c r="D1256" s="209"/>
      <c r="E1256" s="209"/>
      <c r="F1256" s="209"/>
      <c r="G1256" s="209"/>
      <c r="H1256" s="209"/>
      <c r="I1256" s="209"/>
      <c r="J1256" s="209"/>
      <c r="K1256" s="209"/>
      <c r="L1256" s="209"/>
      <c r="M1256" s="209"/>
      <c r="N1256" s="209"/>
      <c r="O1256" s="209"/>
      <c r="P1256" s="209"/>
      <c r="Q1256" s="209"/>
      <c r="R1256" s="209"/>
      <c r="S1256" s="209"/>
      <c r="T1256" s="209"/>
      <c r="U1256" s="209"/>
      <c r="V1256" s="209"/>
      <c r="W1256" s="209"/>
      <c r="X1256" s="209"/>
      <c r="Y1256" s="209"/>
      <c r="Z1256" s="209"/>
      <c r="AA1256" s="209"/>
      <c r="AB1256" s="209"/>
      <c r="AC1256" s="209"/>
      <c r="AD1256" s="209"/>
      <c r="AE1256" s="209"/>
      <c r="AF1256" s="209"/>
      <c r="AG1256" s="209"/>
      <c r="AH1256" s="209"/>
      <c r="AI1256" s="209"/>
      <c r="AJ1256" s="209"/>
      <c r="AK1256" s="209"/>
      <c r="AL1256" s="209"/>
      <c r="AM1256" s="209"/>
      <c r="AN1256" s="209"/>
      <c r="AO1256" s="209"/>
      <c r="AP1256" s="209"/>
    </row>
    <row r="1257">
      <c r="A1257" s="209"/>
      <c r="B1257" s="209"/>
      <c r="C1257" s="209"/>
      <c r="D1257" s="209"/>
      <c r="E1257" s="209"/>
      <c r="F1257" s="209"/>
      <c r="G1257" s="209"/>
      <c r="H1257" s="209"/>
      <c r="I1257" s="209"/>
      <c r="J1257" s="209"/>
      <c r="K1257" s="209"/>
      <c r="L1257" s="209"/>
      <c r="M1257" s="209"/>
      <c r="N1257" s="209"/>
      <c r="O1257" s="209"/>
      <c r="P1257" s="209"/>
      <c r="Q1257" s="209"/>
      <c r="R1257" s="209"/>
      <c r="S1257" s="209"/>
      <c r="T1257" s="209"/>
      <c r="U1257" s="209"/>
      <c r="V1257" s="209"/>
      <c r="W1257" s="209"/>
      <c r="X1257" s="209"/>
      <c r="Y1257" s="209"/>
      <c r="Z1257" s="209"/>
      <c r="AA1257" s="209"/>
      <c r="AB1257" s="209"/>
      <c r="AC1257" s="209"/>
      <c r="AD1257" s="209"/>
      <c r="AE1257" s="209"/>
      <c r="AF1257" s="209"/>
      <c r="AG1257" s="209"/>
      <c r="AH1257" s="209"/>
      <c r="AI1257" s="209"/>
      <c r="AJ1257" s="209"/>
      <c r="AK1257" s="209"/>
      <c r="AL1257" s="209"/>
      <c r="AM1257" s="209"/>
      <c r="AN1257" s="209"/>
      <c r="AO1257" s="209"/>
      <c r="AP1257" s="209"/>
    </row>
    <row r="1258">
      <c r="A1258" s="209"/>
      <c r="B1258" s="209"/>
      <c r="C1258" s="209"/>
      <c r="D1258" s="209"/>
      <c r="E1258" s="209"/>
      <c r="F1258" s="209"/>
      <c r="G1258" s="209"/>
      <c r="H1258" s="209"/>
      <c r="I1258" s="209"/>
      <c r="J1258" s="209"/>
      <c r="K1258" s="209"/>
      <c r="L1258" s="209"/>
      <c r="M1258" s="209"/>
      <c r="N1258" s="209"/>
      <c r="O1258" s="209"/>
      <c r="P1258" s="209"/>
      <c r="Q1258" s="209"/>
      <c r="R1258" s="209"/>
      <c r="S1258" s="209"/>
      <c r="T1258" s="209"/>
      <c r="U1258" s="209"/>
      <c r="V1258" s="209"/>
      <c r="W1258" s="209"/>
      <c r="X1258" s="209"/>
      <c r="Y1258" s="209"/>
      <c r="Z1258" s="209"/>
      <c r="AA1258" s="209"/>
      <c r="AB1258" s="209"/>
      <c r="AC1258" s="209"/>
      <c r="AD1258" s="209"/>
      <c r="AE1258" s="209"/>
      <c r="AF1258" s="209"/>
      <c r="AG1258" s="209"/>
      <c r="AH1258" s="209"/>
      <c r="AI1258" s="209"/>
      <c r="AJ1258" s="209"/>
      <c r="AK1258" s="209"/>
      <c r="AL1258" s="209"/>
      <c r="AM1258" s="209"/>
      <c r="AN1258" s="209"/>
      <c r="AO1258" s="209"/>
      <c r="AP1258" s="209"/>
    </row>
    <row r="1259">
      <c r="A1259" s="209"/>
      <c r="B1259" s="209"/>
      <c r="C1259" s="209"/>
      <c r="D1259" s="209"/>
      <c r="E1259" s="209"/>
      <c r="F1259" s="209"/>
      <c r="G1259" s="209"/>
      <c r="H1259" s="209"/>
      <c r="I1259" s="209"/>
      <c r="J1259" s="209"/>
      <c r="K1259" s="209"/>
      <c r="L1259" s="209"/>
      <c r="M1259" s="209"/>
      <c r="N1259" s="209"/>
      <c r="O1259" s="209"/>
      <c r="P1259" s="209"/>
      <c r="Q1259" s="209"/>
      <c r="R1259" s="209"/>
      <c r="S1259" s="209"/>
      <c r="T1259" s="209"/>
      <c r="U1259" s="209"/>
      <c r="V1259" s="209"/>
      <c r="W1259" s="209"/>
      <c r="X1259" s="209"/>
      <c r="Y1259" s="209"/>
      <c r="Z1259" s="209"/>
      <c r="AA1259" s="209"/>
      <c r="AB1259" s="209"/>
      <c r="AC1259" s="209"/>
      <c r="AD1259" s="209"/>
      <c r="AE1259" s="209"/>
      <c r="AF1259" s="209"/>
      <c r="AG1259" s="209"/>
      <c r="AH1259" s="209"/>
      <c r="AI1259" s="209"/>
      <c r="AJ1259" s="209"/>
      <c r="AK1259" s="209"/>
      <c r="AL1259" s="209"/>
      <c r="AM1259" s="209"/>
      <c r="AN1259" s="209"/>
      <c r="AO1259" s="209"/>
      <c r="AP1259" s="209"/>
    </row>
    <row r="1260">
      <c r="A1260" s="209"/>
      <c r="B1260" s="209"/>
      <c r="C1260" s="209"/>
      <c r="D1260" s="209"/>
      <c r="E1260" s="209"/>
      <c r="F1260" s="209"/>
      <c r="G1260" s="209"/>
      <c r="H1260" s="209"/>
      <c r="I1260" s="209"/>
      <c r="J1260" s="209"/>
      <c r="K1260" s="209"/>
      <c r="L1260" s="209"/>
      <c r="M1260" s="209"/>
      <c r="N1260" s="209"/>
      <c r="O1260" s="209"/>
      <c r="P1260" s="209"/>
      <c r="Q1260" s="209"/>
      <c r="R1260" s="209"/>
      <c r="S1260" s="209"/>
      <c r="T1260" s="209"/>
      <c r="U1260" s="209"/>
      <c r="V1260" s="209"/>
      <c r="W1260" s="209"/>
      <c r="X1260" s="209"/>
      <c r="Y1260" s="209"/>
      <c r="Z1260" s="209"/>
      <c r="AA1260" s="209"/>
      <c r="AB1260" s="209"/>
      <c r="AC1260" s="209"/>
      <c r="AD1260" s="209"/>
      <c r="AE1260" s="209"/>
      <c r="AF1260" s="209"/>
      <c r="AG1260" s="209"/>
      <c r="AH1260" s="209"/>
      <c r="AI1260" s="209"/>
      <c r="AJ1260" s="209"/>
      <c r="AK1260" s="209"/>
      <c r="AL1260" s="209"/>
      <c r="AM1260" s="209"/>
      <c r="AN1260" s="209"/>
      <c r="AO1260" s="209"/>
      <c r="AP1260" s="209"/>
    </row>
    <row r="1261">
      <c r="A1261" s="209"/>
      <c r="B1261" s="209"/>
      <c r="C1261" s="209"/>
      <c r="D1261" s="209"/>
      <c r="E1261" s="209"/>
      <c r="F1261" s="209"/>
      <c r="G1261" s="209"/>
      <c r="H1261" s="209"/>
      <c r="I1261" s="209"/>
      <c r="J1261" s="209"/>
      <c r="K1261" s="209"/>
      <c r="L1261" s="209"/>
      <c r="M1261" s="209"/>
      <c r="N1261" s="209"/>
      <c r="O1261" s="209"/>
      <c r="P1261" s="209"/>
      <c r="Q1261" s="209"/>
      <c r="R1261" s="209"/>
      <c r="S1261" s="209"/>
      <c r="T1261" s="209"/>
      <c r="U1261" s="209"/>
      <c r="V1261" s="209"/>
      <c r="W1261" s="209"/>
      <c r="X1261" s="209"/>
      <c r="Y1261" s="209"/>
      <c r="Z1261" s="209"/>
      <c r="AA1261" s="209"/>
      <c r="AB1261" s="209"/>
      <c r="AC1261" s="209"/>
      <c r="AD1261" s="209"/>
      <c r="AE1261" s="209"/>
      <c r="AF1261" s="209"/>
      <c r="AG1261" s="209"/>
      <c r="AH1261" s="209"/>
      <c r="AI1261" s="209"/>
      <c r="AJ1261" s="209"/>
      <c r="AK1261" s="209"/>
      <c r="AL1261" s="209"/>
      <c r="AM1261" s="209"/>
      <c r="AN1261" s="209"/>
      <c r="AO1261" s="209"/>
      <c r="AP1261" s="209"/>
    </row>
    <row r="1262">
      <c r="A1262" s="209"/>
      <c r="B1262" s="209"/>
      <c r="C1262" s="209"/>
      <c r="D1262" s="209"/>
      <c r="E1262" s="209"/>
      <c r="F1262" s="209"/>
      <c r="G1262" s="209"/>
      <c r="H1262" s="209"/>
      <c r="I1262" s="209"/>
      <c r="J1262" s="209"/>
      <c r="K1262" s="209"/>
      <c r="L1262" s="209"/>
      <c r="M1262" s="209"/>
      <c r="N1262" s="209"/>
      <c r="O1262" s="209"/>
      <c r="P1262" s="209"/>
      <c r="Q1262" s="209"/>
      <c r="R1262" s="209"/>
      <c r="S1262" s="209"/>
      <c r="T1262" s="209"/>
      <c r="U1262" s="209"/>
      <c r="V1262" s="209"/>
      <c r="W1262" s="209"/>
      <c r="X1262" s="209"/>
      <c r="Y1262" s="209"/>
      <c r="Z1262" s="209"/>
      <c r="AA1262" s="209"/>
      <c r="AB1262" s="209"/>
      <c r="AC1262" s="209"/>
      <c r="AD1262" s="209"/>
      <c r="AE1262" s="209"/>
      <c r="AF1262" s="209"/>
      <c r="AG1262" s="209"/>
      <c r="AH1262" s="209"/>
      <c r="AI1262" s="209"/>
      <c r="AJ1262" s="209"/>
      <c r="AK1262" s="209"/>
      <c r="AL1262" s="209"/>
      <c r="AM1262" s="209"/>
      <c r="AN1262" s="209"/>
      <c r="AO1262" s="209"/>
      <c r="AP1262" s="209"/>
    </row>
    <row r="1263">
      <c r="A1263" s="209"/>
      <c r="B1263" s="209"/>
      <c r="C1263" s="209"/>
      <c r="D1263" s="209"/>
      <c r="E1263" s="209"/>
      <c r="F1263" s="209"/>
      <c r="G1263" s="209"/>
      <c r="H1263" s="209"/>
      <c r="I1263" s="209"/>
      <c r="J1263" s="209"/>
      <c r="K1263" s="209"/>
      <c r="L1263" s="209"/>
      <c r="M1263" s="209"/>
      <c r="N1263" s="209"/>
      <c r="O1263" s="209"/>
      <c r="P1263" s="209"/>
      <c r="Q1263" s="209"/>
      <c r="R1263" s="209"/>
      <c r="S1263" s="209"/>
      <c r="T1263" s="209"/>
      <c r="U1263" s="209"/>
      <c r="V1263" s="209"/>
      <c r="W1263" s="209"/>
      <c r="X1263" s="209"/>
      <c r="Y1263" s="209"/>
      <c r="Z1263" s="209"/>
      <c r="AA1263" s="209"/>
      <c r="AB1263" s="209"/>
      <c r="AC1263" s="209"/>
      <c r="AD1263" s="209"/>
      <c r="AE1263" s="209"/>
      <c r="AF1263" s="209"/>
      <c r="AG1263" s="209"/>
      <c r="AH1263" s="209"/>
      <c r="AI1263" s="209"/>
      <c r="AJ1263" s="209"/>
      <c r="AK1263" s="209"/>
      <c r="AL1263" s="209"/>
      <c r="AM1263" s="209"/>
      <c r="AN1263" s="209"/>
      <c r="AO1263" s="209"/>
      <c r="AP1263" s="209"/>
    </row>
    <row r="1264">
      <c r="A1264" s="209"/>
      <c r="B1264" s="209"/>
      <c r="C1264" s="209"/>
      <c r="D1264" s="209"/>
      <c r="E1264" s="209"/>
      <c r="F1264" s="209"/>
      <c r="G1264" s="209"/>
      <c r="H1264" s="209"/>
      <c r="I1264" s="209"/>
      <c r="J1264" s="209"/>
      <c r="K1264" s="209"/>
      <c r="L1264" s="209"/>
      <c r="M1264" s="209"/>
      <c r="N1264" s="209"/>
      <c r="O1264" s="209"/>
      <c r="P1264" s="209"/>
      <c r="Q1264" s="209"/>
      <c r="R1264" s="209"/>
      <c r="S1264" s="209"/>
      <c r="T1264" s="209"/>
      <c r="U1264" s="209"/>
      <c r="V1264" s="209"/>
      <c r="W1264" s="209"/>
      <c r="X1264" s="209"/>
      <c r="Y1264" s="209"/>
      <c r="Z1264" s="209"/>
      <c r="AA1264" s="209"/>
      <c r="AB1264" s="209"/>
      <c r="AC1264" s="209"/>
      <c r="AD1264" s="209"/>
      <c r="AE1264" s="209"/>
      <c r="AF1264" s="209"/>
      <c r="AG1264" s="209"/>
      <c r="AH1264" s="209"/>
      <c r="AI1264" s="209"/>
      <c r="AJ1264" s="209"/>
      <c r="AK1264" s="209"/>
      <c r="AL1264" s="209"/>
      <c r="AM1264" s="209"/>
      <c r="AN1264" s="209"/>
      <c r="AO1264" s="209"/>
      <c r="AP1264" s="209"/>
    </row>
    <row r="1265">
      <c r="A1265" s="209"/>
      <c r="B1265" s="209"/>
      <c r="C1265" s="209"/>
      <c r="D1265" s="209"/>
      <c r="E1265" s="209"/>
      <c r="F1265" s="209"/>
      <c r="G1265" s="209"/>
      <c r="H1265" s="209"/>
      <c r="I1265" s="209"/>
      <c r="J1265" s="209"/>
      <c r="K1265" s="209"/>
      <c r="L1265" s="209"/>
      <c r="M1265" s="209"/>
      <c r="N1265" s="209"/>
      <c r="O1265" s="209"/>
      <c r="P1265" s="209"/>
      <c r="Q1265" s="209"/>
      <c r="R1265" s="209"/>
      <c r="S1265" s="209"/>
      <c r="T1265" s="209"/>
      <c r="U1265" s="209"/>
      <c r="V1265" s="209"/>
      <c r="W1265" s="209"/>
      <c r="X1265" s="209"/>
      <c r="Y1265" s="209"/>
      <c r="Z1265" s="209"/>
      <c r="AA1265" s="209"/>
      <c r="AB1265" s="209"/>
      <c r="AC1265" s="209"/>
      <c r="AD1265" s="209"/>
      <c r="AE1265" s="209"/>
      <c r="AF1265" s="209"/>
      <c r="AG1265" s="209"/>
      <c r="AH1265" s="209"/>
      <c r="AI1265" s="209"/>
      <c r="AJ1265" s="209"/>
      <c r="AK1265" s="209"/>
      <c r="AL1265" s="209"/>
      <c r="AM1265" s="209"/>
      <c r="AN1265" s="209"/>
      <c r="AO1265" s="209"/>
      <c r="AP1265" s="209"/>
    </row>
    <row r="1266">
      <c r="A1266" s="209"/>
      <c r="B1266" s="209"/>
      <c r="C1266" s="209"/>
      <c r="D1266" s="209"/>
      <c r="E1266" s="209"/>
      <c r="F1266" s="209"/>
      <c r="G1266" s="209"/>
      <c r="H1266" s="209"/>
      <c r="I1266" s="209"/>
      <c r="J1266" s="209"/>
      <c r="K1266" s="209"/>
      <c r="L1266" s="209"/>
      <c r="M1266" s="209"/>
      <c r="N1266" s="209"/>
      <c r="O1266" s="209"/>
      <c r="P1266" s="209"/>
      <c r="Q1266" s="209"/>
      <c r="R1266" s="209"/>
      <c r="S1266" s="209"/>
      <c r="T1266" s="209"/>
      <c r="U1266" s="209"/>
      <c r="V1266" s="209"/>
      <c r="W1266" s="209"/>
      <c r="X1266" s="209"/>
      <c r="Y1266" s="209"/>
      <c r="Z1266" s="209"/>
      <c r="AA1266" s="209"/>
      <c r="AB1266" s="209"/>
      <c r="AC1266" s="209"/>
      <c r="AD1266" s="209"/>
      <c r="AE1266" s="209"/>
      <c r="AF1266" s="209"/>
      <c r="AG1266" s="209"/>
      <c r="AH1266" s="209"/>
      <c r="AI1266" s="209"/>
      <c r="AJ1266" s="209"/>
      <c r="AK1266" s="209"/>
      <c r="AL1266" s="209"/>
      <c r="AM1266" s="209"/>
      <c r="AN1266" s="209"/>
      <c r="AO1266" s="209"/>
      <c r="AP1266" s="209"/>
    </row>
    <row r="1267">
      <c r="A1267" s="209"/>
      <c r="B1267" s="209"/>
      <c r="C1267" s="209"/>
      <c r="D1267" s="209"/>
      <c r="E1267" s="209"/>
      <c r="F1267" s="209"/>
      <c r="G1267" s="209"/>
      <c r="H1267" s="209"/>
      <c r="I1267" s="209"/>
      <c r="J1267" s="209"/>
      <c r="K1267" s="209"/>
      <c r="L1267" s="209"/>
      <c r="M1267" s="209"/>
      <c r="N1267" s="209"/>
      <c r="O1267" s="209"/>
      <c r="P1267" s="209"/>
      <c r="Q1267" s="209"/>
      <c r="R1267" s="209"/>
      <c r="S1267" s="209"/>
      <c r="T1267" s="209"/>
      <c r="U1267" s="209"/>
      <c r="V1267" s="209"/>
      <c r="W1267" s="209"/>
      <c r="X1267" s="209"/>
      <c r="Y1267" s="209"/>
      <c r="Z1267" s="209"/>
      <c r="AA1267" s="209"/>
      <c r="AB1267" s="209"/>
      <c r="AC1267" s="209"/>
      <c r="AD1267" s="209"/>
      <c r="AE1267" s="209"/>
      <c r="AF1267" s="209"/>
      <c r="AG1267" s="209"/>
      <c r="AH1267" s="209"/>
      <c r="AI1267" s="209"/>
      <c r="AJ1267" s="209"/>
      <c r="AK1267" s="209"/>
      <c r="AL1267" s="209"/>
      <c r="AM1267" s="209"/>
      <c r="AN1267" s="209"/>
      <c r="AO1267" s="209"/>
      <c r="AP1267" s="209"/>
    </row>
    <row r="1268">
      <c r="A1268" s="209"/>
      <c r="B1268" s="209"/>
      <c r="C1268" s="209"/>
      <c r="D1268" s="209"/>
      <c r="E1268" s="209"/>
      <c r="F1268" s="209"/>
      <c r="G1268" s="209"/>
      <c r="H1268" s="209"/>
      <c r="I1268" s="209"/>
      <c r="J1268" s="209"/>
      <c r="K1268" s="209"/>
      <c r="L1268" s="209"/>
      <c r="M1268" s="209"/>
      <c r="N1268" s="209"/>
      <c r="O1268" s="209"/>
      <c r="P1268" s="209"/>
      <c r="Q1268" s="209"/>
      <c r="R1268" s="209"/>
      <c r="S1268" s="209"/>
      <c r="T1268" s="209"/>
      <c r="U1268" s="209"/>
      <c r="V1268" s="209"/>
      <c r="W1268" s="209"/>
      <c r="X1268" s="209"/>
      <c r="Y1268" s="209"/>
      <c r="Z1268" s="209"/>
      <c r="AA1268" s="209"/>
      <c r="AB1268" s="209"/>
      <c r="AC1268" s="209"/>
      <c r="AD1268" s="209"/>
      <c r="AE1268" s="209"/>
      <c r="AF1268" s="209"/>
      <c r="AG1268" s="209"/>
      <c r="AH1268" s="209"/>
      <c r="AI1268" s="209"/>
      <c r="AJ1268" s="209"/>
      <c r="AK1268" s="209"/>
      <c r="AL1268" s="209"/>
      <c r="AM1268" s="209"/>
      <c r="AN1268" s="209"/>
      <c r="AO1268" s="209"/>
      <c r="AP1268" s="209"/>
    </row>
    <row r="1269">
      <c r="A1269" s="209"/>
      <c r="B1269" s="209"/>
      <c r="C1269" s="209"/>
      <c r="D1269" s="209"/>
      <c r="E1269" s="209"/>
      <c r="F1269" s="209"/>
      <c r="G1269" s="209"/>
      <c r="H1269" s="209"/>
      <c r="I1269" s="209"/>
      <c r="J1269" s="209"/>
      <c r="K1269" s="209"/>
      <c r="L1269" s="209"/>
      <c r="M1269" s="209"/>
      <c r="N1269" s="209"/>
      <c r="O1269" s="209"/>
      <c r="P1269" s="209"/>
      <c r="Q1269" s="209"/>
      <c r="R1269" s="209"/>
      <c r="S1269" s="209"/>
      <c r="T1269" s="209"/>
      <c r="U1269" s="209"/>
      <c r="V1269" s="209"/>
      <c r="W1269" s="209"/>
      <c r="X1269" s="209"/>
      <c r="Y1269" s="209"/>
      <c r="Z1269" s="209"/>
      <c r="AA1269" s="209"/>
      <c r="AB1269" s="209"/>
      <c r="AC1269" s="209"/>
      <c r="AD1269" s="209"/>
      <c r="AE1269" s="209"/>
      <c r="AF1269" s="209"/>
      <c r="AG1269" s="209"/>
      <c r="AH1269" s="209"/>
      <c r="AI1269" s="209"/>
      <c r="AJ1269" s="209"/>
      <c r="AK1269" s="209"/>
      <c r="AL1269" s="209"/>
      <c r="AM1269" s="209"/>
      <c r="AN1269" s="209"/>
      <c r="AO1269" s="209"/>
      <c r="AP1269" s="209"/>
    </row>
    <row r="1270">
      <c r="A1270" s="209"/>
      <c r="B1270" s="209"/>
      <c r="C1270" s="209"/>
      <c r="D1270" s="209"/>
      <c r="E1270" s="209"/>
      <c r="F1270" s="209"/>
      <c r="G1270" s="209"/>
      <c r="H1270" s="209"/>
      <c r="I1270" s="209"/>
      <c r="J1270" s="209"/>
      <c r="K1270" s="209"/>
      <c r="L1270" s="209"/>
      <c r="M1270" s="209"/>
      <c r="N1270" s="209"/>
      <c r="O1270" s="209"/>
      <c r="P1270" s="209"/>
      <c r="Q1270" s="209"/>
      <c r="R1270" s="209"/>
      <c r="S1270" s="209"/>
      <c r="T1270" s="209"/>
      <c r="U1270" s="209"/>
      <c r="V1270" s="209"/>
      <c r="W1270" s="209"/>
      <c r="X1270" s="209"/>
      <c r="Y1270" s="209"/>
      <c r="Z1270" s="209"/>
      <c r="AA1270" s="209"/>
      <c r="AB1270" s="209"/>
      <c r="AC1270" s="209"/>
      <c r="AD1270" s="209"/>
      <c r="AE1270" s="209"/>
      <c r="AF1270" s="209"/>
      <c r="AG1270" s="209"/>
      <c r="AH1270" s="209"/>
      <c r="AI1270" s="209"/>
      <c r="AJ1270" s="209"/>
      <c r="AK1270" s="209"/>
      <c r="AL1270" s="209"/>
      <c r="AM1270" s="209"/>
      <c r="AN1270" s="209"/>
      <c r="AO1270" s="209"/>
      <c r="AP1270" s="209"/>
    </row>
    <row r="1271">
      <c r="A1271" s="209"/>
      <c r="B1271" s="209"/>
      <c r="C1271" s="209"/>
      <c r="D1271" s="209"/>
      <c r="E1271" s="209"/>
      <c r="F1271" s="209"/>
      <c r="G1271" s="209"/>
      <c r="H1271" s="209"/>
      <c r="I1271" s="209"/>
      <c r="J1271" s="209"/>
      <c r="K1271" s="209"/>
      <c r="L1271" s="209"/>
      <c r="M1271" s="209"/>
      <c r="N1271" s="209"/>
      <c r="O1271" s="209"/>
      <c r="P1271" s="209"/>
      <c r="Q1271" s="209"/>
      <c r="R1271" s="209"/>
      <c r="S1271" s="209"/>
      <c r="T1271" s="209"/>
      <c r="U1271" s="209"/>
      <c r="V1271" s="209"/>
      <c r="W1271" s="209"/>
      <c r="X1271" s="209"/>
      <c r="Y1271" s="209"/>
      <c r="Z1271" s="209"/>
      <c r="AA1271" s="209"/>
      <c r="AB1271" s="209"/>
      <c r="AC1271" s="209"/>
      <c r="AD1271" s="209"/>
      <c r="AE1271" s="209"/>
      <c r="AF1271" s="209"/>
      <c r="AG1271" s="209"/>
      <c r="AH1271" s="209"/>
      <c r="AI1271" s="209"/>
      <c r="AJ1271" s="209"/>
      <c r="AK1271" s="209"/>
      <c r="AL1271" s="209"/>
      <c r="AM1271" s="209"/>
      <c r="AN1271" s="209"/>
      <c r="AO1271" s="209"/>
      <c r="AP1271" s="209"/>
    </row>
    <row r="1272">
      <c r="A1272" s="209"/>
      <c r="B1272" s="209"/>
      <c r="C1272" s="209"/>
      <c r="D1272" s="209"/>
      <c r="E1272" s="209"/>
      <c r="F1272" s="209"/>
      <c r="G1272" s="209"/>
      <c r="H1272" s="209"/>
      <c r="I1272" s="209"/>
      <c r="J1272" s="209"/>
      <c r="K1272" s="209"/>
      <c r="L1272" s="209"/>
      <c r="M1272" s="209"/>
      <c r="N1272" s="209"/>
      <c r="O1272" s="209"/>
      <c r="P1272" s="209"/>
      <c r="Q1272" s="209"/>
      <c r="R1272" s="209"/>
      <c r="S1272" s="209"/>
      <c r="T1272" s="209"/>
      <c r="U1272" s="209"/>
      <c r="V1272" s="209"/>
      <c r="W1272" s="209"/>
      <c r="X1272" s="209"/>
      <c r="Y1272" s="209"/>
      <c r="Z1272" s="209"/>
      <c r="AA1272" s="209"/>
      <c r="AB1272" s="209"/>
      <c r="AC1272" s="209"/>
      <c r="AD1272" s="209"/>
      <c r="AE1272" s="209"/>
      <c r="AF1272" s="209"/>
      <c r="AG1272" s="209"/>
      <c r="AH1272" s="209"/>
      <c r="AI1272" s="209"/>
      <c r="AJ1272" s="209"/>
      <c r="AK1272" s="209"/>
      <c r="AL1272" s="209"/>
      <c r="AM1272" s="209"/>
      <c r="AN1272" s="209"/>
      <c r="AO1272" s="209"/>
      <c r="AP1272" s="209"/>
    </row>
    <row r="1273">
      <c r="A1273" s="209"/>
      <c r="B1273" s="209"/>
      <c r="C1273" s="209"/>
      <c r="D1273" s="209"/>
      <c r="E1273" s="209"/>
      <c r="F1273" s="209"/>
      <c r="G1273" s="209"/>
      <c r="H1273" s="209"/>
      <c r="I1273" s="209"/>
      <c r="J1273" s="209"/>
      <c r="K1273" s="209"/>
      <c r="L1273" s="209"/>
      <c r="M1273" s="209"/>
      <c r="N1273" s="209"/>
      <c r="O1273" s="209"/>
      <c r="P1273" s="209"/>
      <c r="Q1273" s="209"/>
      <c r="R1273" s="209"/>
      <c r="S1273" s="209"/>
      <c r="T1273" s="209"/>
      <c r="U1273" s="209"/>
      <c r="V1273" s="209"/>
      <c r="W1273" s="209"/>
      <c r="X1273" s="209"/>
      <c r="Y1273" s="209"/>
      <c r="Z1273" s="209"/>
      <c r="AA1273" s="209"/>
      <c r="AB1273" s="209"/>
      <c r="AC1273" s="209"/>
      <c r="AD1273" s="209"/>
      <c r="AE1273" s="209"/>
      <c r="AF1273" s="209"/>
      <c r="AG1273" s="209"/>
      <c r="AH1273" s="209"/>
      <c r="AI1273" s="209"/>
      <c r="AJ1273" s="209"/>
      <c r="AK1273" s="209"/>
      <c r="AL1273" s="209"/>
      <c r="AM1273" s="209"/>
      <c r="AN1273" s="209"/>
      <c r="AO1273" s="209"/>
      <c r="AP1273" s="209"/>
    </row>
    <row r="1274">
      <c r="A1274" s="209"/>
      <c r="B1274" s="209"/>
      <c r="C1274" s="209"/>
      <c r="D1274" s="209"/>
      <c r="E1274" s="209"/>
      <c r="F1274" s="209"/>
      <c r="G1274" s="209"/>
      <c r="H1274" s="209"/>
      <c r="I1274" s="209"/>
      <c r="J1274" s="209"/>
      <c r="K1274" s="209"/>
      <c r="L1274" s="209"/>
      <c r="M1274" s="209"/>
      <c r="N1274" s="209"/>
      <c r="O1274" s="209"/>
      <c r="P1274" s="209"/>
      <c r="Q1274" s="209"/>
      <c r="R1274" s="209"/>
      <c r="S1274" s="209"/>
      <c r="T1274" s="209"/>
      <c r="U1274" s="209"/>
      <c r="V1274" s="209"/>
      <c r="W1274" s="209"/>
      <c r="X1274" s="209"/>
      <c r="Y1274" s="209"/>
      <c r="Z1274" s="209"/>
      <c r="AA1274" s="209"/>
      <c r="AB1274" s="209"/>
      <c r="AC1274" s="209"/>
      <c r="AD1274" s="209"/>
      <c r="AE1274" s="209"/>
      <c r="AF1274" s="209"/>
      <c r="AG1274" s="209"/>
      <c r="AH1274" s="209"/>
      <c r="AI1274" s="209"/>
      <c r="AJ1274" s="209"/>
      <c r="AK1274" s="209"/>
      <c r="AL1274" s="209"/>
      <c r="AM1274" s="209"/>
      <c r="AN1274" s="209"/>
      <c r="AO1274" s="209"/>
      <c r="AP1274" s="209"/>
    </row>
    <row r="1275">
      <c r="A1275" s="209"/>
      <c r="B1275" s="209"/>
      <c r="C1275" s="209"/>
      <c r="D1275" s="209"/>
      <c r="E1275" s="209"/>
      <c r="F1275" s="209"/>
      <c r="G1275" s="209"/>
      <c r="H1275" s="209"/>
      <c r="I1275" s="209"/>
      <c r="J1275" s="209"/>
      <c r="K1275" s="209"/>
      <c r="L1275" s="209"/>
      <c r="M1275" s="209"/>
      <c r="N1275" s="209"/>
      <c r="O1275" s="209"/>
      <c r="P1275" s="209"/>
      <c r="Q1275" s="209"/>
      <c r="R1275" s="209"/>
      <c r="S1275" s="209"/>
      <c r="T1275" s="209"/>
      <c r="U1275" s="209"/>
      <c r="V1275" s="209"/>
      <c r="W1275" s="209"/>
      <c r="X1275" s="209"/>
      <c r="Y1275" s="209"/>
      <c r="Z1275" s="209"/>
      <c r="AA1275" s="209"/>
      <c r="AB1275" s="209"/>
      <c r="AC1275" s="209"/>
      <c r="AD1275" s="209"/>
      <c r="AE1275" s="209"/>
      <c r="AF1275" s="209"/>
      <c r="AG1275" s="209"/>
      <c r="AH1275" s="209"/>
      <c r="AI1275" s="209"/>
      <c r="AJ1275" s="209"/>
      <c r="AK1275" s="209"/>
      <c r="AL1275" s="209"/>
      <c r="AM1275" s="209"/>
      <c r="AN1275" s="209"/>
      <c r="AO1275" s="209"/>
      <c r="AP1275" s="209"/>
    </row>
    <row r="1276">
      <c r="A1276" s="209"/>
      <c r="B1276" s="209"/>
      <c r="C1276" s="209"/>
      <c r="D1276" s="209"/>
      <c r="E1276" s="209"/>
      <c r="F1276" s="209"/>
      <c r="G1276" s="209"/>
      <c r="H1276" s="209"/>
      <c r="I1276" s="209"/>
      <c r="J1276" s="209"/>
      <c r="K1276" s="209"/>
      <c r="L1276" s="209"/>
      <c r="M1276" s="209"/>
      <c r="N1276" s="209"/>
      <c r="O1276" s="209"/>
      <c r="P1276" s="209"/>
      <c r="Q1276" s="209"/>
      <c r="R1276" s="209"/>
      <c r="S1276" s="209"/>
      <c r="T1276" s="209"/>
      <c r="U1276" s="209"/>
      <c r="V1276" s="209"/>
      <c r="W1276" s="209"/>
      <c r="X1276" s="209"/>
      <c r="Y1276" s="209"/>
      <c r="Z1276" s="209"/>
      <c r="AA1276" s="209"/>
      <c r="AB1276" s="209"/>
      <c r="AC1276" s="209"/>
      <c r="AD1276" s="209"/>
      <c r="AE1276" s="209"/>
      <c r="AF1276" s="209"/>
      <c r="AG1276" s="209"/>
      <c r="AH1276" s="209"/>
      <c r="AI1276" s="209"/>
      <c r="AJ1276" s="209"/>
      <c r="AK1276" s="209"/>
      <c r="AL1276" s="209"/>
      <c r="AM1276" s="209"/>
      <c r="AN1276" s="209"/>
      <c r="AO1276" s="209"/>
      <c r="AP1276" s="209"/>
    </row>
    <row r="1277">
      <c r="A1277" s="209"/>
      <c r="B1277" s="209"/>
      <c r="C1277" s="209"/>
      <c r="D1277" s="209"/>
      <c r="E1277" s="209"/>
      <c r="F1277" s="209"/>
      <c r="G1277" s="209"/>
      <c r="H1277" s="209"/>
      <c r="I1277" s="209"/>
      <c r="J1277" s="209"/>
      <c r="K1277" s="209"/>
      <c r="L1277" s="209"/>
      <c r="M1277" s="209"/>
      <c r="N1277" s="209"/>
      <c r="O1277" s="209"/>
      <c r="P1277" s="209"/>
      <c r="Q1277" s="209"/>
      <c r="R1277" s="209"/>
      <c r="S1277" s="209"/>
      <c r="T1277" s="209"/>
      <c r="U1277" s="209"/>
      <c r="V1277" s="209"/>
      <c r="W1277" s="209"/>
      <c r="X1277" s="209"/>
      <c r="Y1277" s="209"/>
      <c r="Z1277" s="209"/>
      <c r="AA1277" s="209"/>
      <c r="AB1277" s="209"/>
      <c r="AC1277" s="209"/>
      <c r="AD1277" s="209"/>
      <c r="AE1277" s="209"/>
      <c r="AF1277" s="209"/>
      <c r="AG1277" s="209"/>
      <c r="AH1277" s="209"/>
      <c r="AI1277" s="209"/>
      <c r="AJ1277" s="209"/>
      <c r="AK1277" s="209"/>
      <c r="AL1277" s="209"/>
      <c r="AM1277" s="209"/>
      <c r="AN1277" s="209"/>
      <c r="AO1277" s="209"/>
      <c r="AP1277" s="209"/>
    </row>
    <row r="1278">
      <c r="A1278" s="209"/>
      <c r="B1278" s="209"/>
      <c r="C1278" s="209"/>
      <c r="D1278" s="209"/>
      <c r="E1278" s="209"/>
      <c r="F1278" s="209"/>
      <c r="G1278" s="209"/>
      <c r="H1278" s="209"/>
      <c r="I1278" s="209"/>
      <c r="J1278" s="209"/>
      <c r="K1278" s="209"/>
      <c r="L1278" s="209"/>
      <c r="M1278" s="209"/>
      <c r="N1278" s="209"/>
      <c r="O1278" s="209"/>
      <c r="P1278" s="209"/>
      <c r="Q1278" s="209"/>
      <c r="R1278" s="209"/>
      <c r="S1278" s="209"/>
      <c r="T1278" s="209"/>
      <c r="U1278" s="209"/>
      <c r="V1278" s="209"/>
      <c r="W1278" s="209"/>
      <c r="X1278" s="209"/>
      <c r="Y1278" s="209"/>
      <c r="Z1278" s="209"/>
      <c r="AA1278" s="209"/>
      <c r="AB1278" s="209"/>
      <c r="AC1278" s="209"/>
      <c r="AD1278" s="209"/>
      <c r="AE1278" s="209"/>
      <c r="AF1278" s="209"/>
      <c r="AG1278" s="209"/>
      <c r="AH1278" s="209"/>
      <c r="AI1278" s="209"/>
      <c r="AJ1278" s="209"/>
      <c r="AK1278" s="209"/>
      <c r="AL1278" s="209"/>
      <c r="AM1278" s="209"/>
      <c r="AN1278" s="209"/>
      <c r="AO1278" s="209"/>
      <c r="AP1278" s="209"/>
    </row>
    <row r="1279">
      <c r="A1279" s="209"/>
      <c r="B1279" s="209"/>
      <c r="C1279" s="209"/>
      <c r="D1279" s="209"/>
      <c r="E1279" s="209"/>
      <c r="F1279" s="209"/>
      <c r="G1279" s="209"/>
      <c r="H1279" s="209"/>
      <c r="I1279" s="209"/>
      <c r="J1279" s="209"/>
      <c r="K1279" s="209"/>
      <c r="L1279" s="209"/>
      <c r="M1279" s="209"/>
      <c r="N1279" s="209"/>
      <c r="O1279" s="209"/>
      <c r="P1279" s="209"/>
      <c r="Q1279" s="209"/>
      <c r="R1279" s="209"/>
      <c r="S1279" s="209"/>
      <c r="T1279" s="209"/>
      <c r="U1279" s="209"/>
      <c r="V1279" s="209"/>
      <c r="W1279" s="209"/>
      <c r="X1279" s="209"/>
      <c r="Y1279" s="209"/>
      <c r="Z1279" s="209"/>
      <c r="AA1279" s="209"/>
      <c r="AB1279" s="209"/>
      <c r="AC1279" s="209"/>
      <c r="AD1279" s="209"/>
      <c r="AE1279" s="209"/>
      <c r="AF1279" s="209"/>
      <c r="AG1279" s="209"/>
      <c r="AH1279" s="209"/>
      <c r="AI1279" s="209"/>
      <c r="AJ1279" s="209"/>
      <c r="AK1279" s="209"/>
      <c r="AL1279" s="209"/>
      <c r="AM1279" s="209"/>
      <c r="AN1279" s="209"/>
      <c r="AO1279" s="209"/>
      <c r="AP1279" s="209"/>
    </row>
    <row r="1280">
      <c r="A1280" s="209"/>
      <c r="B1280" s="209"/>
      <c r="C1280" s="209"/>
      <c r="D1280" s="209"/>
      <c r="E1280" s="209"/>
      <c r="F1280" s="209"/>
      <c r="G1280" s="209"/>
      <c r="H1280" s="209"/>
      <c r="I1280" s="209"/>
      <c r="J1280" s="209"/>
      <c r="K1280" s="209"/>
      <c r="L1280" s="209"/>
      <c r="M1280" s="209"/>
      <c r="N1280" s="209"/>
      <c r="O1280" s="209"/>
      <c r="P1280" s="209"/>
      <c r="Q1280" s="209"/>
      <c r="R1280" s="209"/>
      <c r="S1280" s="209"/>
      <c r="T1280" s="209"/>
      <c r="U1280" s="209"/>
      <c r="V1280" s="209"/>
      <c r="W1280" s="209"/>
      <c r="X1280" s="209"/>
      <c r="Y1280" s="209"/>
      <c r="Z1280" s="209"/>
      <c r="AA1280" s="209"/>
      <c r="AB1280" s="209"/>
      <c r="AC1280" s="209"/>
      <c r="AD1280" s="209"/>
      <c r="AE1280" s="209"/>
      <c r="AF1280" s="209"/>
      <c r="AG1280" s="209"/>
      <c r="AH1280" s="209"/>
      <c r="AI1280" s="209"/>
      <c r="AJ1280" s="209"/>
      <c r="AK1280" s="209"/>
      <c r="AL1280" s="209"/>
      <c r="AM1280" s="209"/>
      <c r="AN1280" s="209"/>
      <c r="AO1280" s="209"/>
      <c r="AP1280" s="209"/>
    </row>
    <row r="1281">
      <c r="A1281" s="209"/>
      <c r="B1281" s="209"/>
      <c r="C1281" s="209"/>
      <c r="D1281" s="209"/>
      <c r="E1281" s="209"/>
      <c r="F1281" s="209"/>
      <c r="G1281" s="209"/>
      <c r="H1281" s="209"/>
      <c r="I1281" s="209"/>
      <c r="J1281" s="209"/>
      <c r="K1281" s="209"/>
      <c r="L1281" s="209"/>
      <c r="M1281" s="209"/>
      <c r="N1281" s="209"/>
      <c r="O1281" s="209"/>
      <c r="P1281" s="209"/>
      <c r="Q1281" s="209"/>
      <c r="R1281" s="209"/>
      <c r="S1281" s="209"/>
      <c r="T1281" s="209"/>
      <c r="U1281" s="209"/>
      <c r="V1281" s="209"/>
      <c r="W1281" s="209"/>
      <c r="X1281" s="209"/>
      <c r="Y1281" s="209"/>
      <c r="Z1281" s="209"/>
      <c r="AA1281" s="209"/>
      <c r="AB1281" s="209"/>
      <c r="AC1281" s="209"/>
      <c r="AD1281" s="209"/>
      <c r="AE1281" s="209"/>
      <c r="AF1281" s="209"/>
      <c r="AG1281" s="209"/>
      <c r="AH1281" s="209"/>
      <c r="AI1281" s="209"/>
      <c r="AJ1281" s="209"/>
      <c r="AK1281" s="209"/>
      <c r="AL1281" s="209"/>
      <c r="AM1281" s="209"/>
      <c r="AN1281" s="209"/>
      <c r="AO1281" s="209"/>
      <c r="AP1281" s="209"/>
    </row>
    <row r="1282">
      <c r="A1282" s="209"/>
      <c r="B1282" s="209"/>
      <c r="C1282" s="209"/>
      <c r="D1282" s="209"/>
      <c r="E1282" s="209"/>
      <c r="F1282" s="209"/>
      <c r="G1282" s="209"/>
      <c r="H1282" s="209"/>
      <c r="I1282" s="209"/>
      <c r="J1282" s="209"/>
      <c r="K1282" s="209"/>
      <c r="L1282" s="209"/>
      <c r="M1282" s="209"/>
      <c r="N1282" s="209"/>
      <c r="O1282" s="209"/>
      <c r="P1282" s="209"/>
      <c r="Q1282" s="209"/>
      <c r="R1282" s="209"/>
      <c r="S1282" s="209"/>
      <c r="T1282" s="209"/>
      <c r="U1282" s="209"/>
      <c r="V1282" s="209"/>
      <c r="W1282" s="209"/>
      <c r="X1282" s="209"/>
      <c r="Y1282" s="209"/>
      <c r="Z1282" s="209"/>
      <c r="AA1282" s="209"/>
      <c r="AB1282" s="209"/>
      <c r="AC1282" s="209"/>
      <c r="AD1282" s="209"/>
      <c r="AE1282" s="209"/>
      <c r="AF1282" s="209"/>
      <c r="AG1282" s="209"/>
      <c r="AH1282" s="209"/>
      <c r="AI1282" s="209"/>
      <c r="AJ1282" s="209"/>
      <c r="AK1282" s="209"/>
      <c r="AL1282" s="209"/>
      <c r="AM1282" s="209"/>
      <c r="AN1282" s="209"/>
      <c r="AO1282" s="209"/>
      <c r="AP1282" s="209"/>
    </row>
    <row r="1283">
      <c r="A1283" s="209"/>
      <c r="B1283" s="209"/>
      <c r="C1283" s="209"/>
      <c r="D1283" s="209"/>
      <c r="E1283" s="209"/>
      <c r="F1283" s="209"/>
      <c r="G1283" s="209"/>
      <c r="H1283" s="209"/>
      <c r="I1283" s="209"/>
      <c r="J1283" s="209"/>
      <c r="K1283" s="209"/>
      <c r="L1283" s="209"/>
      <c r="M1283" s="209"/>
      <c r="N1283" s="209"/>
      <c r="O1283" s="209"/>
      <c r="P1283" s="209"/>
      <c r="Q1283" s="209"/>
      <c r="R1283" s="209"/>
      <c r="S1283" s="209"/>
      <c r="T1283" s="209"/>
      <c r="U1283" s="209"/>
      <c r="V1283" s="209"/>
      <c r="W1283" s="209"/>
      <c r="X1283" s="209"/>
      <c r="Y1283" s="209"/>
      <c r="Z1283" s="209"/>
      <c r="AA1283" s="209"/>
      <c r="AB1283" s="209"/>
      <c r="AC1283" s="209"/>
      <c r="AD1283" s="209"/>
      <c r="AE1283" s="209"/>
      <c r="AF1283" s="209"/>
      <c r="AG1283" s="209"/>
      <c r="AH1283" s="209"/>
      <c r="AI1283" s="209"/>
      <c r="AJ1283" s="209"/>
      <c r="AK1283" s="209"/>
      <c r="AL1283" s="209"/>
      <c r="AM1283" s="209"/>
      <c r="AN1283" s="209"/>
      <c r="AO1283" s="209"/>
      <c r="AP1283" s="209"/>
    </row>
    <row r="1284">
      <c r="A1284" s="209"/>
      <c r="B1284" s="209"/>
      <c r="C1284" s="209"/>
      <c r="D1284" s="209"/>
      <c r="E1284" s="209"/>
      <c r="F1284" s="209"/>
      <c r="G1284" s="209"/>
      <c r="H1284" s="209"/>
      <c r="I1284" s="209"/>
      <c r="J1284" s="209"/>
      <c r="K1284" s="209"/>
      <c r="L1284" s="209"/>
      <c r="M1284" s="209"/>
      <c r="N1284" s="209"/>
      <c r="O1284" s="209"/>
      <c r="P1284" s="209"/>
      <c r="Q1284" s="209"/>
      <c r="R1284" s="209"/>
      <c r="S1284" s="209"/>
      <c r="T1284" s="209"/>
      <c r="U1284" s="209"/>
      <c r="V1284" s="209"/>
      <c r="W1284" s="209"/>
      <c r="X1284" s="209"/>
      <c r="Y1284" s="209"/>
      <c r="Z1284" s="209"/>
      <c r="AA1284" s="209"/>
      <c r="AB1284" s="209"/>
      <c r="AC1284" s="209"/>
      <c r="AD1284" s="209"/>
      <c r="AE1284" s="209"/>
      <c r="AF1284" s="209"/>
      <c r="AG1284" s="209"/>
      <c r="AH1284" s="209"/>
      <c r="AI1284" s="209"/>
      <c r="AJ1284" s="209"/>
      <c r="AK1284" s="209"/>
      <c r="AL1284" s="209"/>
      <c r="AM1284" s="209"/>
      <c r="AN1284" s="209"/>
      <c r="AO1284" s="209"/>
      <c r="AP1284" s="209"/>
    </row>
    <row r="1285">
      <c r="A1285" s="209"/>
      <c r="B1285" s="209"/>
      <c r="C1285" s="209"/>
      <c r="D1285" s="209"/>
      <c r="E1285" s="209"/>
      <c r="F1285" s="209"/>
      <c r="G1285" s="209"/>
      <c r="H1285" s="209"/>
      <c r="I1285" s="209"/>
      <c r="J1285" s="209"/>
      <c r="K1285" s="209"/>
      <c r="L1285" s="209"/>
      <c r="M1285" s="209"/>
      <c r="N1285" s="209"/>
      <c r="O1285" s="209"/>
      <c r="P1285" s="209"/>
      <c r="Q1285" s="209"/>
      <c r="R1285" s="209"/>
      <c r="S1285" s="209"/>
      <c r="T1285" s="209"/>
      <c r="U1285" s="209"/>
      <c r="V1285" s="209"/>
      <c r="W1285" s="209"/>
      <c r="X1285" s="209"/>
      <c r="Y1285" s="209"/>
      <c r="Z1285" s="209"/>
      <c r="AA1285" s="209"/>
      <c r="AB1285" s="209"/>
      <c r="AC1285" s="209"/>
      <c r="AD1285" s="209"/>
      <c r="AE1285" s="209"/>
      <c r="AF1285" s="209"/>
      <c r="AG1285" s="209"/>
      <c r="AH1285" s="209"/>
      <c r="AI1285" s="209"/>
      <c r="AJ1285" s="209"/>
      <c r="AK1285" s="209"/>
      <c r="AL1285" s="209"/>
      <c r="AM1285" s="209"/>
      <c r="AN1285" s="209"/>
      <c r="AO1285" s="209"/>
      <c r="AP1285" s="209"/>
    </row>
    <row r="1286">
      <c r="A1286" s="209"/>
      <c r="B1286" s="209"/>
      <c r="C1286" s="209"/>
      <c r="D1286" s="209"/>
      <c r="E1286" s="209"/>
      <c r="F1286" s="209"/>
      <c r="G1286" s="209"/>
      <c r="H1286" s="209"/>
      <c r="I1286" s="209"/>
      <c r="J1286" s="209"/>
      <c r="K1286" s="209"/>
      <c r="L1286" s="209"/>
      <c r="M1286" s="209"/>
      <c r="N1286" s="209"/>
      <c r="O1286" s="209"/>
      <c r="P1286" s="209"/>
      <c r="Q1286" s="209"/>
      <c r="R1286" s="209"/>
      <c r="S1286" s="209"/>
      <c r="T1286" s="209"/>
      <c r="U1286" s="209"/>
      <c r="V1286" s="209"/>
      <c r="W1286" s="209"/>
      <c r="X1286" s="209"/>
      <c r="Y1286" s="209"/>
      <c r="Z1286" s="209"/>
      <c r="AA1286" s="209"/>
      <c r="AB1286" s="209"/>
      <c r="AC1286" s="209"/>
      <c r="AD1286" s="209"/>
      <c r="AE1286" s="209"/>
      <c r="AF1286" s="209"/>
      <c r="AG1286" s="209"/>
      <c r="AH1286" s="209"/>
      <c r="AI1286" s="209"/>
      <c r="AJ1286" s="209"/>
      <c r="AK1286" s="209"/>
      <c r="AL1286" s="209"/>
      <c r="AM1286" s="209"/>
      <c r="AN1286" s="209"/>
      <c r="AO1286" s="209"/>
      <c r="AP1286" s="209"/>
    </row>
    <row r="1287">
      <c r="A1287" s="209"/>
      <c r="B1287" s="209"/>
      <c r="C1287" s="209"/>
      <c r="D1287" s="209"/>
      <c r="E1287" s="209"/>
      <c r="F1287" s="209"/>
      <c r="G1287" s="209"/>
      <c r="H1287" s="209"/>
      <c r="I1287" s="209"/>
      <c r="J1287" s="209"/>
      <c r="K1287" s="209"/>
      <c r="L1287" s="209"/>
      <c r="M1287" s="209"/>
      <c r="N1287" s="209"/>
      <c r="O1287" s="209"/>
      <c r="P1287" s="209"/>
      <c r="Q1287" s="209"/>
      <c r="R1287" s="209"/>
      <c r="S1287" s="209"/>
      <c r="T1287" s="209"/>
      <c r="U1287" s="209"/>
      <c r="V1287" s="209"/>
      <c r="W1287" s="209"/>
      <c r="X1287" s="209"/>
      <c r="Y1287" s="209"/>
      <c r="Z1287" s="209"/>
      <c r="AA1287" s="209"/>
      <c r="AB1287" s="209"/>
      <c r="AC1287" s="209"/>
      <c r="AD1287" s="209"/>
      <c r="AE1287" s="209"/>
      <c r="AF1287" s="209"/>
      <c r="AG1287" s="209"/>
      <c r="AH1287" s="209"/>
      <c r="AI1287" s="209"/>
      <c r="AJ1287" s="209"/>
      <c r="AK1287" s="209"/>
      <c r="AL1287" s="209"/>
      <c r="AM1287" s="209"/>
      <c r="AN1287" s="209"/>
      <c r="AO1287" s="209"/>
      <c r="AP1287" s="209"/>
    </row>
    <row r="1288">
      <c r="A1288" s="209"/>
      <c r="B1288" s="209"/>
      <c r="C1288" s="209"/>
      <c r="D1288" s="209"/>
      <c r="E1288" s="209"/>
      <c r="F1288" s="209"/>
      <c r="G1288" s="209"/>
      <c r="H1288" s="209"/>
      <c r="I1288" s="209"/>
      <c r="J1288" s="209"/>
      <c r="K1288" s="209"/>
      <c r="L1288" s="209"/>
      <c r="M1288" s="209"/>
      <c r="N1288" s="209"/>
      <c r="O1288" s="209"/>
      <c r="P1288" s="209"/>
      <c r="Q1288" s="209"/>
      <c r="R1288" s="209"/>
      <c r="S1288" s="209"/>
      <c r="T1288" s="209"/>
      <c r="U1288" s="209"/>
      <c r="V1288" s="209"/>
      <c r="W1288" s="209"/>
      <c r="X1288" s="209"/>
      <c r="Y1288" s="209"/>
      <c r="Z1288" s="209"/>
      <c r="AA1288" s="209"/>
      <c r="AB1288" s="209"/>
      <c r="AC1288" s="209"/>
      <c r="AD1288" s="209"/>
      <c r="AE1288" s="209"/>
      <c r="AF1288" s="209"/>
      <c r="AG1288" s="209"/>
      <c r="AH1288" s="209"/>
      <c r="AI1288" s="209"/>
      <c r="AJ1288" s="209"/>
      <c r="AK1288" s="209"/>
      <c r="AL1288" s="209"/>
      <c r="AM1288" s="209"/>
      <c r="AN1288" s="209"/>
      <c r="AO1288" s="209"/>
      <c r="AP1288" s="209"/>
    </row>
    <row r="1289">
      <c r="A1289" s="209"/>
      <c r="B1289" s="209"/>
      <c r="C1289" s="209"/>
      <c r="D1289" s="209"/>
      <c r="E1289" s="209"/>
      <c r="F1289" s="209"/>
      <c r="G1289" s="209"/>
      <c r="H1289" s="209"/>
      <c r="I1289" s="209"/>
      <c r="J1289" s="209"/>
      <c r="K1289" s="209"/>
      <c r="L1289" s="209"/>
      <c r="M1289" s="209"/>
      <c r="N1289" s="209"/>
      <c r="O1289" s="209"/>
      <c r="P1289" s="209"/>
      <c r="Q1289" s="209"/>
      <c r="R1289" s="209"/>
      <c r="S1289" s="209"/>
      <c r="T1289" s="209"/>
      <c r="U1289" s="209"/>
      <c r="V1289" s="209"/>
      <c r="W1289" s="209"/>
      <c r="X1289" s="209"/>
      <c r="Y1289" s="209"/>
      <c r="Z1289" s="209"/>
      <c r="AA1289" s="209"/>
      <c r="AB1289" s="209"/>
      <c r="AC1289" s="209"/>
      <c r="AD1289" s="209"/>
      <c r="AE1289" s="209"/>
      <c r="AF1289" s="209"/>
      <c r="AG1289" s="209"/>
      <c r="AH1289" s="209"/>
      <c r="AI1289" s="209"/>
      <c r="AJ1289" s="209"/>
      <c r="AK1289" s="209"/>
      <c r="AL1289" s="209"/>
      <c r="AM1289" s="209"/>
      <c r="AN1289" s="209"/>
      <c r="AO1289" s="209"/>
      <c r="AP1289" s="209"/>
    </row>
    <row r="1290">
      <c r="A1290" s="209"/>
      <c r="B1290" s="209"/>
      <c r="C1290" s="209"/>
      <c r="D1290" s="209"/>
      <c r="E1290" s="209"/>
      <c r="F1290" s="209"/>
      <c r="G1290" s="209"/>
      <c r="H1290" s="209"/>
      <c r="I1290" s="209"/>
      <c r="J1290" s="209"/>
      <c r="K1290" s="209"/>
      <c r="L1290" s="209"/>
      <c r="M1290" s="209"/>
      <c r="N1290" s="209"/>
      <c r="O1290" s="209"/>
      <c r="P1290" s="209"/>
      <c r="Q1290" s="209"/>
      <c r="R1290" s="209"/>
      <c r="S1290" s="209"/>
      <c r="T1290" s="209"/>
      <c r="U1290" s="209"/>
      <c r="V1290" s="209"/>
      <c r="W1290" s="209"/>
      <c r="X1290" s="209"/>
      <c r="Y1290" s="209"/>
      <c r="Z1290" s="209"/>
      <c r="AA1290" s="209"/>
      <c r="AB1290" s="209"/>
      <c r="AC1290" s="209"/>
      <c r="AD1290" s="209"/>
      <c r="AE1290" s="209"/>
      <c r="AF1290" s="209"/>
      <c r="AG1290" s="209"/>
      <c r="AH1290" s="209"/>
      <c r="AI1290" s="209"/>
      <c r="AJ1290" s="209"/>
      <c r="AK1290" s="209"/>
      <c r="AL1290" s="209"/>
      <c r="AM1290" s="209"/>
      <c r="AN1290" s="209"/>
      <c r="AO1290" s="209"/>
      <c r="AP1290" s="209"/>
    </row>
    <row r="1291">
      <c r="A1291" s="209"/>
      <c r="B1291" s="209"/>
      <c r="C1291" s="209"/>
      <c r="D1291" s="209"/>
      <c r="E1291" s="209"/>
      <c r="F1291" s="209"/>
      <c r="G1291" s="209"/>
      <c r="H1291" s="209"/>
      <c r="I1291" s="209"/>
      <c r="J1291" s="209"/>
      <c r="K1291" s="209"/>
      <c r="L1291" s="209"/>
      <c r="M1291" s="209"/>
      <c r="N1291" s="209"/>
      <c r="O1291" s="209"/>
      <c r="P1291" s="209"/>
      <c r="Q1291" s="209"/>
      <c r="R1291" s="209"/>
      <c r="S1291" s="209"/>
      <c r="T1291" s="209"/>
      <c r="U1291" s="209"/>
      <c r="V1291" s="209"/>
      <c r="W1291" s="209"/>
      <c r="X1291" s="209"/>
      <c r="Y1291" s="209"/>
      <c r="Z1291" s="209"/>
      <c r="AA1291" s="209"/>
      <c r="AB1291" s="209"/>
      <c r="AC1291" s="209"/>
      <c r="AD1291" s="209"/>
      <c r="AE1291" s="209"/>
      <c r="AF1291" s="209"/>
      <c r="AG1291" s="209"/>
      <c r="AH1291" s="209"/>
      <c r="AI1291" s="209"/>
      <c r="AJ1291" s="209"/>
      <c r="AK1291" s="209"/>
      <c r="AL1291" s="209"/>
      <c r="AM1291" s="209"/>
      <c r="AN1291" s="209"/>
      <c r="AO1291" s="209"/>
      <c r="AP1291" s="209"/>
    </row>
    <row r="1292">
      <c r="A1292" s="209"/>
      <c r="B1292" s="209"/>
      <c r="C1292" s="209"/>
      <c r="D1292" s="209"/>
      <c r="E1292" s="209"/>
      <c r="F1292" s="209"/>
      <c r="G1292" s="209"/>
      <c r="H1292" s="209"/>
      <c r="I1292" s="209"/>
      <c r="J1292" s="209"/>
      <c r="K1292" s="209"/>
      <c r="L1292" s="209"/>
      <c r="M1292" s="209"/>
      <c r="N1292" s="209"/>
      <c r="O1292" s="209"/>
      <c r="P1292" s="209"/>
      <c r="Q1292" s="209"/>
      <c r="R1292" s="209"/>
      <c r="S1292" s="209"/>
      <c r="T1292" s="209"/>
      <c r="U1292" s="209"/>
      <c r="V1292" s="209"/>
      <c r="W1292" s="209"/>
      <c r="X1292" s="209"/>
      <c r="Y1292" s="209"/>
      <c r="Z1292" s="209"/>
      <c r="AA1292" s="209"/>
      <c r="AB1292" s="209"/>
      <c r="AC1292" s="209"/>
      <c r="AD1292" s="209"/>
      <c r="AE1292" s="209"/>
      <c r="AF1292" s="209"/>
      <c r="AG1292" s="209"/>
      <c r="AH1292" s="209"/>
      <c r="AI1292" s="209"/>
      <c r="AJ1292" s="209"/>
      <c r="AK1292" s="209"/>
      <c r="AL1292" s="209"/>
      <c r="AM1292" s="209"/>
      <c r="AN1292" s="209"/>
      <c r="AO1292" s="209"/>
      <c r="AP1292" s="209"/>
    </row>
    <row r="1293">
      <c r="A1293" s="209"/>
      <c r="B1293" s="209"/>
      <c r="C1293" s="209"/>
      <c r="D1293" s="209"/>
      <c r="E1293" s="209"/>
      <c r="F1293" s="209"/>
      <c r="G1293" s="209"/>
      <c r="H1293" s="209"/>
      <c r="I1293" s="209"/>
      <c r="J1293" s="209"/>
      <c r="K1293" s="209"/>
      <c r="L1293" s="209"/>
      <c r="M1293" s="209"/>
      <c r="N1293" s="209"/>
      <c r="O1293" s="209"/>
      <c r="P1293" s="209"/>
      <c r="Q1293" s="209"/>
      <c r="R1293" s="209"/>
      <c r="S1293" s="209"/>
      <c r="T1293" s="209"/>
      <c r="U1293" s="209"/>
      <c r="V1293" s="209"/>
      <c r="W1293" s="209"/>
      <c r="X1293" s="209"/>
      <c r="Y1293" s="209"/>
      <c r="Z1293" s="209"/>
      <c r="AA1293" s="209"/>
      <c r="AB1293" s="209"/>
      <c r="AC1293" s="209"/>
      <c r="AD1293" s="209"/>
      <c r="AE1293" s="209"/>
      <c r="AF1293" s="209"/>
      <c r="AG1293" s="209"/>
      <c r="AH1293" s="209"/>
      <c r="AI1293" s="209"/>
      <c r="AJ1293" s="209"/>
      <c r="AK1293" s="209"/>
      <c r="AL1293" s="209"/>
      <c r="AM1293" s="209"/>
      <c r="AN1293" s="209"/>
      <c r="AO1293" s="209"/>
      <c r="AP1293" s="209"/>
    </row>
    <row r="1294">
      <c r="A1294" s="209"/>
      <c r="B1294" s="209"/>
      <c r="C1294" s="209"/>
      <c r="D1294" s="209"/>
      <c r="E1294" s="209"/>
      <c r="F1294" s="209"/>
      <c r="G1294" s="209"/>
      <c r="H1294" s="209"/>
      <c r="I1294" s="209"/>
      <c r="J1294" s="209"/>
      <c r="K1294" s="209"/>
      <c r="L1294" s="209"/>
      <c r="M1294" s="209"/>
      <c r="N1294" s="209"/>
      <c r="O1294" s="209"/>
      <c r="P1294" s="209"/>
      <c r="Q1294" s="209"/>
      <c r="R1294" s="209"/>
      <c r="S1294" s="209"/>
      <c r="T1294" s="209"/>
      <c r="U1294" s="209"/>
      <c r="V1294" s="209"/>
      <c r="W1294" s="209"/>
      <c r="X1294" s="209"/>
      <c r="Y1294" s="209"/>
      <c r="Z1294" s="209"/>
      <c r="AA1294" s="209"/>
      <c r="AB1294" s="209"/>
      <c r="AC1294" s="209"/>
      <c r="AD1294" s="209"/>
      <c r="AE1294" s="209"/>
      <c r="AF1294" s="209"/>
      <c r="AG1294" s="209"/>
      <c r="AH1294" s="209"/>
      <c r="AI1294" s="209"/>
      <c r="AJ1294" s="209"/>
      <c r="AK1294" s="209"/>
      <c r="AL1294" s="209"/>
      <c r="AM1294" s="209"/>
      <c r="AN1294" s="209"/>
      <c r="AO1294" s="209"/>
      <c r="AP1294" s="209"/>
    </row>
    <row r="1295">
      <c r="A1295" s="209"/>
      <c r="B1295" s="209"/>
      <c r="C1295" s="209"/>
      <c r="D1295" s="209"/>
      <c r="E1295" s="209"/>
      <c r="F1295" s="209"/>
      <c r="G1295" s="209"/>
      <c r="H1295" s="209"/>
      <c r="I1295" s="209"/>
      <c r="J1295" s="209"/>
      <c r="K1295" s="209"/>
      <c r="L1295" s="209"/>
      <c r="M1295" s="209"/>
      <c r="N1295" s="209"/>
      <c r="O1295" s="209"/>
      <c r="P1295" s="209"/>
      <c r="Q1295" s="209"/>
      <c r="R1295" s="209"/>
      <c r="S1295" s="209"/>
      <c r="T1295" s="209"/>
      <c r="U1295" s="209"/>
      <c r="V1295" s="209"/>
      <c r="W1295" s="209"/>
      <c r="X1295" s="209"/>
      <c r="Y1295" s="209"/>
      <c r="Z1295" s="209"/>
      <c r="AA1295" s="209"/>
      <c r="AB1295" s="209"/>
      <c r="AC1295" s="209"/>
      <c r="AD1295" s="209"/>
      <c r="AE1295" s="209"/>
      <c r="AF1295" s="209"/>
      <c r="AG1295" s="209"/>
      <c r="AH1295" s="209"/>
      <c r="AI1295" s="209"/>
      <c r="AJ1295" s="209"/>
      <c r="AK1295" s="209"/>
      <c r="AL1295" s="209"/>
      <c r="AM1295" s="209"/>
      <c r="AN1295" s="209"/>
      <c r="AO1295" s="209"/>
      <c r="AP1295" s="209"/>
    </row>
    <row r="1296">
      <c r="A1296" s="209"/>
      <c r="B1296" s="209"/>
      <c r="C1296" s="209"/>
      <c r="D1296" s="209"/>
      <c r="E1296" s="209"/>
      <c r="F1296" s="209"/>
      <c r="G1296" s="209"/>
      <c r="H1296" s="209"/>
      <c r="I1296" s="209"/>
      <c r="J1296" s="209"/>
      <c r="K1296" s="209"/>
      <c r="L1296" s="209"/>
      <c r="M1296" s="209"/>
      <c r="N1296" s="209"/>
      <c r="O1296" s="209"/>
      <c r="P1296" s="209"/>
      <c r="Q1296" s="209"/>
      <c r="R1296" s="209"/>
      <c r="S1296" s="209"/>
      <c r="T1296" s="209"/>
      <c r="U1296" s="209"/>
      <c r="V1296" s="209"/>
      <c r="W1296" s="209"/>
      <c r="X1296" s="209"/>
      <c r="Y1296" s="209"/>
      <c r="Z1296" s="209"/>
      <c r="AA1296" s="209"/>
      <c r="AB1296" s="209"/>
      <c r="AC1296" s="209"/>
      <c r="AD1296" s="209"/>
      <c r="AE1296" s="209"/>
      <c r="AF1296" s="209"/>
      <c r="AG1296" s="209"/>
      <c r="AH1296" s="209"/>
      <c r="AI1296" s="209"/>
      <c r="AJ1296" s="209"/>
      <c r="AK1296" s="209"/>
      <c r="AL1296" s="209"/>
      <c r="AM1296" s="209"/>
      <c r="AN1296" s="209"/>
      <c r="AO1296" s="209"/>
      <c r="AP1296" s="209"/>
    </row>
    <row r="1297">
      <c r="A1297" s="209"/>
      <c r="B1297" s="209"/>
      <c r="C1297" s="209"/>
      <c r="D1297" s="209"/>
      <c r="E1297" s="209"/>
      <c r="F1297" s="209"/>
      <c r="G1297" s="209"/>
      <c r="H1297" s="209"/>
      <c r="I1297" s="209"/>
      <c r="J1297" s="209"/>
      <c r="K1297" s="209"/>
      <c r="L1297" s="209"/>
      <c r="M1297" s="209"/>
      <c r="N1297" s="209"/>
      <c r="O1297" s="209"/>
      <c r="P1297" s="209"/>
      <c r="Q1297" s="209"/>
      <c r="R1297" s="209"/>
      <c r="S1297" s="209"/>
      <c r="T1297" s="209"/>
      <c r="U1297" s="209"/>
      <c r="V1297" s="209"/>
      <c r="W1297" s="209"/>
      <c r="X1297" s="209"/>
      <c r="Y1297" s="209"/>
      <c r="Z1297" s="209"/>
      <c r="AA1297" s="209"/>
      <c r="AB1297" s="209"/>
      <c r="AC1297" s="209"/>
      <c r="AD1297" s="209"/>
      <c r="AE1297" s="209"/>
      <c r="AF1297" s="209"/>
      <c r="AG1297" s="209"/>
      <c r="AH1297" s="209"/>
      <c r="AI1297" s="209"/>
      <c r="AJ1297" s="209"/>
      <c r="AK1297" s="209"/>
      <c r="AL1297" s="209"/>
      <c r="AM1297" s="209"/>
      <c r="AN1297" s="209"/>
      <c r="AO1297" s="209"/>
      <c r="AP1297" s="209"/>
    </row>
    <row r="1298">
      <c r="A1298" s="209"/>
      <c r="B1298" s="209"/>
      <c r="C1298" s="209"/>
      <c r="D1298" s="209"/>
      <c r="E1298" s="209"/>
      <c r="F1298" s="209"/>
      <c r="G1298" s="209"/>
      <c r="H1298" s="209"/>
      <c r="I1298" s="209"/>
      <c r="J1298" s="209"/>
      <c r="K1298" s="209"/>
      <c r="L1298" s="209"/>
      <c r="M1298" s="209"/>
      <c r="N1298" s="209"/>
      <c r="O1298" s="209"/>
      <c r="P1298" s="209"/>
      <c r="Q1298" s="209"/>
      <c r="R1298" s="209"/>
      <c r="S1298" s="209"/>
      <c r="T1298" s="209"/>
      <c r="U1298" s="209"/>
      <c r="V1298" s="209"/>
      <c r="W1298" s="209"/>
      <c r="X1298" s="209"/>
      <c r="Y1298" s="209"/>
      <c r="Z1298" s="209"/>
      <c r="AA1298" s="209"/>
      <c r="AB1298" s="209"/>
      <c r="AC1298" s="209"/>
      <c r="AD1298" s="209"/>
      <c r="AE1298" s="209"/>
      <c r="AF1298" s="209"/>
      <c r="AG1298" s="209"/>
      <c r="AH1298" s="209"/>
      <c r="AI1298" s="209"/>
      <c r="AJ1298" s="209"/>
      <c r="AK1298" s="209"/>
      <c r="AL1298" s="209"/>
      <c r="AM1298" s="209"/>
      <c r="AN1298" s="209"/>
      <c r="AO1298" s="209"/>
      <c r="AP1298" s="209"/>
    </row>
    <row r="1299">
      <c r="A1299" s="209"/>
      <c r="B1299" s="209"/>
      <c r="C1299" s="209"/>
      <c r="D1299" s="209"/>
      <c r="E1299" s="209"/>
      <c r="F1299" s="209"/>
      <c r="G1299" s="209"/>
      <c r="H1299" s="209"/>
      <c r="I1299" s="209"/>
      <c r="J1299" s="209"/>
      <c r="K1299" s="209"/>
      <c r="L1299" s="209"/>
      <c r="M1299" s="209"/>
      <c r="N1299" s="209"/>
      <c r="O1299" s="209"/>
      <c r="P1299" s="209"/>
      <c r="Q1299" s="209"/>
      <c r="R1299" s="209"/>
      <c r="S1299" s="209"/>
      <c r="T1299" s="209"/>
      <c r="U1299" s="209"/>
      <c r="V1299" s="209"/>
      <c r="W1299" s="209"/>
      <c r="X1299" s="209"/>
      <c r="Y1299" s="209"/>
      <c r="Z1299" s="209"/>
      <c r="AA1299" s="209"/>
      <c r="AB1299" s="209"/>
      <c r="AC1299" s="209"/>
      <c r="AD1299" s="209"/>
      <c r="AE1299" s="209"/>
      <c r="AF1299" s="209"/>
      <c r="AG1299" s="209"/>
      <c r="AH1299" s="209"/>
      <c r="AI1299" s="209"/>
      <c r="AJ1299" s="209"/>
      <c r="AK1299" s="209"/>
      <c r="AL1299" s="209"/>
      <c r="AM1299" s="209"/>
      <c r="AN1299" s="209"/>
      <c r="AO1299" s="209"/>
      <c r="AP1299" s="209"/>
    </row>
    <row r="1300">
      <c r="A1300" s="209"/>
      <c r="B1300" s="209"/>
      <c r="C1300" s="209"/>
      <c r="D1300" s="209"/>
      <c r="E1300" s="209"/>
      <c r="F1300" s="209"/>
      <c r="G1300" s="209"/>
      <c r="H1300" s="209"/>
      <c r="I1300" s="209"/>
      <c r="J1300" s="209"/>
      <c r="K1300" s="209"/>
      <c r="L1300" s="209"/>
      <c r="M1300" s="209"/>
      <c r="N1300" s="209"/>
      <c r="O1300" s="209"/>
      <c r="P1300" s="209"/>
      <c r="Q1300" s="209"/>
      <c r="R1300" s="209"/>
      <c r="S1300" s="209"/>
      <c r="T1300" s="209"/>
      <c r="U1300" s="209"/>
      <c r="V1300" s="209"/>
      <c r="W1300" s="209"/>
      <c r="X1300" s="209"/>
      <c r="Y1300" s="209"/>
      <c r="Z1300" s="209"/>
      <c r="AA1300" s="209"/>
      <c r="AB1300" s="209"/>
      <c r="AC1300" s="209"/>
      <c r="AD1300" s="209"/>
      <c r="AE1300" s="209"/>
      <c r="AF1300" s="209"/>
      <c r="AG1300" s="209"/>
      <c r="AH1300" s="209"/>
      <c r="AI1300" s="209"/>
      <c r="AJ1300" s="209"/>
      <c r="AK1300" s="209"/>
      <c r="AL1300" s="209"/>
      <c r="AM1300" s="209"/>
      <c r="AN1300" s="209"/>
      <c r="AO1300" s="209"/>
      <c r="AP1300" s="209"/>
    </row>
    <row r="1301">
      <c r="A1301" s="209"/>
      <c r="B1301" s="209"/>
      <c r="C1301" s="209"/>
      <c r="D1301" s="209"/>
      <c r="E1301" s="209"/>
      <c r="F1301" s="209"/>
      <c r="G1301" s="209"/>
      <c r="H1301" s="209"/>
      <c r="I1301" s="209"/>
      <c r="J1301" s="209"/>
      <c r="K1301" s="209"/>
      <c r="L1301" s="209"/>
      <c r="M1301" s="209"/>
      <c r="N1301" s="209"/>
      <c r="O1301" s="209"/>
      <c r="P1301" s="209"/>
      <c r="Q1301" s="209"/>
      <c r="R1301" s="209"/>
      <c r="S1301" s="209"/>
      <c r="T1301" s="209"/>
      <c r="U1301" s="209"/>
      <c r="V1301" s="209"/>
      <c r="W1301" s="209"/>
      <c r="X1301" s="209"/>
      <c r="Y1301" s="209"/>
      <c r="Z1301" s="209"/>
      <c r="AA1301" s="209"/>
      <c r="AB1301" s="209"/>
      <c r="AC1301" s="209"/>
      <c r="AD1301" s="209"/>
      <c r="AE1301" s="209"/>
      <c r="AF1301" s="209"/>
      <c r="AG1301" s="209"/>
      <c r="AH1301" s="209"/>
      <c r="AI1301" s="209"/>
      <c r="AJ1301" s="209"/>
      <c r="AK1301" s="209"/>
      <c r="AL1301" s="209"/>
      <c r="AM1301" s="209"/>
      <c r="AN1301" s="209"/>
      <c r="AO1301" s="209"/>
      <c r="AP1301" s="209"/>
    </row>
    <row r="1302">
      <c r="A1302" s="209"/>
      <c r="B1302" s="209"/>
      <c r="C1302" s="209"/>
      <c r="D1302" s="209"/>
      <c r="E1302" s="209"/>
      <c r="F1302" s="209"/>
      <c r="G1302" s="209"/>
      <c r="H1302" s="209"/>
      <c r="I1302" s="209"/>
      <c r="J1302" s="209"/>
      <c r="K1302" s="209"/>
      <c r="L1302" s="209"/>
      <c r="M1302" s="209"/>
      <c r="N1302" s="209"/>
      <c r="O1302" s="209"/>
      <c r="P1302" s="209"/>
      <c r="Q1302" s="209"/>
      <c r="R1302" s="209"/>
      <c r="S1302" s="209"/>
      <c r="T1302" s="209"/>
      <c r="U1302" s="209"/>
      <c r="V1302" s="209"/>
      <c r="W1302" s="209"/>
      <c r="X1302" s="209"/>
      <c r="Y1302" s="209"/>
      <c r="Z1302" s="209"/>
      <c r="AA1302" s="209"/>
      <c r="AB1302" s="209"/>
      <c r="AC1302" s="209"/>
      <c r="AD1302" s="209"/>
      <c r="AE1302" s="209"/>
      <c r="AF1302" s="209"/>
      <c r="AG1302" s="209"/>
      <c r="AH1302" s="209"/>
      <c r="AI1302" s="209"/>
      <c r="AJ1302" s="209"/>
      <c r="AK1302" s="209"/>
      <c r="AL1302" s="209"/>
      <c r="AM1302" s="209"/>
      <c r="AN1302" s="209"/>
      <c r="AO1302" s="209"/>
      <c r="AP1302" s="209"/>
    </row>
    <row r="1303">
      <c r="A1303" s="209"/>
      <c r="B1303" s="209"/>
      <c r="C1303" s="209"/>
      <c r="D1303" s="209"/>
      <c r="E1303" s="209"/>
      <c r="F1303" s="209"/>
      <c r="G1303" s="209"/>
      <c r="H1303" s="209"/>
      <c r="I1303" s="209"/>
      <c r="J1303" s="209"/>
      <c r="K1303" s="209"/>
      <c r="L1303" s="209"/>
      <c r="M1303" s="209"/>
      <c r="N1303" s="209"/>
      <c r="O1303" s="209"/>
      <c r="P1303" s="209"/>
      <c r="Q1303" s="209"/>
      <c r="R1303" s="209"/>
      <c r="S1303" s="209"/>
      <c r="T1303" s="209"/>
      <c r="U1303" s="209"/>
      <c r="V1303" s="209"/>
      <c r="W1303" s="209"/>
      <c r="X1303" s="209"/>
      <c r="Y1303" s="209"/>
      <c r="Z1303" s="209"/>
      <c r="AA1303" s="209"/>
      <c r="AB1303" s="209"/>
      <c r="AC1303" s="209"/>
      <c r="AD1303" s="209"/>
      <c r="AE1303" s="209"/>
      <c r="AF1303" s="209"/>
      <c r="AG1303" s="209"/>
      <c r="AH1303" s="209"/>
      <c r="AI1303" s="209"/>
      <c r="AJ1303" s="209"/>
      <c r="AK1303" s="209"/>
      <c r="AL1303" s="209"/>
      <c r="AM1303" s="209"/>
      <c r="AN1303" s="209"/>
      <c r="AO1303" s="209"/>
      <c r="AP1303" s="209"/>
    </row>
    <row r="1304">
      <c r="A1304" s="209"/>
      <c r="B1304" s="209"/>
      <c r="C1304" s="209"/>
      <c r="D1304" s="209"/>
      <c r="E1304" s="209"/>
      <c r="F1304" s="209"/>
      <c r="G1304" s="209"/>
      <c r="H1304" s="209"/>
      <c r="I1304" s="209"/>
      <c r="J1304" s="209"/>
      <c r="K1304" s="209"/>
      <c r="L1304" s="209"/>
      <c r="M1304" s="209"/>
      <c r="N1304" s="209"/>
      <c r="O1304" s="209"/>
      <c r="P1304" s="209"/>
      <c r="Q1304" s="209"/>
      <c r="R1304" s="209"/>
      <c r="S1304" s="209"/>
      <c r="T1304" s="209"/>
      <c r="U1304" s="209"/>
      <c r="V1304" s="209"/>
      <c r="W1304" s="209"/>
      <c r="X1304" s="209"/>
      <c r="Y1304" s="209"/>
      <c r="Z1304" s="209"/>
      <c r="AA1304" s="209"/>
      <c r="AB1304" s="209"/>
      <c r="AC1304" s="209"/>
      <c r="AD1304" s="209"/>
      <c r="AE1304" s="209"/>
      <c r="AF1304" s="209"/>
      <c r="AG1304" s="209"/>
      <c r="AH1304" s="209"/>
      <c r="AI1304" s="209"/>
      <c r="AJ1304" s="209"/>
      <c r="AK1304" s="209"/>
      <c r="AL1304" s="209"/>
      <c r="AM1304" s="209"/>
      <c r="AN1304" s="209"/>
      <c r="AO1304" s="209"/>
      <c r="AP1304" s="209"/>
    </row>
    <row r="1305">
      <c r="A1305" s="209"/>
      <c r="B1305" s="209"/>
      <c r="C1305" s="209"/>
      <c r="D1305" s="209"/>
      <c r="E1305" s="209"/>
      <c r="F1305" s="209"/>
      <c r="G1305" s="209"/>
      <c r="H1305" s="209"/>
      <c r="I1305" s="209"/>
      <c r="J1305" s="209"/>
      <c r="K1305" s="209"/>
      <c r="L1305" s="209"/>
      <c r="M1305" s="209"/>
      <c r="N1305" s="209"/>
      <c r="O1305" s="209"/>
      <c r="P1305" s="209"/>
      <c r="Q1305" s="209"/>
      <c r="R1305" s="209"/>
      <c r="S1305" s="209"/>
      <c r="T1305" s="209"/>
      <c r="U1305" s="209"/>
      <c r="V1305" s="209"/>
      <c r="W1305" s="209"/>
      <c r="X1305" s="209"/>
      <c r="Y1305" s="209"/>
      <c r="Z1305" s="209"/>
      <c r="AA1305" s="209"/>
      <c r="AB1305" s="209"/>
      <c r="AC1305" s="209"/>
      <c r="AD1305" s="209"/>
      <c r="AE1305" s="209"/>
      <c r="AF1305" s="209"/>
      <c r="AG1305" s="209"/>
      <c r="AH1305" s="209"/>
      <c r="AI1305" s="209"/>
      <c r="AJ1305" s="209"/>
      <c r="AK1305" s="209"/>
      <c r="AL1305" s="209"/>
      <c r="AM1305" s="209"/>
      <c r="AN1305" s="209"/>
      <c r="AO1305" s="209"/>
      <c r="AP1305" s="209"/>
    </row>
    <row r="1306">
      <c r="A1306" s="209"/>
      <c r="B1306" s="209"/>
      <c r="C1306" s="209"/>
      <c r="D1306" s="209"/>
      <c r="E1306" s="209"/>
      <c r="F1306" s="209"/>
      <c r="G1306" s="209"/>
      <c r="H1306" s="209"/>
      <c r="I1306" s="209"/>
      <c r="J1306" s="209"/>
      <c r="K1306" s="209"/>
      <c r="L1306" s="209"/>
      <c r="M1306" s="209"/>
      <c r="N1306" s="209"/>
      <c r="O1306" s="209"/>
      <c r="P1306" s="209"/>
      <c r="Q1306" s="209"/>
      <c r="R1306" s="209"/>
      <c r="S1306" s="209"/>
      <c r="T1306" s="209"/>
      <c r="U1306" s="209"/>
      <c r="V1306" s="209"/>
      <c r="W1306" s="209"/>
      <c r="X1306" s="209"/>
      <c r="Y1306" s="209"/>
      <c r="Z1306" s="209"/>
      <c r="AA1306" s="209"/>
      <c r="AB1306" s="209"/>
      <c r="AC1306" s="209"/>
      <c r="AD1306" s="209"/>
      <c r="AE1306" s="209"/>
      <c r="AF1306" s="209"/>
      <c r="AG1306" s="209"/>
      <c r="AH1306" s="209"/>
      <c r="AI1306" s="209"/>
      <c r="AJ1306" s="209"/>
      <c r="AK1306" s="209"/>
      <c r="AL1306" s="209"/>
      <c r="AM1306" s="209"/>
      <c r="AN1306" s="209"/>
      <c r="AO1306" s="209"/>
      <c r="AP1306" s="209"/>
    </row>
    <row r="1307">
      <c r="A1307" s="209"/>
      <c r="B1307" s="209"/>
      <c r="C1307" s="209"/>
      <c r="D1307" s="209"/>
      <c r="E1307" s="209"/>
      <c r="F1307" s="209"/>
      <c r="G1307" s="209"/>
      <c r="H1307" s="209"/>
      <c r="I1307" s="209"/>
      <c r="J1307" s="209"/>
      <c r="K1307" s="209"/>
      <c r="L1307" s="209"/>
      <c r="M1307" s="209"/>
      <c r="N1307" s="209"/>
      <c r="O1307" s="209"/>
      <c r="P1307" s="209"/>
      <c r="Q1307" s="209"/>
      <c r="R1307" s="209"/>
      <c r="S1307" s="209"/>
      <c r="T1307" s="209"/>
      <c r="U1307" s="209"/>
      <c r="V1307" s="209"/>
      <c r="W1307" s="209"/>
      <c r="X1307" s="209"/>
      <c r="Y1307" s="209"/>
      <c r="Z1307" s="209"/>
      <c r="AA1307" s="209"/>
      <c r="AB1307" s="209"/>
      <c r="AC1307" s="209"/>
      <c r="AD1307" s="209"/>
      <c r="AE1307" s="209"/>
      <c r="AF1307" s="209"/>
      <c r="AG1307" s="209"/>
      <c r="AH1307" s="209"/>
      <c r="AI1307" s="209"/>
      <c r="AJ1307" s="209"/>
      <c r="AK1307" s="209"/>
      <c r="AL1307" s="209"/>
      <c r="AM1307" s="209"/>
      <c r="AN1307" s="209"/>
      <c r="AO1307" s="209"/>
      <c r="AP1307" s="209"/>
    </row>
    <row r="1308">
      <c r="A1308" s="209"/>
      <c r="B1308" s="209"/>
      <c r="C1308" s="209"/>
      <c r="D1308" s="209"/>
      <c r="E1308" s="209"/>
      <c r="F1308" s="209"/>
      <c r="G1308" s="209"/>
      <c r="H1308" s="209"/>
      <c r="I1308" s="209"/>
      <c r="J1308" s="209"/>
      <c r="K1308" s="209"/>
      <c r="L1308" s="209"/>
      <c r="M1308" s="209"/>
      <c r="N1308" s="209"/>
      <c r="O1308" s="209"/>
      <c r="P1308" s="209"/>
      <c r="Q1308" s="209"/>
      <c r="R1308" s="209"/>
      <c r="S1308" s="209"/>
      <c r="T1308" s="209"/>
      <c r="U1308" s="209"/>
      <c r="V1308" s="209"/>
      <c r="W1308" s="209"/>
      <c r="X1308" s="209"/>
      <c r="Y1308" s="209"/>
      <c r="Z1308" s="209"/>
      <c r="AA1308" s="209"/>
      <c r="AB1308" s="209"/>
      <c r="AC1308" s="209"/>
      <c r="AD1308" s="209"/>
      <c r="AE1308" s="209"/>
      <c r="AF1308" s="209"/>
      <c r="AG1308" s="209"/>
      <c r="AH1308" s="209"/>
      <c r="AI1308" s="209"/>
      <c r="AJ1308" s="209"/>
      <c r="AK1308" s="209"/>
      <c r="AL1308" s="209"/>
      <c r="AM1308" s="209"/>
      <c r="AN1308" s="209"/>
      <c r="AO1308" s="209"/>
      <c r="AP1308" s="209"/>
    </row>
    <row r="1309">
      <c r="A1309" s="209"/>
      <c r="B1309" s="209"/>
      <c r="C1309" s="209"/>
      <c r="D1309" s="209"/>
      <c r="E1309" s="209"/>
      <c r="F1309" s="209"/>
      <c r="G1309" s="209"/>
      <c r="H1309" s="209"/>
      <c r="I1309" s="209"/>
      <c r="J1309" s="209"/>
      <c r="K1309" s="209"/>
      <c r="L1309" s="209"/>
      <c r="M1309" s="209"/>
      <c r="N1309" s="209"/>
      <c r="O1309" s="209"/>
      <c r="P1309" s="209"/>
      <c r="Q1309" s="209"/>
      <c r="R1309" s="209"/>
      <c r="S1309" s="209"/>
      <c r="T1309" s="209"/>
      <c r="U1309" s="209"/>
      <c r="V1309" s="209"/>
      <c r="W1309" s="209"/>
      <c r="X1309" s="209"/>
      <c r="Y1309" s="209"/>
      <c r="Z1309" s="209"/>
      <c r="AA1309" s="209"/>
      <c r="AB1309" s="209"/>
      <c r="AC1309" s="209"/>
      <c r="AD1309" s="209"/>
      <c r="AE1309" s="209"/>
      <c r="AF1309" s="209"/>
      <c r="AG1309" s="209"/>
      <c r="AH1309" s="209"/>
      <c r="AI1309" s="209"/>
      <c r="AJ1309" s="209"/>
      <c r="AK1309" s="209"/>
      <c r="AL1309" s="209"/>
      <c r="AM1309" s="209"/>
      <c r="AN1309" s="209"/>
      <c r="AO1309" s="209"/>
      <c r="AP1309" s="209"/>
    </row>
    <row r="1310">
      <c r="A1310" s="209"/>
      <c r="B1310" s="209"/>
      <c r="C1310" s="209"/>
      <c r="D1310" s="209"/>
      <c r="E1310" s="209"/>
      <c r="F1310" s="209"/>
      <c r="G1310" s="209"/>
      <c r="H1310" s="209"/>
      <c r="I1310" s="209"/>
      <c r="J1310" s="209"/>
      <c r="K1310" s="209"/>
      <c r="L1310" s="209"/>
      <c r="M1310" s="209"/>
      <c r="N1310" s="209"/>
      <c r="O1310" s="209"/>
      <c r="P1310" s="209"/>
      <c r="Q1310" s="209"/>
      <c r="R1310" s="209"/>
      <c r="S1310" s="209"/>
      <c r="T1310" s="209"/>
      <c r="U1310" s="209"/>
      <c r="V1310" s="209"/>
      <c r="W1310" s="209"/>
      <c r="X1310" s="209"/>
      <c r="Y1310" s="209"/>
      <c r="Z1310" s="209"/>
      <c r="AA1310" s="209"/>
      <c r="AB1310" s="209"/>
      <c r="AC1310" s="209"/>
      <c r="AD1310" s="209"/>
      <c r="AE1310" s="209"/>
      <c r="AF1310" s="209"/>
      <c r="AG1310" s="209"/>
      <c r="AH1310" s="209"/>
      <c r="AI1310" s="209"/>
      <c r="AJ1310" s="209"/>
      <c r="AK1310" s="209"/>
      <c r="AL1310" s="209"/>
      <c r="AM1310" s="209"/>
      <c r="AN1310" s="209"/>
      <c r="AO1310" s="209"/>
      <c r="AP1310" s="209"/>
    </row>
    <row r="1311">
      <c r="A1311" s="209"/>
      <c r="B1311" s="209"/>
      <c r="C1311" s="209"/>
      <c r="D1311" s="209"/>
      <c r="E1311" s="209"/>
      <c r="F1311" s="209"/>
      <c r="G1311" s="209"/>
      <c r="H1311" s="209"/>
      <c r="I1311" s="209"/>
      <c r="J1311" s="209"/>
      <c r="K1311" s="209"/>
      <c r="L1311" s="209"/>
      <c r="M1311" s="209"/>
      <c r="N1311" s="209"/>
      <c r="O1311" s="209"/>
      <c r="P1311" s="209"/>
      <c r="Q1311" s="209"/>
      <c r="R1311" s="209"/>
      <c r="S1311" s="209"/>
      <c r="T1311" s="209"/>
      <c r="U1311" s="209"/>
      <c r="V1311" s="209"/>
      <c r="W1311" s="209"/>
      <c r="X1311" s="209"/>
      <c r="Y1311" s="209"/>
      <c r="Z1311" s="209"/>
      <c r="AA1311" s="209"/>
      <c r="AB1311" s="209"/>
      <c r="AC1311" s="209"/>
      <c r="AD1311" s="209"/>
      <c r="AE1311" s="209"/>
      <c r="AF1311" s="209"/>
      <c r="AG1311" s="209"/>
      <c r="AH1311" s="209"/>
      <c r="AI1311" s="209"/>
      <c r="AJ1311" s="209"/>
      <c r="AK1311" s="209"/>
      <c r="AL1311" s="209"/>
      <c r="AM1311" s="209"/>
      <c r="AN1311" s="209"/>
      <c r="AO1311" s="209"/>
      <c r="AP1311" s="209"/>
    </row>
    <row r="1312">
      <c r="A1312" s="209"/>
      <c r="B1312" s="209"/>
      <c r="C1312" s="209"/>
      <c r="D1312" s="209"/>
      <c r="E1312" s="209"/>
      <c r="F1312" s="209"/>
      <c r="G1312" s="209"/>
      <c r="H1312" s="209"/>
      <c r="I1312" s="209"/>
      <c r="J1312" s="209"/>
      <c r="K1312" s="209"/>
      <c r="L1312" s="209"/>
      <c r="M1312" s="209"/>
      <c r="N1312" s="209"/>
      <c r="O1312" s="209"/>
      <c r="P1312" s="209"/>
      <c r="Q1312" s="209"/>
      <c r="R1312" s="209"/>
      <c r="S1312" s="209"/>
      <c r="T1312" s="209"/>
      <c r="U1312" s="209"/>
      <c r="V1312" s="209"/>
      <c r="W1312" s="209"/>
      <c r="X1312" s="209"/>
      <c r="Y1312" s="209"/>
      <c r="Z1312" s="209"/>
      <c r="AA1312" s="209"/>
      <c r="AB1312" s="209"/>
      <c r="AC1312" s="209"/>
      <c r="AD1312" s="209"/>
      <c r="AE1312" s="209"/>
      <c r="AF1312" s="209"/>
      <c r="AG1312" s="209"/>
      <c r="AH1312" s="209"/>
      <c r="AI1312" s="209"/>
      <c r="AJ1312" s="209"/>
      <c r="AK1312" s="209"/>
      <c r="AL1312" s="209"/>
      <c r="AM1312" s="209"/>
      <c r="AN1312" s="209"/>
      <c r="AO1312" s="209"/>
      <c r="AP1312" s="209"/>
    </row>
    <row r="1313">
      <c r="A1313" s="209"/>
      <c r="B1313" s="209"/>
      <c r="C1313" s="209"/>
      <c r="D1313" s="209"/>
      <c r="E1313" s="209"/>
      <c r="F1313" s="209"/>
      <c r="G1313" s="209"/>
      <c r="H1313" s="209"/>
      <c r="I1313" s="209"/>
      <c r="J1313" s="209"/>
      <c r="K1313" s="209"/>
      <c r="L1313" s="209"/>
      <c r="M1313" s="209"/>
      <c r="N1313" s="209"/>
      <c r="O1313" s="209"/>
      <c r="P1313" s="209"/>
      <c r="Q1313" s="209"/>
      <c r="R1313" s="209"/>
      <c r="S1313" s="209"/>
      <c r="T1313" s="209"/>
      <c r="U1313" s="209"/>
      <c r="V1313" s="209"/>
      <c r="W1313" s="209"/>
      <c r="X1313" s="209"/>
      <c r="Y1313" s="209"/>
      <c r="Z1313" s="209"/>
      <c r="AA1313" s="209"/>
      <c r="AB1313" s="209"/>
      <c r="AC1313" s="209"/>
      <c r="AD1313" s="209"/>
      <c r="AE1313" s="209"/>
      <c r="AF1313" s="209"/>
      <c r="AG1313" s="209"/>
      <c r="AH1313" s="209"/>
      <c r="AI1313" s="209"/>
      <c r="AJ1313" s="209"/>
      <c r="AK1313" s="209"/>
      <c r="AL1313" s="209"/>
      <c r="AM1313" s="209"/>
      <c r="AN1313" s="209"/>
      <c r="AO1313" s="209"/>
      <c r="AP1313" s="209"/>
    </row>
    <row r="1314">
      <c r="A1314" s="209"/>
      <c r="B1314" s="209"/>
      <c r="C1314" s="209"/>
      <c r="D1314" s="209"/>
      <c r="E1314" s="209"/>
      <c r="F1314" s="209"/>
      <c r="G1314" s="209"/>
      <c r="H1314" s="209"/>
      <c r="I1314" s="209"/>
      <c r="J1314" s="209"/>
      <c r="K1314" s="209"/>
      <c r="L1314" s="209"/>
      <c r="M1314" s="209"/>
      <c r="N1314" s="209"/>
      <c r="O1314" s="209"/>
      <c r="P1314" s="209"/>
      <c r="Q1314" s="209"/>
      <c r="R1314" s="209"/>
      <c r="S1314" s="209"/>
      <c r="T1314" s="209"/>
      <c r="U1314" s="209"/>
      <c r="V1314" s="209"/>
      <c r="W1314" s="209"/>
      <c r="X1314" s="209"/>
      <c r="Y1314" s="209"/>
      <c r="Z1314" s="209"/>
      <c r="AA1314" s="209"/>
      <c r="AB1314" s="209"/>
      <c r="AC1314" s="209"/>
      <c r="AD1314" s="209"/>
      <c r="AE1314" s="209"/>
      <c r="AF1314" s="209"/>
      <c r="AG1314" s="209"/>
      <c r="AH1314" s="209"/>
      <c r="AI1314" s="209"/>
      <c r="AJ1314" s="209"/>
      <c r="AK1314" s="209"/>
      <c r="AL1314" s="209"/>
      <c r="AM1314" s="209"/>
      <c r="AN1314" s="209"/>
      <c r="AO1314" s="209"/>
      <c r="AP1314" s="209"/>
    </row>
    <row r="1315">
      <c r="A1315" s="209"/>
      <c r="B1315" s="209"/>
      <c r="C1315" s="209"/>
      <c r="D1315" s="209"/>
      <c r="E1315" s="209"/>
      <c r="F1315" s="209"/>
      <c r="G1315" s="209"/>
      <c r="H1315" s="209"/>
      <c r="I1315" s="209"/>
      <c r="J1315" s="209"/>
      <c r="K1315" s="209"/>
      <c r="L1315" s="209"/>
      <c r="M1315" s="209"/>
      <c r="N1315" s="209"/>
      <c r="O1315" s="209"/>
      <c r="P1315" s="209"/>
      <c r="Q1315" s="209"/>
      <c r="R1315" s="209"/>
      <c r="S1315" s="209"/>
      <c r="T1315" s="209"/>
      <c r="U1315" s="209"/>
      <c r="V1315" s="209"/>
      <c r="W1315" s="209"/>
      <c r="X1315" s="209"/>
      <c r="Y1315" s="209"/>
      <c r="Z1315" s="209"/>
      <c r="AA1315" s="209"/>
      <c r="AB1315" s="209"/>
      <c r="AC1315" s="209"/>
      <c r="AD1315" s="209"/>
      <c r="AE1315" s="209"/>
      <c r="AF1315" s="209"/>
      <c r="AG1315" s="209"/>
      <c r="AH1315" s="209"/>
      <c r="AI1315" s="209"/>
      <c r="AJ1315" s="209"/>
      <c r="AK1315" s="209"/>
      <c r="AL1315" s="209"/>
      <c r="AM1315" s="209"/>
      <c r="AN1315" s="209"/>
      <c r="AO1315" s="209"/>
      <c r="AP1315" s="209"/>
    </row>
    <row r="1316">
      <c r="A1316" s="209"/>
      <c r="B1316" s="209"/>
      <c r="C1316" s="209"/>
      <c r="D1316" s="209"/>
      <c r="E1316" s="209"/>
      <c r="F1316" s="209"/>
      <c r="G1316" s="209"/>
      <c r="H1316" s="209"/>
      <c r="I1316" s="209"/>
      <c r="J1316" s="209"/>
      <c r="K1316" s="209"/>
      <c r="L1316" s="209"/>
      <c r="M1316" s="209"/>
      <c r="N1316" s="209"/>
      <c r="O1316" s="209"/>
      <c r="P1316" s="209"/>
      <c r="Q1316" s="209"/>
      <c r="R1316" s="209"/>
      <c r="S1316" s="209"/>
      <c r="T1316" s="209"/>
      <c r="U1316" s="209"/>
      <c r="V1316" s="209"/>
      <c r="W1316" s="209"/>
      <c r="X1316" s="209"/>
      <c r="Y1316" s="209"/>
      <c r="Z1316" s="209"/>
      <c r="AA1316" s="209"/>
      <c r="AB1316" s="209"/>
      <c r="AC1316" s="209"/>
      <c r="AD1316" s="209"/>
      <c r="AE1316" s="209"/>
      <c r="AF1316" s="209"/>
      <c r="AG1316" s="209"/>
      <c r="AH1316" s="209"/>
      <c r="AI1316" s="209"/>
      <c r="AJ1316" s="209"/>
      <c r="AK1316" s="209"/>
      <c r="AL1316" s="209"/>
      <c r="AM1316" s="209"/>
      <c r="AN1316" s="209"/>
      <c r="AO1316" s="209"/>
      <c r="AP1316" s="209"/>
    </row>
    <row r="1317">
      <c r="A1317" s="209"/>
      <c r="B1317" s="209"/>
      <c r="C1317" s="209"/>
      <c r="D1317" s="209"/>
      <c r="E1317" s="209"/>
      <c r="F1317" s="209"/>
      <c r="G1317" s="209"/>
      <c r="H1317" s="209"/>
      <c r="I1317" s="209"/>
      <c r="J1317" s="209"/>
      <c r="K1317" s="209"/>
      <c r="L1317" s="209"/>
      <c r="M1317" s="209"/>
      <c r="N1317" s="209"/>
      <c r="O1317" s="209"/>
      <c r="P1317" s="209"/>
      <c r="Q1317" s="209"/>
      <c r="R1317" s="209"/>
      <c r="S1317" s="209"/>
      <c r="T1317" s="209"/>
      <c r="U1317" s="209"/>
      <c r="V1317" s="209"/>
      <c r="W1317" s="209"/>
      <c r="X1317" s="209"/>
      <c r="Y1317" s="209"/>
      <c r="Z1317" s="209"/>
      <c r="AA1317" s="209"/>
      <c r="AB1317" s="209"/>
      <c r="AC1317" s="209"/>
      <c r="AD1317" s="209"/>
      <c r="AE1317" s="209"/>
      <c r="AF1317" s="209"/>
      <c r="AG1317" s="209"/>
      <c r="AH1317" s="209"/>
      <c r="AI1317" s="209"/>
      <c r="AJ1317" s="209"/>
      <c r="AK1317" s="209"/>
      <c r="AL1317" s="209"/>
      <c r="AM1317" s="209"/>
      <c r="AN1317" s="209"/>
      <c r="AO1317" s="209"/>
      <c r="AP1317" s="209"/>
    </row>
    <row r="1318">
      <c r="A1318" s="209"/>
      <c r="B1318" s="209"/>
      <c r="C1318" s="209"/>
      <c r="D1318" s="209"/>
      <c r="E1318" s="209"/>
      <c r="F1318" s="209"/>
      <c r="G1318" s="209"/>
      <c r="H1318" s="209"/>
      <c r="I1318" s="209"/>
      <c r="J1318" s="209"/>
      <c r="K1318" s="209"/>
      <c r="L1318" s="209"/>
      <c r="M1318" s="209"/>
      <c r="N1318" s="209"/>
      <c r="O1318" s="209"/>
      <c r="P1318" s="209"/>
      <c r="Q1318" s="209"/>
      <c r="R1318" s="209"/>
      <c r="S1318" s="209"/>
      <c r="T1318" s="209"/>
      <c r="U1318" s="209"/>
      <c r="V1318" s="209"/>
      <c r="W1318" s="209"/>
      <c r="X1318" s="209"/>
      <c r="Y1318" s="209"/>
      <c r="Z1318" s="209"/>
      <c r="AA1318" s="209"/>
      <c r="AB1318" s="209"/>
      <c r="AC1318" s="209"/>
      <c r="AD1318" s="209"/>
      <c r="AE1318" s="209"/>
      <c r="AF1318" s="209"/>
      <c r="AG1318" s="209"/>
      <c r="AH1318" s="209"/>
      <c r="AI1318" s="209"/>
      <c r="AJ1318" s="209"/>
      <c r="AK1318" s="209"/>
      <c r="AL1318" s="209"/>
      <c r="AM1318" s="209"/>
      <c r="AN1318" s="209"/>
      <c r="AO1318" s="209"/>
      <c r="AP1318" s="209"/>
    </row>
    <row r="1319">
      <c r="A1319" s="209"/>
      <c r="B1319" s="209"/>
      <c r="C1319" s="209"/>
      <c r="D1319" s="209"/>
      <c r="E1319" s="209"/>
      <c r="F1319" s="209"/>
      <c r="G1319" s="209"/>
      <c r="H1319" s="209"/>
      <c r="I1319" s="209"/>
      <c r="J1319" s="209"/>
      <c r="K1319" s="209"/>
      <c r="L1319" s="209"/>
      <c r="M1319" s="209"/>
      <c r="N1319" s="209"/>
      <c r="O1319" s="209"/>
      <c r="P1319" s="209"/>
      <c r="Q1319" s="209"/>
      <c r="R1319" s="209"/>
      <c r="S1319" s="209"/>
      <c r="T1319" s="209"/>
      <c r="U1319" s="209"/>
      <c r="V1319" s="209"/>
      <c r="W1319" s="209"/>
      <c r="X1319" s="209"/>
      <c r="Y1319" s="209"/>
      <c r="Z1319" s="209"/>
      <c r="AA1319" s="209"/>
      <c r="AB1319" s="209"/>
      <c r="AC1319" s="209"/>
      <c r="AD1319" s="209"/>
      <c r="AE1319" s="209"/>
      <c r="AF1319" s="209"/>
      <c r="AG1319" s="209"/>
      <c r="AH1319" s="209"/>
      <c r="AI1319" s="209"/>
      <c r="AJ1319" s="209"/>
      <c r="AK1319" s="209"/>
      <c r="AL1319" s="209"/>
      <c r="AM1319" s="209"/>
      <c r="AN1319" s="209"/>
      <c r="AO1319" s="209"/>
      <c r="AP1319" s="209"/>
    </row>
    <row r="1320">
      <c r="A1320" s="209"/>
      <c r="B1320" s="209"/>
      <c r="C1320" s="209"/>
      <c r="D1320" s="209"/>
      <c r="E1320" s="209"/>
      <c r="F1320" s="209"/>
      <c r="G1320" s="209"/>
      <c r="H1320" s="209"/>
      <c r="I1320" s="209"/>
      <c r="J1320" s="209"/>
      <c r="K1320" s="209"/>
      <c r="L1320" s="209"/>
      <c r="M1320" s="209"/>
      <c r="N1320" s="209"/>
      <c r="O1320" s="209"/>
      <c r="P1320" s="209"/>
      <c r="Q1320" s="209"/>
      <c r="R1320" s="209"/>
      <c r="S1320" s="209"/>
      <c r="T1320" s="209"/>
      <c r="U1320" s="209"/>
      <c r="V1320" s="209"/>
      <c r="W1320" s="209"/>
      <c r="X1320" s="209"/>
      <c r="Y1320" s="209"/>
      <c r="Z1320" s="209"/>
      <c r="AA1320" s="209"/>
      <c r="AB1320" s="209"/>
      <c r="AC1320" s="209"/>
      <c r="AD1320" s="209"/>
      <c r="AE1320" s="209"/>
      <c r="AF1320" s="209"/>
      <c r="AG1320" s="209"/>
      <c r="AH1320" s="209"/>
      <c r="AI1320" s="209"/>
      <c r="AJ1320" s="209"/>
      <c r="AK1320" s="209"/>
      <c r="AL1320" s="209"/>
      <c r="AM1320" s="209"/>
      <c r="AN1320" s="209"/>
      <c r="AO1320" s="209"/>
      <c r="AP1320" s="209"/>
    </row>
    <row r="1321">
      <c r="A1321" s="209"/>
      <c r="B1321" s="209"/>
      <c r="C1321" s="209"/>
      <c r="D1321" s="209"/>
      <c r="E1321" s="209"/>
      <c r="F1321" s="209"/>
      <c r="G1321" s="209"/>
      <c r="H1321" s="209"/>
      <c r="I1321" s="209"/>
      <c r="J1321" s="209"/>
      <c r="K1321" s="209"/>
      <c r="L1321" s="209"/>
      <c r="M1321" s="209"/>
      <c r="N1321" s="209"/>
      <c r="O1321" s="209"/>
      <c r="P1321" s="209"/>
      <c r="Q1321" s="209"/>
      <c r="R1321" s="209"/>
      <c r="S1321" s="209"/>
      <c r="T1321" s="209"/>
      <c r="U1321" s="209"/>
      <c r="V1321" s="209"/>
      <c r="W1321" s="209"/>
      <c r="X1321" s="209"/>
      <c r="Y1321" s="209"/>
      <c r="Z1321" s="209"/>
      <c r="AA1321" s="209"/>
      <c r="AB1321" s="209"/>
      <c r="AC1321" s="209"/>
      <c r="AD1321" s="209"/>
      <c r="AE1321" s="209"/>
      <c r="AF1321" s="209"/>
      <c r="AG1321" s="209"/>
      <c r="AH1321" s="209"/>
      <c r="AI1321" s="209"/>
      <c r="AJ1321" s="209"/>
      <c r="AK1321" s="209"/>
      <c r="AL1321" s="209"/>
      <c r="AM1321" s="209"/>
      <c r="AN1321" s="209"/>
      <c r="AO1321" s="209"/>
      <c r="AP1321" s="209"/>
    </row>
    <row r="1322">
      <c r="A1322" s="209"/>
      <c r="B1322" s="209"/>
      <c r="C1322" s="209"/>
      <c r="D1322" s="209"/>
      <c r="E1322" s="209"/>
      <c r="F1322" s="209"/>
      <c r="G1322" s="209"/>
      <c r="H1322" s="209"/>
      <c r="I1322" s="209"/>
      <c r="J1322" s="209"/>
      <c r="K1322" s="209"/>
      <c r="L1322" s="209"/>
      <c r="M1322" s="209"/>
      <c r="N1322" s="209"/>
      <c r="O1322" s="209"/>
      <c r="P1322" s="209"/>
      <c r="Q1322" s="209"/>
      <c r="R1322" s="209"/>
      <c r="S1322" s="209"/>
      <c r="T1322" s="209"/>
      <c r="U1322" s="209"/>
      <c r="V1322" s="209"/>
      <c r="W1322" s="209"/>
      <c r="X1322" s="209"/>
      <c r="Y1322" s="209"/>
      <c r="Z1322" s="209"/>
      <c r="AA1322" s="209"/>
      <c r="AB1322" s="209"/>
      <c r="AC1322" s="209"/>
      <c r="AD1322" s="209"/>
      <c r="AE1322" s="209"/>
      <c r="AF1322" s="209"/>
      <c r="AG1322" s="209"/>
      <c r="AH1322" s="209"/>
      <c r="AI1322" s="209"/>
      <c r="AJ1322" s="209"/>
      <c r="AK1322" s="209"/>
      <c r="AL1322" s="209"/>
      <c r="AM1322" s="209"/>
      <c r="AN1322" s="209"/>
      <c r="AO1322" s="209"/>
      <c r="AP1322" s="209"/>
    </row>
    <row r="1323">
      <c r="A1323" s="209"/>
      <c r="B1323" s="209"/>
      <c r="C1323" s="209"/>
      <c r="D1323" s="209"/>
      <c r="E1323" s="209"/>
      <c r="F1323" s="209"/>
      <c r="G1323" s="209"/>
      <c r="H1323" s="209"/>
      <c r="I1323" s="209"/>
      <c r="J1323" s="209"/>
      <c r="K1323" s="209"/>
      <c r="L1323" s="209"/>
      <c r="M1323" s="209"/>
      <c r="N1323" s="209"/>
      <c r="O1323" s="209"/>
      <c r="P1323" s="209"/>
      <c r="Q1323" s="209"/>
      <c r="R1323" s="209"/>
      <c r="S1323" s="209"/>
      <c r="T1323" s="209"/>
      <c r="U1323" s="209"/>
      <c r="V1323" s="209"/>
      <c r="W1323" s="209"/>
      <c r="X1323" s="209"/>
      <c r="Y1323" s="209"/>
      <c r="Z1323" s="209"/>
      <c r="AA1323" s="209"/>
      <c r="AB1323" s="209"/>
      <c r="AC1323" s="209"/>
      <c r="AD1323" s="209"/>
      <c r="AE1323" s="209"/>
      <c r="AF1323" s="209"/>
      <c r="AG1323" s="209"/>
      <c r="AH1323" s="209"/>
      <c r="AI1323" s="209"/>
      <c r="AJ1323" s="209"/>
      <c r="AK1323" s="209"/>
      <c r="AL1323" s="209"/>
      <c r="AM1323" s="209"/>
      <c r="AN1323" s="209"/>
      <c r="AO1323" s="209"/>
      <c r="AP1323" s="209"/>
    </row>
    <row r="1324">
      <c r="A1324" s="209"/>
      <c r="B1324" s="209"/>
      <c r="C1324" s="209"/>
      <c r="D1324" s="209"/>
      <c r="E1324" s="209"/>
      <c r="F1324" s="209"/>
      <c r="G1324" s="209"/>
      <c r="H1324" s="209"/>
      <c r="I1324" s="209"/>
      <c r="J1324" s="209"/>
      <c r="K1324" s="209"/>
      <c r="L1324" s="209"/>
      <c r="M1324" s="209"/>
      <c r="N1324" s="209"/>
      <c r="O1324" s="209"/>
      <c r="P1324" s="209"/>
      <c r="Q1324" s="209"/>
      <c r="R1324" s="209"/>
      <c r="S1324" s="209"/>
      <c r="T1324" s="209"/>
      <c r="U1324" s="209"/>
      <c r="V1324" s="209"/>
      <c r="W1324" s="209"/>
      <c r="X1324" s="209"/>
      <c r="Y1324" s="209"/>
      <c r="Z1324" s="209"/>
      <c r="AA1324" s="209"/>
      <c r="AB1324" s="209"/>
      <c r="AC1324" s="209"/>
      <c r="AD1324" s="209"/>
      <c r="AE1324" s="209"/>
      <c r="AF1324" s="209"/>
      <c r="AG1324" s="209"/>
      <c r="AH1324" s="209"/>
      <c r="AI1324" s="209"/>
      <c r="AJ1324" s="209"/>
      <c r="AK1324" s="209"/>
      <c r="AL1324" s="209"/>
      <c r="AM1324" s="209"/>
      <c r="AN1324" s="209"/>
      <c r="AO1324" s="209"/>
      <c r="AP1324" s="209"/>
    </row>
    <row r="1325">
      <c r="A1325" s="209"/>
      <c r="B1325" s="209"/>
      <c r="C1325" s="209"/>
      <c r="D1325" s="209"/>
      <c r="E1325" s="209"/>
      <c r="F1325" s="209"/>
      <c r="G1325" s="209"/>
      <c r="H1325" s="209"/>
      <c r="I1325" s="209"/>
      <c r="J1325" s="209"/>
      <c r="K1325" s="209"/>
      <c r="L1325" s="209"/>
      <c r="M1325" s="209"/>
      <c r="N1325" s="209"/>
      <c r="O1325" s="209"/>
      <c r="P1325" s="209"/>
      <c r="Q1325" s="209"/>
      <c r="R1325" s="209"/>
      <c r="S1325" s="209"/>
      <c r="T1325" s="209"/>
      <c r="U1325" s="209"/>
      <c r="V1325" s="209"/>
      <c r="W1325" s="209"/>
      <c r="X1325" s="209"/>
      <c r="Y1325" s="209"/>
      <c r="Z1325" s="209"/>
      <c r="AA1325" s="209"/>
      <c r="AB1325" s="209"/>
      <c r="AC1325" s="209"/>
      <c r="AD1325" s="209"/>
      <c r="AE1325" s="209"/>
      <c r="AF1325" s="209"/>
      <c r="AG1325" s="209"/>
      <c r="AH1325" s="209"/>
      <c r="AI1325" s="209"/>
      <c r="AJ1325" s="209"/>
      <c r="AK1325" s="209"/>
      <c r="AL1325" s="209"/>
      <c r="AM1325" s="209"/>
      <c r="AN1325" s="209"/>
      <c r="AO1325" s="209"/>
      <c r="AP1325" s="209"/>
    </row>
    <row r="1326">
      <c r="A1326" s="209"/>
      <c r="B1326" s="209"/>
      <c r="C1326" s="209"/>
      <c r="D1326" s="209"/>
      <c r="E1326" s="209"/>
      <c r="F1326" s="209"/>
      <c r="G1326" s="209"/>
      <c r="H1326" s="209"/>
      <c r="I1326" s="209"/>
      <c r="J1326" s="209"/>
      <c r="K1326" s="209"/>
      <c r="L1326" s="209"/>
      <c r="M1326" s="209"/>
      <c r="N1326" s="209"/>
      <c r="O1326" s="209"/>
      <c r="P1326" s="209"/>
      <c r="Q1326" s="209"/>
      <c r="R1326" s="209"/>
      <c r="S1326" s="209"/>
      <c r="T1326" s="209"/>
      <c r="U1326" s="209"/>
      <c r="V1326" s="209"/>
      <c r="W1326" s="209"/>
      <c r="X1326" s="209"/>
      <c r="Y1326" s="209"/>
      <c r="Z1326" s="209"/>
      <c r="AA1326" s="209"/>
      <c r="AB1326" s="209"/>
      <c r="AC1326" s="209"/>
      <c r="AD1326" s="209"/>
      <c r="AE1326" s="209"/>
      <c r="AF1326" s="209"/>
      <c r="AG1326" s="209"/>
      <c r="AH1326" s="209"/>
      <c r="AI1326" s="209"/>
      <c r="AJ1326" s="209"/>
      <c r="AK1326" s="209"/>
      <c r="AL1326" s="209"/>
      <c r="AM1326" s="209"/>
      <c r="AN1326" s="209"/>
      <c r="AO1326" s="209"/>
      <c r="AP1326" s="209"/>
    </row>
    <row r="1327">
      <c r="A1327" s="209"/>
      <c r="B1327" s="209"/>
      <c r="C1327" s="209"/>
      <c r="D1327" s="209"/>
      <c r="E1327" s="209"/>
      <c r="F1327" s="209"/>
      <c r="G1327" s="209"/>
      <c r="H1327" s="209"/>
      <c r="I1327" s="209"/>
      <c r="J1327" s="209"/>
      <c r="K1327" s="209"/>
      <c r="L1327" s="209"/>
      <c r="M1327" s="209"/>
      <c r="N1327" s="209"/>
      <c r="O1327" s="209"/>
      <c r="P1327" s="209"/>
      <c r="Q1327" s="209"/>
      <c r="R1327" s="209"/>
      <c r="S1327" s="209"/>
      <c r="T1327" s="209"/>
      <c r="U1327" s="209"/>
      <c r="V1327" s="209"/>
      <c r="W1327" s="209"/>
      <c r="X1327" s="209"/>
      <c r="Y1327" s="209"/>
      <c r="Z1327" s="209"/>
      <c r="AA1327" s="209"/>
      <c r="AB1327" s="209"/>
      <c r="AC1327" s="209"/>
      <c r="AD1327" s="209"/>
      <c r="AE1327" s="209"/>
      <c r="AF1327" s="209"/>
      <c r="AG1327" s="209"/>
      <c r="AH1327" s="209"/>
      <c r="AI1327" s="209"/>
      <c r="AJ1327" s="209"/>
      <c r="AK1327" s="209"/>
      <c r="AL1327" s="209"/>
      <c r="AM1327" s="209"/>
      <c r="AN1327" s="209"/>
      <c r="AO1327" s="209"/>
      <c r="AP1327" s="209"/>
    </row>
    <row r="1328">
      <c r="A1328" s="209"/>
      <c r="B1328" s="209"/>
      <c r="C1328" s="209"/>
      <c r="D1328" s="209"/>
      <c r="E1328" s="209"/>
      <c r="F1328" s="209"/>
      <c r="G1328" s="209"/>
      <c r="H1328" s="209"/>
      <c r="I1328" s="209"/>
      <c r="J1328" s="209"/>
      <c r="K1328" s="209"/>
      <c r="L1328" s="209"/>
      <c r="M1328" s="209"/>
      <c r="N1328" s="209"/>
      <c r="O1328" s="209"/>
      <c r="P1328" s="209"/>
      <c r="Q1328" s="209"/>
      <c r="R1328" s="209"/>
      <c r="S1328" s="209"/>
      <c r="T1328" s="209"/>
      <c r="U1328" s="209"/>
      <c r="V1328" s="209"/>
      <c r="W1328" s="209"/>
      <c r="X1328" s="209"/>
      <c r="Y1328" s="209"/>
      <c r="Z1328" s="209"/>
      <c r="AA1328" s="209"/>
      <c r="AB1328" s="209"/>
      <c r="AC1328" s="209"/>
      <c r="AD1328" s="209"/>
      <c r="AE1328" s="209"/>
      <c r="AF1328" s="209"/>
      <c r="AG1328" s="209"/>
      <c r="AH1328" s="209"/>
      <c r="AI1328" s="209"/>
      <c r="AJ1328" s="209"/>
      <c r="AK1328" s="209"/>
      <c r="AL1328" s="209"/>
      <c r="AM1328" s="209"/>
      <c r="AN1328" s="209"/>
      <c r="AO1328" s="209"/>
      <c r="AP1328" s="209"/>
    </row>
    <row r="1329">
      <c r="A1329" s="209"/>
      <c r="B1329" s="209"/>
      <c r="C1329" s="209"/>
      <c r="D1329" s="209"/>
      <c r="E1329" s="209"/>
      <c r="F1329" s="209"/>
      <c r="G1329" s="209"/>
      <c r="H1329" s="209"/>
      <c r="I1329" s="209"/>
      <c r="J1329" s="209"/>
      <c r="K1329" s="209"/>
      <c r="L1329" s="209"/>
      <c r="M1329" s="209"/>
      <c r="N1329" s="209"/>
      <c r="O1329" s="209"/>
      <c r="P1329" s="209"/>
      <c r="Q1329" s="209"/>
      <c r="R1329" s="209"/>
      <c r="S1329" s="209"/>
      <c r="T1329" s="209"/>
      <c r="U1329" s="209"/>
      <c r="V1329" s="209"/>
      <c r="W1329" s="209"/>
      <c r="X1329" s="209"/>
      <c r="Y1329" s="209"/>
      <c r="Z1329" s="209"/>
      <c r="AA1329" s="209"/>
      <c r="AB1329" s="209"/>
      <c r="AC1329" s="209"/>
      <c r="AD1329" s="209"/>
      <c r="AE1329" s="209"/>
      <c r="AF1329" s="209"/>
      <c r="AG1329" s="209"/>
      <c r="AH1329" s="209"/>
      <c r="AI1329" s="209"/>
      <c r="AJ1329" s="209"/>
      <c r="AK1329" s="209"/>
      <c r="AL1329" s="209"/>
      <c r="AM1329" s="209"/>
      <c r="AN1329" s="209"/>
      <c r="AO1329" s="209"/>
      <c r="AP1329" s="209"/>
    </row>
    <row r="1330">
      <c r="A1330" s="209"/>
      <c r="B1330" s="209"/>
      <c r="C1330" s="209"/>
      <c r="D1330" s="209"/>
      <c r="E1330" s="209"/>
      <c r="F1330" s="209"/>
      <c r="G1330" s="209"/>
      <c r="H1330" s="209"/>
      <c r="I1330" s="209"/>
      <c r="J1330" s="209"/>
      <c r="K1330" s="209"/>
      <c r="L1330" s="209"/>
      <c r="M1330" s="209"/>
      <c r="N1330" s="209"/>
      <c r="O1330" s="209"/>
      <c r="P1330" s="209"/>
      <c r="Q1330" s="209"/>
      <c r="R1330" s="209"/>
      <c r="S1330" s="209"/>
      <c r="T1330" s="209"/>
      <c r="U1330" s="209"/>
      <c r="V1330" s="209"/>
      <c r="W1330" s="209"/>
      <c r="X1330" s="209"/>
      <c r="Y1330" s="209"/>
      <c r="Z1330" s="209"/>
      <c r="AA1330" s="209"/>
      <c r="AB1330" s="209"/>
      <c r="AC1330" s="209"/>
      <c r="AD1330" s="209"/>
      <c r="AE1330" s="209"/>
      <c r="AF1330" s="209"/>
      <c r="AG1330" s="209"/>
      <c r="AH1330" s="209"/>
      <c r="AI1330" s="209"/>
      <c r="AJ1330" s="209"/>
      <c r="AK1330" s="209"/>
      <c r="AL1330" s="209"/>
      <c r="AM1330" s="209"/>
      <c r="AN1330" s="209"/>
      <c r="AO1330" s="209"/>
      <c r="AP1330" s="209"/>
    </row>
    <row r="1331">
      <c r="A1331" s="209"/>
      <c r="B1331" s="209"/>
      <c r="C1331" s="209"/>
      <c r="D1331" s="209"/>
      <c r="E1331" s="209"/>
      <c r="F1331" s="209"/>
      <c r="G1331" s="209"/>
      <c r="H1331" s="209"/>
      <c r="I1331" s="209"/>
      <c r="J1331" s="209"/>
      <c r="K1331" s="209"/>
      <c r="L1331" s="209"/>
      <c r="M1331" s="209"/>
      <c r="N1331" s="209"/>
      <c r="O1331" s="209"/>
      <c r="P1331" s="209"/>
      <c r="Q1331" s="209"/>
      <c r="R1331" s="209"/>
      <c r="S1331" s="209"/>
      <c r="T1331" s="209"/>
      <c r="U1331" s="209"/>
      <c r="V1331" s="209"/>
      <c r="W1331" s="209"/>
      <c r="X1331" s="209"/>
      <c r="Y1331" s="209"/>
      <c r="Z1331" s="209"/>
      <c r="AA1331" s="209"/>
      <c r="AB1331" s="209"/>
      <c r="AC1331" s="209"/>
      <c r="AD1331" s="209"/>
      <c r="AE1331" s="209"/>
      <c r="AF1331" s="209"/>
      <c r="AG1331" s="209"/>
      <c r="AH1331" s="209"/>
      <c r="AI1331" s="209"/>
      <c r="AJ1331" s="209"/>
      <c r="AK1331" s="209"/>
      <c r="AL1331" s="209"/>
      <c r="AM1331" s="209"/>
      <c r="AN1331" s="209"/>
      <c r="AO1331" s="209"/>
      <c r="AP1331" s="209"/>
    </row>
    <row r="1332">
      <c r="A1332" s="209"/>
      <c r="B1332" s="209"/>
      <c r="C1332" s="209"/>
      <c r="D1332" s="209"/>
      <c r="E1332" s="209"/>
      <c r="F1332" s="209"/>
      <c r="G1332" s="209"/>
      <c r="H1332" s="209"/>
      <c r="I1332" s="209"/>
      <c r="J1332" s="209"/>
      <c r="K1332" s="209"/>
      <c r="L1332" s="209"/>
      <c r="M1332" s="209"/>
      <c r="N1332" s="209"/>
      <c r="O1332" s="209"/>
      <c r="P1332" s="209"/>
      <c r="Q1332" s="209"/>
      <c r="R1332" s="209"/>
      <c r="S1332" s="209"/>
      <c r="T1332" s="209"/>
      <c r="U1332" s="209"/>
      <c r="V1332" s="209"/>
      <c r="W1332" s="209"/>
      <c r="X1332" s="209"/>
      <c r="Y1332" s="209"/>
      <c r="Z1332" s="209"/>
      <c r="AA1332" s="209"/>
      <c r="AB1332" s="209"/>
      <c r="AC1332" s="209"/>
      <c r="AD1332" s="209"/>
      <c r="AE1332" s="209"/>
      <c r="AF1332" s="209"/>
      <c r="AG1332" s="209"/>
      <c r="AH1332" s="209"/>
      <c r="AI1332" s="209"/>
      <c r="AJ1332" s="209"/>
      <c r="AK1332" s="209"/>
      <c r="AL1332" s="209"/>
      <c r="AM1332" s="209"/>
      <c r="AN1332" s="209"/>
      <c r="AO1332" s="209"/>
      <c r="AP1332" s="209"/>
    </row>
    <row r="1333">
      <c r="A1333" s="209"/>
      <c r="B1333" s="209"/>
      <c r="C1333" s="209"/>
      <c r="D1333" s="209"/>
      <c r="E1333" s="209"/>
      <c r="F1333" s="209"/>
      <c r="G1333" s="209"/>
      <c r="H1333" s="209"/>
      <c r="I1333" s="209"/>
      <c r="J1333" s="209"/>
      <c r="K1333" s="209"/>
      <c r="L1333" s="209"/>
      <c r="M1333" s="209"/>
      <c r="N1333" s="209"/>
      <c r="O1333" s="209"/>
      <c r="P1333" s="209"/>
      <c r="Q1333" s="209"/>
      <c r="R1333" s="209"/>
      <c r="S1333" s="209"/>
      <c r="T1333" s="209"/>
      <c r="U1333" s="209"/>
      <c r="V1333" s="209"/>
      <c r="W1333" s="209"/>
      <c r="X1333" s="209"/>
      <c r="Y1333" s="209"/>
      <c r="Z1333" s="209"/>
      <c r="AA1333" s="209"/>
      <c r="AB1333" s="209"/>
      <c r="AC1333" s="209"/>
      <c r="AD1333" s="209"/>
      <c r="AE1333" s="209"/>
      <c r="AF1333" s="209"/>
      <c r="AG1333" s="209"/>
      <c r="AH1333" s="209"/>
      <c r="AI1333" s="209"/>
      <c r="AJ1333" s="209"/>
      <c r="AK1333" s="209"/>
      <c r="AL1333" s="209"/>
      <c r="AM1333" s="209"/>
      <c r="AN1333" s="209"/>
      <c r="AO1333" s="209"/>
      <c r="AP1333" s="209"/>
    </row>
    <row r="1334">
      <c r="A1334" s="209"/>
      <c r="B1334" s="209"/>
      <c r="C1334" s="209"/>
      <c r="D1334" s="209"/>
      <c r="E1334" s="209"/>
      <c r="F1334" s="209"/>
      <c r="G1334" s="209"/>
      <c r="H1334" s="209"/>
      <c r="I1334" s="209"/>
      <c r="J1334" s="209"/>
      <c r="K1334" s="209"/>
      <c r="L1334" s="209"/>
      <c r="M1334" s="209"/>
      <c r="N1334" s="209"/>
      <c r="O1334" s="209"/>
      <c r="P1334" s="209"/>
      <c r="Q1334" s="209"/>
      <c r="R1334" s="209"/>
      <c r="S1334" s="209"/>
      <c r="T1334" s="209"/>
      <c r="U1334" s="209"/>
      <c r="V1334" s="209"/>
      <c r="W1334" s="209"/>
      <c r="X1334" s="209"/>
      <c r="Y1334" s="209"/>
      <c r="Z1334" s="209"/>
      <c r="AA1334" s="209"/>
      <c r="AB1334" s="209"/>
      <c r="AC1334" s="209"/>
      <c r="AD1334" s="209"/>
      <c r="AE1334" s="209"/>
      <c r="AF1334" s="209"/>
      <c r="AG1334" s="209"/>
      <c r="AH1334" s="209"/>
      <c r="AI1334" s="209"/>
      <c r="AJ1334" s="209"/>
      <c r="AK1334" s="209"/>
      <c r="AL1334" s="209"/>
      <c r="AM1334" s="209"/>
      <c r="AN1334" s="209"/>
      <c r="AO1334" s="209"/>
      <c r="AP1334" s="209"/>
    </row>
    <row r="1335">
      <c r="A1335" s="209"/>
      <c r="B1335" s="209"/>
      <c r="C1335" s="209"/>
      <c r="D1335" s="209"/>
      <c r="E1335" s="209"/>
      <c r="F1335" s="209"/>
      <c r="G1335" s="209"/>
      <c r="H1335" s="209"/>
      <c r="I1335" s="209"/>
      <c r="J1335" s="209"/>
      <c r="K1335" s="209"/>
      <c r="L1335" s="209"/>
      <c r="M1335" s="209"/>
      <c r="N1335" s="209"/>
      <c r="O1335" s="209"/>
      <c r="P1335" s="209"/>
      <c r="Q1335" s="209"/>
      <c r="R1335" s="209"/>
      <c r="S1335" s="209"/>
      <c r="T1335" s="209"/>
      <c r="U1335" s="209"/>
      <c r="V1335" s="209"/>
      <c r="W1335" s="209"/>
      <c r="X1335" s="209"/>
      <c r="Y1335" s="209"/>
      <c r="Z1335" s="209"/>
      <c r="AA1335" s="209"/>
      <c r="AB1335" s="209"/>
      <c r="AC1335" s="209"/>
      <c r="AD1335" s="209"/>
      <c r="AE1335" s="209"/>
      <c r="AF1335" s="209"/>
      <c r="AG1335" s="209"/>
      <c r="AH1335" s="209"/>
      <c r="AI1335" s="209"/>
      <c r="AJ1335" s="209"/>
      <c r="AK1335" s="209"/>
      <c r="AL1335" s="209"/>
      <c r="AM1335" s="209"/>
      <c r="AN1335" s="209"/>
      <c r="AO1335" s="209"/>
      <c r="AP1335" s="209"/>
    </row>
    <row r="1336">
      <c r="A1336" s="209"/>
      <c r="B1336" s="209"/>
      <c r="C1336" s="209"/>
      <c r="D1336" s="209"/>
      <c r="E1336" s="209"/>
      <c r="F1336" s="209"/>
      <c r="G1336" s="209"/>
      <c r="H1336" s="209"/>
      <c r="I1336" s="209"/>
      <c r="J1336" s="209"/>
      <c r="K1336" s="209"/>
      <c r="L1336" s="209"/>
      <c r="M1336" s="209"/>
      <c r="N1336" s="209"/>
      <c r="O1336" s="209"/>
      <c r="P1336" s="209"/>
      <c r="Q1336" s="209"/>
      <c r="R1336" s="209"/>
      <c r="S1336" s="209"/>
      <c r="T1336" s="209"/>
      <c r="U1336" s="209"/>
      <c r="V1336" s="209"/>
      <c r="W1336" s="209"/>
      <c r="X1336" s="209"/>
      <c r="Y1336" s="209"/>
      <c r="Z1336" s="209"/>
      <c r="AA1336" s="209"/>
      <c r="AB1336" s="209"/>
      <c r="AC1336" s="209"/>
      <c r="AD1336" s="209"/>
      <c r="AE1336" s="209"/>
      <c r="AF1336" s="209"/>
      <c r="AG1336" s="209"/>
      <c r="AH1336" s="209"/>
      <c r="AI1336" s="209"/>
      <c r="AJ1336" s="209"/>
      <c r="AK1336" s="209"/>
      <c r="AL1336" s="209"/>
      <c r="AM1336" s="209"/>
      <c r="AN1336" s="209"/>
      <c r="AO1336" s="209"/>
      <c r="AP1336" s="209"/>
    </row>
    <row r="1337">
      <c r="A1337" s="209"/>
      <c r="B1337" s="209"/>
      <c r="C1337" s="209"/>
      <c r="D1337" s="209"/>
      <c r="E1337" s="209"/>
      <c r="F1337" s="209"/>
      <c r="G1337" s="209"/>
      <c r="H1337" s="209"/>
      <c r="I1337" s="209"/>
      <c r="J1337" s="209"/>
      <c r="K1337" s="209"/>
      <c r="L1337" s="209"/>
      <c r="M1337" s="209"/>
      <c r="N1337" s="209"/>
      <c r="O1337" s="209"/>
      <c r="P1337" s="209"/>
      <c r="Q1337" s="209"/>
      <c r="R1337" s="209"/>
      <c r="S1337" s="209"/>
      <c r="T1337" s="209"/>
      <c r="U1337" s="209"/>
      <c r="V1337" s="209"/>
      <c r="W1337" s="209"/>
      <c r="X1337" s="209"/>
      <c r="Y1337" s="209"/>
      <c r="Z1337" s="209"/>
      <c r="AA1337" s="209"/>
      <c r="AB1337" s="209"/>
      <c r="AC1337" s="209"/>
      <c r="AD1337" s="209"/>
      <c r="AE1337" s="209"/>
      <c r="AF1337" s="209"/>
      <c r="AG1337" s="209"/>
      <c r="AH1337" s="209"/>
      <c r="AI1337" s="209"/>
      <c r="AJ1337" s="209"/>
      <c r="AK1337" s="209"/>
      <c r="AL1337" s="209"/>
      <c r="AM1337" s="209"/>
      <c r="AN1337" s="209"/>
      <c r="AO1337" s="209"/>
      <c r="AP1337" s="209"/>
    </row>
    <row r="1338">
      <c r="A1338" s="209"/>
      <c r="B1338" s="209"/>
      <c r="C1338" s="209"/>
      <c r="D1338" s="209"/>
      <c r="E1338" s="209"/>
      <c r="F1338" s="209"/>
      <c r="G1338" s="209"/>
      <c r="H1338" s="209"/>
      <c r="I1338" s="209"/>
      <c r="J1338" s="209"/>
      <c r="K1338" s="209"/>
      <c r="L1338" s="209"/>
      <c r="M1338" s="209"/>
      <c r="N1338" s="209"/>
      <c r="O1338" s="209"/>
      <c r="P1338" s="209"/>
      <c r="Q1338" s="209"/>
      <c r="R1338" s="209"/>
      <c r="S1338" s="209"/>
      <c r="T1338" s="209"/>
      <c r="U1338" s="209"/>
      <c r="V1338" s="209"/>
      <c r="W1338" s="209"/>
      <c r="X1338" s="209"/>
      <c r="Y1338" s="209"/>
      <c r="Z1338" s="209"/>
      <c r="AA1338" s="209"/>
      <c r="AB1338" s="209"/>
      <c r="AC1338" s="209"/>
      <c r="AD1338" s="209"/>
      <c r="AE1338" s="209"/>
      <c r="AF1338" s="209"/>
      <c r="AG1338" s="209"/>
      <c r="AH1338" s="209"/>
      <c r="AI1338" s="209"/>
      <c r="AJ1338" s="209"/>
      <c r="AK1338" s="209"/>
      <c r="AL1338" s="209"/>
      <c r="AM1338" s="209"/>
      <c r="AN1338" s="209"/>
      <c r="AO1338" s="209"/>
      <c r="AP1338" s="209"/>
    </row>
    <row r="1339">
      <c r="A1339" s="209"/>
      <c r="B1339" s="209"/>
      <c r="C1339" s="209"/>
      <c r="D1339" s="209"/>
      <c r="E1339" s="209"/>
      <c r="F1339" s="209"/>
      <c r="G1339" s="209"/>
      <c r="H1339" s="209"/>
      <c r="I1339" s="209"/>
      <c r="J1339" s="209"/>
      <c r="K1339" s="209"/>
      <c r="L1339" s="209"/>
      <c r="M1339" s="209"/>
      <c r="N1339" s="209"/>
      <c r="O1339" s="209"/>
      <c r="P1339" s="209"/>
      <c r="Q1339" s="209"/>
      <c r="R1339" s="209"/>
      <c r="S1339" s="209"/>
      <c r="T1339" s="209"/>
      <c r="U1339" s="209"/>
      <c r="V1339" s="209"/>
      <c r="W1339" s="209"/>
      <c r="X1339" s="209"/>
      <c r="Y1339" s="209"/>
      <c r="Z1339" s="209"/>
      <c r="AA1339" s="209"/>
      <c r="AB1339" s="209"/>
      <c r="AC1339" s="209"/>
      <c r="AD1339" s="209"/>
      <c r="AE1339" s="209"/>
      <c r="AF1339" s="209"/>
      <c r="AG1339" s="209"/>
      <c r="AH1339" s="209"/>
      <c r="AI1339" s="209"/>
      <c r="AJ1339" s="209"/>
      <c r="AK1339" s="209"/>
      <c r="AL1339" s="209"/>
      <c r="AM1339" s="209"/>
      <c r="AN1339" s="209"/>
      <c r="AO1339" s="209"/>
      <c r="AP1339" s="209"/>
    </row>
    <row r="1340">
      <c r="A1340" s="209"/>
      <c r="B1340" s="209"/>
      <c r="C1340" s="209"/>
      <c r="D1340" s="209"/>
      <c r="E1340" s="209"/>
      <c r="F1340" s="209"/>
      <c r="G1340" s="209"/>
      <c r="H1340" s="209"/>
      <c r="I1340" s="209"/>
      <c r="J1340" s="209"/>
      <c r="K1340" s="209"/>
      <c r="L1340" s="209"/>
      <c r="M1340" s="209"/>
      <c r="N1340" s="209"/>
      <c r="O1340" s="209"/>
      <c r="P1340" s="209"/>
      <c r="Q1340" s="209"/>
      <c r="R1340" s="209"/>
      <c r="S1340" s="209"/>
      <c r="T1340" s="209"/>
      <c r="U1340" s="209"/>
      <c r="V1340" s="209"/>
      <c r="W1340" s="209"/>
      <c r="X1340" s="209"/>
      <c r="Y1340" s="209"/>
      <c r="Z1340" s="209"/>
      <c r="AA1340" s="209"/>
      <c r="AB1340" s="209"/>
      <c r="AC1340" s="209"/>
      <c r="AD1340" s="209"/>
      <c r="AE1340" s="209"/>
      <c r="AF1340" s="209"/>
      <c r="AG1340" s="209"/>
      <c r="AH1340" s="209"/>
      <c r="AI1340" s="209"/>
      <c r="AJ1340" s="209"/>
      <c r="AK1340" s="209"/>
      <c r="AL1340" s="209"/>
      <c r="AM1340" s="209"/>
      <c r="AN1340" s="209"/>
      <c r="AO1340" s="209"/>
      <c r="AP1340" s="209"/>
    </row>
    <row r="1341">
      <c r="A1341" s="209"/>
      <c r="B1341" s="209"/>
      <c r="C1341" s="209"/>
      <c r="D1341" s="209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209"/>
      <c r="P1341" s="209"/>
      <c r="Q1341" s="209"/>
      <c r="R1341" s="209"/>
      <c r="S1341" s="209"/>
      <c r="T1341" s="209"/>
      <c r="U1341" s="209"/>
      <c r="V1341" s="209"/>
      <c r="W1341" s="209"/>
      <c r="X1341" s="209"/>
      <c r="Y1341" s="209"/>
      <c r="Z1341" s="209"/>
      <c r="AA1341" s="209"/>
      <c r="AB1341" s="209"/>
      <c r="AC1341" s="209"/>
      <c r="AD1341" s="209"/>
      <c r="AE1341" s="209"/>
      <c r="AF1341" s="209"/>
      <c r="AG1341" s="209"/>
      <c r="AH1341" s="209"/>
      <c r="AI1341" s="209"/>
      <c r="AJ1341" s="209"/>
      <c r="AK1341" s="209"/>
      <c r="AL1341" s="209"/>
      <c r="AM1341" s="209"/>
      <c r="AN1341" s="209"/>
      <c r="AO1341" s="209"/>
      <c r="AP1341" s="209"/>
    </row>
    <row r="1342">
      <c r="A1342" s="209"/>
      <c r="B1342" s="209"/>
      <c r="C1342" s="209"/>
      <c r="D1342" s="209"/>
      <c r="E1342" s="209"/>
      <c r="F1342" s="209"/>
      <c r="G1342" s="209"/>
      <c r="H1342" s="209"/>
      <c r="I1342" s="209"/>
      <c r="J1342" s="209"/>
      <c r="K1342" s="209"/>
      <c r="L1342" s="209"/>
      <c r="M1342" s="209"/>
      <c r="N1342" s="209"/>
      <c r="O1342" s="209"/>
      <c r="P1342" s="209"/>
      <c r="Q1342" s="209"/>
      <c r="R1342" s="209"/>
      <c r="S1342" s="209"/>
      <c r="T1342" s="209"/>
      <c r="U1342" s="209"/>
      <c r="V1342" s="209"/>
      <c r="W1342" s="209"/>
      <c r="X1342" s="209"/>
      <c r="Y1342" s="209"/>
      <c r="Z1342" s="209"/>
      <c r="AA1342" s="209"/>
      <c r="AB1342" s="209"/>
      <c r="AC1342" s="209"/>
      <c r="AD1342" s="209"/>
      <c r="AE1342" s="209"/>
      <c r="AF1342" s="209"/>
      <c r="AG1342" s="209"/>
      <c r="AH1342" s="209"/>
      <c r="AI1342" s="209"/>
      <c r="AJ1342" s="209"/>
      <c r="AK1342" s="209"/>
      <c r="AL1342" s="209"/>
      <c r="AM1342" s="209"/>
      <c r="AN1342" s="209"/>
      <c r="AO1342" s="209"/>
      <c r="AP1342" s="209"/>
    </row>
    <row r="1343">
      <c r="A1343" s="209"/>
      <c r="B1343" s="209"/>
      <c r="C1343" s="209"/>
      <c r="D1343" s="209"/>
      <c r="E1343" s="209"/>
      <c r="F1343" s="209"/>
      <c r="G1343" s="209"/>
      <c r="H1343" s="209"/>
      <c r="I1343" s="209"/>
      <c r="J1343" s="209"/>
      <c r="K1343" s="209"/>
      <c r="L1343" s="209"/>
      <c r="M1343" s="209"/>
      <c r="N1343" s="209"/>
      <c r="O1343" s="209"/>
      <c r="P1343" s="209"/>
      <c r="Q1343" s="209"/>
      <c r="R1343" s="209"/>
      <c r="S1343" s="209"/>
      <c r="T1343" s="209"/>
      <c r="U1343" s="209"/>
      <c r="V1343" s="209"/>
      <c r="W1343" s="209"/>
      <c r="X1343" s="209"/>
      <c r="Y1343" s="209"/>
      <c r="Z1343" s="209"/>
      <c r="AA1343" s="209"/>
      <c r="AB1343" s="209"/>
      <c r="AC1343" s="209"/>
      <c r="AD1343" s="209"/>
      <c r="AE1343" s="209"/>
      <c r="AF1343" s="209"/>
      <c r="AG1343" s="209"/>
      <c r="AH1343" s="209"/>
      <c r="AI1343" s="209"/>
      <c r="AJ1343" s="209"/>
      <c r="AK1343" s="209"/>
      <c r="AL1343" s="209"/>
      <c r="AM1343" s="209"/>
      <c r="AN1343" s="209"/>
      <c r="AO1343" s="209"/>
      <c r="AP1343" s="209"/>
    </row>
    <row r="1344">
      <c r="A1344" s="209"/>
      <c r="B1344" s="209"/>
      <c r="C1344" s="209"/>
      <c r="D1344" s="209"/>
      <c r="E1344" s="209"/>
      <c r="F1344" s="209"/>
      <c r="G1344" s="209"/>
      <c r="H1344" s="209"/>
      <c r="I1344" s="209"/>
      <c r="J1344" s="209"/>
      <c r="K1344" s="209"/>
      <c r="L1344" s="209"/>
      <c r="M1344" s="209"/>
      <c r="N1344" s="209"/>
      <c r="O1344" s="209"/>
      <c r="P1344" s="209"/>
      <c r="Q1344" s="209"/>
      <c r="R1344" s="209"/>
      <c r="S1344" s="209"/>
      <c r="T1344" s="209"/>
      <c r="U1344" s="209"/>
      <c r="V1344" s="209"/>
      <c r="W1344" s="209"/>
      <c r="X1344" s="209"/>
      <c r="Y1344" s="209"/>
      <c r="Z1344" s="209"/>
      <c r="AA1344" s="209"/>
      <c r="AB1344" s="209"/>
      <c r="AC1344" s="209"/>
      <c r="AD1344" s="209"/>
      <c r="AE1344" s="209"/>
      <c r="AF1344" s="209"/>
      <c r="AG1344" s="209"/>
      <c r="AH1344" s="209"/>
      <c r="AI1344" s="209"/>
      <c r="AJ1344" s="209"/>
      <c r="AK1344" s="209"/>
      <c r="AL1344" s="209"/>
      <c r="AM1344" s="209"/>
      <c r="AN1344" s="209"/>
      <c r="AO1344" s="209"/>
      <c r="AP1344" s="209"/>
    </row>
    <row r="1345">
      <c r="A1345" s="209"/>
      <c r="B1345" s="209"/>
      <c r="C1345" s="209"/>
      <c r="D1345" s="209"/>
      <c r="E1345" s="209"/>
      <c r="F1345" s="209"/>
      <c r="G1345" s="209"/>
      <c r="H1345" s="209"/>
      <c r="I1345" s="209"/>
      <c r="J1345" s="209"/>
      <c r="K1345" s="209"/>
      <c r="L1345" s="209"/>
      <c r="M1345" s="209"/>
      <c r="N1345" s="209"/>
      <c r="O1345" s="209"/>
      <c r="P1345" s="209"/>
      <c r="Q1345" s="209"/>
      <c r="R1345" s="209"/>
      <c r="S1345" s="209"/>
      <c r="T1345" s="209"/>
      <c r="U1345" s="209"/>
      <c r="V1345" s="209"/>
      <c r="W1345" s="209"/>
      <c r="X1345" s="209"/>
      <c r="Y1345" s="209"/>
      <c r="Z1345" s="209"/>
      <c r="AA1345" s="209"/>
      <c r="AB1345" s="209"/>
      <c r="AC1345" s="209"/>
      <c r="AD1345" s="209"/>
      <c r="AE1345" s="209"/>
      <c r="AF1345" s="209"/>
      <c r="AG1345" s="209"/>
      <c r="AH1345" s="209"/>
      <c r="AI1345" s="209"/>
      <c r="AJ1345" s="209"/>
      <c r="AK1345" s="209"/>
      <c r="AL1345" s="209"/>
      <c r="AM1345" s="209"/>
      <c r="AN1345" s="209"/>
      <c r="AO1345" s="209"/>
      <c r="AP1345" s="209"/>
    </row>
    <row r="1346">
      <c r="A1346" s="209"/>
      <c r="B1346" s="209"/>
      <c r="C1346" s="209"/>
      <c r="D1346" s="209"/>
      <c r="E1346" s="209"/>
      <c r="F1346" s="209"/>
      <c r="G1346" s="209"/>
      <c r="H1346" s="209"/>
      <c r="I1346" s="209"/>
      <c r="J1346" s="209"/>
      <c r="K1346" s="209"/>
      <c r="L1346" s="209"/>
      <c r="M1346" s="209"/>
      <c r="N1346" s="209"/>
      <c r="O1346" s="209"/>
      <c r="P1346" s="209"/>
      <c r="Q1346" s="209"/>
      <c r="R1346" s="209"/>
      <c r="S1346" s="209"/>
      <c r="T1346" s="209"/>
      <c r="U1346" s="209"/>
      <c r="V1346" s="209"/>
      <c r="W1346" s="209"/>
      <c r="X1346" s="209"/>
      <c r="Y1346" s="209"/>
      <c r="Z1346" s="209"/>
      <c r="AA1346" s="209"/>
      <c r="AB1346" s="209"/>
      <c r="AC1346" s="209"/>
      <c r="AD1346" s="209"/>
      <c r="AE1346" s="209"/>
      <c r="AF1346" s="209"/>
      <c r="AG1346" s="209"/>
      <c r="AH1346" s="209"/>
      <c r="AI1346" s="209"/>
      <c r="AJ1346" s="209"/>
      <c r="AK1346" s="209"/>
      <c r="AL1346" s="209"/>
      <c r="AM1346" s="209"/>
      <c r="AN1346" s="209"/>
      <c r="AO1346" s="209"/>
      <c r="AP1346" s="209"/>
    </row>
    <row r="1347">
      <c r="A1347" s="209"/>
      <c r="B1347" s="209"/>
      <c r="C1347" s="209"/>
      <c r="D1347" s="209"/>
      <c r="E1347" s="209"/>
      <c r="F1347" s="209"/>
      <c r="G1347" s="209"/>
      <c r="H1347" s="209"/>
      <c r="I1347" s="209"/>
      <c r="J1347" s="209"/>
      <c r="K1347" s="209"/>
      <c r="L1347" s="209"/>
      <c r="M1347" s="209"/>
      <c r="N1347" s="209"/>
      <c r="O1347" s="209"/>
      <c r="P1347" s="209"/>
      <c r="Q1347" s="209"/>
      <c r="R1347" s="209"/>
      <c r="S1347" s="209"/>
      <c r="T1347" s="209"/>
      <c r="U1347" s="209"/>
      <c r="V1347" s="209"/>
      <c r="W1347" s="209"/>
      <c r="X1347" s="209"/>
      <c r="Y1347" s="209"/>
      <c r="Z1347" s="209"/>
      <c r="AA1347" s="209"/>
      <c r="AB1347" s="209"/>
      <c r="AC1347" s="209"/>
      <c r="AD1347" s="209"/>
      <c r="AE1347" s="209"/>
      <c r="AF1347" s="209"/>
      <c r="AG1347" s="209"/>
      <c r="AH1347" s="209"/>
      <c r="AI1347" s="209"/>
      <c r="AJ1347" s="209"/>
      <c r="AK1347" s="209"/>
      <c r="AL1347" s="209"/>
      <c r="AM1347" s="209"/>
      <c r="AN1347" s="209"/>
      <c r="AO1347" s="209"/>
      <c r="AP1347" s="209"/>
    </row>
    <row r="1348">
      <c r="A1348" s="209"/>
      <c r="B1348" s="209"/>
      <c r="C1348" s="209"/>
      <c r="D1348" s="209"/>
      <c r="E1348" s="209"/>
      <c r="F1348" s="209"/>
      <c r="G1348" s="209"/>
      <c r="H1348" s="209"/>
      <c r="I1348" s="209"/>
      <c r="J1348" s="209"/>
      <c r="K1348" s="209"/>
      <c r="L1348" s="209"/>
      <c r="M1348" s="209"/>
      <c r="N1348" s="209"/>
      <c r="O1348" s="209"/>
      <c r="P1348" s="209"/>
      <c r="Q1348" s="209"/>
      <c r="R1348" s="209"/>
      <c r="S1348" s="209"/>
      <c r="T1348" s="209"/>
      <c r="U1348" s="209"/>
      <c r="V1348" s="209"/>
      <c r="W1348" s="209"/>
      <c r="X1348" s="209"/>
      <c r="Y1348" s="209"/>
      <c r="Z1348" s="209"/>
      <c r="AA1348" s="209"/>
      <c r="AB1348" s="209"/>
      <c r="AC1348" s="209"/>
      <c r="AD1348" s="209"/>
      <c r="AE1348" s="209"/>
      <c r="AF1348" s="209"/>
      <c r="AG1348" s="209"/>
      <c r="AH1348" s="209"/>
      <c r="AI1348" s="209"/>
      <c r="AJ1348" s="209"/>
      <c r="AK1348" s="209"/>
      <c r="AL1348" s="209"/>
      <c r="AM1348" s="209"/>
      <c r="AN1348" s="209"/>
      <c r="AO1348" s="209"/>
      <c r="AP1348" s="209"/>
    </row>
    <row r="1349">
      <c r="A1349" s="209"/>
      <c r="B1349" s="209"/>
      <c r="C1349" s="209"/>
      <c r="D1349" s="209"/>
      <c r="E1349" s="209"/>
      <c r="F1349" s="209"/>
      <c r="G1349" s="209"/>
      <c r="H1349" s="209"/>
      <c r="I1349" s="209"/>
      <c r="J1349" s="209"/>
      <c r="K1349" s="209"/>
      <c r="L1349" s="209"/>
      <c r="M1349" s="209"/>
      <c r="N1349" s="209"/>
      <c r="O1349" s="209"/>
      <c r="P1349" s="209"/>
      <c r="Q1349" s="209"/>
      <c r="R1349" s="209"/>
      <c r="S1349" s="209"/>
      <c r="T1349" s="209"/>
      <c r="U1349" s="209"/>
      <c r="V1349" s="209"/>
      <c r="W1349" s="209"/>
      <c r="X1349" s="209"/>
      <c r="Y1349" s="209"/>
      <c r="Z1349" s="209"/>
      <c r="AA1349" s="209"/>
      <c r="AB1349" s="209"/>
      <c r="AC1349" s="209"/>
      <c r="AD1349" s="209"/>
      <c r="AE1349" s="209"/>
      <c r="AF1349" s="209"/>
      <c r="AG1349" s="209"/>
      <c r="AH1349" s="209"/>
      <c r="AI1349" s="209"/>
      <c r="AJ1349" s="209"/>
      <c r="AK1349" s="209"/>
      <c r="AL1349" s="209"/>
      <c r="AM1349" s="209"/>
      <c r="AN1349" s="209"/>
      <c r="AO1349" s="209"/>
      <c r="AP1349" s="209"/>
    </row>
    <row r="1350">
      <c r="A1350" s="209"/>
      <c r="B1350" s="209"/>
      <c r="C1350" s="209"/>
      <c r="D1350" s="209"/>
      <c r="E1350" s="209"/>
      <c r="F1350" s="209"/>
      <c r="G1350" s="209"/>
      <c r="H1350" s="209"/>
      <c r="I1350" s="209"/>
      <c r="J1350" s="209"/>
      <c r="K1350" s="209"/>
      <c r="L1350" s="209"/>
      <c r="M1350" s="209"/>
      <c r="N1350" s="209"/>
      <c r="O1350" s="209"/>
      <c r="P1350" s="209"/>
      <c r="Q1350" s="209"/>
      <c r="R1350" s="209"/>
      <c r="S1350" s="209"/>
      <c r="T1350" s="209"/>
      <c r="U1350" s="209"/>
      <c r="V1350" s="209"/>
      <c r="W1350" s="209"/>
      <c r="X1350" s="209"/>
      <c r="Y1350" s="209"/>
      <c r="Z1350" s="209"/>
      <c r="AA1350" s="209"/>
      <c r="AB1350" s="209"/>
      <c r="AC1350" s="209"/>
      <c r="AD1350" s="209"/>
      <c r="AE1350" s="209"/>
      <c r="AF1350" s="209"/>
      <c r="AG1350" s="209"/>
      <c r="AH1350" s="209"/>
      <c r="AI1350" s="209"/>
      <c r="AJ1350" s="209"/>
      <c r="AK1350" s="209"/>
      <c r="AL1350" s="209"/>
      <c r="AM1350" s="209"/>
      <c r="AN1350" s="209"/>
      <c r="AO1350" s="209"/>
      <c r="AP1350" s="209"/>
    </row>
    <row r="1351">
      <c r="A1351" s="209"/>
      <c r="B1351" s="209"/>
      <c r="C1351" s="209"/>
      <c r="D1351" s="209"/>
      <c r="E1351" s="209"/>
      <c r="F1351" s="209"/>
      <c r="G1351" s="209"/>
      <c r="H1351" s="209"/>
      <c r="I1351" s="209"/>
      <c r="J1351" s="209"/>
      <c r="K1351" s="209"/>
      <c r="L1351" s="209"/>
      <c r="M1351" s="209"/>
      <c r="N1351" s="209"/>
      <c r="O1351" s="209"/>
      <c r="P1351" s="209"/>
      <c r="Q1351" s="209"/>
      <c r="R1351" s="209"/>
      <c r="S1351" s="209"/>
      <c r="T1351" s="209"/>
      <c r="U1351" s="209"/>
      <c r="V1351" s="209"/>
      <c r="W1351" s="209"/>
      <c r="X1351" s="209"/>
      <c r="Y1351" s="209"/>
      <c r="Z1351" s="209"/>
      <c r="AA1351" s="209"/>
      <c r="AB1351" s="209"/>
      <c r="AC1351" s="209"/>
      <c r="AD1351" s="209"/>
      <c r="AE1351" s="209"/>
      <c r="AF1351" s="209"/>
      <c r="AG1351" s="209"/>
      <c r="AH1351" s="209"/>
      <c r="AI1351" s="209"/>
      <c r="AJ1351" s="209"/>
      <c r="AK1351" s="209"/>
      <c r="AL1351" s="209"/>
      <c r="AM1351" s="209"/>
      <c r="AN1351" s="209"/>
      <c r="AO1351" s="209"/>
      <c r="AP1351" s="209"/>
    </row>
    <row r="1352">
      <c r="A1352" s="209"/>
      <c r="B1352" s="209"/>
      <c r="C1352" s="209"/>
      <c r="D1352" s="209"/>
      <c r="E1352" s="209"/>
      <c r="F1352" s="209"/>
      <c r="G1352" s="209"/>
      <c r="H1352" s="209"/>
      <c r="I1352" s="209"/>
      <c r="J1352" s="209"/>
      <c r="K1352" s="209"/>
      <c r="L1352" s="209"/>
      <c r="M1352" s="209"/>
      <c r="N1352" s="209"/>
      <c r="O1352" s="209"/>
      <c r="P1352" s="209"/>
      <c r="Q1352" s="209"/>
      <c r="R1352" s="209"/>
      <c r="S1352" s="209"/>
      <c r="T1352" s="209"/>
      <c r="U1352" s="209"/>
      <c r="V1352" s="209"/>
      <c r="W1352" s="209"/>
      <c r="X1352" s="209"/>
      <c r="Y1352" s="209"/>
      <c r="Z1352" s="209"/>
      <c r="AA1352" s="209"/>
      <c r="AB1352" s="209"/>
      <c r="AC1352" s="209"/>
      <c r="AD1352" s="209"/>
      <c r="AE1352" s="209"/>
      <c r="AF1352" s="209"/>
      <c r="AG1352" s="209"/>
      <c r="AH1352" s="209"/>
      <c r="AI1352" s="209"/>
      <c r="AJ1352" s="209"/>
      <c r="AK1352" s="209"/>
      <c r="AL1352" s="209"/>
      <c r="AM1352" s="209"/>
      <c r="AN1352" s="209"/>
      <c r="AO1352" s="209"/>
      <c r="AP1352" s="209"/>
    </row>
    <row r="1353">
      <c r="A1353" s="209"/>
      <c r="B1353" s="209"/>
      <c r="C1353" s="209"/>
      <c r="D1353" s="209"/>
      <c r="E1353" s="209"/>
      <c r="F1353" s="209"/>
      <c r="G1353" s="209"/>
      <c r="H1353" s="209"/>
      <c r="I1353" s="209"/>
      <c r="J1353" s="209"/>
      <c r="K1353" s="209"/>
      <c r="L1353" s="209"/>
      <c r="M1353" s="209"/>
      <c r="N1353" s="209"/>
      <c r="O1353" s="209"/>
      <c r="P1353" s="209"/>
      <c r="Q1353" s="209"/>
      <c r="R1353" s="209"/>
      <c r="S1353" s="209"/>
      <c r="T1353" s="209"/>
      <c r="U1353" s="209"/>
      <c r="V1353" s="209"/>
      <c r="W1353" s="209"/>
      <c r="X1353" s="209"/>
      <c r="Y1353" s="209"/>
      <c r="Z1353" s="209"/>
      <c r="AA1353" s="209"/>
      <c r="AB1353" s="209"/>
      <c r="AC1353" s="209"/>
      <c r="AD1353" s="209"/>
      <c r="AE1353" s="209"/>
      <c r="AF1353" s="209"/>
      <c r="AG1353" s="209"/>
      <c r="AH1353" s="209"/>
      <c r="AI1353" s="209"/>
      <c r="AJ1353" s="209"/>
      <c r="AK1353" s="209"/>
      <c r="AL1353" s="209"/>
      <c r="AM1353" s="209"/>
      <c r="AN1353" s="209"/>
      <c r="AO1353" s="209"/>
      <c r="AP1353" s="209"/>
    </row>
    <row r="1354">
      <c r="A1354" s="209"/>
      <c r="B1354" s="209"/>
      <c r="C1354" s="209"/>
      <c r="D1354" s="209"/>
      <c r="E1354" s="209"/>
      <c r="F1354" s="209"/>
      <c r="G1354" s="209"/>
      <c r="H1354" s="209"/>
      <c r="I1354" s="209"/>
      <c r="J1354" s="209"/>
      <c r="K1354" s="209"/>
      <c r="L1354" s="209"/>
      <c r="M1354" s="209"/>
      <c r="N1354" s="209"/>
      <c r="O1354" s="209"/>
      <c r="P1354" s="209"/>
      <c r="Q1354" s="209"/>
      <c r="R1354" s="209"/>
      <c r="S1354" s="209"/>
      <c r="T1354" s="209"/>
      <c r="U1354" s="209"/>
      <c r="V1354" s="209"/>
      <c r="W1354" s="209"/>
      <c r="X1354" s="209"/>
      <c r="Y1354" s="209"/>
      <c r="Z1354" s="209"/>
      <c r="AA1354" s="209"/>
      <c r="AB1354" s="209"/>
      <c r="AC1354" s="209"/>
      <c r="AD1354" s="209"/>
      <c r="AE1354" s="209"/>
      <c r="AF1354" s="209"/>
      <c r="AG1354" s="209"/>
      <c r="AH1354" s="209"/>
      <c r="AI1354" s="209"/>
      <c r="AJ1354" s="209"/>
      <c r="AK1354" s="209"/>
      <c r="AL1354" s="209"/>
      <c r="AM1354" s="209"/>
      <c r="AN1354" s="209"/>
      <c r="AO1354" s="209"/>
      <c r="AP1354" s="209"/>
    </row>
    <row r="1355">
      <c r="A1355" s="209"/>
      <c r="B1355" s="209"/>
      <c r="C1355" s="209"/>
      <c r="D1355" s="209"/>
      <c r="E1355" s="209"/>
      <c r="F1355" s="209"/>
      <c r="G1355" s="209"/>
      <c r="H1355" s="209"/>
      <c r="I1355" s="209"/>
      <c r="J1355" s="209"/>
      <c r="K1355" s="209"/>
      <c r="L1355" s="209"/>
      <c r="M1355" s="209"/>
      <c r="N1355" s="209"/>
      <c r="O1355" s="209"/>
      <c r="P1355" s="209"/>
      <c r="Q1355" s="209"/>
      <c r="R1355" s="209"/>
      <c r="S1355" s="209"/>
      <c r="T1355" s="209"/>
      <c r="U1355" s="209"/>
      <c r="V1355" s="209"/>
      <c r="W1355" s="209"/>
      <c r="X1355" s="209"/>
      <c r="Y1355" s="209"/>
      <c r="Z1355" s="209"/>
      <c r="AA1355" s="209"/>
      <c r="AB1355" s="209"/>
      <c r="AC1355" s="209"/>
      <c r="AD1355" s="209"/>
      <c r="AE1355" s="209"/>
      <c r="AF1355" s="209"/>
      <c r="AG1355" s="209"/>
      <c r="AH1355" s="209"/>
      <c r="AI1355" s="209"/>
      <c r="AJ1355" s="209"/>
      <c r="AK1355" s="209"/>
      <c r="AL1355" s="209"/>
      <c r="AM1355" s="209"/>
      <c r="AN1355" s="209"/>
      <c r="AO1355" s="209"/>
      <c r="AP1355" s="209"/>
    </row>
    <row r="1356">
      <c r="A1356" s="209"/>
      <c r="B1356" s="209"/>
      <c r="C1356" s="209"/>
      <c r="D1356" s="209"/>
      <c r="E1356" s="209"/>
      <c r="F1356" s="209"/>
      <c r="G1356" s="209"/>
      <c r="H1356" s="209"/>
      <c r="I1356" s="209"/>
      <c r="J1356" s="209"/>
      <c r="K1356" s="209"/>
      <c r="L1356" s="209"/>
      <c r="M1356" s="209"/>
      <c r="N1356" s="209"/>
      <c r="O1356" s="209"/>
      <c r="P1356" s="209"/>
      <c r="Q1356" s="209"/>
      <c r="R1356" s="209"/>
      <c r="S1356" s="209"/>
      <c r="T1356" s="209"/>
      <c r="U1356" s="209"/>
      <c r="V1356" s="209"/>
      <c r="W1356" s="209"/>
      <c r="X1356" s="209"/>
      <c r="Y1356" s="209"/>
      <c r="Z1356" s="209"/>
      <c r="AA1356" s="209"/>
      <c r="AB1356" s="209"/>
      <c r="AC1356" s="209"/>
      <c r="AD1356" s="209"/>
      <c r="AE1356" s="209"/>
      <c r="AF1356" s="209"/>
      <c r="AG1356" s="209"/>
      <c r="AH1356" s="209"/>
      <c r="AI1356" s="209"/>
      <c r="AJ1356" s="209"/>
      <c r="AK1356" s="209"/>
      <c r="AL1356" s="209"/>
      <c r="AM1356" s="209"/>
      <c r="AN1356" s="209"/>
      <c r="AO1356" s="209"/>
      <c r="AP1356" s="209"/>
    </row>
    <row r="1357">
      <c r="A1357" s="209"/>
      <c r="B1357" s="209"/>
      <c r="C1357" s="209"/>
      <c r="D1357" s="209"/>
      <c r="E1357" s="209"/>
      <c r="F1357" s="209"/>
      <c r="G1357" s="209"/>
      <c r="H1357" s="209"/>
      <c r="I1357" s="209"/>
      <c r="J1357" s="209"/>
      <c r="K1357" s="209"/>
      <c r="L1357" s="209"/>
      <c r="M1357" s="209"/>
      <c r="N1357" s="209"/>
      <c r="O1357" s="209"/>
      <c r="P1357" s="209"/>
      <c r="Q1357" s="209"/>
      <c r="R1357" s="209"/>
      <c r="S1357" s="209"/>
      <c r="T1357" s="209"/>
      <c r="U1357" s="209"/>
      <c r="V1357" s="209"/>
      <c r="W1357" s="209"/>
      <c r="X1357" s="209"/>
      <c r="Y1357" s="209"/>
      <c r="Z1357" s="209"/>
      <c r="AA1357" s="209"/>
      <c r="AB1357" s="209"/>
      <c r="AC1357" s="209"/>
      <c r="AD1357" s="209"/>
      <c r="AE1357" s="209"/>
      <c r="AF1357" s="209"/>
      <c r="AG1357" s="209"/>
      <c r="AH1357" s="209"/>
      <c r="AI1357" s="209"/>
      <c r="AJ1357" s="209"/>
      <c r="AK1357" s="209"/>
      <c r="AL1357" s="209"/>
      <c r="AM1357" s="209"/>
      <c r="AN1357" s="209"/>
      <c r="AO1357" s="209"/>
      <c r="AP1357" s="209"/>
    </row>
    <row r="1358">
      <c r="A1358" s="209"/>
      <c r="B1358" s="209"/>
      <c r="C1358" s="209"/>
      <c r="D1358" s="209"/>
      <c r="E1358" s="209"/>
      <c r="F1358" s="209"/>
      <c r="G1358" s="209"/>
      <c r="H1358" s="209"/>
      <c r="I1358" s="209"/>
      <c r="J1358" s="209"/>
      <c r="K1358" s="209"/>
      <c r="L1358" s="209"/>
      <c r="M1358" s="209"/>
      <c r="N1358" s="209"/>
      <c r="O1358" s="209"/>
      <c r="P1358" s="209"/>
      <c r="Q1358" s="209"/>
      <c r="R1358" s="209"/>
      <c r="S1358" s="209"/>
      <c r="T1358" s="209"/>
      <c r="U1358" s="209"/>
      <c r="V1358" s="209"/>
      <c r="W1358" s="209"/>
      <c r="X1358" s="209"/>
      <c r="Y1358" s="209"/>
      <c r="Z1358" s="209"/>
      <c r="AA1358" s="209"/>
      <c r="AB1358" s="209"/>
      <c r="AC1358" s="209"/>
      <c r="AD1358" s="209"/>
      <c r="AE1358" s="209"/>
      <c r="AF1358" s="209"/>
      <c r="AG1358" s="209"/>
      <c r="AH1358" s="209"/>
      <c r="AI1358" s="209"/>
      <c r="AJ1358" s="209"/>
      <c r="AK1358" s="209"/>
      <c r="AL1358" s="209"/>
      <c r="AM1358" s="209"/>
      <c r="AN1358" s="209"/>
      <c r="AO1358" s="209"/>
      <c r="AP1358" s="209"/>
    </row>
    <row r="1359">
      <c r="A1359" s="209"/>
      <c r="B1359" s="209"/>
      <c r="C1359" s="209"/>
      <c r="D1359" s="209"/>
      <c r="E1359" s="209"/>
      <c r="F1359" s="209"/>
      <c r="G1359" s="209"/>
      <c r="H1359" s="209"/>
      <c r="I1359" s="209"/>
      <c r="J1359" s="209"/>
      <c r="K1359" s="209"/>
      <c r="L1359" s="209"/>
      <c r="M1359" s="209"/>
      <c r="N1359" s="209"/>
      <c r="O1359" s="209"/>
      <c r="P1359" s="209"/>
      <c r="Q1359" s="209"/>
      <c r="R1359" s="209"/>
      <c r="S1359" s="209"/>
      <c r="T1359" s="209"/>
      <c r="U1359" s="209"/>
      <c r="V1359" s="209"/>
      <c r="W1359" s="209"/>
      <c r="X1359" s="209"/>
      <c r="Y1359" s="209"/>
      <c r="Z1359" s="209"/>
      <c r="AA1359" s="209"/>
      <c r="AB1359" s="209"/>
      <c r="AC1359" s="209"/>
      <c r="AD1359" s="209"/>
      <c r="AE1359" s="209"/>
      <c r="AF1359" s="209"/>
      <c r="AG1359" s="209"/>
      <c r="AH1359" s="209"/>
      <c r="AI1359" s="209"/>
      <c r="AJ1359" s="209"/>
      <c r="AK1359" s="209"/>
      <c r="AL1359" s="209"/>
      <c r="AM1359" s="209"/>
      <c r="AN1359" s="209"/>
      <c r="AO1359" s="209"/>
      <c r="AP1359" s="209"/>
    </row>
    <row r="1360">
      <c r="A1360" s="209"/>
      <c r="B1360" s="209"/>
      <c r="C1360" s="209"/>
      <c r="D1360" s="209"/>
      <c r="E1360" s="209"/>
      <c r="F1360" s="209"/>
      <c r="G1360" s="209"/>
      <c r="H1360" s="209"/>
      <c r="I1360" s="209"/>
      <c r="J1360" s="209"/>
      <c r="K1360" s="209"/>
      <c r="L1360" s="209"/>
      <c r="M1360" s="209"/>
      <c r="N1360" s="209"/>
      <c r="O1360" s="209"/>
      <c r="P1360" s="209"/>
      <c r="Q1360" s="209"/>
      <c r="R1360" s="209"/>
      <c r="S1360" s="209"/>
      <c r="T1360" s="209"/>
      <c r="U1360" s="209"/>
      <c r="V1360" s="209"/>
      <c r="W1360" s="209"/>
      <c r="X1360" s="209"/>
      <c r="Y1360" s="209"/>
      <c r="Z1360" s="209"/>
      <c r="AA1360" s="209"/>
      <c r="AB1360" s="209"/>
      <c r="AC1360" s="209"/>
      <c r="AD1360" s="209"/>
      <c r="AE1360" s="209"/>
      <c r="AF1360" s="209"/>
      <c r="AG1360" s="209"/>
      <c r="AH1360" s="209"/>
      <c r="AI1360" s="209"/>
      <c r="AJ1360" s="209"/>
      <c r="AK1360" s="209"/>
      <c r="AL1360" s="209"/>
      <c r="AM1360" s="209"/>
      <c r="AN1360" s="209"/>
      <c r="AO1360" s="209"/>
      <c r="AP1360" s="209"/>
    </row>
    <row r="1361">
      <c r="A1361" s="209"/>
      <c r="B1361" s="209"/>
      <c r="C1361" s="209"/>
      <c r="D1361" s="209"/>
      <c r="E1361" s="209"/>
      <c r="F1361" s="209"/>
      <c r="G1361" s="209"/>
      <c r="H1361" s="209"/>
      <c r="I1361" s="209"/>
      <c r="J1361" s="209"/>
      <c r="K1361" s="209"/>
      <c r="L1361" s="209"/>
      <c r="M1361" s="209"/>
      <c r="N1361" s="209"/>
      <c r="O1361" s="209"/>
      <c r="P1361" s="209"/>
      <c r="Q1361" s="209"/>
      <c r="R1361" s="209"/>
      <c r="S1361" s="209"/>
      <c r="T1361" s="209"/>
      <c r="U1361" s="209"/>
      <c r="V1361" s="209"/>
      <c r="W1361" s="209"/>
      <c r="X1361" s="209"/>
      <c r="Y1361" s="209"/>
      <c r="Z1361" s="209"/>
      <c r="AA1361" s="209"/>
      <c r="AB1361" s="209"/>
      <c r="AC1361" s="209"/>
      <c r="AD1361" s="209"/>
      <c r="AE1361" s="209"/>
      <c r="AF1361" s="209"/>
      <c r="AG1361" s="209"/>
      <c r="AH1361" s="209"/>
      <c r="AI1361" s="209"/>
      <c r="AJ1361" s="209"/>
      <c r="AK1361" s="209"/>
      <c r="AL1361" s="209"/>
      <c r="AM1361" s="209"/>
      <c r="AN1361" s="209"/>
      <c r="AO1361" s="209"/>
      <c r="AP1361" s="209"/>
    </row>
    <row r="1362">
      <c r="A1362" s="209"/>
      <c r="B1362" s="209"/>
      <c r="C1362" s="209"/>
      <c r="D1362" s="209"/>
      <c r="E1362" s="209"/>
      <c r="F1362" s="209"/>
      <c r="G1362" s="209"/>
      <c r="H1362" s="209"/>
      <c r="I1362" s="209"/>
      <c r="J1362" s="209"/>
      <c r="K1362" s="209"/>
      <c r="L1362" s="209"/>
      <c r="M1362" s="209"/>
      <c r="N1362" s="209"/>
      <c r="O1362" s="209"/>
      <c r="P1362" s="209"/>
      <c r="Q1362" s="209"/>
      <c r="R1362" s="209"/>
      <c r="S1362" s="209"/>
      <c r="T1362" s="209"/>
      <c r="U1362" s="209"/>
      <c r="V1362" s="209"/>
      <c r="W1362" s="209"/>
      <c r="X1362" s="209"/>
      <c r="Y1362" s="209"/>
      <c r="Z1362" s="209"/>
      <c r="AA1362" s="209"/>
      <c r="AB1362" s="209"/>
      <c r="AC1362" s="209"/>
      <c r="AD1362" s="209"/>
      <c r="AE1362" s="209"/>
      <c r="AF1362" s="209"/>
      <c r="AG1362" s="209"/>
      <c r="AH1362" s="209"/>
      <c r="AI1362" s="209"/>
      <c r="AJ1362" s="209"/>
      <c r="AK1362" s="209"/>
      <c r="AL1362" s="209"/>
      <c r="AM1362" s="209"/>
      <c r="AN1362" s="209"/>
      <c r="AO1362" s="209"/>
      <c r="AP1362" s="209"/>
    </row>
    <row r="1363">
      <c r="A1363" s="209"/>
      <c r="B1363" s="209"/>
      <c r="C1363" s="209"/>
      <c r="D1363" s="209"/>
      <c r="E1363" s="209"/>
      <c r="F1363" s="209"/>
      <c r="G1363" s="209"/>
      <c r="H1363" s="209"/>
      <c r="I1363" s="209"/>
      <c r="J1363" s="209"/>
      <c r="K1363" s="209"/>
      <c r="L1363" s="209"/>
      <c r="M1363" s="209"/>
      <c r="N1363" s="209"/>
      <c r="O1363" s="209"/>
      <c r="P1363" s="209"/>
      <c r="Q1363" s="209"/>
      <c r="R1363" s="209"/>
      <c r="S1363" s="209"/>
      <c r="T1363" s="209"/>
      <c r="U1363" s="209"/>
      <c r="V1363" s="209"/>
      <c r="W1363" s="209"/>
      <c r="X1363" s="209"/>
      <c r="Y1363" s="209"/>
      <c r="Z1363" s="209"/>
      <c r="AA1363" s="209"/>
      <c r="AB1363" s="209"/>
      <c r="AC1363" s="209"/>
      <c r="AD1363" s="209"/>
      <c r="AE1363" s="209"/>
      <c r="AF1363" s="209"/>
      <c r="AG1363" s="209"/>
      <c r="AH1363" s="209"/>
      <c r="AI1363" s="209"/>
      <c r="AJ1363" s="209"/>
      <c r="AK1363" s="209"/>
      <c r="AL1363" s="209"/>
      <c r="AM1363" s="209"/>
      <c r="AN1363" s="209"/>
      <c r="AO1363" s="209"/>
      <c r="AP1363" s="209"/>
    </row>
    <row r="1364">
      <c r="A1364" s="209"/>
      <c r="B1364" s="209"/>
      <c r="C1364" s="209"/>
      <c r="D1364" s="209"/>
      <c r="E1364" s="209"/>
      <c r="F1364" s="209"/>
      <c r="G1364" s="209"/>
      <c r="H1364" s="209"/>
      <c r="I1364" s="209"/>
      <c r="J1364" s="209"/>
      <c r="K1364" s="209"/>
      <c r="L1364" s="209"/>
      <c r="M1364" s="209"/>
      <c r="N1364" s="209"/>
      <c r="O1364" s="209"/>
      <c r="P1364" s="209"/>
      <c r="Q1364" s="209"/>
      <c r="R1364" s="209"/>
      <c r="S1364" s="209"/>
      <c r="T1364" s="209"/>
      <c r="U1364" s="209"/>
      <c r="V1364" s="209"/>
      <c r="W1364" s="209"/>
      <c r="X1364" s="209"/>
      <c r="Y1364" s="209"/>
      <c r="Z1364" s="209"/>
      <c r="AA1364" s="209"/>
      <c r="AB1364" s="209"/>
      <c r="AC1364" s="209"/>
      <c r="AD1364" s="209"/>
      <c r="AE1364" s="209"/>
      <c r="AF1364" s="209"/>
      <c r="AG1364" s="209"/>
      <c r="AH1364" s="209"/>
      <c r="AI1364" s="209"/>
      <c r="AJ1364" s="209"/>
      <c r="AK1364" s="209"/>
      <c r="AL1364" s="209"/>
      <c r="AM1364" s="209"/>
      <c r="AN1364" s="209"/>
      <c r="AO1364" s="209"/>
      <c r="AP1364" s="209"/>
    </row>
    <row r="1365">
      <c r="A1365" s="209"/>
      <c r="B1365" s="209"/>
      <c r="C1365" s="209"/>
      <c r="D1365" s="209"/>
      <c r="E1365" s="209"/>
      <c r="F1365" s="209"/>
      <c r="G1365" s="209"/>
      <c r="H1365" s="209"/>
      <c r="I1365" s="209"/>
      <c r="J1365" s="209"/>
      <c r="K1365" s="209"/>
      <c r="L1365" s="209"/>
      <c r="M1365" s="209"/>
      <c r="N1365" s="209"/>
      <c r="O1365" s="209"/>
      <c r="P1365" s="209"/>
      <c r="Q1365" s="209"/>
      <c r="R1365" s="209"/>
      <c r="S1365" s="209"/>
      <c r="T1365" s="209"/>
      <c r="U1365" s="209"/>
      <c r="V1365" s="209"/>
      <c r="W1365" s="209"/>
      <c r="X1365" s="209"/>
      <c r="Y1365" s="209"/>
      <c r="Z1365" s="209"/>
      <c r="AA1365" s="209"/>
      <c r="AB1365" s="209"/>
      <c r="AC1365" s="209"/>
      <c r="AD1365" s="209"/>
      <c r="AE1365" s="209"/>
      <c r="AF1365" s="209"/>
      <c r="AG1365" s="209"/>
      <c r="AH1365" s="209"/>
      <c r="AI1365" s="209"/>
      <c r="AJ1365" s="209"/>
      <c r="AK1365" s="209"/>
      <c r="AL1365" s="209"/>
      <c r="AM1365" s="209"/>
      <c r="AN1365" s="209"/>
      <c r="AO1365" s="209"/>
      <c r="AP1365" s="209"/>
    </row>
    <row r="1366">
      <c r="A1366" s="209"/>
      <c r="B1366" s="209"/>
      <c r="C1366" s="209"/>
      <c r="D1366" s="209"/>
      <c r="E1366" s="209"/>
      <c r="F1366" s="209"/>
      <c r="G1366" s="209"/>
      <c r="H1366" s="209"/>
      <c r="I1366" s="209"/>
      <c r="J1366" s="209"/>
      <c r="K1366" s="209"/>
      <c r="L1366" s="209"/>
      <c r="M1366" s="209"/>
      <c r="N1366" s="209"/>
      <c r="O1366" s="209"/>
      <c r="P1366" s="209"/>
      <c r="Q1366" s="209"/>
      <c r="R1366" s="209"/>
      <c r="S1366" s="209"/>
      <c r="T1366" s="209"/>
      <c r="U1366" s="209"/>
      <c r="V1366" s="209"/>
      <c r="W1366" s="209"/>
      <c r="X1366" s="209"/>
      <c r="Y1366" s="209"/>
      <c r="Z1366" s="209"/>
      <c r="AA1366" s="209"/>
      <c r="AB1366" s="209"/>
      <c r="AC1366" s="209"/>
      <c r="AD1366" s="209"/>
      <c r="AE1366" s="209"/>
      <c r="AF1366" s="209"/>
      <c r="AG1366" s="209"/>
      <c r="AH1366" s="209"/>
      <c r="AI1366" s="209"/>
      <c r="AJ1366" s="209"/>
      <c r="AK1366" s="209"/>
      <c r="AL1366" s="209"/>
      <c r="AM1366" s="209"/>
      <c r="AN1366" s="209"/>
      <c r="AO1366" s="209"/>
      <c r="AP1366" s="209"/>
    </row>
    <row r="1367">
      <c r="A1367" s="209"/>
      <c r="B1367" s="209"/>
      <c r="C1367" s="209"/>
      <c r="D1367" s="209"/>
      <c r="E1367" s="209"/>
      <c r="F1367" s="209"/>
      <c r="G1367" s="209"/>
      <c r="H1367" s="209"/>
      <c r="I1367" s="209"/>
      <c r="J1367" s="209"/>
      <c r="K1367" s="209"/>
      <c r="L1367" s="209"/>
      <c r="M1367" s="209"/>
      <c r="N1367" s="209"/>
      <c r="O1367" s="209"/>
      <c r="P1367" s="209"/>
      <c r="Q1367" s="209"/>
      <c r="R1367" s="209"/>
      <c r="S1367" s="209"/>
      <c r="T1367" s="209"/>
      <c r="U1367" s="209"/>
      <c r="V1367" s="209"/>
      <c r="W1367" s="209"/>
      <c r="X1367" s="209"/>
      <c r="Y1367" s="209"/>
      <c r="Z1367" s="209"/>
      <c r="AA1367" s="209"/>
      <c r="AB1367" s="209"/>
      <c r="AC1367" s="209"/>
      <c r="AD1367" s="209"/>
      <c r="AE1367" s="209"/>
      <c r="AF1367" s="209"/>
      <c r="AG1367" s="209"/>
      <c r="AH1367" s="209"/>
      <c r="AI1367" s="209"/>
      <c r="AJ1367" s="209"/>
      <c r="AK1367" s="209"/>
      <c r="AL1367" s="209"/>
      <c r="AM1367" s="209"/>
      <c r="AN1367" s="209"/>
      <c r="AO1367" s="209"/>
      <c r="AP1367" s="209"/>
    </row>
    <row r="1368">
      <c r="A1368" s="209"/>
      <c r="B1368" s="209"/>
      <c r="C1368" s="209"/>
      <c r="D1368" s="209"/>
      <c r="E1368" s="209"/>
      <c r="F1368" s="209"/>
      <c r="G1368" s="209"/>
      <c r="H1368" s="209"/>
      <c r="I1368" s="209"/>
      <c r="J1368" s="209"/>
      <c r="K1368" s="209"/>
      <c r="L1368" s="209"/>
      <c r="M1368" s="209"/>
      <c r="N1368" s="209"/>
      <c r="O1368" s="209"/>
      <c r="P1368" s="209"/>
      <c r="Q1368" s="209"/>
      <c r="R1368" s="209"/>
      <c r="S1368" s="209"/>
      <c r="T1368" s="209"/>
      <c r="U1368" s="209"/>
      <c r="V1368" s="209"/>
      <c r="W1368" s="209"/>
      <c r="X1368" s="209"/>
      <c r="Y1368" s="209"/>
      <c r="Z1368" s="209"/>
      <c r="AA1368" s="209"/>
      <c r="AB1368" s="209"/>
      <c r="AC1368" s="209"/>
      <c r="AD1368" s="209"/>
      <c r="AE1368" s="209"/>
      <c r="AF1368" s="209"/>
      <c r="AG1368" s="209"/>
      <c r="AH1368" s="209"/>
      <c r="AI1368" s="209"/>
      <c r="AJ1368" s="209"/>
      <c r="AK1368" s="209"/>
      <c r="AL1368" s="209"/>
      <c r="AM1368" s="209"/>
      <c r="AN1368" s="209"/>
      <c r="AO1368" s="209"/>
      <c r="AP1368" s="209"/>
    </row>
    <row r="1369">
      <c r="A1369" s="209"/>
      <c r="B1369" s="209"/>
      <c r="C1369" s="209"/>
      <c r="D1369" s="209"/>
      <c r="E1369" s="209"/>
      <c r="F1369" s="209"/>
      <c r="G1369" s="209"/>
      <c r="H1369" s="209"/>
      <c r="I1369" s="209"/>
      <c r="J1369" s="209"/>
      <c r="K1369" s="209"/>
      <c r="L1369" s="209"/>
      <c r="M1369" s="209"/>
      <c r="N1369" s="209"/>
      <c r="O1369" s="209"/>
      <c r="P1369" s="209"/>
      <c r="Q1369" s="209"/>
      <c r="R1369" s="209"/>
      <c r="S1369" s="209"/>
      <c r="T1369" s="209"/>
      <c r="U1369" s="209"/>
      <c r="V1369" s="209"/>
      <c r="W1369" s="209"/>
      <c r="X1369" s="209"/>
      <c r="Y1369" s="209"/>
      <c r="Z1369" s="209"/>
      <c r="AA1369" s="209"/>
      <c r="AB1369" s="209"/>
      <c r="AC1369" s="209"/>
      <c r="AD1369" s="209"/>
      <c r="AE1369" s="209"/>
      <c r="AF1369" s="209"/>
      <c r="AG1369" s="209"/>
      <c r="AH1369" s="209"/>
      <c r="AI1369" s="209"/>
      <c r="AJ1369" s="209"/>
      <c r="AK1369" s="209"/>
      <c r="AL1369" s="209"/>
      <c r="AM1369" s="209"/>
      <c r="AN1369" s="209"/>
      <c r="AO1369" s="209"/>
      <c r="AP1369" s="209"/>
    </row>
    <row r="1370">
      <c r="A1370" s="209"/>
      <c r="B1370" s="209"/>
      <c r="C1370" s="209"/>
      <c r="D1370" s="209"/>
      <c r="E1370" s="209"/>
      <c r="F1370" s="209"/>
      <c r="G1370" s="209"/>
      <c r="H1370" s="209"/>
      <c r="I1370" s="209"/>
      <c r="J1370" s="209"/>
      <c r="K1370" s="209"/>
      <c r="L1370" s="209"/>
      <c r="M1370" s="209"/>
      <c r="N1370" s="209"/>
      <c r="O1370" s="209"/>
      <c r="P1370" s="209"/>
      <c r="Q1370" s="209"/>
      <c r="R1370" s="209"/>
      <c r="S1370" s="209"/>
      <c r="T1370" s="209"/>
      <c r="U1370" s="209"/>
      <c r="V1370" s="209"/>
      <c r="W1370" s="209"/>
      <c r="X1370" s="209"/>
      <c r="Y1370" s="209"/>
      <c r="Z1370" s="209"/>
      <c r="AA1370" s="209"/>
      <c r="AB1370" s="209"/>
      <c r="AC1370" s="209"/>
      <c r="AD1370" s="209"/>
      <c r="AE1370" s="209"/>
      <c r="AF1370" s="209"/>
      <c r="AG1370" s="209"/>
      <c r="AH1370" s="209"/>
      <c r="AI1370" s="209"/>
      <c r="AJ1370" s="209"/>
      <c r="AK1370" s="209"/>
      <c r="AL1370" s="209"/>
      <c r="AM1370" s="209"/>
      <c r="AN1370" s="209"/>
      <c r="AO1370" s="209"/>
      <c r="AP1370" s="209"/>
    </row>
    <row r="1371">
      <c r="A1371" s="209"/>
      <c r="B1371" s="209"/>
      <c r="C1371" s="209"/>
      <c r="D1371" s="209"/>
      <c r="E1371" s="209"/>
      <c r="F1371" s="209"/>
      <c r="G1371" s="209"/>
      <c r="H1371" s="209"/>
      <c r="I1371" s="209"/>
      <c r="J1371" s="209"/>
      <c r="K1371" s="209"/>
      <c r="L1371" s="209"/>
      <c r="M1371" s="209"/>
      <c r="N1371" s="209"/>
      <c r="O1371" s="209"/>
      <c r="P1371" s="209"/>
      <c r="Q1371" s="209"/>
      <c r="R1371" s="209"/>
      <c r="S1371" s="209"/>
      <c r="T1371" s="209"/>
      <c r="U1371" s="209"/>
      <c r="V1371" s="209"/>
      <c r="W1371" s="209"/>
      <c r="X1371" s="209"/>
      <c r="Y1371" s="209"/>
      <c r="Z1371" s="209"/>
      <c r="AA1371" s="209"/>
      <c r="AB1371" s="209"/>
      <c r="AC1371" s="209"/>
      <c r="AD1371" s="209"/>
      <c r="AE1371" s="209"/>
      <c r="AF1371" s="209"/>
      <c r="AG1371" s="209"/>
      <c r="AH1371" s="209"/>
      <c r="AI1371" s="209"/>
      <c r="AJ1371" s="209"/>
      <c r="AK1371" s="209"/>
      <c r="AL1371" s="209"/>
      <c r="AM1371" s="209"/>
      <c r="AN1371" s="209"/>
      <c r="AO1371" s="209"/>
      <c r="AP1371" s="209"/>
    </row>
    <row r="1372">
      <c r="A1372" s="209"/>
      <c r="B1372" s="209"/>
      <c r="C1372" s="209"/>
      <c r="D1372" s="209"/>
      <c r="E1372" s="209"/>
      <c r="F1372" s="209"/>
      <c r="G1372" s="209"/>
      <c r="H1372" s="209"/>
      <c r="I1372" s="209"/>
      <c r="J1372" s="209"/>
      <c r="K1372" s="209"/>
      <c r="L1372" s="209"/>
      <c r="M1372" s="209"/>
      <c r="N1372" s="209"/>
      <c r="O1372" s="209"/>
      <c r="P1372" s="209"/>
      <c r="Q1372" s="209"/>
      <c r="R1372" s="209"/>
      <c r="S1372" s="209"/>
      <c r="T1372" s="209"/>
      <c r="U1372" s="209"/>
      <c r="V1372" s="209"/>
      <c r="W1372" s="209"/>
      <c r="X1372" s="209"/>
      <c r="Y1372" s="209"/>
      <c r="Z1372" s="209"/>
      <c r="AA1372" s="209"/>
      <c r="AB1372" s="209"/>
      <c r="AC1372" s="209"/>
      <c r="AD1372" s="209"/>
      <c r="AE1372" s="209"/>
      <c r="AF1372" s="209"/>
      <c r="AG1372" s="209"/>
      <c r="AH1372" s="209"/>
      <c r="AI1372" s="209"/>
      <c r="AJ1372" s="209"/>
      <c r="AK1372" s="209"/>
      <c r="AL1372" s="209"/>
      <c r="AM1372" s="209"/>
      <c r="AN1372" s="209"/>
      <c r="AO1372" s="209"/>
      <c r="AP1372" s="209"/>
    </row>
    <row r="1373">
      <c r="A1373" s="209"/>
      <c r="B1373" s="209"/>
      <c r="C1373" s="209"/>
      <c r="D1373" s="209"/>
      <c r="E1373" s="209"/>
      <c r="F1373" s="209"/>
      <c r="G1373" s="209"/>
      <c r="H1373" s="209"/>
      <c r="I1373" s="209"/>
      <c r="J1373" s="209"/>
      <c r="K1373" s="209"/>
      <c r="L1373" s="209"/>
      <c r="M1373" s="209"/>
      <c r="N1373" s="209"/>
      <c r="O1373" s="209"/>
      <c r="P1373" s="209"/>
      <c r="Q1373" s="209"/>
      <c r="R1373" s="209"/>
      <c r="S1373" s="209"/>
      <c r="T1373" s="209"/>
      <c r="U1373" s="209"/>
      <c r="V1373" s="209"/>
      <c r="W1373" s="209"/>
      <c r="X1373" s="209"/>
      <c r="Y1373" s="209"/>
      <c r="Z1373" s="209"/>
      <c r="AA1373" s="209"/>
      <c r="AB1373" s="209"/>
      <c r="AC1373" s="209"/>
      <c r="AD1373" s="209"/>
      <c r="AE1373" s="209"/>
      <c r="AF1373" s="209"/>
      <c r="AG1373" s="209"/>
      <c r="AH1373" s="209"/>
      <c r="AI1373" s="209"/>
      <c r="AJ1373" s="209"/>
      <c r="AK1373" s="209"/>
      <c r="AL1373" s="209"/>
      <c r="AM1373" s="209"/>
      <c r="AN1373" s="209"/>
      <c r="AO1373" s="209"/>
      <c r="AP1373" s="209"/>
    </row>
    <row r="1374">
      <c r="A1374" s="209"/>
      <c r="B1374" s="209"/>
      <c r="C1374" s="209"/>
      <c r="D1374" s="209"/>
      <c r="E1374" s="209"/>
      <c r="F1374" s="209"/>
      <c r="G1374" s="209"/>
      <c r="H1374" s="209"/>
      <c r="I1374" s="209"/>
      <c r="J1374" s="209"/>
      <c r="K1374" s="209"/>
      <c r="L1374" s="209"/>
      <c r="M1374" s="209"/>
      <c r="N1374" s="209"/>
      <c r="O1374" s="209"/>
      <c r="P1374" s="209"/>
      <c r="Q1374" s="209"/>
      <c r="R1374" s="209"/>
      <c r="S1374" s="209"/>
      <c r="T1374" s="209"/>
      <c r="U1374" s="209"/>
      <c r="V1374" s="209"/>
      <c r="W1374" s="209"/>
      <c r="X1374" s="209"/>
      <c r="Y1374" s="209"/>
      <c r="Z1374" s="209"/>
      <c r="AA1374" s="209"/>
      <c r="AB1374" s="209"/>
      <c r="AC1374" s="209"/>
      <c r="AD1374" s="209"/>
      <c r="AE1374" s="209"/>
      <c r="AF1374" s="209"/>
      <c r="AG1374" s="209"/>
      <c r="AH1374" s="209"/>
      <c r="AI1374" s="209"/>
      <c r="AJ1374" s="209"/>
      <c r="AK1374" s="209"/>
      <c r="AL1374" s="209"/>
      <c r="AM1374" s="209"/>
      <c r="AN1374" s="209"/>
      <c r="AO1374" s="209"/>
      <c r="AP1374" s="209"/>
    </row>
    <row r="1375">
      <c r="A1375" s="209"/>
      <c r="B1375" s="209"/>
      <c r="C1375" s="209"/>
      <c r="D1375" s="209"/>
      <c r="E1375" s="209"/>
      <c r="F1375" s="209"/>
      <c r="G1375" s="209"/>
      <c r="H1375" s="209"/>
      <c r="I1375" s="209"/>
      <c r="J1375" s="209"/>
      <c r="K1375" s="209"/>
      <c r="L1375" s="209"/>
      <c r="M1375" s="209"/>
      <c r="N1375" s="209"/>
      <c r="O1375" s="209"/>
      <c r="P1375" s="209"/>
      <c r="Q1375" s="209"/>
      <c r="R1375" s="209"/>
      <c r="S1375" s="209"/>
      <c r="T1375" s="209"/>
      <c r="U1375" s="209"/>
      <c r="V1375" s="209"/>
      <c r="W1375" s="209"/>
      <c r="X1375" s="209"/>
      <c r="Y1375" s="209"/>
      <c r="Z1375" s="209"/>
      <c r="AA1375" s="209"/>
      <c r="AB1375" s="209"/>
      <c r="AC1375" s="209"/>
      <c r="AD1375" s="209"/>
      <c r="AE1375" s="209"/>
      <c r="AF1375" s="209"/>
      <c r="AG1375" s="209"/>
      <c r="AH1375" s="209"/>
      <c r="AI1375" s="209"/>
      <c r="AJ1375" s="209"/>
      <c r="AK1375" s="209"/>
      <c r="AL1375" s="209"/>
      <c r="AM1375" s="209"/>
      <c r="AN1375" s="209"/>
      <c r="AO1375" s="209"/>
      <c r="AP1375" s="209"/>
    </row>
    <row r="1376">
      <c r="A1376" s="209"/>
      <c r="B1376" s="209"/>
      <c r="C1376" s="209"/>
      <c r="D1376" s="209"/>
      <c r="E1376" s="209"/>
      <c r="F1376" s="209"/>
      <c r="G1376" s="209"/>
      <c r="H1376" s="209"/>
      <c r="I1376" s="209"/>
      <c r="J1376" s="209"/>
      <c r="K1376" s="209"/>
      <c r="L1376" s="209"/>
      <c r="M1376" s="209"/>
      <c r="N1376" s="209"/>
      <c r="O1376" s="209"/>
      <c r="P1376" s="209"/>
      <c r="Q1376" s="209"/>
      <c r="R1376" s="209"/>
      <c r="S1376" s="209"/>
      <c r="T1376" s="209"/>
      <c r="U1376" s="209"/>
      <c r="V1376" s="209"/>
      <c r="W1376" s="209"/>
      <c r="X1376" s="209"/>
      <c r="Y1376" s="209"/>
      <c r="Z1376" s="209"/>
      <c r="AA1376" s="209"/>
      <c r="AB1376" s="209"/>
      <c r="AC1376" s="209"/>
      <c r="AD1376" s="209"/>
      <c r="AE1376" s="209"/>
      <c r="AF1376" s="209"/>
      <c r="AG1376" s="209"/>
      <c r="AH1376" s="209"/>
      <c r="AI1376" s="209"/>
      <c r="AJ1376" s="209"/>
      <c r="AK1376" s="209"/>
      <c r="AL1376" s="209"/>
      <c r="AM1376" s="209"/>
      <c r="AN1376" s="209"/>
      <c r="AO1376" s="209"/>
      <c r="AP1376" s="209"/>
    </row>
    <row r="1377">
      <c r="A1377" s="209"/>
      <c r="B1377" s="209"/>
      <c r="C1377" s="209"/>
      <c r="D1377" s="209"/>
      <c r="E1377" s="209"/>
      <c r="F1377" s="209"/>
      <c r="G1377" s="209"/>
      <c r="H1377" s="209"/>
      <c r="I1377" s="209"/>
      <c r="J1377" s="209"/>
      <c r="K1377" s="209"/>
      <c r="L1377" s="209"/>
      <c r="M1377" s="209"/>
      <c r="N1377" s="209"/>
      <c r="O1377" s="209"/>
      <c r="P1377" s="209"/>
      <c r="Q1377" s="209"/>
      <c r="R1377" s="209"/>
      <c r="S1377" s="209"/>
      <c r="T1377" s="209"/>
      <c r="U1377" s="209"/>
      <c r="V1377" s="209"/>
      <c r="W1377" s="209"/>
      <c r="X1377" s="209"/>
      <c r="Y1377" s="209"/>
      <c r="Z1377" s="209"/>
      <c r="AA1377" s="209"/>
      <c r="AB1377" s="209"/>
      <c r="AC1377" s="209"/>
      <c r="AD1377" s="209"/>
      <c r="AE1377" s="209"/>
      <c r="AF1377" s="209"/>
      <c r="AG1377" s="209"/>
      <c r="AH1377" s="209"/>
      <c r="AI1377" s="209"/>
      <c r="AJ1377" s="209"/>
      <c r="AK1377" s="209"/>
      <c r="AL1377" s="209"/>
      <c r="AM1377" s="209"/>
      <c r="AN1377" s="209"/>
      <c r="AO1377" s="209"/>
      <c r="AP1377" s="209"/>
    </row>
    <row r="1378">
      <c r="A1378" s="209"/>
      <c r="B1378" s="209"/>
      <c r="C1378" s="209"/>
      <c r="D1378" s="209"/>
      <c r="E1378" s="209"/>
      <c r="F1378" s="209"/>
      <c r="G1378" s="209"/>
      <c r="H1378" s="209"/>
      <c r="I1378" s="209"/>
      <c r="J1378" s="209"/>
      <c r="K1378" s="209"/>
      <c r="L1378" s="209"/>
      <c r="M1378" s="209"/>
      <c r="N1378" s="209"/>
      <c r="O1378" s="209"/>
      <c r="P1378" s="209"/>
      <c r="Q1378" s="209"/>
      <c r="R1378" s="209"/>
      <c r="S1378" s="209"/>
      <c r="T1378" s="209"/>
      <c r="U1378" s="209"/>
      <c r="V1378" s="209"/>
      <c r="W1378" s="209"/>
      <c r="X1378" s="209"/>
      <c r="Y1378" s="209"/>
      <c r="Z1378" s="209"/>
      <c r="AA1378" s="209"/>
      <c r="AB1378" s="209"/>
      <c r="AC1378" s="209"/>
      <c r="AD1378" s="209"/>
      <c r="AE1378" s="209"/>
      <c r="AF1378" s="209"/>
      <c r="AG1378" s="209"/>
      <c r="AH1378" s="209"/>
      <c r="AI1378" s="209"/>
      <c r="AJ1378" s="209"/>
      <c r="AK1378" s="209"/>
      <c r="AL1378" s="209"/>
      <c r="AM1378" s="209"/>
      <c r="AN1378" s="209"/>
      <c r="AO1378" s="209"/>
      <c r="AP1378" s="209"/>
    </row>
    <row r="1379">
      <c r="A1379" s="209"/>
      <c r="B1379" s="209"/>
      <c r="C1379" s="209"/>
      <c r="D1379" s="209"/>
      <c r="E1379" s="209"/>
      <c r="F1379" s="209"/>
      <c r="G1379" s="209"/>
      <c r="H1379" s="209"/>
      <c r="I1379" s="209"/>
      <c r="J1379" s="209"/>
      <c r="K1379" s="209"/>
      <c r="L1379" s="209"/>
      <c r="M1379" s="209"/>
      <c r="N1379" s="209"/>
      <c r="O1379" s="209"/>
      <c r="P1379" s="209"/>
      <c r="Q1379" s="209"/>
      <c r="R1379" s="209"/>
      <c r="S1379" s="209"/>
      <c r="T1379" s="209"/>
      <c r="U1379" s="209"/>
      <c r="V1379" s="209"/>
      <c r="W1379" s="209"/>
      <c r="X1379" s="209"/>
      <c r="Y1379" s="209"/>
      <c r="Z1379" s="209"/>
      <c r="AA1379" s="209"/>
      <c r="AB1379" s="209"/>
      <c r="AC1379" s="209"/>
      <c r="AD1379" s="209"/>
      <c r="AE1379" s="209"/>
      <c r="AF1379" s="209"/>
      <c r="AG1379" s="209"/>
      <c r="AH1379" s="209"/>
      <c r="AI1379" s="209"/>
      <c r="AJ1379" s="209"/>
      <c r="AK1379" s="209"/>
      <c r="AL1379" s="209"/>
      <c r="AM1379" s="209"/>
      <c r="AN1379" s="209"/>
      <c r="AO1379" s="209"/>
      <c r="AP1379" s="209"/>
    </row>
    <row r="1380">
      <c r="A1380" s="209"/>
      <c r="B1380" s="209"/>
      <c r="C1380" s="209"/>
      <c r="D1380" s="209"/>
      <c r="E1380" s="209"/>
      <c r="F1380" s="209"/>
      <c r="G1380" s="209"/>
      <c r="H1380" s="209"/>
      <c r="I1380" s="209"/>
      <c r="J1380" s="209"/>
      <c r="K1380" s="209"/>
      <c r="L1380" s="209"/>
      <c r="M1380" s="209"/>
      <c r="N1380" s="209"/>
      <c r="O1380" s="209"/>
      <c r="P1380" s="209"/>
      <c r="Q1380" s="209"/>
      <c r="R1380" s="209"/>
      <c r="S1380" s="209"/>
      <c r="T1380" s="209"/>
      <c r="U1380" s="209"/>
      <c r="V1380" s="209"/>
      <c r="W1380" s="209"/>
      <c r="X1380" s="209"/>
      <c r="Y1380" s="209"/>
      <c r="Z1380" s="209"/>
      <c r="AA1380" s="209"/>
      <c r="AB1380" s="209"/>
      <c r="AC1380" s="209"/>
      <c r="AD1380" s="209"/>
      <c r="AE1380" s="209"/>
      <c r="AF1380" s="209"/>
      <c r="AG1380" s="209"/>
      <c r="AH1380" s="209"/>
      <c r="AI1380" s="209"/>
      <c r="AJ1380" s="209"/>
      <c r="AK1380" s="209"/>
      <c r="AL1380" s="209"/>
      <c r="AM1380" s="209"/>
      <c r="AN1380" s="209"/>
      <c r="AO1380" s="209"/>
      <c r="AP1380" s="209"/>
    </row>
    <row r="1381">
      <c r="A1381" s="209"/>
      <c r="B1381" s="209"/>
      <c r="C1381" s="209"/>
      <c r="D1381" s="209"/>
      <c r="E1381" s="209"/>
      <c r="F1381" s="209"/>
      <c r="G1381" s="209"/>
      <c r="H1381" s="209"/>
      <c r="I1381" s="209"/>
      <c r="J1381" s="209"/>
      <c r="K1381" s="209"/>
      <c r="L1381" s="209"/>
      <c r="M1381" s="209"/>
      <c r="N1381" s="209"/>
      <c r="O1381" s="209"/>
      <c r="P1381" s="209"/>
      <c r="Q1381" s="209"/>
      <c r="R1381" s="209"/>
      <c r="S1381" s="209"/>
      <c r="T1381" s="209"/>
      <c r="U1381" s="209"/>
      <c r="V1381" s="209"/>
      <c r="W1381" s="209"/>
      <c r="X1381" s="209"/>
      <c r="Y1381" s="209"/>
      <c r="Z1381" s="209"/>
      <c r="AA1381" s="209"/>
      <c r="AB1381" s="209"/>
      <c r="AC1381" s="209"/>
      <c r="AD1381" s="209"/>
      <c r="AE1381" s="209"/>
      <c r="AF1381" s="209"/>
      <c r="AG1381" s="209"/>
      <c r="AH1381" s="209"/>
      <c r="AI1381" s="209"/>
      <c r="AJ1381" s="209"/>
      <c r="AK1381" s="209"/>
      <c r="AL1381" s="209"/>
      <c r="AM1381" s="209"/>
      <c r="AN1381" s="209"/>
      <c r="AO1381" s="209"/>
      <c r="AP1381" s="209"/>
    </row>
    <row r="1382">
      <c r="A1382" s="209"/>
      <c r="B1382" s="209"/>
      <c r="C1382" s="209"/>
      <c r="D1382" s="209"/>
      <c r="E1382" s="209"/>
      <c r="F1382" s="209"/>
      <c r="G1382" s="209"/>
      <c r="H1382" s="209"/>
      <c r="I1382" s="209"/>
      <c r="J1382" s="209"/>
      <c r="K1382" s="209"/>
      <c r="L1382" s="209"/>
      <c r="M1382" s="209"/>
      <c r="N1382" s="209"/>
      <c r="O1382" s="209"/>
      <c r="P1382" s="209"/>
      <c r="Q1382" s="209"/>
      <c r="R1382" s="209"/>
      <c r="S1382" s="209"/>
      <c r="T1382" s="209"/>
      <c r="U1382" s="209"/>
      <c r="V1382" s="209"/>
      <c r="W1382" s="209"/>
      <c r="X1382" s="209"/>
      <c r="Y1382" s="209"/>
      <c r="Z1382" s="209"/>
      <c r="AA1382" s="209"/>
      <c r="AB1382" s="209"/>
      <c r="AC1382" s="209"/>
      <c r="AD1382" s="209"/>
      <c r="AE1382" s="209"/>
      <c r="AF1382" s="209"/>
      <c r="AG1382" s="209"/>
      <c r="AH1382" s="209"/>
      <c r="AI1382" s="209"/>
      <c r="AJ1382" s="209"/>
      <c r="AK1382" s="209"/>
      <c r="AL1382" s="209"/>
      <c r="AM1382" s="209"/>
      <c r="AN1382" s="209"/>
      <c r="AO1382" s="209"/>
      <c r="AP1382" s="209"/>
    </row>
    <row r="1383">
      <c r="A1383" s="209"/>
      <c r="B1383" s="209"/>
      <c r="C1383" s="209"/>
      <c r="D1383" s="209"/>
      <c r="E1383" s="209"/>
      <c r="F1383" s="209"/>
      <c r="G1383" s="209"/>
      <c r="H1383" s="209"/>
      <c r="I1383" s="209"/>
      <c r="J1383" s="209"/>
      <c r="K1383" s="209"/>
      <c r="L1383" s="209"/>
      <c r="M1383" s="209"/>
      <c r="N1383" s="209"/>
      <c r="O1383" s="209"/>
      <c r="P1383" s="209"/>
      <c r="Q1383" s="209"/>
      <c r="R1383" s="209"/>
      <c r="S1383" s="209"/>
      <c r="T1383" s="209"/>
      <c r="U1383" s="209"/>
      <c r="V1383" s="209"/>
      <c r="W1383" s="209"/>
      <c r="X1383" s="209"/>
      <c r="Y1383" s="209"/>
      <c r="Z1383" s="209"/>
      <c r="AA1383" s="209"/>
      <c r="AB1383" s="209"/>
      <c r="AC1383" s="209"/>
      <c r="AD1383" s="209"/>
      <c r="AE1383" s="209"/>
      <c r="AF1383" s="209"/>
      <c r="AG1383" s="209"/>
      <c r="AH1383" s="209"/>
      <c r="AI1383" s="209"/>
      <c r="AJ1383" s="209"/>
      <c r="AK1383" s="209"/>
      <c r="AL1383" s="209"/>
      <c r="AM1383" s="209"/>
      <c r="AN1383" s="209"/>
      <c r="AO1383" s="209"/>
      <c r="AP1383" s="209"/>
    </row>
    <row r="1384">
      <c r="A1384" s="209"/>
      <c r="B1384" s="209"/>
      <c r="C1384" s="209"/>
      <c r="D1384" s="209"/>
      <c r="E1384" s="209"/>
      <c r="F1384" s="209"/>
      <c r="G1384" s="209"/>
      <c r="H1384" s="209"/>
      <c r="I1384" s="209"/>
      <c r="J1384" s="209"/>
      <c r="K1384" s="209"/>
      <c r="L1384" s="209"/>
      <c r="M1384" s="209"/>
      <c r="N1384" s="209"/>
      <c r="O1384" s="209"/>
      <c r="P1384" s="209"/>
      <c r="Q1384" s="209"/>
      <c r="R1384" s="209"/>
      <c r="S1384" s="209"/>
      <c r="T1384" s="209"/>
      <c r="U1384" s="209"/>
      <c r="V1384" s="209"/>
      <c r="W1384" s="209"/>
      <c r="X1384" s="209"/>
      <c r="Y1384" s="209"/>
      <c r="Z1384" s="209"/>
      <c r="AA1384" s="209"/>
      <c r="AB1384" s="209"/>
      <c r="AC1384" s="209"/>
      <c r="AD1384" s="209"/>
      <c r="AE1384" s="209"/>
      <c r="AF1384" s="209"/>
      <c r="AG1384" s="209"/>
      <c r="AH1384" s="209"/>
      <c r="AI1384" s="209"/>
      <c r="AJ1384" s="209"/>
      <c r="AK1384" s="209"/>
      <c r="AL1384" s="209"/>
      <c r="AM1384" s="209"/>
      <c r="AN1384" s="209"/>
      <c r="AO1384" s="209"/>
      <c r="AP1384" s="209"/>
    </row>
    <row r="1385">
      <c r="A1385" s="209"/>
      <c r="B1385" s="209"/>
      <c r="C1385" s="209"/>
      <c r="D1385" s="209"/>
      <c r="E1385" s="209"/>
      <c r="F1385" s="209"/>
      <c r="G1385" s="209"/>
      <c r="H1385" s="209"/>
      <c r="I1385" s="209"/>
      <c r="J1385" s="209"/>
      <c r="K1385" s="209"/>
      <c r="L1385" s="209"/>
      <c r="M1385" s="209"/>
      <c r="N1385" s="209"/>
      <c r="O1385" s="209"/>
      <c r="P1385" s="209"/>
      <c r="Q1385" s="209"/>
      <c r="R1385" s="209"/>
      <c r="S1385" s="209"/>
      <c r="T1385" s="209"/>
      <c r="U1385" s="209"/>
      <c r="V1385" s="209"/>
      <c r="W1385" s="209"/>
      <c r="X1385" s="209"/>
      <c r="Y1385" s="209"/>
      <c r="Z1385" s="209"/>
      <c r="AA1385" s="209"/>
      <c r="AB1385" s="209"/>
      <c r="AC1385" s="209"/>
      <c r="AD1385" s="209"/>
      <c r="AE1385" s="209"/>
      <c r="AF1385" s="209"/>
      <c r="AG1385" s="209"/>
      <c r="AH1385" s="209"/>
      <c r="AI1385" s="209"/>
      <c r="AJ1385" s="209"/>
      <c r="AK1385" s="209"/>
      <c r="AL1385" s="209"/>
      <c r="AM1385" s="209"/>
      <c r="AN1385" s="209"/>
      <c r="AO1385" s="209"/>
      <c r="AP1385" s="209"/>
    </row>
    <row r="1386">
      <c r="A1386" s="209"/>
      <c r="B1386" s="209"/>
      <c r="C1386" s="209"/>
      <c r="D1386" s="209"/>
      <c r="E1386" s="209"/>
      <c r="F1386" s="209"/>
      <c r="G1386" s="209"/>
      <c r="H1386" s="209"/>
      <c r="I1386" s="209"/>
      <c r="J1386" s="209"/>
      <c r="K1386" s="209"/>
      <c r="L1386" s="209"/>
      <c r="M1386" s="209"/>
      <c r="N1386" s="209"/>
      <c r="O1386" s="209"/>
      <c r="P1386" s="209"/>
      <c r="Q1386" s="209"/>
      <c r="R1386" s="209"/>
      <c r="S1386" s="209"/>
      <c r="T1386" s="209"/>
      <c r="U1386" s="209"/>
      <c r="V1386" s="209"/>
      <c r="W1386" s="209"/>
      <c r="X1386" s="209"/>
      <c r="Y1386" s="209"/>
      <c r="Z1386" s="209"/>
      <c r="AA1386" s="209"/>
      <c r="AB1386" s="209"/>
      <c r="AC1386" s="209"/>
      <c r="AD1386" s="209"/>
      <c r="AE1386" s="209"/>
      <c r="AF1386" s="209"/>
      <c r="AG1386" s="209"/>
      <c r="AH1386" s="209"/>
      <c r="AI1386" s="209"/>
      <c r="AJ1386" s="209"/>
      <c r="AK1386" s="209"/>
      <c r="AL1386" s="209"/>
      <c r="AM1386" s="209"/>
      <c r="AN1386" s="209"/>
      <c r="AO1386" s="209"/>
      <c r="AP1386" s="209"/>
    </row>
    <row r="1387">
      <c r="A1387" s="209"/>
      <c r="B1387" s="209"/>
      <c r="C1387" s="209"/>
      <c r="D1387" s="209"/>
      <c r="E1387" s="209"/>
      <c r="F1387" s="209"/>
      <c r="G1387" s="209"/>
      <c r="H1387" s="209"/>
      <c r="I1387" s="209"/>
      <c r="J1387" s="209"/>
      <c r="K1387" s="209"/>
      <c r="L1387" s="209"/>
      <c r="M1387" s="209"/>
      <c r="N1387" s="209"/>
      <c r="O1387" s="209"/>
      <c r="P1387" s="209"/>
      <c r="Q1387" s="209"/>
      <c r="R1387" s="209"/>
      <c r="S1387" s="209"/>
      <c r="T1387" s="209"/>
      <c r="U1387" s="209"/>
      <c r="V1387" s="209"/>
      <c r="W1387" s="209"/>
      <c r="X1387" s="209"/>
      <c r="Y1387" s="209"/>
      <c r="Z1387" s="209"/>
      <c r="AA1387" s="209"/>
      <c r="AB1387" s="209"/>
      <c r="AC1387" s="209"/>
      <c r="AD1387" s="209"/>
      <c r="AE1387" s="209"/>
      <c r="AF1387" s="209"/>
      <c r="AG1387" s="209"/>
      <c r="AH1387" s="209"/>
      <c r="AI1387" s="209"/>
      <c r="AJ1387" s="209"/>
      <c r="AK1387" s="209"/>
      <c r="AL1387" s="209"/>
      <c r="AM1387" s="209"/>
      <c r="AN1387" s="209"/>
      <c r="AO1387" s="209"/>
      <c r="AP1387" s="209"/>
    </row>
    <row r="1388">
      <c r="A1388" s="209"/>
      <c r="B1388" s="209"/>
      <c r="C1388" s="209"/>
      <c r="D1388" s="209"/>
      <c r="E1388" s="209"/>
      <c r="F1388" s="209"/>
      <c r="G1388" s="209"/>
      <c r="H1388" s="209"/>
      <c r="I1388" s="209"/>
      <c r="J1388" s="209"/>
      <c r="K1388" s="209"/>
      <c r="L1388" s="209"/>
      <c r="M1388" s="209"/>
      <c r="N1388" s="209"/>
      <c r="O1388" s="209"/>
      <c r="P1388" s="209"/>
      <c r="Q1388" s="209"/>
      <c r="R1388" s="209"/>
      <c r="S1388" s="209"/>
      <c r="T1388" s="209"/>
      <c r="U1388" s="209"/>
      <c r="V1388" s="209"/>
      <c r="W1388" s="209"/>
      <c r="X1388" s="209"/>
      <c r="Y1388" s="209"/>
      <c r="Z1388" s="209"/>
      <c r="AA1388" s="209"/>
      <c r="AB1388" s="209"/>
      <c r="AC1388" s="209"/>
      <c r="AD1388" s="209"/>
      <c r="AE1388" s="209"/>
      <c r="AF1388" s="209"/>
      <c r="AG1388" s="209"/>
      <c r="AH1388" s="209"/>
      <c r="AI1388" s="209"/>
      <c r="AJ1388" s="209"/>
      <c r="AK1388" s="209"/>
      <c r="AL1388" s="209"/>
      <c r="AM1388" s="209"/>
      <c r="AN1388" s="209"/>
      <c r="AO1388" s="209"/>
      <c r="AP1388" s="209"/>
    </row>
    <row r="1389">
      <c r="A1389" s="209"/>
      <c r="B1389" s="209"/>
      <c r="C1389" s="209"/>
      <c r="D1389" s="209"/>
      <c r="E1389" s="209"/>
      <c r="F1389" s="209"/>
      <c r="G1389" s="209"/>
      <c r="H1389" s="209"/>
      <c r="I1389" s="209"/>
      <c r="J1389" s="209"/>
      <c r="K1389" s="209"/>
      <c r="L1389" s="209"/>
      <c r="M1389" s="209"/>
      <c r="N1389" s="209"/>
      <c r="O1389" s="209"/>
      <c r="P1389" s="209"/>
      <c r="Q1389" s="209"/>
      <c r="R1389" s="209"/>
      <c r="S1389" s="209"/>
      <c r="T1389" s="209"/>
      <c r="U1389" s="209"/>
      <c r="V1389" s="209"/>
      <c r="W1389" s="209"/>
      <c r="X1389" s="209"/>
      <c r="Y1389" s="209"/>
      <c r="Z1389" s="209"/>
      <c r="AA1389" s="209"/>
      <c r="AB1389" s="209"/>
      <c r="AC1389" s="209"/>
      <c r="AD1389" s="209"/>
      <c r="AE1389" s="209"/>
      <c r="AF1389" s="209"/>
      <c r="AG1389" s="209"/>
      <c r="AH1389" s="209"/>
      <c r="AI1389" s="209"/>
      <c r="AJ1389" s="209"/>
      <c r="AK1389" s="209"/>
      <c r="AL1389" s="209"/>
      <c r="AM1389" s="209"/>
      <c r="AN1389" s="209"/>
      <c r="AO1389" s="209"/>
      <c r="AP1389" s="209"/>
    </row>
    <row r="1390">
      <c r="A1390" s="209"/>
      <c r="B1390" s="209"/>
      <c r="C1390" s="209"/>
      <c r="D1390" s="209"/>
      <c r="E1390" s="209"/>
      <c r="F1390" s="209"/>
      <c r="G1390" s="209"/>
      <c r="H1390" s="209"/>
      <c r="I1390" s="209"/>
      <c r="J1390" s="209"/>
      <c r="K1390" s="209"/>
      <c r="L1390" s="209"/>
      <c r="M1390" s="209"/>
      <c r="N1390" s="209"/>
      <c r="O1390" s="209"/>
      <c r="P1390" s="209"/>
      <c r="Q1390" s="209"/>
      <c r="R1390" s="209"/>
      <c r="S1390" s="209"/>
      <c r="T1390" s="209"/>
      <c r="U1390" s="209"/>
      <c r="V1390" s="209"/>
      <c r="W1390" s="209"/>
      <c r="X1390" s="209"/>
      <c r="Y1390" s="209"/>
      <c r="Z1390" s="209"/>
      <c r="AA1390" s="209"/>
      <c r="AB1390" s="209"/>
      <c r="AC1390" s="209"/>
      <c r="AD1390" s="209"/>
      <c r="AE1390" s="209"/>
      <c r="AF1390" s="209"/>
      <c r="AG1390" s="209"/>
      <c r="AH1390" s="209"/>
      <c r="AI1390" s="209"/>
      <c r="AJ1390" s="209"/>
      <c r="AK1390" s="209"/>
      <c r="AL1390" s="209"/>
      <c r="AM1390" s="209"/>
      <c r="AN1390" s="209"/>
      <c r="AO1390" s="209"/>
      <c r="AP1390" s="209"/>
    </row>
    <row r="1391">
      <c r="A1391" s="209"/>
      <c r="B1391" s="209"/>
      <c r="C1391" s="209"/>
      <c r="D1391" s="209"/>
      <c r="E1391" s="209"/>
      <c r="F1391" s="209"/>
      <c r="G1391" s="209"/>
      <c r="H1391" s="209"/>
      <c r="I1391" s="209"/>
      <c r="J1391" s="209"/>
      <c r="K1391" s="209"/>
      <c r="L1391" s="209"/>
      <c r="M1391" s="209"/>
      <c r="N1391" s="209"/>
      <c r="O1391" s="209"/>
      <c r="P1391" s="209"/>
      <c r="Q1391" s="209"/>
      <c r="R1391" s="209"/>
      <c r="S1391" s="209"/>
      <c r="T1391" s="209"/>
      <c r="U1391" s="209"/>
      <c r="V1391" s="209"/>
      <c r="W1391" s="209"/>
      <c r="X1391" s="209"/>
      <c r="Y1391" s="209"/>
      <c r="Z1391" s="209"/>
      <c r="AA1391" s="209"/>
      <c r="AB1391" s="209"/>
      <c r="AC1391" s="209"/>
      <c r="AD1391" s="209"/>
      <c r="AE1391" s="209"/>
      <c r="AF1391" s="209"/>
      <c r="AG1391" s="209"/>
      <c r="AH1391" s="209"/>
      <c r="AI1391" s="209"/>
      <c r="AJ1391" s="209"/>
      <c r="AK1391" s="209"/>
      <c r="AL1391" s="209"/>
      <c r="AM1391" s="209"/>
      <c r="AN1391" s="209"/>
      <c r="AO1391" s="209"/>
      <c r="AP1391" s="209"/>
    </row>
    <row r="1392">
      <c r="A1392" s="209"/>
      <c r="B1392" s="209"/>
      <c r="C1392" s="209"/>
      <c r="D1392" s="209"/>
      <c r="E1392" s="209"/>
      <c r="F1392" s="209"/>
      <c r="G1392" s="209"/>
      <c r="H1392" s="209"/>
      <c r="I1392" s="209"/>
      <c r="J1392" s="209"/>
      <c r="K1392" s="209"/>
      <c r="L1392" s="209"/>
      <c r="M1392" s="209"/>
      <c r="N1392" s="209"/>
      <c r="O1392" s="209"/>
      <c r="P1392" s="209"/>
      <c r="Q1392" s="209"/>
      <c r="R1392" s="209"/>
      <c r="S1392" s="209"/>
      <c r="T1392" s="209"/>
      <c r="U1392" s="209"/>
      <c r="V1392" s="209"/>
      <c r="W1392" s="209"/>
      <c r="X1392" s="209"/>
      <c r="Y1392" s="209"/>
      <c r="Z1392" s="209"/>
      <c r="AA1392" s="209"/>
      <c r="AB1392" s="209"/>
      <c r="AC1392" s="209"/>
      <c r="AD1392" s="209"/>
      <c r="AE1392" s="209"/>
      <c r="AF1392" s="209"/>
      <c r="AG1392" s="209"/>
      <c r="AH1392" s="209"/>
      <c r="AI1392" s="209"/>
      <c r="AJ1392" s="209"/>
      <c r="AK1392" s="209"/>
      <c r="AL1392" s="209"/>
      <c r="AM1392" s="209"/>
      <c r="AN1392" s="209"/>
      <c r="AO1392" s="209"/>
      <c r="AP1392" s="209"/>
    </row>
    <row r="1393">
      <c r="A1393" s="209"/>
      <c r="B1393" s="209"/>
      <c r="C1393" s="209"/>
      <c r="D1393" s="209"/>
      <c r="E1393" s="209"/>
      <c r="F1393" s="209"/>
      <c r="G1393" s="209"/>
      <c r="H1393" s="209"/>
      <c r="I1393" s="209"/>
      <c r="J1393" s="209"/>
      <c r="K1393" s="209"/>
      <c r="L1393" s="209"/>
      <c r="M1393" s="209"/>
      <c r="N1393" s="209"/>
      <c r="O1393" s="209"/>
      <c r="P1393" s="209"/>
      <c r="Q1393" s="209"/>
      <c r="R1393" s="209"/>
      <c r="S1393" s="209"/>
      <c r="T1393" s="209"/>
      <c r="U1393" s="209"/>
      <c r="V1393" s="209"/>
      <c r="W1393" s="209"/>
      <c r="X1393" s="209"/>
      <c r="Y1393" s="209"/>
      <c r="Z1393" s="209"/>
      <c r="AA1393" s="209"/>
      <c r="AB1393" s="209"/>
      <c r="AC1393" s="209"/>
      <c r="AD1393" s="209"/>
      <c r="AE1393" s="209"/>
      <c r="AF1393" s="209"/>
      <c r="AG1393" s="209"/>
      <c r="AH1393" s="209"/>
      <c r="AI1393" s="209"/>
      <c r="AJ1393" s="209"/>
      <c r="AK1393" s="209"/>
      <c r="AL1393" s="209"/>
      <c r="AM1393" s="209"/>
      <c r="AN1393" s="209"/>
      <c r="AO1393" s="209"/>
      <c r="AP1393" s="209"/>
    </row>
    <row r="1394">
      <c r="A1394" s="209"/>
      <c r="B1394" s="209"/>
      <c r="C1394" s="209"/>
      <c r="D1394" s="209"/>
      <c r="E1394" s="209"/>
      <c r="F1394" s="209"/>
      <c r="G1394" s="209"/>
      <c r="H1394" s="209"/>
      <c r="I1394" s="209"/>
      <c r="J1394" s="209"/>
      <c r="K1394" s="209"/>
      <c r="L1394" s="209"/>
      <c r="M1394" s="209"/>
      <c r="N1394" s="209"/>
      <c r="O1394" s="209"/>
      <c r="P1394" s="209"/>
      <c r="Q1394" s="209"/>
      <c r="R1394" s="209"/>
      <c r="S1394" s="209"/>
      <c r="T1394" s="209"/>
      <c r="U1394" s="209"/>
      <c r="V1394" s="209"/>
      <c r="W1394" s="209"/>
      <c r="X1394" s="209"/>
      <c r="Y1394" s="209"/>
      <c r="Z1394" s="209"/>
      <c r="AA1394" s="209"/>
      <c r="AB1394" s="209"/>
      <c r="AC1394" s="209"/>
      <c r="AD1394" s="209"/>
      <c r="AE1394" s="209"/>
      <c r="AF1394" s="209"/>
      <c r="AG1394" s="209"/>
      <c r="AH1394" s="209"/>
      <c r="AI1394" s="209"/>
      <c r="AJ1394" s="209"/>
      <c r="AK1394" s="209"/>
      <c r="AL1394" s="209"/>
      <c r="AM1394" s="209"/>
      <c r="AN1394" s="209"/>
      <c r="AO1394" s="209"/>
      <c r="AP1394" s="209"/>
    </row>
    <row r="1395">
      <c r="A1395" s="209"/>
      <c r="B1395" s="209"/>
      <c r="C1395" s="209"/>
      <c r="D1395" s="209"/>
      <c r="E1395" s="209"/>
      <c r="F1395" s="209"/>
      <c r="G1395" s="209"/>
      <c r="H1395" s="209"/>
      <c r="I1395" s="209"/>
      <c r="J1395" s="209"/>
      <c r="K1395" s="209"/>
      <c r="L1395" s="209"/>
      <c r="M1395" s="209"/>
      <c r="N1395" s="209"/>
      <c r="O1395" s="209"/>
      <c r="P1395" s="209"/>
      <c r="Q1395" s="209"/>
      <c r="R1395" s="209"/>
      <c r="S1395" s="209"/>
      <c r="T1395" s="209"/>
      <c r="U1395" s="209"/>
      <c r="V1395" s="209"/>
      <c r="W1395" s="209"/>
      <c r="X1395" s="209"/>
      <c r="Y1395" s="209"/>
      <c r="Z1395" s="209"/>
      <c r="AA1395" s="209"/>
      <c r="AB1395" s="209"/>
      <c r="AC1395" s="209"/>
      <c r="AD1395" s="209"/>
      <c r="AE1395" s="209"/>
      <c r="AF1395" s="209"/>
      <c r="AG1395" s="209"/>
      <c r="AH1395" s="209"/>
      <c r="AI1395" s="209"/>
      <c r="AJ1395" s="209"/>
      <c r="AK1395" s="209"/>
      <c r="AL1395" s="209"/>
      <c r="AM1395" s="209"/>
      <c r="AN1395" s="209"/>
      <c r="AO1395" s="209"/>
      <c r="AP1395" s="209"/>
    </row>
    <row r="1396">
      <c r="A1396" s="209"/>
      <c r="B1396" s="209"/>
      <c r="C1396" s="209"/>
      <c r="D1396" s="209"/>
      <c r="E1396" s="209"/>
      <c r="F1396" s="209"/>
      <c r="G1396" s="209"/>
      <c r="H1396" s="209"/>
      <c r="I1396" s="209"/>
      <c r="J1396" s="209"/>
      <c r="K1396" s="209"/>
      <c r="L1396" s="209"/>
      <c r="M1396" s="209"/>
      <c r="N1396" s="209"/>
      <c r="O1396" s="209"/>
      <c r="P1396" s="209"/>
      <c r="Q1396" s="209"/>
      <c r="R1396" s="209"/>
      <c r="S1396" s="209"/>
      <c r="T1396" s="209"/>
      <c r="U1396" s="209"/>
      <c r="V1396" s="209"/>
      <c r="W1396" s="209"/>
      <c r="X1396" s="209"/>
      <c r="Y1396" s="209"/>
      <c r="Z1396" s="209"/>
      <c r="AA1396" s="209"/>
      <c r="AB1396" s="209"/>
      <c r="AC1396" s="209"/>
      <c r="AD1396" s="209"/>
      <c r="AE1396" s="209"/>
      <c r="AF1396" s="209"/>
      <c r="AG1396" s="209"/>
      <c r="AH1396" s="209"/>
      <c r="AI1396" s="209"/>
      <c r="AJ1396" s="209"/>
      <c r="AK1396" s="209"/>
      <c r="AL1396" s="209"/>
      <c r="AM1396" s="209"/>
      <c r="AN1396" s="209"/>
      <c r="AO1396" s="209"/>
      <c r="AP1396" s="209"/>
    </row>
    <row r="1397">
      <c r="A1397" s="209"/>
      <c r="B1397" s="209"/>
      <c r="C1397" s="209"/>
      <c r="D1397" s="209"/>
      <c r="E1397" s="209"/>
      <c r="F1397" s="209"/>
      <c r="G1397" s="209"/>
      <c r="H1397" s="209"/>
      <c r="I1397" s="209"/>
      <c r="J1397" s="209"/>
      <c r="K1397" s="209"/>
      <c r="L1397" s="209"/>
      <c r="M1397" s="209"/>
      <c r="N1397" s="209"/>
      <c r="O1397" s="209"/>
      <c r="P1397" s="209"/>
      <c r="Q1397" s="209"/>
      <c r="R1397" s="209"/>
      <c r="S1397" s="209"/>
      <c r="T1397" s="209"/>
      <c r="U1397" s="209"/>
      <c r="V1397" s="209"/>
      <c r="W1397" s="209"/>
      <c r="X1397" s="209"/>
      <c r="Y1397" s="209"/>
      <c r="Z1397" s="209"/>
      <c r="AA1397" s="209"/>
      <c r="AB1397" s="209"/>
      <c r="AC1397" s="209"/>
      <c r="AD1397" s="209"/>
      <c r="AE1397" s="209"/>
      <c r="AF1397" s="209"/>
      <c r="AG1397" s="209"/>
      <c r="AH1397" s="209"/>
      <c r="AI1397" s="209"/>
      <c r="AJ1397" s="209"/>
      <c r="AK1397" s="209"/>
      <c r="AL1397" s="209"/>
      <c r="AM1397" s="209"/>
      <c r="AN1397" s="209"/>
      <c r="AO1397" s="209"/>
      <c r="AP1397" s="209"/>
    </row>
    <row r="1398">
      <c r="A1398" s="209"/>
      <c r="B1398" s="209"/>
      <c r="C1398" s="209"/>
      <c r="D1398" s="209"/>
      <c r="E1398" s="209"/>
      <c r="F1398" s="209"/>
      <c r="G1398" s="209"/>
      <c r="H1398" s="209"/>
      <c r="I1398" s="209"/>
      <c r="J1398" s="209"/>
      <c r="K1398" s="209"/>
      <c r="L1398" s="209"/>
      <c r="M1398" s="209"/>
      <c r="N1398" s="209"/>
      <c r="O1398" s="209"/>
      <c r="P1398" s="209"/>
      <c r="Q1398" s="209"/>
      <c r="R1398" s="209"/>
      <c r="S1398" s="209"/>
      <c r="T1398" s="209"/>
      <c r="U1398" s="209"/>
      <c r="V1398" s="209"/>
      <c r="W1398" s="209"/>
      <c r="X1398" s="209"/>
      <c r="Y1398" s="209"/>
      <c r="Z1398" s="209"/>
      <c r="AA1398" s="209"/>
      <c r="AB1398" s="209"/>
      <c r="AC1398" s="209"/>
      <c r="AD1398" s="209"/>
      <c r="AE1398" s="209"/>
      <c r="AF1398" s="209"/>
      <c r="AG1398" s="209"/>
      <c r="AH1398" s="209"/>
      <c r="AI1398" s="209"/>
      <c r="AJ1398" s="209"/>
      <c r="AK1398" s="209"/>
      <c r="AL1398" s="209"/>
      <c r="AM1398" s="209"/>
      <c r="AN1398" s="209"/>
      <c r="AO1398" s="209"/>
      <c r="AP1398" s="209"/>
    </row>
    <row r="1399">
      <c r="A1399" s="209"/>
      <c r="B1399" s="209"/>
      <c r="C1399" s="209"/>
      <c r="D1399" s="209"/>
      <c r="E1399" s="209"/>
      <c r="F1399" s="209"/>
      <c r="G1399" s="209"/>
      <c r="H1399" s="209"/>
      <c r="I1399" s="209"/>
      <c r="J1399" s="209"/>
      <c r="K1399" s="209"/>
      <c r="L1399" s="209"/>
      <c r="M1399" s="209"/>
      <c r="N1399" s="209"/>
      <c r="O1399" s="209"/>
      <c r="P1399" s="209"/>
      <c r="Q1399" s="209"/>
      <c r="R1399" s="209"/>
      <c r="S1399" s="209"/>
      <c r="T1399" s="209"/>
      <c r="U1399" s="209"/>
      <c r="V1399" s="209"/>
      <c r="W1399" s="209"/>
      <c r="X1399" s="209"/>
      <c r="Y1399" s="209"/>
      <c r="Z1399" s="209"/>
      <c r="AA1399" s="209"/>
      <c r="AB1399" s="209"/>
      <c r="AC1399" s="209"/>
      <c r="AD1399" s="209"/>
      <c r="AE1399" s="209"/>
      <c r="AF1399" s="209"/>
      <c r="AG1399" s="209"/>
      <c r="AH1399" s="209"/>
      <c r="AI1399" s="209"/>
      <c r="AJ1399" s="209"/>
      <c r="AK1399" s="209"/>
      <c r="AL1399" s="209"/>
      <c r="AM1399" s="209"/>
      <c r="AN1399" s="209"/>
      <c r="AO1399" s="209"/>
      <c r="AP1399" s="209"/>
    </row>
    <row r="1400">
      <c r="A1400" s="209"/>
      <c r="B1400" s="209"/>
      <c r="C1400" s="209"/>
      <c r="D1400" s="209"/>
      <c r="E1400" s="209"/>
      <c r="F1400" s="209"/>
      <c r="G1400" s="209"/>
      <c r="H1400" s="209"/>
      <c r="I1400" s="209"/>
      <c r="J1400" s="209"/>
      <c r="K1400" s="209"/>
      <c r="L1400" s="209"/>
      <c r="M1400" s="209"/>
      <c r="N1400" s="209"/>
      <c r="O1400" s="209"/>
      <c r="P1400" s="209"/>
      <c r="Q1400" s="209"/>
      <c r="R1400" s="209"/>
      <c r="S1400" s="209"/>
      <c r="T1400" s="209"/>
      <c r="U1400" s="209"/>
      <c r="V1400" s="209"/>
      <c r="W1400" s="209"/>
      <c r="X1400" s="209"/>
      <c r="Y1400" s="209"/>
      <c r="Z1400" s="209"/>
      <c r="AA1400" s="209"/>
      <c r="AB1400" s="209"/>
      <c r="AC1400" s="209"/>
      <c r="AD1400" s="209"/>
      <c r="AE1400" s="209"/>
      <c r="AF1400" s="209"/>
      <c r="AG1400" s="209"/>
      <c r="AH1400" s="209"/>
      <c r="AI1400" s="209"/>
      <c r="AJ1400" s="209"/>
      <c r="AK1400" s="209"/>
      <c r="AL1400" s="209"/>
      <c r="AM1400" s="209"/>
      <c r="AN1400" s="209"/>
      <c r="AO1400" s="209"/>
      <c r="AP1400" s="209"/>
    </row>
    <row r="1401">
      <c r="A1401" s="209"/>
      <c r="B1401" s="209"/>
      <c r="C1401" s="209"/>
      <c r="D1401" s="209"/>
      <c r="E1401" s="209"/>
      <c r="F1401" s="209"/>
      <c r="G1401" s="209"/>
      <c r="H1401" s="209"/>
      <c r="I1401" s="209"/>
      <c r="J1401" s="209"/>
      <c r="K1401" s="209"/>
      <c r="L1401" s="209"/>
      <c r="M1401" s="209"/>
      <c r="N1401" s="209"/>
      <c r="O1401" s="209"/>
      <c r="P1401" s="209"/>
      <c r="Q1401" s="209"/>
      <c r="R1401" s="209"/>
      <c r="S1401" s="209"/>
      <c r="T1401" s="209"/>
      <c r="U1401" s="209"/>
      <c r="V1401" s="209"/>
      <c r="W1401" s="209"/>
      <c r="X1401" s="209"/>
      <c r="Y1401" s="209"/>
      <c r="Z1401" s="209"/>
      <c r="AA1401" s="209"/>
      <c r="AB1401" s="209"/>
      <c r="AC1401" s="209"/>
      <c r="AD1401" s="209"/>
      <c r="AE1401" s="209"/>
      <c r="AF1401" s="209"/>
      <c r="AG1401" s="209"/>
      <c r="AH1401" s="209"/>
      <c r="AI1401" s="209"/>
      <c r="AJ1401" s="209"/>
      <c r="AK1401" s="209"/>
      <c r="AL1401" s="209"/>
      <c r="AM1401" s="209"/>
      <c r="AN1401" s="209"/>
      <c r="AO1401" s="209"/>
      <c r="AP1401" s="209"/>
    </row>
    <row r="1402">
      <c r="A1402" s="209"/>
      <c r="B1402" s="209"/>
      <c r="C1402" s="209"/>
      <c r="D1402" s="209"/>
      <c r="E1402" s="209"/>
      <c r="F1402" s="209"/>
      <c r="G1402" s="209"/>
      <c r="H1402" s="209"/>
      <c r="I1402" s="209"/>
      <c r="J1402" s="209"/>
      <c r="K1402" s="209"/>
      <c r="L1402" s="209"/>
      <c r="M1402" s="209"/>
      <c r="N1402" s="209"/>
      <c r="O1402" s="209"/>
      <c r="P1402" s="209"/>
      <c r="Q1402" s="209"/>
      <c r="R1402" s="209"/>
      <c r="S1402" s="209"/>
      <c r="T1402" s="209"/>
      <c r="U1402" s="209"/>
      <c r="V1402" s="209"/>
      <c r="W1402" s="209"/>
      <c r="X1402" s="209"/>
      <c r="Y1402" s="209"/>
      <c r="Z1402" s="209"/>
      <c r="AA1402" s="209"/>
      <c r="AB1402" s="209"/>
      <c r="AC1402" s="209"/>
      <c r="AD1402" s="209"/>
      <c r="AE1402" s="209"/>
      <c r="AF1402" s="209"/>
      <c r="AG1402" s="209"/>
      <c r="AH1402" s="209"/>
      <c r="AI1402" s="209"/>
      <c r="AJ1402" s="209"/>
      <c r="AK1402" s="209"/>
      <c r="AL1402" s="209"/>
      <c r="AM1402" s="209"/>
      <c r="AN1402" s="209"/>
      <c r="AO1402" s="209"/>
      <c r="AP1402" s="209"/>
    </row>
    <row r="1403">
      <c r="A1403" s="209"/>
      <c r="B1403" s="209"/>
      <c r="C1403" s="209"/>
      <c r="D1403" s="209"/>
      <c r="E1403" s="209"/>
      <c r="F1403" s="209"/>
      <c r="G1403" s="209"/>
      <c r="H1403" s="209"/>
      <c r="I1403" s="209"/>
      <c r="J1403" s="209"/>
      <c r="K1403" s="209"/>
      <c r="L1403" s="209"/>
      <c r="M1403" s="209"/>
      <c r="N1403" s="209"/>
      <c r="O1403" s="209"/>
      <c r="P1403" s="209"/>
      <c r="Q1403" s="209"/>
      <c r="R1403" s="209"/>
      <c r="S1403" s="209"/>
      <c r="T1403" s="209"/>
      <c r="U1403" s="209"/>
      <c r="V1403" s="209"/>
      <c r="W1403" s="209"/>
      <c r="X1403" s="209"/>
      <c r="Y1403" s="209"/>
      <c r="Z1403" s="209"/>
      <c r="AA1403" s="209"/>
      <c r="AB1403" s="209"/>
      <c r="AC1403" s="209"/>
      <c r="AD1403" s="209"/>
      <c r="AE1403" s="209"/>
      <c r="AF1403" s="209"/>
      <c r="AG1403" s="209"/>
      <c r="AH1403" s="209"/>
      <c r="AI1403" s="209"/>
      <c r="AJ1403" s="209"/>
      <c r="AK1403" s="209"/>
      <c r="AL1403" s="209"/>
      <c r="AM1403" s="209"/>
      <c r="AN1403" s="209"/>
      <c r="AO1403" s="209"/>
      <c r="AP1403" s="209"/>
    </row>
    <row r="1404">
      <c r="A1404" s="209"/>
      <c r="B1404" s="209"/>
      <c r="C1404" s="209"/>
      <c r="D1404" s="209"/>
      <c r="E1404" s="209"/>
      <c r="F1404" s="209"/>
      <c r="G1404" s="209"/>
      <c r="H1404" s="209"/>
      <c r="I1404" s="209"/>
      <c r="J1404" s="209"/>
      <c r="K1404" s="209"/>
      <c r="L1404" s="209"/>
      <c r="M1404" s="209"/>
      <c r="N1404" s="209"/>
      <c r="O1404" s="209"/>
      <c r="P1404" s="209"/>
      <c r="Q1404" s="209"/>
      <c r="R1404" s="209"/>
      <c r="S1404" s="209"/>
      <c r="T1404" s="209"/>
      <c r="U1404" s="209"/>
      <c r="V1404" s="209"/>
      <c r="W1404" s="209"/>
      <c r="X1404" s="209"/>
      <c r="Y1404" s="209"/>
      <c r="Z1404" s="209"/>
      <c r="AA1404" s="209"/>
      <c r="AB1404" s="209"/>
      <c r="AC1404" s="209"/>
      <c r="AD1404" s="209"/>
      <c r="AE1404" s="209"/>
      <c r="AF1404" s="209"/>
      <c r="AG1404" s="209"/>
      <c r="AH1404" s="209"/>
      <c r="AI1404" s="209"/>
      <c r="AJ1404" s="209"/>
      <c r="AK1404" s="209"/>
      <c r="AL1404" s="209"/>
      <c r="AM1404" s="209"/>
      <c r="AN1404" s="209"/>
      <c r="AO1404" s="209"/>
      <c r="AP1404" s="209"/>
    </row>
    <row r="1405">
      <c r="A1405" s="209"/>
      <c r="B1405" s="209"/>
      <c r="C1405" s="209"/>
      <c r="D1405" s="209"/>
      <c r="E1405" s="209"/>
      <c r="F1405" s="209"/>
      <c r="G1405" s="209"/>
      <c r="H1405" s="209"/>
      <c r="I1405" s="209"/>
      <c r="J1405" s="209"/>
      <c r="K1405" s="209"/>
      <c r="L1405" s="209"/>
      <c r="M1405" s="209"/>
      <c r="N1405" s="209"/>
      <c r="O1405" s="209"/>
      <c r="P1405" s="209"/>
      <c r="Q1405" s="209"/>
      <c r="R1405" s="209"/>
      <c r="S1405" s="209"/>
      <c r="T1405" s="209"/>
      <c r="U1405" s="209"/>
      <c r="V1405" s="209"/>
      <c r="W1405" s="209"/>
      <c r="X1405" s="209"/>
      <c r="Y1405" s="209"/>
      <c r="Z1405" s="209"/>
      <c r="AA1405" s="209"/>
      <c r="AB1405" s="209"/>
      <c r="AC1405" s="209"/>
      <c r="AD1405" s="209"/>
      <c r="AE1405" s="209"/>
      <c r="AF1405" s="209"/>
      <c r="AG1405" s="209"/>
      <c r="AH1405" s="209"/>
      <c r="AI1405" s="209"/>
      <c r="AJ1405" s="209"/>
      <c r="AK1405" s="209"/>
      <c r="AL1405" s="209"/>
      <c r="AM1405" s="209"/>
      <c r="AN1405" s="209"/>
      <c r="AO1405" s="209"/>
      <c r="AP1405" s="209"/>
    </row>
    <row r="1406">
      <c r="A1406" s="209"/>
      <c r="B1406" s="209"/>
      <c r="C1406" s="209"/>
      <c r="D1406" s="209"/>
      <c r="E1406" s="209"/>
      <c r="F1406" s="209"/>
      <c r="G1406" s="209"/>
      <c r="H1406" s="209"/>
      <c r="I1406" s="209"/>
      <c r="J1406" s="209"/>
      <c r="K1406" s="209"/>
      <c r="L1406" s="209"/>
      <c r="M1406" s="209"/>
      <c r="N1406" s="209"/>
      <c r="O1406" s="209"/>
      <c r="P1406" s="209"/>
      <c r="Q1406" s="209"/>
      <c r="R1406" s="209"/>
      <c r="S1406" s="209"/>
      <c r="T1406" s="209"/>
      <c r="U1406" s="209"/>
      <c r="V1406" s="209"/>
      <c r="W1406" s="209"/>
      <c r="X1406" s="209"/>
      <c r="Y1406" s="209"/>
      <c r="Z1406" s="209"/>
      <c r="AA1406" s="209"/>
      <c r="AB1406" s="209"/>
      <c r="AC1406" s="209"/>
      <c r="AD1406" s="209"/>
      <c r="AE1406" s="209"/>
      <c r="AF1406" s="209"/>
      <c r="AG1406" s="209"/>
      <c r="AH1406" s="209"/>
      <c r="AI1406" s="209"/>
      <c r="AJ1406" s="209"/>
      <c r="AK1406" s="209"/>
      <c r="AL1406" s="209"/>
      <c r="AM1406" s="209"/>
      <c r="AN1406" s="209"/>
      <c r="AO1406" s="209"/>
      <c r="AP1406" s="209"/>
    </row>
    <row r="1407">
      <c r="A1407" s="209"/>
      <c r="B1407" s="209"/>
      <c r="C1407" s="209"/>
      <c r="D1407" s="209"/>
      <c r="E1407" s="209"/>
      <c r="F1407" s="209"/>
      <c r="G1407" s="209"/>
      <c r="H1407" s="209"/>
      <c r="I1407" s="209"/>
      <c r="J1407" s="209"/>
      <c r="K1407" s="209"/>
      <c r="L1407" s="209"/>
      <c r="M1407" s="209"/>
      <c r="N1407" s="209"/>
      <c r="O1407" s="209"/>
      <c r="P1407" s="209"/>
      <c r="Q1407" s="209"/>
      <c r="R1407" s="209"/>
      <c r="S1407" s="209"/>
      <c r="T1407" s="209"/>
      <c r="U1407" s="209"/>
      <c r="V1407" s="209"/>
      <c r="W1407" s="209"/>
      <c r="X1407" s="209"/>
      <c r="Y1407" s="209"/>
      <c r="Z1407" s="209"/>
      <c r="AA1407" s="209"/>
      <c r="AB1407" s="209"/>
      <c r="AC1407" s="209"/>
      <c r="AD1407" s="209"/>
      <c r="AE1407" s="209"/>
      <c r="AF1407" s="209"/>
      <c r="AG1407" s="209"/>
      <c r="AH1407" s="209"/>
      <c r="AI1407" s="209"/>
      <c r="AJ1407" s="209"/>
      <c r="AK1407" s="209"/>
      <c r="AL1407" s="209"/>
      <c r="AM1407" s="209"/>
      <c r="AN1407" s="209"/>
      <c r="AO1407" s="209"/>
      <c r="AP1407" s="209"/>
    </row>
    <row r="1408">
      <c r="A1408" s="209"/>
      <c r="B1408" s="209"/>
      <c r="C1408" s="209"/>
      <c r="D1408" s="209"/>
      <c r="E1408" s="209"/>
      <c r="F1408" s="209"/>
      <c r="G1408" s="209"/>
      <c r="H1408" s="209"/>
      <c r="I1408" s="209"/>
      <c r="J1408" s="209"/>
      <c r="K1408" s="209"/>
      <c r="L1408" s="209"/>
      <c r="M1408" s="209"/>
      <c r="N1408" s="209"/>
      <c r="O1408" s="209"/>
      <c r="P1408" s="209"/>
      <c r="Q1408" s="209"/>
      <c r="R1408" s="209"/>
      <c r="S1408" s="209"/>
      <c r="T1408" s="209"/>
      <c r="U1408" s="209"/>
      <c r="V1408" s="209"/>
      <c r="W1408" s="209"/>
      <c r="X1408" s="209"/>
      <c r="Y1408" s="209"/>
      <c r="Z1408" s="209"/>
      <c r="AA1408" s="209"/>
      <c r="AB1408" s="209"/>
      <c r="AC1408" s="209"/>
      <c r="AD1408" s="209"/>
      <c r="AE1408" s="209"/>
      <c r="AF1408" s="209"/>
      <c r="AG1408" s="209"/>
      <c r="AH1408" s="209"/>
      <c r="AI1408" s="209"/>
      <c r="AJ1408" s="209"/>
      <c r="AK1408" s="209"/>
      <c r="AL1408" s="209"/>
      <c r="AM1408" s="209"/>
      <c r="AN1408" s="209"/>
      <c r="AO1408" s="209"/>
      <c r="AP1408" s="209"/>
    </row>
    <row r="1409">
      <c r="A1409" s="209"/>
      <c r="B1409" s="209"/>
      <c r="C1409" s="209"/>
      <c r="D1409" s="209"/>
      <c r="E1409" s="209"/>
      <c r="F1409" s="209"/>
      <c r="G1409" s="209"/>
      <c r="H1409" s="209"/>
      <c r="I1409" s="209"/>
      <c r="J1409" s="209"/>
      <c r="K1409" s="209"/>
      <c r="L1409" s="209"/>
      <c r="M1409" s="209"/>
      <c r="N1409" s="209"/>
      <c r="O1409" s="209"/>
      <c r="P1409" s="209"/>
      <c r="Q1409" s="209"/>
      <c r="R1409" s="209"/>
      <c r="S1409" s="209"/>
      <c r="T1409" s="209"/>
      <c r="U1409" s="209"/>
      <c r="V1409" s="209"/>
      <c r="W1409" s="209"/>
      <c r="X1409" s="209"/>
      <c r="Y1409" s="209"/>
      <c r="Z1409" s="209"/>
      <c r="AA1409" s="209"/>
      <c r="AB1409" s="209"/>
      <c r="AC1409" s="209"/>
      <c r="AD1409" s="209"/>
      <c r="AE1409" s="209"/>
      <c r="AF1409" s="209"/>
      <c r="AG1409" s="209"/>
      <c r="AH1409" s="209"/>
      <c r="AI1409" s="209"/>
      <c r="AJ1409" s="209"/>
      <c r="AK1409" s="209"/>
      <c r="AL1409" s="209"/>
      <c r="AM1409" s="209"/>
      <c r="AN1409" s="209"/>
      <c r="AO1409" s="209"/>
      <c r="AP1409" s="209"/>
    </row>
    <row r="1410">
      <c r="A1410" s="209"/>
      <c r="B1410" s="209"/>
      <c r="C1410" s="209"/>
      <c r="D1410" s="209"/>
      <c r="E1410" s="209"/>
      <c r="F1410" s="209"/>
      <c r="G1410" s="209"/>
      <c r="H1410" s="209"/>
      <c r="I1410" s="209"/>
      <c r="J1410" s="209"/>
      <c r="K1410" s="209"/>
      <c r="L1410" s="209"/>
      <c r="M1410" s="209"/>
      <c r="N1410" s="209"/>
      <c r="O1410" s="209"/>
      <c r="P1410" s="209"/>
      <c r="Q1410" s="209"/>
      <c r="R1410" s="209"/>
      <c r="S1410" s="209"/>
      <c r="T1410" s="209"/>
      <c r="U1410" s="209"/>
      <c r="V1410" s="209"/>
      <c r="W1410" s="209"/>
      <c r="X1410" s="209"/>
      <c r="Y1410" s="209"/>
      <c r="Z1410" s="209"/>
      <c r="AA1410" s="209"/>
      <c r="AB1410" s="209"/>
      <c r="AC1410" s="209"/>
      <c r="AD1410" s="209"/>
      <c r="AE1410" s="209"/>
      <c r="AF1410" s="209"/>
      <c r="AG1410" s="209"/>
      <c r="AH1410" s="209"/>
      <c r="AI1410" s="209"/>
      <c r="AJ1410" s="209"/>
      <c r="AK1410" s="209"/>
      <c r="AL1410" s="209"/>
      <c r="AM1410" s="209"/>
      <c r="AN1410" s="209"/>
      <c r="AO1410" s="209"/>
      <c r="AP1410" s="209"/>
    </row>
    <row r="1411">
      <c r="A1411" s="209"/>
      <c r="B1411" s="209"/>
      <c r="C1411" s="209"/>
      <c r="D1411" s="209"/>
      <c r="E1411" s="209"/>
      <c r="F1411" s="209"/>
      <c r="G1411" s="209"/>
      <c r="H1411" s="209"/>
      <c r="I1411" s="209"/>
      <c r="J1411" s="209"/>
      <c r="K1411" s="209"/>
      <c r="L1411" s="209"/>
      <c r="M1411" s="209"/>
      <c r="N1411" s="209"/>
      <c r="O1411" s="209"/>
      <c r="P1411" s="209"/>
      <c r="Q1411" s="209"/>
      <c r="R1411" s="209"/>
      <c r="S1411" s="209"/>
      <c r="T1411" s="209"/>
      <c r="U1411" s="209"/>
      <c r="V1411" s="209"/>
      <c r="W1411" s="209"/>
      <c r="X1411" s="209"/>
      <c r="Y1411" s="209"/>
      <c r="Z1411" s="209"/>
      <c r="AA1411" s="209"/>
      <c r="AB1411" s="209"/>
      <c r="AC1411" s="209"/>
      <c r="AD1411" s="209"/>
      <c r="AE1411" s="209"/>
      <c r="AF1411" s="209"/>
      <c r="AG1411" s="209"/>
      <c r="AH1411" s="209"/>
      <c r="AI1411" s="209"/>
      <c r="AJ1411" s="209"/>
      <c r="AK1411" s="209"/>
      <c r="AL1411" s="209"/>
      <c r="AM1411" s="209"/>
      <c r="AN1411" s="209"/>
      <c r="AO1411" s="209"/>
      <c r="AP1411" s="209"/>
    </row>
    <row r="1412">
      <c r="A1412" s="209"/>
      <c r="B1412" s="209"/>
      <c r="C1412" s="209"/>
      <c r="D1412" s="209"/>
      <c r="E1412" s="209"/>
      <c r="F1412" s="209"/>
      <c r="G1412" s="209"/>
      <c r="H1412" s="209"/>
      <c r="I1412" s="209"/>
      <c r="J1412" s="209"/>
      <c r="K1412" s="209"/>
      <c r="L1412" s="209"/>
      <c r="M1412" s="209"/>
      <c r="N1412" s="209"/>
      <c r="O1412" s="209"/>
      <c r="P1412" s="209"/>
      <c r="Q1412" s="209"/>
      <c r="R1412" s="209"/>
      <c r="S1412" s="209"/>
      <c r="T1412" s="209"/>
      <c r="U1412" s="209"/>
      <c r="V1412" s="209"/>
      <c r="W1412" s="209"/>
      <c r="X1412" s="209"/>
      <c r="Y1412" s="209"/>
      <c r="Z1412" s="209"/>
      <c r="AA1412" s="209"/>
      <c r="AB1412" s="209"/>
      <c r="AC1412" s="209"/>
      <c r="AD1412" s="209"/>
      <c r="AE1412" s="209"/>
      <c r="AF1412" s="209"/>
      <c r="AG1412" s="209"/>
      <c r="AH1412" s="209"/>
      <c r="AI1412" s="209"/>
      <c r="AJ1412" s="209"/>
      <c r="AK1412" s="209"/>
      <c r="AL1412" s="209"/>
      <c r="AM1412" s="209"/>
      <c r="AN1412" s="209"/>
      <c r="AO1412" s="209"/>
      <c r="AP1412" s="209"/>
    </row>
    <row r="1413">
      <c r="A1413" s="209"/>
      <c r="B1413" s="209"/>
      <c r="C1413" s="209"/>
      <c r="D1413" s="209"/>
      <c r="E1413" s="209"/>
      <c r="F1413" s="209"/>
      <c r="G1413" s="209"/>
      <c r="H1413" s="209"/>
      <c r="I1413" s="209"/>
      <c r="J1413" s="209"/>
      <c r="K1413" s="209"/>
      <c r="L1413" s="209"/>
      <c r="M1413" s="209"/>
      <c r="N1413" s="209"/>
      <c r="O1413" s="209"/>
      <c r="P1413" s="209"/>
      <c r="Q1413" s="209"/>
      <c r="R1413" s="209"/>
      <c r="S1413" s="209"/>
      <c r="T1413" s="209"/>
      <c r="U1413" s="209"/>
      <c r="V1413" s="209"/>
      <c r="W1413" s="209"/>
      <c r="X1413" s="209"/>
      <c r="Y1413" s="209"/>
      <c r="Z1413" s="209"/>
      <c r="AA1413" s="209"/>
      <c r="AB1413" s="209"/>
      <c r="AC1413" s="209"/>
      <c r="AD1413" s="209"/>
      <c r="AE1413" s="209"/>
      <c r="AF1413" s="209"/>
      <c r="AG1413" s="209"/>
      <c r="AH1413" s="209"/>
      <c r="AI1413" s="209"/>
      <c r="AJ1413" s="209"/>
      <c r="AK1413" s="209"/>
      <c r="AL1413" s="209"/>
      <c r="AM1413" s="209"/>
      <c r="AN1413" s="209"/>
      <c r="AO1413" s="209"/>
      <c r="AP1413" s="209"/>
    </row>
    <row r="1414">
      <c r="A1414" s="209"/>
      <c r="B1414" s="209"/>
      <c r="C1414" s="209"/>
      <c r="D1414" s="209"/>
      <c r="E1414" s="209"/>
      <c r="F1414" s="209"/>
      <c r="G1414" s="209"/>
      <c r="H1414" s="209"/>
      <c r="I1414" s="209"/>
      <c r="J1414" s="209"/>
      <c r="K1414" s="209"/>
      <c r="L1414" s="209"/>
      <c r="M1414" s="209"/>
      <c r="N1414" s="209"/>
      <c r="O1414" s="209"/>
      <c r="P1414" s="209"/>
      <c r="Q1414" s="209"/>
      <c r="R1414" s="209"/>
      <c r="S1414" s="209"/>
      <c r="T1414" s="209"/>
      <c r="U1414" s="209"/>
      <c r="V1414" s="209"/>
      <c r="W1414" s="209"/>
      <c r="X1414" s="209"/>
      <c r="Y1414" s="209"/>
      <c r="Z1414" s="209"/>
      <c r="AA1414" s="209"/>
      <c r="AB1414" s="209"/>
      <c r="AC1414" s="209"/>
      <c r="AD1414" s="209"/>
      <c r="AE1414" s="209"/>
      <c r="AF1414" s="209"/>
      <c r="AG1414" s="209"/>
      <c r="AH1414" s="209"/>
      <c r="AI1414" s="209"/>
      <c r="AJ1414" s="209"/>
      <c r="AK1414" s="209"/>
      <c r="AL1414" s="209"/>
      <c r="AM1414" s="209"/>
      <c r="AN1414" s="209"/>
      <c r="AO1414" s="209"/>
      <c r="AP1414" s="209"/>
    </row>
    <row r="1415">
      <c r="A1415" s="209"/>
      <c r="B1415" s="209"/>
      <c r="C1415" s="209"/>
      <c r="D1415" s="209"/>
      <c r="E1415" s="209"/>
      <c r="F1415" s="209"/>
      <c r="G1415" s="209"/>
      <c r="H1415" s="209"/>
      <c r="I1415" s="209"/>
      <c r="J1415" s="209"/>
      <c r="K1415" s="209"/>
      <c r="L1415" s="209"/>
      <c r="M1415" s="209"/>
      <c r="N1415" s="209"/>
      <c r="O1415" s="209"/>
      <c r="P1415" s="209"/>
      <c r="Q1415" s="209"/>
      <c r="R1415" s="209"/>
      <c r="S1415" s="209"/>
      <c r="T1415" s="209"/>
      <c r="U1415" s="209"/>
      <c r="V1415" s="209"/>
      <c r="W1415" s="209"/>
      <c r="X1415" s="209"/>
      <c r="Y1415" s="209"/>
      <c r="Z1415" s="209"/>
      <c r="AA1415" s="209"/>
      <c r="AB1415" s="209"/>
      <c r="AC1415" s="209"/>
      <c r="AD1415" s="209"/>
      <c r="AE1415" s="209"/>
      <c r="AF1415" s="209"/>
      <c r="AG1415" s="209"/>
      <c r="AH1415" s="209"/>
      <c r="AI1415" s="209"/>
      <c r="AJ1415" s="209"/>
      <c r="AK1415" s="209"/>
      <c r="AL1415" s="209"/>
      <c r="AM1415" s="209"/>
      <c r="AN1415" s="209"/>
      <c r="AO1415" s="209"/>
      <c r="AP1415" s="209"/>
    </row>
    <row r="1416">
      <c r="A1416" s="209"/>
      <c r="B1416" s="209"/>
      <c r="C1416" s="209"/>
      <c r="D1416" s="209"/>
      <c r="E1416" s="209"/>
      <c r="F1416" s="209"/>
      <c r="G1416" s="209"/>
      <c r="H1416" s="209"/>
      <c r="I1416" s="209"/>
      <c r="J1416" s="209"/>
      <c r="K1416" s="209"/>
      <c r="L1416" s="209"/>
      <c r="M1416" s="209"/>
      <c r="N1416" s="209"/>
      <c r="O1416" s="209"/>
      <c r="P1416" s="209"/>
      <c r="Q1416" s="209"/>
      <c r="R1416" s="209"/>
      <c r="S1416" s="209"/>
      <c r="T1416" s="209"/>
      <c r="U1416" s="209"/>
      <c r="V1416" s="209"/>
      <c r="W1416" s="209"/>
      <c r="X1416" s="209"/>
      <c r="Y1416" s="209"/>
      <c r="Z1416" s="209"/>
      <c r="AA1416" s="209"/>
      <c r="AB1416" s="209"/>
      <c r="AC1416" s="209"/>
      <c r="AD1416" s="209"/>
      <c r="AE1416" s="209"/>
      <c r="AF1416" s="209"/>
      <c r="AG1416" s="209"/>
      <c r="AH1416" s="209"/>
      <c r="AI1416" s="209"/>
      <c r="AJ1416" s="209"/>
      <c r="AK1416" s="209"/>
      <c r="AL1416" s="209"/>
      <c r="AM1416" s="209"/>
      <c r="AN1416" s="209"/>
      <c r="AO1416" s="209"/>
      <c r="AP1416" s="209"/>
    </row>
    <row r="1417">
      <c r="A1417" s="209"/>
      <c r="B1417" s="209"/>
      <c r="C1417" s="209"/>
      <c r="D1417" s="209"/>
      <c r="E1417" s="209"/>
      <c r="F1417" s="209"/>
      <c r="G1417" s="209"/>
      <c r="H1417" s="209"/>
      <c r="I1417" s="209"/>
      <c r="J1417" s="209"/>
      <c r="K1417" s="209"/>
      <c r="L1417" s="209"/>
      <c r="M1417" s="209"/>
      <c r="N1417" s="209"/>
      <c r="O1417" s="209"/>
      <c r="P1417" s="209"/>
      <c r="Q1417" s="209"/>
      <c r="R1417" s="209"/>
      <c r="S1417" s="209"/>
      <c r="T1417" s="209"/>
      <c r="U1417" s="209"/>
      <c r="V1417" s="209"/>
      <c r="W1417" s="209"/>
      <c r="X1417" s="209"/>
      <c r="Y1417" s="209"/>
      <c r="Z1417" s="209"/>
      <c r="AA1417" s="209"/>
      <c r="AB1417" s="209"/>
      <c r="AC1417" s="209"/>
      <c r="AD1417" s="209"/>
      <c r="AE1417" s="209"/>
      <c r="AF1417" s="209"/>
      <c r="AG1417" s="209"/>
      <c r="AH1417" s="209"/>
      <c r="AI1417" s="209"/>
      <c r="AJ1417" s="209"/>
      <c r="AK1417" s="209"/>
      <c r="AL1417" s="209"/>
      <c r="AM1417" s="209"/>
      <c r="AN1417" s="209"/>
      <c r="AO1417" s="209"/>
      <c r="AP1417" s="209"/>
    </row>
    <row r="1418">
      <c r="A1418" s="209"/>
      <c r="B1418" s="209"/>
      <c r="C1418" s="209"/>
      <c r="D1418" s="209"/>
      <c r="E1418" s="209"/>
      <c r="F1418" s="209"/>
      <c r="G1418" s="209"/>
      <c r="H1418" s="209"/>
      <c r="I1418" s="209"/>
      <c r="J1418" s="209"/>
      <c r="K1418" s="209"/>
      <c r="L1418" s="209"/>
      <c r="M1418" s="209"/>
      <c r="N1418" s="209"/>
      <c r="O1418" s="209"/>
      <c r="P1418" s="209"/>
      <c r="Q1418" s="209"/>
      <c r="R1418" s="209"/>
      <c r="S1418" s="209"/>
      <c r="T1418" s="209"/>
      <c r="U1418" s="209"/>
      <c r="V1418" s="209"/>
      <c r="W1418" s="209"/>
      <c r="X1418" s="209"/>
      <c r="Y1418" s="209"/>
      <c r="Z1418" s="209"/>
      <c r="AA1418" s="209"/>
      <c r="AB1418" s="209"/>
      <c r="AC1418" s="209"/>
      <c r="AD1418" s="209"/>
      <c r="AE1418" s="209"/>
      <c r="AF1418" s="209"/>
      <c r="AG1418" s="209"/>
      <c r="AH1418" s="209"/>
      <c r="AI1418" s="209"/>
      <c r="AJ1418" s="209"/>
      <c r="AK1418" s="209"/>
      <c r="AL1418" s="209"/>
      <c r="AM1418" s="209"/>
      <c r="AN1418" s="209"/>
      <c r="AO1418" s="209"/>
      <c r="AP1418" s="209"/>
    </row>
    <row r="1419">
      <c r="A1419" s="209"/>
      <c r="B1419" s="209"/>
      <c r="C1419" s="209"/>
      <c r="D1419" s="209"/>
      <c r="E1419" s="209"/>
      <c r="F1419" s="209"/>
      <c r="G1419" s="209"/>
      <c r="H1419" s="209"/>
      <c r="I1419" s="209"/>
      <c r="J1419" s="209"/>
      <c r="K1419" s="209"/>
      <c r="L1419" s="209"/>
      <c r="M1419" s="209"/>
      <c r="N1419" s="209"/>
      <c r="O1419" s="209"/>
      <c r="P1419" s="209"/>
      <c r="Q1419" s="209"/>
      <c r="R1419" s="209"/>
      <c r="S1419" s="209"/>
      <c r="T1419" s="209"/>
      <c r="U1419" s="209"/>
      <c r="V1419" s="209"/>
      <c r="W1419" s="209"/>
      <c r="X1419" s="209"/>
      <c r="Y1419" s="209"/>
      <c r="Z1419" s="209"/>
      <c r="AA1419" s="209"/>
      <c r="AB1419" s="209"/>
      <c r="AC1419" s="209"/>
      <c r="AD1419" s="209"/>
      <c r="AE1419" s="209"/>
      <c r="AF1419" s="209"/>
      <c r="AG1419" s="209"/>
      <c r="AH1419" s="209"/>
      <c r="AI1419" s="209"/>
      <c r="AJ1419" s="209"/>
      <c r="AK1419" s="209"/>
      <c r="AL1419" s="209"/>
      <c r="AM1419" s="209"/>
      <c r="AN1419" s="209"/>
      <c r="AO1419" s="209"/>
      <c r="AP1419" s="209"/>
    </row>
    <row r="1420">
      <c r="A1420" s="209"/>
      <c r="B1420" s="209"/>
      <c r="C1420" s="209"/>
      <c r="D1420" s="209"/>
      <c r="E1420" s="209"/>
      <c r="F1420" s="209"/>
      <c r="G1420" s="209"/>
      <c r="H1420" s="209"/>
      <c r="I1420" s="209"/>
      <c r="J1420" s="209"/>
      <c r="K1420" s="209"/>
      <c r="L1420" s="209"/>
      <c r="M1420" s="209"/>
      <c r="N1420" s="209"/>
      <c r="O1420" s="209"/>
      <c r="P1420" s="209"/>
      <c r="Q1420" s="209"/>
      <c r="R1420" s="209"/>
      <c r="S1420" s="209"/>
      <c r="T1420" s="209"/>
      <c r="U1420" s="209"/>
      <c r="V1420" s="209"/>
      <c r="W1420" s="209"/>
      <c r="X1420" s="209"/>
      <c r="Y1420" s="209"/>
      <c r="Z1420" s="209"/>
      <c r="AA1420" s="209"/>
      <c r="AB1420" s="209"/>
      <c r="AC1420" s="209"/>
      <c r="AD1420" s="209"/>
      <c r="AE1420" s="209"/>
      <c r="AF1420" s="209"/>
      <c r="AG1420" s="209"/>
      <c r="AH1420" s="209"/>
      <c r="AI1420" s="209"/>
      <c r="AJ1420" s="209"/>
      <c r="AK1420" s="209"/>
      <c r="AL1420" s="209"/>
      <c r="AM1420" s="209"/>
      <c r="AN1420" s="209"/>
      <c r="AO1420" s="209"/>
      <c r="AP1420" s="209"/>
    </row>
    <row r="1421">
      <c r="A1421" s="209"/>
      <c r="B1421" s="209"/>
      <c r="C1421" s="209"/>
      <c r="D1421" s="209"/>
      <c r="E1421" s="209"/>
      <c r="F1421" s="209"/>
      <c r="G1421" s="209"/>
      <c r="H1421" s="209"/>
      <c r="I1421" s="209"/>
      <c r="J1421" s="209"/>
      <c r="K1421" s="209"/>
      <c r="L1421" s="209"/>
      <c r="M1421" s="209"/>
      <c r="N1421" s="209"/>
      <c r="O1421" s="209"/>
      <c r="P1421" s="209"/>
      <c r="Q1421" s="209"/>
      <c r="R1421" s="209"/>
      <c r="S1421" s="209"/>
      <c r="T1421" s="209"/>
      <c r="U1421" s="209"/>
      <c r="V1421" s="209"/>
      <c r="W1421" s="209"/>
      <c r="X1421" s="209"/>
      <c r="Y1421" s="209"/>
      <c r="Z1421" s="209"/>
      <c r="AA1421" s="209"/>
      <c r="AB1421" s="209"/>
      <c r="AC1421" s="209"/>
      <c r="AD1421" s="209"/>
      <c r="AE1421" s="209"/>
      <c r="AF1421" s="209"/>
      <c r="AG1421" s="209"/>
      <c r="AH1421" s="209"/>
      <c r="AI1421" s="209"/>
      <c r="AJ1421" s="209"/>
      <c r="AK1421" s="209"/>
      <c r="AL1421" s="209"/>
      <c r="AM1421" s="209"/>
      <c r="AN1421" s="209"/>
      <c r="AO1421" s="209"/>
      <c r="AP1421" s="209"/>
    </row>
    <row r="1422">
      <c r="A1422" s="209"/>
      <c r="B1422" s="209"/>
      <c r="C1422" s="209"/>
      <c r="D1422" s="209"/>
      <c r="E1422" s="209"/>
      <c r="F1422" s="209"/>
      <c r="G1422" s="209"/>
      <c r="H1422" s="209"/>
      <c r="I1422" s="209"/>
      <c r="J1422" s="209"/>
      <c r="K1422" s="209"/>
      <c r="L1422" s="209"/>
      <c r="M1422" s="209"/>
      <c r="N1422" s="209"/>
      <c r="O1422" s="209"/>
      <c r="P1422" s="209"/>
      <c r="Q1422" s="209"/>
      <c r="R1422" s="209"/>
      <c r="S1422" s="209"/>
      <c r="T1422" s="209"/>
      <c r="U1422" s="209"/>
      <c r="V1422" s="209"/>
      <c r="W1422" s="209"/>
      <c r="X1422" s="209"/>
      <c r="Y1422" s="209"/>
      <c r="Z1422" s="209"/>
      <c r="AA1422" s="209"/>
      <c r="AB1422" s="209"/>
      <c r="AC1422" s="209"/>
      <c r="AD1422" s="209"/>
      <c r="AE1422" s="209"/>
      <c r="AF1422" s="209"/>
      <c r="AG1422" s="209"/>
      <c r="AH1422" s="209"/>
      <c r="AI1422" s="209"/>
      <c r="AJ1422" s="209"/>
      <c r="AK1422" s="209"/>
      <c r="AL1422" s="209"/>
      <c r="AM1422" s="209"/>
      <c r="AN1422" s="209"/>
      <c r="AO1422" s="209"/>
      <c r="AP1422" s="209"/>
    </row>
    <row r="1423">
      <c r="A1423" s="209"/>
      <c r="B1423" s="209"/>
      <c r="C1423" s="209"/>
      <c r="D1423" s="209"/>
      <c r="E1423" s="209"/>
      <c r="F1423" s="209"/>
      <c r="G1423" s="209"/>
      <c r="H1423" s="209"/>
      <c r="I1423" s="209"/>
      <c r="J1423" s="209"/>
      <c r="K1423" s="209"/>
      <c r="L1423" s="209"/>
      <c r="M1423" s="209"/>
      <c r="N1423" s="209"/>
      <c r="O1423" s="209"/>
      <c r="P1423" s="209"/>
      <c r="Q1423" s="209"/>
      <c r="R1423" s="209"/>
      <c r="S1423" s="209"/>
      <c r="T1423" s="209"/>
      <c r="U1423" s="209"/>
      <c r="V1423" s="209"/>
      <c r="W1423" s="209"/>
      <c r="X1423" s="209"/>
      <c r="Y1423" s="209"/>
      <c r="Z1423" s="209"/>
      <c r="AA1423" s="209"/>
      <c r="AB1423" s="209"/>
      <c r="AC1423" s="209"/>
      <c r="AD1423" s="209"/>
      <c r="AE1423" s="209"/>
      <c r="AF1423" s="209"/>
      <c r="AG1423" s="209"/>
      <c r="AH1423" s="209"/>
      <c r="AI1423" s="209"/>
      <c r="AJ1423" s="209"/>
      <c r="AK1423" s="209"/>
      <c r="AL1423" s="209"/>
      <c r="AM1423" s="209"/>
      <c r="AN1423" s="209"/>
      <c r="AO1423" s="209"/>
      <c r="AP1423" s="209"/>
    </row>
    <row r="1424">
      <c r="A1424" s="209"/>
      <c r="B1424" s="209"/>
      <c r="C1424" s="209"/>
      <c r="D1424" s="209"/>
      <c r="E1424" s="209"/>
      <c r="F1424" s="209"/>
      <c r="G1424" s="209"/>
      <c r="H1424" s="209"/>
      <c r="I1424" s="209"/>
      <c r="J1424" s="209"/>
      <c r="K1424" s="209"/>
      <c r="L1424" s="209"/>
      <c r="M1424" s="209"/>
      <c r="N1424" s="209"/>
      <c r="O1424" s="209"/>
      <c r="P1424" s="209"/>
      <c r="Q1424" s="209"/>
      <c r="R1424" s="209"/>
      <c r="S1424" s="209"/>
      <c r="T1424" s="209"/>
      <c r="U1424" s="209"/>
      <c r="V1424" s="209"/>
      <c r="W1424" s="209"/>
      <c r="X1424" s="209"/>
      <c r="Y1424" s="209"/>
      <c r="Z1424" s="209"/>
      <c r="AA1424" s="209"/>
      <c r="AB1424" s="209"/>
      <c r="AC1424" s="209"/>
      <c r="AD1424" s="209"/>
      <c r="AE1424" s="209"/>
      <c r="AF1424" s="209"/>
      <c r="AG1424" s="209"/>
      <c r="AH1424" s="209"/>
      <c r="AI1424" s="209"/>
      <c r="AJ1424" s="209"/>
      <c r="AK1424" s="209"/>
      <c r="AL1424" s="209"/>
      <c r="AM1424" s="209"/>
      <c r="AN1424" s="209"/>
      <c r="AO1424" s="209"/>
      <c r="AP1424" s="209"/>
    </row>
    <row r="1425">
      <c r="A1425" s="209"/>
      <c r="B1425" s="209"/>
      <c r="C1425" s="209"/>
      <c r="D1425" s="209"/>
      <c r="E1425" s="209"/>
      <c r="F1425" s="209"/>
      <c r="G1425" s="209"/>
      <c r="H1425" s="209"/>
      <c r="I1425" s="209"/>
      <c r="J1425" s="209"/>
      <c r="K1425" s="209"/>
      <c r="L1425" s="209"/>
      <c r="M1425" s="209"/>
      <c r="N1425" s="209"/>
      <c r="O1425" s="209"/>
      <c r="P1425" s="209"/>
      <c r="Q1425" s="209"/>
      <c r="R1425" s="209"/>
      <c r="S1425" s="209"/>
      <c r="T1425" s="209"/>
      <c r="U1425" s="209"/>
      <c r="V1425" s="209"/>
      <c r="W1425" s="209"/>
      <c r="X1425" s="209"/>
      <c r="Y1425" s="209"/>
      <c r="Z1425" s="209"/>
      <c r="AA1425" s="209"/>
      <c r="AB1425" s="209"/>
      <c r="AC1425" s="209"/>
      <c r="AD1425" s="209"/>
      <c r="AE1425" s="209"/>
      <c r="AF1425" s="209"/>
      <c r="AG1425" s="209"/>
      <c r="AH1425" s="209"/>
      <c r="AI1425" s="209"/>
      <c r="AJ1425" s="209"/>
      <c r="AK1425" s="209"/>
      <c r="AL1425" s="209"/>
      <c r="AM1425" s="209"/>
      <c r="AN1425" s="209"/>
      <c r="AO1425" s="209"/>
      <c r="AP1425" s="209"/>
    </row>
    <row r="1426">
      <c r="A1426" s="209"/>
      <c r="B1426" s="209"/>
      <c r="C1426" s="209"/>
      <c r="D1426" s="209"/>
      <c r="E1426" s="209"/>
      <c r="F1426" s="209"/>
      <c r="G1426" s="209"/>
      <c r="H1426" s="209"/>
      <c r="I1426" s="209"/>
      <c r="J1426" s="209"/>
      <c r="K1426" s="209"/>
      <c r="L1426" s="209"/>
      <c r="M1426" s="209"/>
      <c r="N1426" s="209"/>
      <c r="O1426" s="209"/>
      <c r="P1426" s="209"/>
      <c r="Q1426" s="209"/>
      <c r="R1426" s="209"/>
      <c r="S1426" s="209"/>
      <c r="T1426" s="209"/>
      <c r="U1426" s="209"/>
      <c r="V1426" s="209"/>
      <c r="W1426" s="209"/>
      <c r="X1426" s="209"/>
      <c r="Y1426" s="209"/>
      <c r="Z1426" s="209"/>
      <c r="AA1426" s="209"/>
      <c r="AB1426" s="209"/>
      <c r="AC1426" s="209"/>
      <c r="AD1426" s="209"/>
      <c r="AE1426" s="209"/>
      <c r="AF1426" s="209"/>
      <c r="AG1426" s="209"/>
      <c r="AH1426" s="209"/>
      <c r="AI1426" s="209"/>
      <c r="AJ1426" s="209"/>
      <c r="AK1426" s="209"/>
      <c r="AL1426" s="209"/>
      <c r="AM1426" s="209"/>
      <c r="AN1426" s="209"/>
      <c r="AO1426" s="209"/>
      <c r="AP1426" s="209"/>
    </row>
    <row r="1427">
      <c r="A1427" s="209"/>
      <c r="B1427" s="209"/>
      <c r="C1427" s="209"/>
      <c r="D1427" s="209"/>
      <c r="E1427" s="209"/>
      <c r="F1427" s="209"/>
      <c r="G1427" s="209"/>
      <c r="H1427" s="209"/>
      <c r="I1427" s="209"/>
      <c r="J1427" s="209"/>
      <c r="K1427" s="209"/>
      <c r="L1427" s="209"/>
      <c r="M1427" s="209"/>
      <c r="N1427" s="209"/>
      <c r="O1427" s="209"/>
      <c r="P1427" s="209"/>
      <c r="Q1427" s="209"/>
      <c r="R1427" s="209"/>
      <c r="S1427" s="209"/>
      <c r="T1427" s="209"/>
      <c r="U1427" s="209"/>
      <c r="V1427" s="209"/>
      <c r="W1427" s="209"/>
      <c r="X1427" s="209"/>
      <c r="Y1427" s="209"/>
      <c r="Z1427" s="209"/>
      <c r="AA1427" s="209"/>
      <c r="AB1427" s="209"/>
      <c r="AC1427" s="209"/>
      <c r="AD1427" s="209"/>
      <c r="AE1427" s="209"/>
      <c r="AF1427" s="209"/>
      <c r="AG1427" s="209"/>
      <c r="AH1427" s="209"/>
      <c r="AI1427" s="209"/>
      <c r="AJ1427" s="209"/>
      <c r="AK1427" s="209"/>
      <c r="AL1427" s="209"/>
      <c r="AM1427" s="209"/>
      <c r="AN1427" s="209"/>
      <c r="AO1427" s="209"/>
      <c r="AP1427" s="209"/>
    </row>
    <row r="1428">
      <c r="A1428" s="209"/>
      <c r="B1428" s="209"/>
      <c r="C1428" s="209"/>
      <c r="D1428" s="209"/>
      <c r="E1428" s="209"/>
      <c r="F1428" s="209"/>
      <c r="G1428" s="209"/>
      <c r="H1428" s="209"/>
      <c r="I1428" s="209"/>
      <c r="J1428" s="209"/>
      <c r="K1428" s="209"/>
      <c r="L1428" s="209"/>
      <c r="M1428" s="209"/>
      <c r="N1428" s="209"/>
      <c r="O1428" s="209"/>
      <c r="P1428" s="209"/>
      <c r="Q1428" s="209"/>
      <c r="R1428" s="209"/>
      <c r="S1428" s="209"/>
      <c r="T1428" s="209"/>
      <c r="U1428" s="209"/>
      <c r="V1428" s="209"/>
      <c r="W1428" s="209"/>
      <c r="X1428" s="209"/>
      <c r="Y1428" s="209"/>
      <c r="Z1428" s="209"/>
      <c r="AA1428" s="209"/>
      <c r="AB1428" s="209"/>
      <c r="AC1428" s="209"/>
      <c r="AD1428" s="209"/>
      <c r="AE1428" s="209"/>
      <c r="AF1428" s="209"/>
      <c r="AG1428" s="209"/>
      <c r="AH1428" s="209"/>
      <c r="AI1428" s="209"/>
      <c r="AJ1428" s="209"/>
      <c r="AK1428" s="209"/>
      <c r="AL1428" s="209"/>
      <c r="AM1428" s="209"/>
      <c r="AN1428" s="209"/>
      <c r="AO1428" s="209"/>
      <c r="AP1428" s="209"/>
    </row>
    <row r="1429">
      <c r="A1429" s="209"/>
      <c r="B1429" s="209"/>
      <c r="C1429" s="209"/>
      <c r="D1429" s="209"/>
      <c r="E1429" s="209"/>
      <c r="F1429" s="209"/>
      <c r="G1429" s="209"/>
      <c r="H1429" s="209"/>
      <c r="I1429" s="209"/>
      <c r="J1429" s="209"/>
      <c r="K1429" s="209"/>
      <c r="L1429" s="209"/>
      <c r="M1429" s="209"/>
      <c r="N1429" s="209"/>
      <c r="O1429" s="209"/>
      <c r="P1429" s="209"/>
      <c r="Q1429" s="209"/>
      <c r="R1429" s="209"/>
      <c r="S1429" s="209"/>
      <c r="T1429" s="209"/>
      <c r="U1429" s="209"/>
      <c r="V1429" s="209"/>
      <c r="W1429" s="209"/>
      <c r="X1429" s="209"/>
      <c r="Y1429" s="209"/>
      <c r="Z1429" s="209"/>
      <c r="AA1429" s="209"/>
      <c r="AB1429" s="209"/>
      <c r="AC1429" s="209"/>
      <c r="AD1429" s="209"/>
      <c r="AE1429" s="209"/>
      <c r="AF1429" s="209"/>
      <c r="AG1429" s="209"/>
      <c r="AH1429" s="209"/>
      <c r="AI1429" s="209"/>
      <c r="AJ1429" s="209"/>
      <c r="AK1429" s="209"/>
      <c r="AL1429" s="209"/>
      <c r="AM1429" s="209"/>
      <c r="AN1429" s="209"/>
      <c r="AO1429" s="209"/>
      <c r="AP1429" s="209"/>
    </row>
    <row r="1430">
      <c r="A1430" s="209"/>
      <c r="B1430" s="209"/>
      <c r="C1430" s="209"/>
      <c r="D1430" s="209"/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209"/>
      <c r="P1430" s="209"/>
      <c r="Q1430" s="209"/>
      <c r="R1430" s="209"/>
      <c r="S1430" s="209"/>
      <c r="T1430" s="209"/>
      <c r="U1430" s="209"/>
      <c r="V1430" s="209"/>
      <c r="W1430" s="209"/>
      <c r="X1430" s="209"/>
      <c r="Y1430" s="209"/>
      <c r="Z1430" s="209"/>
      <c r="AA1430" s="209"/>
      <c r="AB1430" s="209"/>
      <c r="AC1430" s="209"/>
      <c r="AD1430" s="209"/>
      <c r="AE1430" s="209"/>
      <c r="AF1430" s="209"/>
      <c r="AG1430" s="209"/>
      <c r="AH1430" s="209"/>
      <c r="AI1430" s="209"/>
      <c r="AJ1430" s="209"/>
      <c r="AK1430" s="209"/>
      <c r="AL1430" s="209"/>
      <c r="AM1430" s="209"/>
      <c r="AN1430" s="209"/>
      <c r="AO1430" s="209"/>
      <c r="AP1430" s="209"/>
    </row>
    <row r="1431">
      <c r="A1431" s="209"/>
      <c r="B1431" s="209"/>
      <c r="C1431" s="209"/>
      <c r="D1431" s="209"/>
      <c r="E1431" s="209"/>
      <c r="F1431" s="209"/>
      <c r="G1431" s="209"/>
      <c r="H1431" s="209"/>
      <c r="I1431" s="209"/>
      <c r="J1431" s="209"/>
      <c r="K1431" s="209"/>
      <c r="L1431" s="209"/>
      <c r="M1431" s="209"/>
      <c r="N1431" s="209"/>
      <c r="O1431" s="209"/>
      <c r="P1431" s="209"/>
      <c r="Q1431" s="209"/>
      <c r="R1431" s="209"/>
      <c r="S1431" s="209"/>
      <c r="T1431" s="209"/>
      <c r="U1431" s="209"/>
      <c r="V1431" s="209"/>
      <c r="W1431" s="209"/>
      <c r="X1431" s="209"/>
      <c r="Y1431" s="209"/>
      <c r="Z1431" s="209"/>
      <c r="AA1431" s="209"/>
      <c r="AB1431" s="209"/>
      <c r="AC1431" s="209"/>
      <c r="AD1431" s="209"/>
      <c r="AE1431" s="209"/>
      <c r="AF1431" s="209"/>
      <c r="AG1431" s="209"/>
      <c r="AH1431" s="209"/>
      <c r="AI1431" s="209"/>
      <c r="AJ1431" s="209"/>
      <c r="AK1431" s="209"/>
      <c r="AL1431" s="209"/>
      <c r="AM1431" s="209"/>
      <c r="AN1431" s="209"/>
      <c r="AO1431" s="209"/>
      <c r="AP1431" s="209"/>
    </row>
    <row r="1432">
      <c r="A1432" s="209"/>
      <c r="B1432" s="209"/>
      <c r="C1432" s="209"/>
      <c r="D1432" s="209"/>
      <c r="E1432" s="209"/>
      <c r="F1432" s="209"/>
      <c r="G1432" s="209"/>
      <c r="H1432" s="209"/>
      <c r="I1432" s="209"/>
      <c r="J1432" s="209"/>
      <c r="K1432" s="209"/>
      <c r="L1432" s="209"/>
      <c r="M1432" s="209"/>
      <c r="N1432" s="209"/>
      <c r="O1432" s="209"/>
      <c r="P1432" s="209"/>
      <c r="Q1432" s="209"/>
      <c r="R1432" s="209"/>
      <c r="S1432" s="209"/>
      <c r="T1432" s="209"/>
      <c r="U1432" s="209"/>
      <c r="V1432" s="209"/>
      <c r="W1432" s="209"/>
      <c r="X1432" s="209"/>
      <c r="Y1432" s="209"/>
      <c r="Z1432" s="209"/>
      <c r="AA1432" s="209"/>
      <c r="AB1432" s="209"/>
      <c r="AC1432" s="209"/>
      <c r="AD1432" s="209"/>
      <c r="AE1432" s="209"/>
      <c r="AF1432" s="209"/>
      <c r="AG1432" s="209"/>
      <c r="AH1432" s="209"/>
      <c r="AI1432" s="209"/>
      <c r="AJ1432" s="209"/>
      <c r="AK1432" s="209"/>
      <c r="AL1432" s="209"/>
      <c r="AM1432" s="209"/>
      <c r="AN1432" s="209"/>
      <c r="AO1432" s="209"/>
      <c r="AP1432" s="209"/>
    </row>
    <row r="1433">
      <c r="A1433" s="209"/>
      <c r="B1433" s="209"/>
      <c r="C1433" s="209"/>
      <c r="D1433" s="209"/>
      <c r="E1433" s="209"/>
      <c r="F1433" s="209"/>
      <c r="G1433" s="209"/>
      <c r="H1433" s="209"/>
      <c r="I1433" s="209"/>
      <c r="J1433" s="209"/>
      <c r="K1433" s="209"/>
      <c r="L1433" s="209"/>
      <c r="M1433" s="209"/>
      <c r="N1433" s="209"/>
      <c r="O1433" s="209"/>
      <c r="P1433" s="209"/>
      <c r="Q1433" s="209"/>
      <c r="R1433" s="209"/>
      <c r="S1433" s="209"/>
      <c r="T1433" s="209"/>
      <c r="U1433" s="209"/>
      <c r="V1433" s="209"/>
      <c r="W1433" s="209"/>
      <c r="X1433" s="209"/>
      <c r="Y1433" s="209"/>
      <c r="Z1433" s="209"/>
      <c r="AA1433" s="209"/>
      <c r="AB1433" s="209"/>
      <c r="AC1433" s="209"/>
      <c r="AD1433" s="209"/>
      <c r="AE1433" s="209"/>
      <c r="AF1433" s="209"/>
      <c r="AG1433" s="209"/>
      <c r="AH1433" s="209"/>
      <c r="AI1433" s="209"/>
      <c r="AJ1433" s="209"/>
      <c r="AK1433" s="209"/>
      <c r="AL1433" s="209"/>
      <c r="AM1433" s="209"/>
      <c r="AN1433" s="209"/>
      <c r="AO1433" s="209"/>
      <c r="AP1433" s="209"/>
    </row>
    <row r="1434">
      <c r="A1434" s="209"/>
      <c r="B1434" s="209"/>
      <c r="C1434" s="209"/>
      <c r="D1434" s="209"/>
      <c r="E1434" s="209"/>
      <c r="F1434" s="209"/>
      <c r="G1434" s="209"/>
      <c r="H1434" s="209"/>
      <c r="I1434" s="209"/>
      <c r="J1434" s="209"/>
      <c r="K1434" s="209"/>
      <c r="L1434" s="209"/>
      <c r="M1434" s="209"/>
      <c r="N1434" s="209"/>
      <c r="O1434" s="209"/>
      <c r="P1434" s="209"/>
      <c r="Q1434" s="209"/>
      <c r="R1434" s="209"/>
      <c r="S1434" s="209"/>
      <c r="T1434" s="209"/>
      <c r="U1434" s="209"/>
      <c r="V1434" s="209"/>
      <c r="W1434" s="209"/>
      <c r="X1434" s="209"/>
      <c r="Y1434" s="209"/>
      <c r="Z1434" s="209"/>
      <c r="AA1434" s="209"/>
      <c r="AB1434" s="209"/>
      <c r="AC1434" s="209"/>
      <c r="AD1434" s="209"/>
      <c r="AE1434" s="209"/>
      <c r="AF1434" s="209"/>
      <c r="AG1434" s="209"/>
      <c r="AH1434" s="209"/>
      <c r="AI1434" s="209"/>
      <c r="AJ1434" s="209"/>
      <c r="AK1434" s="209"/>
      <c r="AL1434" s="209"/>
      <c r="AM1434" s="209"/>
      <c r="AN1434" s="209"/>
      <c r="AO1434" s="209"/>
      <c r="AP1434" s="209"/>
    </row>
    <row r="1435">
      <c r="A1435" s="209"/>
      <c r="B1435" s="209"/>
      <c r="C1435" s="209"/>
      <c r="D1435" s="209"/>
      <c r="E1435" s="209"/>
      <c r="F1435" s="209"/>
      <c r="G1435" s="209"/>
      <c r="H1435" s="209"/>
      <c r="I1435" s="209"/>
      <c r="J1435" s="209"/>
      <c r="K1435" s="209"/>
      <c r="L1435" s="209"/>
      <c r="M1435" s="209"/>
      <c r="N1435" s="209"/>
      <c r="O1435" s="209"/>
      <c r="P1435" s="209"/>
      <c r="Q1435" s="209"/>
      <c r="R1435" s="209"/>
      <c r="S1435" s="209"/>
      <c r="T1435" s="209"/>
      <c r="U1435" s="209"/>
      <c r="V1435" s="209"/>
      <c r="W1435" s="209"/>
      <c r="X1435" s="209"/>
      <c r="Y1435" s="209"/>
      <c r="Z1435" s="209"/>
      <c r="AA1435" s="209"/>
      <c r="AB1435" s="209"/>
      <c r="AC1435" s="209"/>
      <c r="AD1435" s="209"/>
      <c r="AE1435" s="209"/>
      <c r="AF1435" s="209"/>
      <c r="AG1435" s="209"/>
      <c r="AH1435" s="209"/>
      <c r="AI1435" s="209"/>
      <c r="AJ1435" s="209"/>
      <c r="AK1435" s="209"/>
      <c r="AL1435" s="209"/>
      <c r="AM1435" s="209"/>
      <c r="AN1435" s="209"/>
      <c r="AO1435" s="209"/>
      <c r="AP1435" s="209"/>
    </row>
    <row r="1436">
      <c r="A1436" s="209"/>
      <c r="B1436" s="209"/>
      <c r="C1436" s="209"/>
      <c r="D1436" s="209"/>
      <c r="E1436" s="209"/>
      <c r="F1436" s="209"/>
      <c r="G1436" s="209"/>
      <c r="H1436" s="209"/>
      <c r="I1436" s="209"/>
      <c r="J1436" s="209"/>
      <c r="K1436" s="209"/>
      <c r="L1436" s="209"/>
      <c r="M1436" s="209"/>
      <c r="N1436" s="209"/>
      <c r="O1436" s="209"/>
      <c r="P1436" s="209"/>
      <c r="Q1436" s="209"/>
      <c r="R1436" s="209"/>
      <c r="S1436" s="209"/>
      <c r="T1436" s="209"/>
      <c r="U1436" s="209"/>
      <c r="V1436" s="209"/>
      <c r="W1436" s="209"/>
      <c r="X1436" s="209"/>
      <c r="Y1436" s="209"/>
      <c r="Z1436" s="209"/>
      <c r="AA1436" s="209"/>
      <c r="AB1436" s="209"/>
      <c r="AC1436" s="209"/>
      <c r="AD1436" s="209"/>
      <c r="AE1436" s="209"/>
      <c r="AF1436" s="209"/>
      <c r="AG1436" s="209"/>
      <c r="AH1436" s="209"/>
      <c r="AI1436" s="209"/>
      <c r="AJ1436" s="209"/>
      <c r="AK1436" s="209"/>
      <c r="AL1436" s="209"/>
      <c r="AM1436" s="209"/>
      <c r="AN1436" s="209"/>
      <c r="AO1436" s="209"/>
      <c r="AP1436" s="209"/>
    </row>
    <row r="1437">
      <c r="A1437" s="209"/>
      <c r="B1437" s="209"/>
      <c r="C1437" s="209"/>
      <c r="D1437" s="209"/>
      <c r="E1437" s="209"/>
      <c r="F1437" s="209"/>
      <c r="G1437" s="209"/>
      <c r="H1437" s="209"/>
      <c r="I1437" s="209"/>
      <c r="J1437" s="209"/>
      <c r="K1437" s="209"/>
      <c r="L1437" s="209"/>
      <c r="M1437" s="209"/>
      <c r="N1437" s="209"/>
      <c r="O1437" s="209"/>
      <c r="P1437" s="209"/>
      <c r="Q1437" s="209"/>
      <c r="R1437" s="209"/>
      <c r="S1437" s="209"/>
      <c r="T1437" s="209"/>
      <c r="U1437" s="209"/>
      <c r="V1437" s="209"/>
      <c r="W1437" s="209"/>
      <c r="X1437" s="209"/>
      <c r="Y1437" s="209"/>
      <c r="Z1437" s="209"/>
      <c r="AA1437" s="209"/>
      <c r="AB1437" s="209"/>
      <c r="AC1437" s="209"/>
      <c r="AD1437" s="209"/>
      <c r="AE1437" s="209"/>
      <c r="AF1437" s="209"/>
      <c r="AG1437" s="209"/>
      <c r="AH1437" s="209"/>
      <c r="AI1437" s="209"/>
      <c r="AJ1437" s="209"/>
      <c r="AK1437" s="209"/>
      <c r="AL1437" s="209"/>
      <c r="AM1437" s="209"/>
      <c r="AN1437" s="209"/>
      <c r="AO1437" s="209"/>
      <c r="AP1437" s="209"/>
    </row>
    <row r="1438">
      <c r="A1438" s="209"/>
      <c r="B1438" s="209"/>
      <c r="C1438" s="209"/>
      <c r="D1438" s="209"/>
      <c r="E1438" s="209"/>
      <c r="F1438" s="209"/>
      <c r="G1438" s="209"/>
      <c r="H1438" s="209"/>
      <c r="I1438" s="209"/>
      <c r="J1438" s="209"/>
      <c r="K1438" s="209"/>
      <c r="L1438" s="209"/>
      <c r="M1438" s="209"/>
      <c r="N1438" s="209"/>
      <c r="O1438" s="209"/>
      <c r="P1438" s="209"/>
      <c r="Q1438" s="209"/>
      <c r="R1438" s="209"/>
      <c r="S1438" s="209"/>
      <c r="T1438" s="209"/>
      <c r="U1438" s="209"/>
      <c r="V1438" s="209"/>
      <c r="W1438" s="209"/>
      <c r="X1438" s="209"/>
      <c r="Y1438" s="209"/>
      <c r="Z1438" s="209"/>
      <c r="AA1438" s="209"/>
      <c r="AB1438" s="209"/>
      <c r="AC1438" s="209"/>
      <c r="AD1438" s="209"/>
      <c r="AE1438" s="209"/>
      <c r="AF1438" s="209"/>
      <c r="AG1438" s="209"/>
      <c r="AH1438" s="209"/>
      <c r="AI1438" s="209"/>
      <c r="AJ1438" s="209"/>
      <c r="AK1438" s="209"/>
      <c r="AL1438" s="209"/>
      <c r="AM1438" s="209"/>
      <c r="AN1438" s="209"/>
      <c r="AO1438" s="209"/>
      <c r="AP1438" s="209"/>
    </row>
    <row r="1439">
      <c r="A1439" s="209"/>
      <c r="B1439" s="209"/>
      <c r="C1439" s="209"/>
      <c r="D1439" s="209"/>
      <c r="E1439" s="209"/>
      <c r="F1439" s="209"/>
      <c r="G1439" s="209"/>
      <c r="H1439" s="209"/>
      <c r="I1439" s="209"/>
      <c r="J1439" s="209"/>
      <c r="K1439" s="209"/>
      <c r="L1439" s="209"/>
      <c r="M1439" s="209"/>
      <c r="N1439" s="209"/>
      <c r="O1439" s="209"/>
      <c r="P1439" s="209"/>
      <c r="Q1439" s="209"/>
      <c r="R1439" s="209"/>
      <c r="S1439" s="209"/>
      <c r="T1439" s="209"/>
      <c r="U1439" s="209"/>
      <c r="V1439" s="209"/>
      <c r="W1439" s="209"/>
      <c r="X1439" s="209"/>
      <c r="Y1439" s="209"/>
      <c r="Z1439" s="209"/>
      <c r="AA1439" s="209"/>
      <c r="AB1439" s="209"/>
      <c r="AC1439" s="209"/>
      <c r="AD1439" s="209"/>
      <c r="AE1439" s="209"/>
      <c r="AF1439" s="209"/>
      <c r="AG1439" s="209"/>
      <c r="AH1439" s="209"/>
      <c r="AI1439" s="209"/>
      <c r="AJ1439" s="209"/>
      <c r="AK1439" s="209"/>
      <c r="AL1439" s="209"/>
      <c r="AM1439" s="209"/>
      <c r="AN1439" s="209"/>
      <c r="AO1439" s="209"/>
      <c r="AP1439" s="209"/>
    </row>
    <row r="1440">
      <c r="A1440" s="209"/>
      <c r="B1440" s="209"/>
      <c r="C1440" s="209"/>
      <c r="D1440" s="209"/>
      <c r="E1440" s="209"/>
      <c r="F1440" s="209"/>
      <c r="G1440" s="209"/>
      <c r="H1440" s="209"/>
      <c r="I1440" s="209"/>
      <c r="J1440" s="209"/>
      <c r="K1440" s="209"/>
      <c r="L1440" s="209"/>
      <c r="M1440" s="209"/>
      <c r="N1440" s="209"/>
      <c r="O1440" s="209"/>
      <c r="P1440" s="209"/>
      <c r="Q1440" s="209"/>
      <c r="R1440" s="209"/>
      <c r="S1440" s="209"/>
      <c r="T1440" s="209"/>
      <c r="U1440" s="209"/>
      <c r="V1440" s="209"/>
      <c r="W1440" s="209"/>
      <c r="X1440" s="209"/>
      <c r="Y1440" s="209"/>
      <c r="Z1440" s="209"/>
      <c r="AA1440" s="209"/>
      <c r="AB1440" s="209"/>
      <c r="AC1440" s="209"/>
      <c r="AD1440" s="209"/>
      <c r="AE1440" s="209"/>
      <c r="AF1440" s="209"/>
      <c r="AG1440" s="209"/>
      <c r="AH1440" s="209"/>
      <c r="AI1440" s="209"/>
      <c r="AJ1440" s="209"/>
      <c r="AK1440" s="209"/>
      <c r="AL1440" s="209"/>
      <c r="AM1440" s="209"/>
      <c r="AN1440" s="209"/>
      <c r="AO1440" s="209"/>
      <c r="AP1440" s="209"/>
    </row>
    <row r="1441">
      <c r="A1441" s="209"/>
      <c r="B1441" s="209"/>
      <c r="C1441" s="209"/>
      <c r="D1441" s="209"/>
      <c r="E1441" s="209"/>
      <c r="F1441" s="209"/>
      <c r="G1441" s="209"/>
      <c r="H1441" s="209"/>
      <c r="I1441" s="209"/>
      <c r="J1441" s="209"/>
      <c r="K1441" s="209"/>
      <c r="L1441" s="209"/>
      <c r="M1441" s="209"/>
      <c r="N1441" s="209"/>
      <c r="O1441" s="209"/>
      <c r="P1441" s="209"/>
      <c r="Q1441" s="209"/>
      <c r="R1441" s="209"/>
      <c r="S1441" s="209"/>
      <c r="T1441" s="209"/>
      <c r="U1441" s="209"/>
      <c r="V1441" s="209"/>
      <c r="W1441" s="209"/>
      <c r="X1441" s="209"/>
      <c r="Y1441" s="209"/>
      <c r="Z1441" s="209"/>
      <c r="AA1441" s="209"/>
      <c r="AB1441" s="209"/>
      <c r="AC1441" s="209"/>
      <c r="AD1441" s="209"/>
      <c r="AE1441" s="209"/>
      <c r="AF1441" s="209"/>
      <c r="AG1441" s="209"/>
      <c r="AH1441" s="209"/>
      <c r="AI1441" s="209"/>
      <c r="AJ1441" s="209"/>
      <c r="AK1441" s="209"/>
      <c r="AL1441" s="209"/>
      <c r="AM1441" s="209"/>
      <c r="AN1441" s="209"/>
      <c r="AO1441" s="209"/>
      <c r="AP1441" s="209"/>
    </row>
    <row r="1442">
      <c r="A1442" s="209"/>
      <c r="B1442" s="209"/>
      <c r="C1442" s="209"/>
      <c r="D1442" s="209"/>
      <c r="E1442" s="209"/>
      <c r="F1442" s="209"/>
      <c r="G1442" s="209"/>
      <c r="H1442" s="209"/>
      <c r="I1442" s="209"/>
      <c r="J1442" s="209"/>
      <c r="K1442" s="209"/>
      <c r="L1442" s="209"/>
      <c r="M1442" s="209"/>
      <c r="N1442" s="209"/>
      <c r="O1442" s="209"/>
      <c r="P1442" s="209"/>
      <c r="Q1442" s="209"/>
      <c r="R1442" s="209"/>
      <c r="S1442" s="209"/>
      <c r="T1442" s="209"/>
      <c r="U1442" s="209"/>
      <c r="V1442" s="209"/>
      <c r="W1442" s="209"/>
      <c r="X1442" s="209"/>
      <c r="Y1442" s="209"/>
      <c r="Z1442" s="209"/>
      <c r="AA1442" s="209"/>
      <c r="AB1442" s="209"/>
      <c r="AC1442" s="209"/>
      <c r="AD1442" s="209"/>
      <c r="AE1442" s="209"/>
      <c r="AF1442" s="209"/>
      <c r="AG1442" s="209"/>
      <c r="AH1442" s="209"/>
      <c r="AI1442" s="209"/>
      <c r="AJ1442" s="209"/>
      <c r="AK1442" s="209"/>
      <c r="AL1442" s="209"/>
      <c r="AM1442" s="209"/>
      <c r="AN1442" s="209"/>
      <c r="AO1442" s="209"/>
      <c r="AP1442" s="209"/>
    </row>
    <row r="1443">
      <c r="A1443" s="209"/>
      <c r="B1443" s="209"/>
      <c r="C1443" s="209"/>
      <c r="D1443" s="209"/>
      <c r="E1443" s="209"/>
      <c r="F1443" s="209"/>
      <c r="G1443" s="209"/>
      <c r="H1443" s="209"/>
      <c r="I1443" s="209"/>
      <c r="J1443" s="209"/>
      <c r="K1443" s="209"/>
      <c r="L1443" s="209"/>
      <c r="M1443" s="209"/>
      <c r="N1443" s="209"/>
      <c r="O1443" s="209"/>
      <c r="P1443" s="209"/>
      <c r="Q1443" s="209"/>
      <c r="R1443" s="209"/>
      <c r="S1443" s="209"/>
      <c r="T1443" s="209"/>
      <c r="U1443" s="209"/>
      <c r="V1443" s="209"/>
      <c r="W1443" s="209"/>
      <c r="X1443" s="209"/>
      <c r="Y1443" s="209"/>
      <c r="Z1443" s="209"/>
      <c r="AA1443" s="209"/>
      <c r="AB1443" s="209"/>
      <c r="AC1443" s="209"/>
      <c r="AD1443" s="209"/>
      <c r="AE1443" s="209"/>
      <c r="AF1443" s="209"/>
      <c r="AG1443" s="209"/>
      <c r="AH1443" s="209"/>
      <c r="AI1443" s="209"/>
      <c r="AJ1443" s="209"/>
      <c r="AK1443" s="209"/>
      <c r="AL1443" s="209"/>
      <c r="AM1443" s="209"/>
      <c r="AN1443" s="209"/>
      <c r="AO1443" s="209"/>
      <c r="AP1443" s="209"/>
    </row>
    <row r="1444">
      <c r="A1444" s="209"/>
      <c r="B1444" s="209"/>
      <c r="C1444" s="209"/>
      <c r="D1444" s="209"/>
      <c r="E1444" s="209"/>
      <c r="F1444" s="209"/>
      <c r="G1444" s="209"/>
      <c r="H1444" s="209"/>
      <c r="I1444" s="209"/>
      <c r="J1444" s="209"/>
      <c r="K1444" s="209"/>
      <c r="L1444" s="209"/>
      <c r="M1444" s="209"/>
      <c r="N1444" s="209"/>
      <c r="O1444" s="209"/>
      <c r="P1444" s="209"/>
      <c r="Q1444" s="209"/>
      <c r="R1444" s="209"/>
      <c r="S1444" s="209"/>
      <c r="T1444" s="209"/>
      <c r="U1444" s="209"/>
      <c r="V1444" s="209"/>
      <c r="W1444" s="209"/>
      <c r="X1444" s="209"/>
      <c r="Y1444" s="209"/>
      <c r="Z1444" s="209"/>
      <c r="AA1444" s="209"/>
      <c r="AB1444" s="209"/>
      <c r="AC1444" s="209"/>
      <c r="AD1444" s="209"/>
      <c r="AE1444" s="209"/>
      <c r="AF1444" s="209"/>
      <c r="AG1444" s="209"/>
      <c r="AH1444" s="209"/>
      <c r="AI1444" s="209"/>
      <c r="AJ1444" s="209"/>
      <c r="AK1444" s="209"/>
      <c r="AL1444" s="209"/>
      <c r="AM1444" s="209"/>
      <c r="AN1444" s="209"/>
      <c r="AO1444" s="209"/>
      <c r="AP1444" s="209"/>
    </row>
    <row r="1445">
      <c r="A1445" s="209"/>
      <c r="B1445" s="209"/>
      <c r="C1445" s="209"/>
      <c r="D1445" s="209"/>
      <c r="E1445" s="209"/>
      <c r="F1445" s="209"/>
      <c r="G1445" s="209"/>
      <c r="H1445" s="209"/>
      <c r="I1445" s="209"/>
      <c r="J1445" s="209"/>
      <c r="K1445" s="209"/>
      <c r="L1445" s="209"/>
      <c r="M1445" s="209"/>
      <c r="N1445" s="209"/>
      <c r="O1445" s="209"/>
      <c r="P1445" s="209"/>
      <c r="Q1445" s="209"/>
      <c r="R1445" s="209"/>
      <c r="S1445" s="209"/>
      <c r="T1445" s="209"/>
      <c r="U1445" s="209"/>
      <c r="V1445" s="209"/>
      <c r="W1445" s="209"/>
      <c r="X1445" s="209"/>
      <c r="Y1445" s="209"/>
      <c r="Z1445" s="209"/>
      <c r="AA1445" s="209"/>
      <c r="AB1445" s="209"/>
      <c r="AC1445" s="209"/>
      <c r="AD1445" s="209"/>
      <c r="AE1445" s="209"/>
      <c r="AF1445" s="209"/>
      <c r="AG1445" s="209"/>
      <c r="AH1445" s="209"/>
      <c r="AI1445" s="209"/>
      <c r="AJ1445" s="209"/>
      <c r="AK1445" s="209"/>
      <c r="AL1445" s="209"/>
      <c r="AM1445" s="209"/>
      <c r="AN1445" s="209"/>
      <c r="AO1445" s="209"/>
      <c r="AP1445" s="209"/>
    </row>
    <row r="1446">
      <c r="A1446" s="209"/>
      <c r="B1446" s="209"/>
      <c r="C1446" s="209"/>
      <c r="D1446" s="209"/>
      <c r="E1446" s="209"/>
      <c r="F1446" s="209"/>
      <c r="G1446" s="209"/>
      <c r="H1446" s="209"/>
      <c r="I1446" s="209"/>
      <c r="J1446" s="209"/>
      <c r="K1446" s="209"/>
      <c r="L1446" s="209"/>
      <c r="M1446" s="209"/>
      <c r="N1446" s="209"/>
      <c r="O1446" s="209"/>
      <c r="P1446" s="209"/>
      <c r="Q1446" s="209"/>
      <c r="R1446" s="209"/>
      <c r="S1446" s="209"/>
      <c r="T1446" s="209"/>
      <c r="U1446" s="209"/>
      <c r="V1446" s="209"/>
      <c r="W1446" s="209"/>
      <c r="X1446" s="209"/>
      <c r="Y1446" s="209"/>
      <c r="Z1446" s="209"/>
      <c r="AA1446" s="209"/>
      <c r="AB1446" s="209"/>
      <c r="AC1446" s="209"/>
      <c r="AD1446" s="209"/>
      <c r="AE1446" s="209"/>
      <c r="AF1446" s="209"/>
      <c r="AG1446" s="209"/>
      <c r="AH1446" s="209"/>
      <c r="AI1446" s="209"/>
      <c r="AJ1446" s="209"/>
      <c r="AK1446" s="209"/>
      <c r="AL1446" s="209"/>
      <c r="AM1446" s="209"/>
      <c r="AN1446" s="209"/>
      <c r="AO1446" s="209"/>
      <c r="AP1446" s="209"/>
    </row>
    <row r="1447">
      <c r="A1447" s="209"/>
      <c r="B1447" s="209"/>
      <c r="C1447" s="209"/>
      <c r="D1447" s="209"/>
      <c r="E1447" s="209"/>
      <c r="F1447" s="209"/>
      <c r="G1447" s="209"/>
      <c r="H1447" s="209"/>
      <c r="I1447" s="209"/>
      <c r="J1447" s="209"/>
      <c r="K1447" s="209"/>
      <c r="L1447" s="209"/>
      <c r="M1447" s="209"/>
      <c r="N1447" s="209"/>
      <c r="O1447" s="209"/>
      <c r="P1447" s="209"/>
      <c r="Q1447" s="209"/>
      <c r="R1447" s="209"/>
      <c r="S1447" s="209"/>
      <c r="T1447" s="209"/>
      <c r="U1447" s="209"/>
      <c r="V1447" s="209"/>
      <c r="W1447" s="209"/>
      <c r="X1447" s="209"/>
      <c r="Y1447" s="209"/>
      <c r="Z1447" s="209"/>
      <c r="AA1447" s="209"/>
      <c r="AB1447" s="209"/>
      <c r="AC1447" s="209"/>
      <c r="AD1447" s="209"/>
      <c r="AE1447" s="209"/>
      <c r="AF1447" s="209"/>
      <c r="AG1447" s="209"/>
      <c r="AH1447" s="209"/>
      <c r="AI1447" s="209"/>
      <c r="AJ1447" s="209"/>
      <c r="AK1447" s="209"/>
      <c r="AL1447" s="209"/>
      <c r="AM1447" s="209"/>
      <c r="AN1447" s="209"/>
      <c r="AO1447" s="209"/>
      <c r="AP1447" s="209"/>
    </row>
    <row r="1448">
      <c r="A1448" s="209"/>
      <c r="B1448" s="209"/>
      <c r="C1448" s="209"/>
      <c r="D1448" s="209"/>
      <c r="E1448" s="209"/>
      <c r="F1448" s="209"/>
      <c r="G1448" s="209"/>
      <c r="H1448" s="209"/>
      <c r="I1448" s="209"/>
      <c r="J1448" s="209"/>
      <c r="K1448" s="209"/>
      <c r="L1448" s="209"/>
      <c r="M1448" s="209"/>
      <c r="N1448" s="209"/>
      <c r="O1448" s="209"/>
      <c r="P1448" s="209"/>
      <c r="Q1448" s="209"/>
      <c r="R1448" s="209"/>
      <c r="S1448" s="209"/>
      <c r="T1448" s="209"/>
      <c r="U1448" s="209"/>
      <c r="V1448" s="209"/>
      <c r="W1448" s="209"/>
      <c r="X1448" s="209"/>
      <c r="Y1448" s="209"/>
      <c r="Z1448" s="209"/>
      <c r="AA1448" s="209"/>
      <c r="AB1448" s="209"/>
      <c r="AC1448" s="209"/>
      <c r="AD1448" s="209"/>
      <c r="AE1448" s="209"/>
      <c r="AF1448" s="209"/>
      <c r="AG1448" s="209"/>
      <c r="AH1448" s="209"/>
      <c r="AI1448" s="209"/>
      <c r="AJ1448" s="209"/>
      <c r="AK1448" s="209"/>
      <c r="AL1448" s="209"/>
      <c r="AM1448" s="209"/>
      <c r="AN1448" s="209"/>
      <c r="AO1448" s="209"/>
      <c r="AP1448" s="209"/>
    </row>
    <row r="1449">
      <c r="A1449" s="209"/>
      <c r="B1449" s="209"/>
      <c r="C1449" s="209"/>
      <c r="D1449" s="209"/>
      <c r="E1449" s="209"/>
      <c r="F1449" s="209"/>
      <c r="G1449" s="209"/>
      <c r="H1449" s="209"/>
      <c r="I1449" s="209"/>
      <c r="J1449" s="209"/>
      <c r="K1449" s="209"/>
      <c r="L1449" s="209"/>
      <c r="M1449" s="209"/>
      <c r="N1449" s="209"/>
      <c r="O1449" s="209"/>
      <c r="P1449" s="209"/>
      <c r="Q1449" s="209"/>
      <c r="R1449" s="209"/>
      <c r="S1449" s="209"/>
      <c r="T1449" s="209"/>
      <c r="U1449" s="209"/>
      <c r="V1449" s="209"/>
      <c r="W1449" s="209"/>
      <c r="X1449" s="209"/>
      <c r="Y1449" s="209"/>
      <c r="Z1449" s="209"/>
      <c r="AA1449" s="209"/>
      <c r="AB1449" s="209"/>
      <c r="AC1449" s="209"/>
      <c r="AD1449" s="209"/>
      <c r="AE1449" s="209"/>
      <c r="AF1449" s="209"/>
      <c r="AG1449" s="209"/>
      <c r="AH1449" s="209"/>
      <c r="AI1449" s="209"/>
      <c r="AJ1449" s="209"/>
      <c r="AK1449" s="209"/>
      <c r="AL1449" s="209"/>
      <c r="AM1449" s="209"/>
      <c r="AN1449" s="209"/>
      <c r="AO1449" s="209"/>
      <c r="AP1449" s="209"/>
    </row>
    <row r="1450">
      <c r="A1450" s="209"/>
      <c r="B1450" s="209"/>
      <c r="C1450" s="209"/>
      <c r="D1450" s="209"/>
      <c r="E1450" s="209"/>
      <c r="F1450" s="209"/>
      <c r="G1450" s="209"/>
      <c r="H1450" s="209"/>
      <c r="I1450" s="209"/>
      <c r="J1450" s="209"/>
      <c r="K1450" s="209"/>
      <c r="L1450" s="209"/>
      <c r="M1450" s="209"/>
      <c r="N1450" s="209"/>
      <c r="O1450" s="209"/>
      <c r="P1450" s="209"/>
      <c r="Q1450" s="209"/>
      <c r="R1450" s="209"/>
      <c r="S1450" s="209"/>
      <c r="T1450" s="209"/>
      <c r="U1450" s="209"/>
      <c r="V1450" s="209"/>
      <c r="W1450" s="209"/>
      <c r="X1450" s="209"/>
      <c r="Y1450" s="209"/>
      <c r="Z1450" s="209"/>
      <c r="AA1450" s="209"/>
      <c r="AB1450" s="209"/>
      <c r="AC1450" s="209"/>
      <c r="AD1450" s="209"/>
      <c r="AE1450" s="209"/>
      <c r="AF1450" s="209"/>
      <c r="AG1450" s="209"/>
      <c r="AH1450" s="209"/>
      <c r="AI1450" s="209"/>
      <c r="AJ1450" s="209"/>
      <c r="AK1450" s="209"/>
      <c r="AL1450" s="209"/>
      <c r="AM1450" s="209"/>
      <c r="AN1450" s="209"/>
      <c r="AO1450" s="209"/>
      <c r="AP1450" s="209"/>
    </row>
    <row r="1451">
      <c r="A1451" s="209"/>
      <c r="B1451" s="209"/>
      <c r="C1451" s="209"/>
      <c r="D1451" s="209"/>
      <c r="E1451" s="209"/>
      <c r="F1451" s="209"/>
      <c r="G1451" s="209"/>
      <c r="H1451" s="209"/>
      <c r="I1451" s="209"/>
      <c r="J1451" s="209"/>
      <c r="K1451" s="209"/>
      <c r="L1451" s="209"/>
      <c r="M1451" s="209"/>
      <c r="N1451" s="209"/>
      <c r="O1451" s="209"/>
      <c r="P1451" s="209"/>
      <c r="Q1451" s="209"/>
      <c r="R1451" s="209"/>
      <c r="S1451" s="209"/>
      <c r="T1451" s="209"/>
      <c r="U1451" s="209"/>
      <c r="V1451" s="209"/>
      <c r="W1451" s="209"/>
      <c r="X1451" s="209"/>
      <c r="Y1451" s="209"/>
      <c r="Z1451" s="209"/>
      <c r="AA1451" s="209"/>
      <c r="AB1451" s="209"/>
      <c r="AC1451" s="209"/>
      <c r="AD1451" s="209"/>
      <c r="AE1451" s="209"/>
      <c r="AF1451" s="209"/>
      <c r="AG1451" s="209"/>
      <c r="AH1451" s="209"/>
      <c r="AI1451" s="209"/>
      <c r="AJ1451" s="209"/>
      <c r="AK1451" s="209"/>
      <c r="AL1451" s="209"/>
      <c r="AM1451" s="209"/>
      <c r="AN1451" s="209"/>
      <c r="AO1451" s="209"/>
      <c r="AP1451" s="209"/>
    </row>
    <row r="1452">
      <c r="A1452" s="209"/>
      <c r="B1452" s="209"/>
      <c r="C1452" s="209"/>
      <c r="D1452" s="209"/>
      <c r="E1452" s="209"/>
      <c r="F1452" s="209"/>
      <c r="G1452" s="209"/>
      <c r="H1452" s="209"/>
      <c r="I1452" s="209"/>
      <c r="J1452" s="209"/>
      <c r="K1452" s="209"/>
      <c r="L1452" s="209"/>
      <c r="M1452" s="209"/>
      <c r="N1452" s="209"/>
      <c r="O1452" s="209"/>
      <c r="P1452" s="209"/>
      <c r="Q1452" s="209"/>
      <c r="R1452" s="209"/>
      <c r="S1452" s="209"/>
      <c r="T1452" s="209"/>
      <c r="U1452" s="209"/>
      <c r="V1452" s="209"/>
      <c r="W1452" s="209"/>
      <c r="X1452" s="209"/>
      <c r="Y1452" s="209"/>
      <c r="Z1452" s="209"/>
      <c r="AA1452" s="209"/>
      <c r="AB1452" s="209"/>
      <c r="AC1452" s="209"/>
      <c r="AD1452" s="209"/>
      <c r="AE1452" s="209"/>
      <c r="AF1452" s="209"/>
      <c r="AG1452" s="209"/>
      <c r="AH1452" s="209"/>
      <c r="AI1452" s="209"/>
      <c r="AJ1452" s="209"/>
      <c r="AK1452" s="209"/>
      <c r="AL1452" s="209"/>
      <c r="AM1452" s="209"/>
      <c r="AN1452" s="209"/>
      <c r="AO1452" s="209"/>
      <c r="AP1452" s="209"/>
    </row>
    <row r="1453">
      <c r="A1453" s="209"/>
      <c r="B1453" s="209"/>
      <c r="C1453" s="209"/>
      <c r="D1453" s="209"/>
      <c r="E1453" s="209"/>
      <c r="F1453" s="209"/>
      <c r="G1453" s="209"/>
      <c r="H1453" s="209"/>
      <c r="I1453" s="209"/>
      <c r="J1453" s="209"/>
      <c r="K1453" s="209"/>
      <c r="L1453" s="209"/>
      <c r="M1453" s="209"/>
      <c r="N1453" s="209"/>
      <c r="O1453" s="209"/>
      <c r="P1453" s="209"/>
      <c r="Q1453" s="209"/>
      <c r="R1453" s="209"/>
      <c r="S1453" s="209"/>
      <c r="T1453" s="209"/>
      <c r="U1453" s="209"/>
      <c r="V1453" s="209"/>
      <c r="W1453" s="209"/>
      <c r="X1453" s="209"/>
      <c r="Y1453" s="209"/>
      <c r="Z1453" s="209"/>
      <c r="AA1453" s="209"/>
      <c r="AB1453" s="209"/>
      <c r="AC1453" s="209"/>
      <c r="AD1453" s="209"/>
      <c r="AE1453" s="209"/>
      <c r="AF1453" s="209"/>
      <c r="AG1453" s="209"/>
      <c r="AH1453" s="209"/>
      <c r="AI1453" s="209"/>
      <c r="AJ1453" s="209"/>
      <c r="AK1453" s="209"/>
      <c r="AL1453" s="209"/>
      <c r="AM1453" s="209"/>
      <c r="AN1453" s="209"/>
      <c r="AO1453" s="209"/>
      <c r="AP1453" s="209"/>
    </row>
    <row r="1454">
      <c r="A1454" s="209"/>
      <c r="B1454" s="209"/>
      <c r="C1454" s="209"/>
      <c r="D1454" s="209"/>
      <c r="E1454" s="209"/>
      <c r="F1454" s="209"/>
      <c r="G1454" s="209"/>
      <c r="H1454" s="209"/>
      <c r="I1454" s="209"/>
      <c r="J1454" s="209"/>
      <c r="K1454" s="209"/>
      <c r="L1454" s="209"/>
      <c r="M1454" s="209"/>
      <c r="N1454" s="209"/>
      <c r="O1454" s="209"/>
      <c r="P1454" s="209"/>
      <c r="Q1454" s="209"/>
      <c r="R1454" s="209"/>
      <c r="S1454" s="209"/>
      <c r="T1454" s="209"/>
      <c r="U1454" s="209"/>
      <c r="V1454" s="209"/>
      <c r="W1454" s="209"/>
      <c r="X1454" s="209"/>
      <c r="Y1454" s="209"/>
      <c r="Z1454" s="209"/>
      <c r="AA1454" s="209"/>
      <c r="AB1454" s="209"/>
      <c r="AC1454" s="209"/>
      <c r="AD1454" s="209"/>
      <c r="AE1454" s="209"/>
      <c r="AF1454" s="209"/>
      <c r="AG1454" s="209"/>
      <c r="AH1454" s="209"/>
      <c r="AI1454" s="209"/>
      <c r="AJ1454" s="209"/>
      <c r="AK1454" s="209"/>
      <c r="AL1454" s="209"/>
      <c r="AM1454" s="209"/>
      <c r="AN1454" s="209"/>
      <c r="AO1454" s="209"/>
      <c r="AP1454" s="209"/>
    </row>
    <row r="1455">
      <c r="A1455" s="209"/>
      <c r="B1455" s="209"/>
      <c r="C1455" s="209"/>
      <c r="D1455" s="209"/>
      <c r="E1455" s="209"/>
      <c r="F1455" s="209"/>
      <c r="G1455" s="209"/>
      <c r="H1455" s="209"/>
      <c r="I1455" s="209"/>
      <c r="J1455" s="209"/>
      <c r="K1455" s="209"/>
      <c r="L1455" s="209"/>
      <c r="M1455" s="209"/>
      <c r="N1455" s="209"/>
      <c r="O1455" s="209"/>
      <c r="P1455" s="209"/>
      <c r="Q1455" s="209"/>
      <c r="R1455" s="209"/>
      <c r="S1455" s="209"/>
      <c r="T1455" s="209"/>
      <c r="U1455" s="209"/>
      <c r="V1455" s="209"/>
      <c r="W1455" s="209"/>
      <c r="X1455" s="209"/>
      <c r="Y1455" s="209"/>
      <c r="Z1455" s="209"/>
      <c r="AA1455" s="209"/>
      <c r="AB1455" s="209"/>
      <c r="AC1455" s="209"/>
      <c r="AD1455" s="209"/>
      <c r="AE1455" s="209"/>
      <c r="AF1455" s="209"/>
      <c r="AG1455" s="209"/>
      <c r="AH1455" s="209"/>
      <c r="AI1455" s="209"/>
      <c r="AJ1455" s="209"/>
      <c r="AK1455" s="209"/>
      <c r="AL1455" s="209"/>
      <c r="AM1455" s="209"/>
      <c r="AN1455" s="209"/>
      <c r="AO1455" s="209"/>
      <c r="AP1455" s="209"/>
    </row>
    <row r="1456">
      <c r="A1456" s="209"/>
      <c r="B1456" s="209"/>
      <c r="C1456" s="209"/>
      <c r="D1456" s="209"/>
      <c r="E1456" s="209"/>
      <c r="F1456" s="209"/>
      <c r="G1456" s="209"/>
      <c r="H1456" s="209"/>
      <c r="I1456" s="209"/>
      <c r="J1456" s="209"/>
      <c r="K1456" s="209"/>
      <c r="L1456" s="209"/>
      <c r="M1456" s="209"/>
      <c r="N1456" s="209"/>
      <c r="O1456" s="209"/>
      <c r="P1456" s="209"/>
      <c r="Q1456" s="209"/>
      <c r="R1456" s="209"/>
      <c r="S1456" s="209"/>
      <c r="T1456" s="209"/>
      <c r="U1456" s="209"/>
      <c r="V1456" s="209"/>
      <c r="W1456" s="209"/>
      <c r="X1456" s="209"/>
      <c r="Y1456" s="209"/>
      <c r="Z1456" s="209"/>
      <c r="AA1456" s="209"/>
      <c r="AB1456" s="209"/>
      <c r="AC1456" s="209"/>
      <c r="AD1456" s="209"/>
      <c r="AE1456" s="209"/>
      <c r="AF1456" s="209"/>
      <c r="AG1456" s="209"/>
      <c r="AH1456" s="209"/>
      <c r="AI1456" s="209"/>
      <c r="AJ1456" s="209"/>
      <c r="AK1456" s="209"/>
      <c r="AL1456" s="209"/>
      <c r="AM1456" s="209"/>
      <c r="AN1456" s="209"/>
      <c r="AO1456" s="209"/>
      <c r="AP1456" s="209"/>
    </row>
    <row r="1457">
      <c r="A1457" s="209"/>
      <c r="B1457" s="209"/>
      <c r="C1457" s="209"/>
      <c r="D1457" s="209"/>
      <c r="E1457" s="209"/>
      <c r="F1457" s="209"/>
      <c r="G1457" s="209"/>
      <c r="H1457" s="209"/>
      <c r="I1457" s="209"/>
      <c r="J1457" s="209"/>
      <c r="K1457" s="209"/>
      <c r="L1457" s="209"/>
      <c r="M1457" s="209"/>
      <c r="N1457" s="209"/>
      <c r="O1457" s="209"/>
      <c r="P1457" s="209"/>
      <c r="Q1457" s="209"/>
      <c r="R1457" s="209"/>
      <c r="S1457" s="209"/>
      <c r="T1457" s="209"/>
      <c r="U1457" s="209"/>
      <c r="V1457" s="209"/>
      <c r="W1457" s="209"/>
      <c r="X1457" s="209"/>
      <c r="Y1457" s="209"/>
      <c r="Z1457" s="209"/>
      <c r="AA1457" s="209"/>
      <c r="AB1457" s="209"/>
      <c r="AC1457" s="209"/>
      <c r="AD1457" s="209"/>
      <c r="AE1457" s="209"/>
      <c r="AF1457" s="209"/>
      <c r="AG1457" s="209"/>
      <c r="AH1457" s="209"/>
      <c r="AI1457" s="209"/>
      <c r="AJ1457" s="209"/>
      <c r="AK1457" s="209"/>
      <c r="AL1457" s="209"/>
      <c r="AM1457" s="209"/>
      <c r="AN1457" s="209"/>
      <c r="AO1457" s="209"/>
      <c r="AP1457" s="209"/>
    </row>
    <row r="1458">
      <c r="A1458" s="209"/>
      <c r="B1458" s="209"/>
      <c r="C1458" s="209"/>
      <c r="D1458" s="209"/>
      <c r="E1458" s="209"/>
      <c r="F1458" s="209"/>
      <c r="G1458" s="209"/>
      <c r="H1458" s="209"/>
      <c r="I1458" s="209"/>
      <c r="J1458" s="209"/>
      <c r="K1458" s="209"/>
      <c r="L1458" s="209"/>
      <c r="M1458" s="209"/>
      <c r="N1458" s="209"/>
      <c r="O1458" s="209"/>
      <c r="P1458" s="209"/>
      <c r="Q1458" s="209"/>
      <c r="R1458" s="209"/>
      <c r="S1458" s="209"/>
      <c r="T1458" s="209"/>
      <c r="U1458" s="209"/>
      <c r="V1458" s="209"/>
      <c r="W1458" s="209"/>
      <c r="X1458" s="209"/>
      <c r="Y1458" s="209"/>
      <c r="Z1458" s="209"/>
      <c r="AA1458" s="209"/>
      <c r="AB1458" s="209"/>
      <c r="AC1458" s="209"/>
      <c r="AD1458" s="209"/>
      <c r="AE1458" s="209"/>
      <c r="AF1458" s="209"/>
      <c r="AG1458" s="209"/>
      <c r="AH1458" s="209"/>
      <c r="AI1458" s="209"/>
      <c r="AJ1458" s="209"/>
      <c r="AK1458" s="209"/>
      <c r="AL1458" s="209"/>
      <c r="AM1458" s="209"/>
      <c r="AN1458" s="209"/>
      <c r="AO1458" s="209"/>
      <c r="AP1458" s="209"/>
    </row>
    <row r="1459">
      <c r="A1459" s="209"/>
      <c r="B1459" s="209"/>
      <c r="C1459" s="209"/>
      <c r="D1459" s="209"/>
      <c r="E1459" s="209"/>
      <c r="F1459" s="209"/>
      <c r="G1459" s="209"/>
      <c r="H1459" s="209"/>
      <c r="I1459" s="209"/>
      <c r="J1459" s="209"/>
      <c r="K1459" s="209"/>
      <c r="L1459" s="209"/>
      <c r="M1459" s="209"/>
      <c r="N1459" s="209"/>
      <c r="O1459" s="209"/>
      <c r="P1459" s="209"/>
      <c r="Q1459" s="209"/>
      <c r="R1459" s="209"/>
      <c r="S1459" s="209"/>
      <c r="T1459" s="209"/>
      <c r="U1459" s="209"/>
      <c r="V1459" s="209"/>
      <c r="W1459" s="209"/>
      <c r="X1459" s="209"/>
      <c r="Y1459" s="209"/>
      <c r="Z1459" s="209"/>
      <c r="AA1459" s="209"/>
      <c r="AB1459" s="209"/>
      <c r="AC1459" s="209"/>
      <c r="AD1459" s="209"/>
      <c r="AE1459" s="209"/>
      <c r="AF1459" s="209"/>
      <c r="AG1459" s="209"/>
      <c r="AH1459" s="209"/>
      <c r="AI1459" s="209"/>
      <c r="AJ1459" s="209"/>
      <c r="AK1459" s="209"/>
      <c r="AL1459" s="209"/>
      <c r="AM1459" s="209"/>
      <c r="AN1459" s="209"/>
      <c r="AO1459" s="209"/>
      <c r="AP1459" s="209"/>
    </row>
    <row r="1460">
      <c r="A1460" s="209"/>
      <c r="B1460" s="209"/>
      <c r="C1460" s="209"/>
      <c r="D1460" s="209"/>
      <c r="E1460" s="209"/>
      <c r="F1460" s="209"/>
      <c r="G1460" s="209"/>
      <c r="H1460" s="209"/>
      <c r="I1460" s="209"/>
      <c r="J1460" s="209"/>
      <c r="K1460" s="209"/>
      <c r="L1460" s="209"/>
      <c r="M1460" s="209"/>
      <c r="N1460" s="209"/>
      <c r="O1460" s="209"/>
      <c r="P1460" s="209"/>
      <c r="Q1460" s="209"/>
      <c r="R1460" s="209"/>
      <c r="S1460" s="209"/>
      <c r="T1460" s="209"/>
      <c r="U1460" s="209"/>
      <c r="V1460" s="209"/>
      <c r="W1460" s="209"/>
      <c r="X1460" s="209"/>
      <c r="Y1460" s="209"/>
      <c r="Z1460" s="209"/>
      <c r="AA1460" s="209"/>
      <c r="AB1460" s="209"/>
      <c r="AC1460" s="209"/>
      <c r="AD1460" s="209"/>
      <c r="AE1460" s="209"/>
      <c r="AF1460" s="209"/>
      <c r="AG1460" s="209"/>
      <c r="AH1460" s="209"/>
      <c r="AI1460" s="209"/>
      <c r="AJ1460" s="209"/>
      <c r="AK1460" s="209"/>
      <c r="AL1460" s="209"/>
      <c r="AM1460" s="209"/>
      <c r="AN1460" s="209"/>
      <c r="AO1460" s="209"/>
      <c r="AP1460" s="209"/>
    </row>
    <row r="1461">
      <c r="A1461" s="209"/>
      <c r="B1461" s="209"/>
      <c r="C1461" s="209"/>
      <c r="D1461" s="209"/>
      <c r="E1461" s="209"/>
      <c r="F1461" s="209"/>
      <c r="G1461" s="209"/>
      <c r="H1461" s="209"/>
      <c r="I1461" s="209"/>
      <c r="J1461" s="209"/>
      <c r="K1461" s="209"/>
      <c r="L1461" s="209"/>
      <c r="M1461" s="209"/>
      <c r="N1461" s="209"/>
      <c r="O1461" s="209"/>
      <c r="P1461" s="209"/>
      <c r="Q1461" s="209"/>
      <c r="R1461" s="209"/>
      <c r="S1461" s="209"/>
      <c r="T1461" s="209"/>
      <c r="U1461" s="209"/>
      <c r="V1461" s="209"/>
      <c r="W1461" s="209"/>
      <c r="X1461" s="209"/>
      <c r="Y1461" s="209"/>
      <c r="Z1461" s="209"/>
      <c r="AA1461" s="209"/>
      <c r="AB1461" s="209"/>
      <c r="AC1461" s="209"/>
      <c r="AD1461" s="209"/>
      <c r="AE1461" s="209"/>
      <c r="AF1461" s="209"/>
      <c r="AG1461" s="209"/>
      <c r="AH1461" s="209"/>
      <c r="AI1461" s="209"/>
      <c r="AJ1461" s="209"/>
      <c r="AK1461" s="209"/>
      <c r="AL1461" s="209"/>
      <c r="AM1461" s="209"/>
      <c r="AN1461" s="209"/>
      <c r="AO1461" s="209"/>
      <c r="AP1461" s="209"/>
    </row>
    <row r="1462">
      <c r="A1462" s="209"/>
      <c r="B1462" s="209"/>
      <c r="C1462" s="209"/>
      <c r="D1462" s="209"/>
      <c r="E1462" s="209"/>
      <c r="F1462" s="209"/>
      <c r="G1462" s="209"/>
      <c r="H1462" s="209"/>
      <c r="I1462" s="209"/>
      <c r="J1462" s="209"/>
      <c r="K1462" s="209"/>
      <c r="L1462" s="209"/>
      <c r="M1462" s="209"/>
      <c r="N1462" s="209"/>
      <c r="O1462" s="209"/>
      <c r="P1462" s="209"/>
      <c r="Q1462" s="209"/>
      <c r="R1462" s="209"/>
      <c r="S1462" s="209"/>
      <c r="T1462" s="209"/>
      <c r="U1462" s="209"/>
      <c r="V1462" s="209"/>
      <c r="W1462" s="209"/>
      <c r="X1462" s="209"/>
      <c r="Y1462" s="209"/>
      <c r="Z1462" s="209"/>
      <c r="AA1462" s="209"/>
      <c r="AB1462" s="209"/>
      <c r="AC1462" s="209"/>
      <c r="AD1462" s="209"/>
      <c r="AE1462" s="209"/>
      <c r="AF1462" s="209"/>
      <c r="AG1462" s="209"/>
      <c r="AH1462" s="209"/>
      <c r="AI1462" s="209"/>
      <c r="AJ1462" s="209"/>
      <c r="AK1462" s="209"/>
      <c r="AL1462" s="209"/>
      <c r="AM1462" s="209"/>
      <c r="AN1462" s="209"/>
      <c r="AO1462" s="209"/>
      <c r="AP1462" s="209"/>
    </row>
    <row r="1463">
      <c r="A1463" s="209"/>
      <c r="B1463" s="209"/>
      <c r="C1463" s="209"/>
      <c r="D1463" s="209"/>
      <c r="E1463" s="209"/>
      <c r="F1463" s="209"/>
      <c r="G1463" s="209"/>
      <c r="H1463" s="209"/>
      <c r="I1463" s="209"/>
      <c r="J1463" s="209"/>
      <c r="K1463" s="209"/>
      <c r="L1463" s="209"/>
      <c r="M1463" s="209"/>
      <c r="N1463" s="209"/>
      <c r="O1463" s="209"/>
      <c r="P1463" s="209"/>
      <c r="Q1463" s="209"/>
      <c r="R1463" s="209"/>
      <c r="S1463" s="209"/>
      <c r="T1463" s="209"/>
      <c r="U1463" s="209"/>
      <c r="V1463" s="209"/>
      <c r="W1463" s="209"/>
      <c r="X1463" s="209"/>
      <c r="Y1463" s="209"/>
      <c r="Z1463" s="209"/>
      <c r="AA1463" s="209"/>
      <c r="AB1463" s="209"/>
      <c r="AC1463" s="209"/>
      <c r="AD1463" s="209"/>
      <c r="AE1463" s="209"/>
      <c r="AF1463" s="209"/>
      <c r="AG1463" s="209"/>
      <c r="AH1463" s="209"/>
      <c r="AI1463" s="209"/>
      <c r="AJ1463" s="209"/>
      <c r="AK1463" s="209"/>
      <c r="AL1463" s="209"/>
      <c r="AM1463" s="209"/>
      <c r="AN1463" s="209"/>
      <c r="AO1463" s="209"/>
      <c r="AP1463" s="209"/>
    </row>
    <row r="1464">
      <c r="A1464" s="209"/>
      <c r="B1464" s="209"/>
      <c r="C1464" s="209"/>
      <c r="D1464" s="209"/>
      <c r="E1464" s="209"/>
      <c r="F1464" s="209"/>
      <c r="G1464" s="209"/>
      <c r="H1464" s="209"/>
      <c r="I1464" s="209"/>
      <c r="J1464" s="209"/>
      <c r="K1464" s="209"/>
      <c r="L1464" s="209"/>
      <c r="M1464" s="209"/>
      <c r="N1464" s="209"/>
      <c r="O1464" s="209"/>
      <c r="P1464" s="209"/>
      <c r="Q1464" s="209"/>
      <c r="R1464" s="209"/>
      <c r="S1464" s="209"/>
      <c r="T1464" s="209"/>
      <c r="U1464" s="209"/>
      <c r="V1464" s="209"/>
      <c r="W1464" s="209"/>
      <c r="X1464" s="209"/>
      <c r="Y1464" s="209"/>
      <c r="Z1464" s="209"/>
      <c r="AA1464" s="209"/>
      <c r="AB1464" s="209"/>
      <c r="AC1464" s="209"/>
      <c r="AD1464" s="209"/>
      <c r="AE1464" s="209"/>
      <c r="AF1464" s="209"/>
      <c r="AG1464" s="209"/>
      <c r="AH1464" s="209"/>
      <c r="AI1464" s="209"/>
      <c r="AJ1464" s="209"/>
      <c r="AK1464" s="209"/>
      <c r="AL1464" s="209"/>
      <c r="AM1464" s="209"/>
      <c r="AN1464" s="209"/>
      <c r="AO1464" s="209"/>
      <c r="AP1464" s="209"/>
    </row>
    <row r="1465">
      <c r="A1465" s="209"/>
      <c r="B1465" s="209"/>
      <c r="C1465" s="209"/>
      <c r="D1465" s="209"/>
      <c r="E1465" s="209"/>
      <c r="F1465" s="209"/>
      <c r="G1465" s="209"/>
      <c r="H1465" s="209"/>
      <c r="I1465" s="209"/>
      <c r="J1465" s="209"/>
      <c r="K1465" s="209"/>
      <c r="L1465" s="209"/>
      <c r="M1465" s="209"/>
      <c r="N1465" s="209"/>
      <c r="O1465" s="209"/>
      <c r="P1465" s="209"/>
      <c r="Q1465" s="209"/>
      <c r="R1465" s="209"/>
      <c r="S1465" s="209"/>
      <c r="T1465" s="209"/>
      <c r="U1465" s="209"/>
      <c r="V1465" s="209"/>
      <c r="W1465" s="209"/>
      <c r="X1465" s="209"/>
      <c r="Y1465" s="209"/>
      <c r="Z1465" s="209"/>
      <c r="AA1465" s="209"/>
      <c r="AB1465" s="209"/>
      <c r="AC1465" s="209"/>
      <c r="AD1465" s="209"/>
      <c r="AE1465" s="209"/>
      <c r="AF1465" s="209"/>
      <c r="AG1465" s="209"/>
      <c r="AH1465" s="209"/>
      <c r="AI1465" s="209"/>
      <c r="AJ1465" s="209"/>
      <c r="AK1465" s="209"/>
      <c r="AL1465" s="209"/>
      <c r="AM1465" s="209"/>
      <c r="AN1465" s="209"/>
      <c r="AO1465" s="209"/>
      <c r="AP1465" s="209"/>
    </row>
    <row r="1466">
      <c r="A1466" s="209"/>
      <c r="B1466" s="209"/>
      <c r="C1466" s="209"/>
      <c r="D1466" s="209"/>
      <c r="E1466" s="209"/>
      <c r="F1466" s="209"/>
      <c r="G1466" s="209"/>
      <c r="H1466" s="209"/>
      <c r="I1466" s="209"/>
      <c r="J1466" s="209"/>
      <c r="K1466" s="209"/>
      <c r="L1466" s="209"/>
      <c r="M1466" s="209"/>
      <c r="N1466" s="209"/>
      <c r="O1466" s="209"/>
      <c r="P1466" s="209"/>
      <c r="Q1466" s="209"/>
      <c r="R1466" s="209"/>
      <c r="S1466" s="209"/>
      <c r="T1466" s="209"/>
      <c r="U1466" s="209"/>
      <c r="V1466" s="209"/>
      <c r="W1466" s="209"/>
      <c r="X1466" s="209"/>
      <c r="Y1466" s="209"/>
      <c r="Z1466" s="209"/>
      <c r="AA1466" s="209"/>
      <c r="AB1466" s="209"/>
      <c r="AC1466" s="209"/>
      <c r="AD1466" s="209"/>
      <c r="AE1466" s="209"/>
      <c r="AF1466" s="209"/>
      <c r="AG1466" s="209"/>
      <c r="AH1466" s="209"/>
      <c r="AI1466" s="209"/>
      <c r="AJ1466" s="209"/>
      <c r="AK1466" s="209"/>
      <c r="AL1466" s="209"/>
      <c r="AM1466" s="209"/>
      <c r="AN1466" s="209"/>
      <c r="AO1466" s="209"/>
      <c r="AP1466" s="209"/>
    </row>
    <row r="1467">
      <c r="A1467" s="209"/>
      <c r="B1467" s="209"/>
      <c r="C1467" s="209"/>
      <c r="D1467" s="209"/>
      <c r="E1467" s="209"/>
      <c r="F1467" s="209"/>
      <c r="G1467" s="209"/>
      <c r="H1467" s="209"/>
      <c r="I1467" s="209"/>
      <c r="J1467" s="209"/>
      <c r="K1467" s="209"/>
      <c r="L1467" s="209"/>
      <c r="M1467" s="209"/>
      <c r="N1467" s="209"/>
      <c r="O1467" s="209"/>
      <c r="P1467" s="209"/>
      <c r="Q1467" s="209"/>
      <c r="R1467" s="209"/>
      <c r="S1467" s="209"/>
      <c r="T1467" s="209"/>
      <c r="U1467" s="209"/>
      <c r="V1467" s="209"/>
      <c r="W1467" s="209"/>
      <c r="X1467" s="209"/>
      <c r="Y1467" s="209"/>
      <c r="Z1467" s="209"/>
      <c r="AA1467" s="209"/>
      <c r="AB1467" s="209"/>
      <c r="AC1467" s="209"/>
      <c r="AD1467" s="209"/>
      <c r="AE1467" s="209"/>
      <c r="AF1467" s="209"/>
      <c r="AG1467" s="209"/>
      <c r="AH1467" s="209"/>
      <c r="AI1467" s="209"/>
      <c r="AJ1467" s="209"/>
      <c r="AK1467" s="209"/>
      <c r="AL1467" s="209"/>
      <c r="AM1467" s="209"/>
      <c r="AN1467" s="209"/>
      <c r="AO1467" s="209"/>
      <c r="AP1467" s="209"/>
    </row>
    <row r="1468">
      <c r="A1468" s="209"/>
      <c r="B1468" s="209"/>
      <c r="C1468" s="209"/>
      <c r="D1468" s="209"/>
      <c r="E1468" s="209"/>
      <c r="F1468" s="209"/>
      <c r="G1468" s="209"/>
      <c r="H1468" s="209"/>
      <c r="I1468" s="209"/>
      <c r="J1468" s="209"/>
      <c r="K1468" s="209"/>
      <c r="L1468" s="209"/>
      <c r="M1468" s="209"/>
      <c r="N1468" s="209"/>
      <c r="O1468" s="209"/>
      <c r="P1468" s="209"/>
      <c r="Q1468" s="209"/>
      <c r="R1468" s="209"/>
      <c r="S1468" s="209"/>
      <c r="T1468" s="209"/>
      <c r="U1468" s="209"/>
      <c r="V1468" s="209"/>
      <c r="W1468" s="209"/>
      <c r="X1468" s="209"/>
      <c r="Y1468" s="209"/>
      <c r="Z1468" s="209"/>
      <c r="AA1468" s="209"/>
      <c r="AB1468" s="209"/>
      <c r="AC1468" s="209"/>
      <c r="AD1468" s="209"/>
      <c r="AE1468" s="209"/>
      <c r="AF1468" s="209"/>
      <c r="AG1468" s="209"/>
      <c r="AH1468" s="209"/>
      <c r="AI1468" s="209"/>
      <c r="AJ1468" s="209"/>
      <c r="AK1468" s="209"/>
      <c r="AL1468" s="209"/>
      <c r="AM1468" s="209"/>
      <c r="AN1468" s="209"/>
      <c r="AO1468" s="209"/>
      <c r="AP1468" s="209"/>
    </row>
    <row r="1469">
      <c r="A1469" s="209"/>
      <c r="B1469" s="209"/>
      <c r="C1469" s="209"/>
      <c r="D1469" s="209"/>
      <c r="E1469" s="209"/>
      <c r="F1469" s="209"/>
      <c r="G1469" s="209"/>
      <c r="H1469" s="209"/>
      <c r="I1469" s="209"/>
      <c r="J1469" s="209"/>
      <c r="K1469" s="209"/>
      <c r="L1469" s="209"/>
      <c r="M1469" s="209"/>
      <c r="N1469" s="209"/>
      <c r="O1469" s="209"/>
      <c r="P1469" s="209"/>
      <c r="Q1469" s="209"/>
      <c r="R1469" s="209"/>
      <c r="S1469" s="209"/>
      <c r="T1469" s="209"/>
      <c r="U1469" s="209"/>
      <c r="V1469" s="209"/>
      <c r="W1469" s="209"/>
      <c r="X1469" s="209"/>
      <c r="Y1469" s="209"/>
      <c r="Z1469" s="209"/>
      <c r="AA1469" s="209"/>
      <c r="AB1469" s="209"/>
      <c r="AC1469" s="209"/>
      <c r="AD1469" s="209"/>
      <c r="AE1469" s="209"/>
      <c r="AF1469" s="209"/>
      <c r="AG1469" s="209"/>
      <c r="AH1469" s="209"/>
      <c r="AI1469" s="209"/>
      <c r="AJ1469" s="209"/>
      <c r="AK1469" s="209"/>
      <c r="AL1469" s="209"/>
      <c r="AM1469" s="209"/>
      <c r="AN1469" s="209"/>
      <c r="AO1469" s="209"/>
      <c r="AP1469" s="209"/>
    </row>
    <row r="1470">
      <c r="A1470" s="209"/>
      <c r="B1470" s="209"/>
      <c r="C1470" s="209"/>
      <c r="D1470" s="209"/>
      <c r="E1470" s="209"/>
      <c r="F1470" s="209"/>
      <c r="G1470" s="209"/>
      <c r="H1470" s="209"/>
      <c r="I1470" s="209"/>
      <c r="J1470" s="209"/>
      <c r="K1470" s="209"/>
      <c r="L1470" s="209"/>
      <c r="M1470" s="209"/>
      <c r="N1470" s="209"/>
      <c r="O1470" s="209"/>
      <c r="P1470" s="209"/>
      <c r="Q1470" s="209"/>
      <c r="R1470" s="209"/>
      <c r="S1470" s="209"/>
      <c r="T1470" s="209"/>
      <c r="U1470" s="209"/>
      <c r="V1470" s="209"/>
      <c r="W1470" s="209"/>
      <c r="X1470" s="209"/>
      <c r="Y1470" s="209"/>
      <c r="Z1470" s="209"/>
      <c r="AA1470" s="209"/>
      <c r="AB1470" s="209"/>
      <c r="AC1470" s="209"/>
      <c r="AD1470" s="209"/>
      <c r="AE1470" s="209"/>
      <c r="AF1470" s="209"/>
      <c r="AG1470" s="209"/>
      <c r="AH1470" s="209"/>
      <c r="AI1470" s="209"/>
      <c r="AJ1470" s="209"/>
      <c r="AK1470" s="209"/>
      <c r="AL1470" s="209"/>
      <c r="AM1470" s="209"/>
      <c r="AN1470" s="209"/>
      <c r="AO1470" s="209"/>
      <c r="AP1470" s="209"/>
    </row>
    <row r="1471">
      <c r="A1471" s="209"/>
      <c r="B1471" s="209"/>
      <c r="C1471" s="209"/>
      <c r="D1471" s="209"/>
      <c r="E1471" s="209"/>
      <c r="F1471" s="209"/>
      <c r="G1471" s="209"/>
      <c r="H1471" s="209"/>
      <c r="I1471" s="209"/>
      <c r="J1471" s="209"/>
      <c r="K1471" s="209"/>
      <c r="L1471" s="209"/>
      <c r="M1471" s="209"/>
      <c r="N1471" s="209"/>
      <c r="O1471" s="209"/>
      <c r="P1471" s="209"/>
      <c r="Q1471" s="209"/>
      <c r="R1471" s="209"/>
      <c r="S1471" s="209"/>
      <c r="T1471" s="209"/>
      <c r="U1471" s="209"/>
      <c r="V1471" s="209"/>
      <c r="W1471" s="209"/>
      <c r="X1471" s="209"/>
      <c r="Y1471" s="209"/>
      <c r="Z1471" s="209"/>
      <c r="AA1471" s="209"/>
      <c r="AB1471" s="209"/>
      <c r="AC1471" s="209"/>
      <c r="AD1471" s="209"/>
      <c r="AE1471" s="209"/>
      <c r="AF1471" s="209"/>
      <c r="AG1471" s="209"/>
      <c r="AH1471" s="209"/>
      <c r="AI1471" s="209"/>
      <c r="AJ1471" s="209"/>
      <c r="AK1471" s="209"/>
      <c r="AL1471" s="209"/>
      <c r="AM1471" s="209"/>
      <c r="AN1471" s="209"/>
      <c r="AO1471" s="209"/>
      <c r="AP1471" s="209"/>
    </row>
    <row r="1472">
      <c r="A1472" s="209"/>
      <c r="B1472" s="209"/>
      <c r="C1472" s="209"/>
      <c r="D1472" s="209"/>
      <c r="E1472" s="209"/>
      <c r="F1472" s="209"/>
      <c r="G1472" s="209"/>
      <c r="H1472" s="209"/>
      <c r="I1472" s="209"/>
      <c r="J1472" s="209"/>
      <c r="K1472" s="209"/>
      <c r="L1472" s="209"/>
      <c r="M1472" s="209"/>
      <c r="N1472" s="209"/>
      <c r="O1472" s="209"/>
      <c r="P1472" s="209"/>
      <c r="Q1472" s="209"/>
      <c r="R1472" s="209"/>
      <c r="S1472" s="209"/>
      <c r="T1472" s="209"/>
      <c r="U1472" s="209"/>
      <c r="V1472" s="209"/>
      <c r="W1472" s="209"/>
      <c r="X1472" s="209"/>
      <c r="Y1472" s="209"/>
      <c r="Z1472" s="209"/>
      <c r="AA1472" s="209"/>
      <c r="AB1472" s="209"/>
      <c r="AC1472" s="209"/>
      <c r="AD1472" s="209"/>
      <c r="AE1472" s="209"/>
      <c r="AF1472" s="209"/>
      <c r="AG1472" s="209"/>
      <c r="AH1472" s="209"/>
      <c r="AI1472" s="209"/>
      <c r="AJ1472" s="209"/>
      <c r="AK1472" s="209"/>
      <c r="AL1472" s="209"/>
      <c r="AM1472" s="209"/>
      <c r="AN1472" s="209"/>
      <c r="AO1472" s="209"/>
      <c r="AP1472" s="209"/>
    </row>
    <row r="1473">
      <c r="A1473" s="209"/>
      <c r="B1473" s="209"/>
      <c r="C1473" s="209"/>
      <c r="D1473" s="209"/>
      <c r="E1473" s="209"/>
      <c r="F1473" s="209"/>
      <c r="G1473" s="209"/>
      <c r="H1473" s="209"/>
      <c r="I1473" s="209"/>
      <c r="J1473" s="209"/>
      <c r="K1473" s="209"/>
      <c r="L1473" s="209"/>
      <c r="M1473" s="209"/>
      <c r="N1473" s="209"/>
      <c r="O1473" s="209"/>
      <c r="P1473" s="209"/>
      <c r="Q1473" s="209"/>
      <c r="R1473" s="209"/>
      <c r="S1473" s="209"/>
      <c r="T1473" s="209"/>
      <c r="U1473" s="209"/>
      <c r="V1473" s="209"/>
      <c r="W1473" s="209"/>
      <c r="X1473" s="209"/>
      <c r="Y1473" s="209"/>
      <c r="Z1473" s="209"/>
      <c r="AA1473" s="209"/>
      <c r="AB1473" s="209"/>
      <c r="AC1473" s="209"/>
      <c r="AD1473" s="209"/>
      <c r="AE1473" s="209"/>
      <c r="AF1473" s="209"/>
      <c r="AG1473" s="209"/>
      <c r="AH1473" s="209"/>
      <c r="AI1473" s="209"/>
      <c r="AJ1473" s="209"/>
      <c r="AK1473" s="209"/>
      <c r="AL1473" s="209"/>
      <c r="AM1473" s="209"/>
      <c r="AN1473" s="209"/>
      <c r="AO1473" s="209"/>
      <c r="AP1473" s="209"/>
    </row>
    <row r="1474">
      <c r="A1474" s="209"/>
      <c r="B1474" s="209"/>
      <c r="C1474" s="209"/>
      <c r="D1474" s="209"/>
      <c r="E1474" s="209"/>
      <c r="F1474" s="209"/>
      <c r="G1474" s="209"/>
      <c r="H1474" s="209"/>
      <c r="I1474" s="209"/>
      <c r="J1474" s="209"/>
      <c r="K1474" s="209"/>
      <c r="L1474" s="209"/>
      <c r="M1474" s="209"/>
      <c r="N1474" s="209"/>
      <c r="O1474" s="209"/>
      <c r="P1474" s="209"/>
      <c r="Q1474" s="209"/>
      <c r="R1474" s="209"/>
      <c r="S1474" s="209"/>
      <c r="T1474" s="209"/>
      <c r="U1474" s="209"/>
      <c r="V1474" s="209"/>
      <c r="W1474" s="209"/>
      <c r="X1474" s="209"/>
      <c r="Y1474" s="209"/>
      <c r="Z1474" s="209"/>
      <c r="AA1474" s="209"/>
      <c r="AB1474" s="209"/>
      <c r="AC1474" s="209"/>
      <c r="AD1474" s="209"/>
      <c r="AE1474" s="209"/>
      <c r="AF1474" s="209"/>
      <c r="AG1474" s="209"/>
      <c r="AH1474" s="209"/>
      <c r="AI1474" s="209"/>
      <c r="AJ1474" s="209"/>
      <c r="AK1474" s="209"/>
      <c r="AL1474" s="209"/>
      <c r="AM1474" s="209"/>
      <c r="AN1474" s="209"/>
      <c r="AO1474" s="209"/>
      <c r="AP1474" s="209"/>
    </row>
    <row r="1475">
      <c r="A1475" s="209"/>
      <c r="B1475" s="209"/>
      <c r="C1475" s="209"/>
      <c r="D1475" s="209"/>
      <c r="E1475" s="209"/>
      <c r="F1475" s="209"/>
      <c r="G1475" s="209"/>
      <c r="H1475" s="209"/>
      <c r="I1475" s="209"/>
      <c r="J1475" s="209"/>
      <c r="K1475" s="209"/>
      <c r="L1475" s="209"/>
      <c r="M1475" s="209"/>
      <c r="N1475" s="209"/>
      <c r="O1475" s="209"/>
      <c r="P1475" s="209"/>
      <c r="Q1475" s="209"/>
      <c r="R1475" s="209"/>
      <c r="S1475" s="209"/>
      <c r="T1475" s="209"/>
      <c r="U1475" s="209"/>
      <c r="V1475" s="209"/>
      <c r="W1475" s="209"/>
      <c r="X1475" s="209"/>
      <c r="Y1475" s="209"/>
      <c r="Z1475" s="209"/>
      <c r="AA1475" s="209"/>
      <c r="AB1475" s="209"/>
      <c r="AC1475" s="209"/>
      <c r="AD1475" s="209"/>
      <c r="AE1475" s="209"/>
      <c r="AF1475" s="209"/>
      <c r="AG1475" s="209"/>
      <c r="AH1475" s="209"/>
      <c r="AI1475" s="209"/>
      <c r="AJ1475" s="209"/>
      <c r="AK1475" s="209"/>
      <c r="AL1475" s="209"/>
      <c r="AM1475" s="209"/>
      <c r="AN1475" s="209"/>
      <c r="AO1475" s="209"/>
      <c r="AP1475" s="209"/>
    </row>
    <row r="1476">
      <c r="A1476" s="209"/>
      <c r="B1476" s="209"/>
      <c r="C1476" s="209"/>
      <c r="D1476" s="209"/>
      <c r="E1476" s="209"/>
      <c r="F1476" s="209"/>
      <c r="G1476" s="209"/>
      <c r="H1476" s="209"/>
      <c r="I1476" s="209"/>
      <c r="J1476" s="209"/>
      <c r="K1476" s="209"/>
      <c r="L1476" s="209"/>
      <c r="M1476" s="209"/>
      <c r="N1476" s="209"/>
      <c r="O1476" s="209"/>
      <c r="P1476" s="209"/>
      <c r="Q1476" s="209"/>
      <c r="R1476" s="209"/>
      <c r="S1476" s="209"/>
      <c r="T1476" s="209"/>
      <c r="U1476" s="209"/>
      <c r="V1476" s="209"/>
      <c r="W1476" s="209"/>
      <c r="X1476" s="209"/>
      <c r="Y1476" s="209"/>
      <c r="Z1476" s="209"/>
      <c r="AA1476" s="209"/>
      <c r="AB1476" s="209"/>
      <c r="AC1476" s="209"/>
      <c r="AD1476" s="209"/>
      <c r="AE1476" s="209"/>
      <c r="AF1476" s="209"/>
      <c r="AG1476" s="209"/>
      <c r="AH1476" s="209"/>
      <c r="AI1476" s="209"/>
      <c r="AJ1476" s="209"/>
      <c r="AK1476" s="209"/>
      <c r="AL1476" s="209"/>
      <c r="AM1476" s="209"/>
      <c r="AN1476" s="209"/>
      <c r="AO1476" s="209"/>
      <c r="AP1476" s="209"/>
    </row>
    <row r="1477">
      <c r="A1477" s="209"/>
      <c r="B1477" s="209"/>
      <c r="C1477" s="209"/>
      <c r="D1477" s="209"/>
      <c r="E1477" s="209"/>
      <c r="F1477" s="209"/>
      <c r="G1477" s="209"/>
      <c r="H1477" s="209"/>
      <c r="I1477" s="209"/>
      <c r="J1477" s="209"/>
      <c r="K1477" s="209"/>
      <c r="L1477" s="209"/>
      <c r="M1477" s="209"/>
      <c r="N1477" s="209"/>
      <c r="O1477" s="209"/>
      <c r="P1477" s="209"/>
      <c r="Q1477" s="209"/>
      <c r="R1477" s="209"/>
      <c r="S1477" s="209"/>
      <c r="T1477" s="209"/>
      <c r="U1477" s="209"/>
      <c r="V1477" s="209"/>
      <c r="W1477" s="209"/>
      <c r="X1477" s="209"/>
      <c r="Y1477" s="209"/>
      <c r="Z1477" s="209"/>
      <c r="AA1477" s="209"/>
      <c r="AB1477" s="209"/>
      <c r="AC1477" s="209"/>
      <c r="AD1477" s="209"/>
      <c r="AE1477" s="209"/>
      <c r="AF1477" s="209"/>
      <c r="AG1477" s="209"/>
      <c r="AH1477" s="209"/>
      <c r="AI1477" s="209"/>
      <c r="AJ1477" s="209"/>
      <c r="AK1477" s="209"/>
      <c r="AL1477" s="209"/>
      <c r="AM1477" s="209"/>
      <c r="AN1477" s="209"/>
      <c r="AO1477" s="209"/>
      <c r="AP1477" s="209"/>
    </row>
    <row r="1478">
      <c r="A1478" s="209"/>
      <c r="B1478" s="209"/>
      <c r="C1478" s="209"/>
      <c r="D1478" s="209"/>
      <c r="E1478" s="209"/>
      <c r="F1478" s="209"/>
      <c r="G1478" s="209"/>
      <c r="H1478" s="209"/>
      <c r="I1478" s="209"/>
      <c r="J1478" s="209"/>
      <c r="K1478" s="209"/>
      <c r="L1478" s="209"/>
      <c r="M1478" s="209"/>
      <c r="N1478" s="209"/>
      <c r="O1478" s="209"/>
      <c r="P1478" s="209"/>
      <c r="Q1478" s="209"/>
      <c r="R1478" s="209"/>
      <c r="S1478" s="209"/>
      <c r="T1478" s="209"/>
      <c r="U1478" s="209"/>
      <c r="V1478" s="209"/>
      <c r="W1478" s="209"/>
      <c r="X1478" s="209"/>
      <c r="Y1478" s="209"/>
      <c r="Z1478" s="209"/>
      <c r="AA1478" s="209"/>
      <c r="AB1478" s="209"/>
      <c r="AC1478" s="209"/>
      <c r="AD1478" s="209"/>
      <c r="AE1478" s="209"/>
      <c r="AF1478" s="209"/>
      <c r="AG1478" s="209"/>
      <c r="AH1478" s="209"/>
      <c r="AI1478" s="209"/>
      <c r="AJ1478" s="209"/>
      <c r="AK1478" s="209"/>
      <c r="AL1478" s="209"/>
      <c r="AM1478" s="209"/>
      <c r="AN1478" s="209"/>
      <c r="AO1478" s="209"/>
      <c r="AP1478" s="209"/>
    </row>
    <row r="1479">
      <c r="A1479" s="209"/>
      <c r="B1479" s="209"/>
      <c r="C1479" s="209"/>
      <c r="D1479" s="209"/>
      <c r="E1479" s="209"/>
      <c r="F1479" s="209"/>
      <c r="G1479" s="209"/>
      <c r="H1479" s="209"/>
      <c r="I1479" s="209"/>
      <c r="J1479" s="209"/>
      <c r="K1479" s="209"/>
      <c r="L1479" s="209"/>
      <c r="M1479" s="209"/>
      <c r="N1479" s="209"/>
      <c r="O1479" s="209"/>
      <c r="P1479" s="209"/>
      <c r="Q1479" s="209"/>
      <c r="R1479" s="209"/>
      <c r="S1479" s="209"/>
      <c r="T1479" s="209"/>
      <c r="U1479" s="209"/>
      <c r="V1479" s="209"/>
      <c r="W1479" s="209"/>
      <c r="X1479" s="209"/>
      <c r="Y1479" s="209"/>
      <c r="Z1479" s="209"/>
      <c r="AA1479" s="209"/>
      <c r="AB1479" s="209"/>
      <c r="AC1479" s="209"/>
      <c r="AD1479" s="209"/>
      <c r="AE1479" s="209"/>
      <c r="AF1479" s="209"/>
      <c r="AG1479" s="209"/>
      <c r="AH1479" s="209"/>
      <c r="AI1479" s="209"/>
      <c r="AJ1479" s="209"/>
      <c r="AK1479" s="209"/>
      <c r="AL1479" s="209"/>
      <c r="AM1479" s="209"/>
      <c r="AN1479" s="209"/>
      <c r="AO1479" s="209"/>
      <c r="AP1479" s="209"/>
    </row>
    <row r="1480">
      <c r="A1480" s="209"/>
      <c r="B1480" s="209"/>
      <c r="C1480" s="209"/>
      <c r="D1480" s="209"/>
      <c r="E1480" s="209"/>
      <c r="F1480" s="209"/>
      <c r="G1480" s="209"/>
      <c r="H1480" s="209"/>
      <c r="I1480" s="209"/>
      <c r="J1480" s="209"/>
      <c r="K1480" s="209"/>
      <c r="L1480" s="209"/>
      <c r="M1480" s="209"/>
      <c r="N1480" s="209"/>
      <c r="O1480" s="209"/>
      <c r="P1480" s="209"/>
      <c r="Q1480" s="209"/>
      <c r="R1480" s="209"/>
      <c r="S1480" s="209"/>
      <c r="T1480" s="209"/>
      <c r="U1480" s="209"/>
      <c r="V1480" s="209"/>
      <c r="W1480" s="209"/>
      <c r="X1480" s="209"/>
      <c r="Y1480" s="209"/>
      <c r="Z1480" s="209"/>
      <c r="AA1480" s="209"/>
      <c r="AB1480" s="209"/>
      <c r="AC1480" s="209"/>
      <c r="AD1480" s="209"/>
      <c r="AE1480" s="209"/>
      <c r="AF1480" s="209"/>
      <c r="AG1480" s="209"/>
      <c r="AH1480" s="209"/>
      <c r="AI1480" s="209"/>
      <c r="AJ1480" s="209"/>
      <c r="AK1480" s="209"/>
      <c r="AL1480" s="209"/>
      <c r="AM1480" s="209"/>
      <c r="AN1480" s="209"/>
      <c r="AO1480" s="209"/>
      <c r="AP1480" s="209"/>
    </row>
    <row r="1481">
      <c r="A1481" s="209"/>
      <c r="B1481" s="209"/>
      <c r="C1481" s="209"/>
      <c r="D1481" s="209"/>
      <c r="E1481" s="209"/>
      <c r="F1481" s="209"/>
      <c r="G1481" s="209"/>
      <c r="H1481" s="209"/>
      <c r="I1481" s="209"/>
      <c r="J1481" s="209"/>
      <c r="K1481" s="209"/>
      <c r="L1481" s="209"/>
      <c r="M1481" s="209"/>
      <c r="N1481" s="209"/>
      <c r="O1481" s="209"/>
      <c r="P1481" s="209"/>
      <c r="Q1481" s="209"/>
      <c r="R1481" s="209"/>
      <c r="S1481" s="209"/>
      <c r="T1481" s="209"/>
      <c r="U1481" s="209"/>
      <c r="V1481" s="209"/>
      <c r="W1481" s="209"/>
      <c r="X1481" s="209"/>
      <c r="Y1481" s="209"/>
      <c r="Z1481" s="209"/>
      <c r="AA1481" s="209"/>
      <c r="AB1481" s="209"/>
      <c r="AC1481" s="209"/>
      <c r="AD1481" s="209"/>
      <c r="AE1481" s="209"/>
      <c r="AF1481" s="209"/>
      <c r="AG1481" s="209"/>
      <c r="AH1481" s="209"/>
      <c r="AI1481" s="209"/>
      <c r="AJ1481" s="209"/>
      <c r="AK1481" s="209"/>
      <c r="AL1481" s="209"/>
      <c r="AM1481" s="209"/>
      <c r="AN1481" s="209"/>
      <c r="AO1481" s="209"/>
      <c r="AP1481" s="209"/>
    </row>
    <row r="1482">
      <c r="A1482" s="209"/>
      <c r="B1482" s="209"/>
      <c r="C1482" s="209"/>
      <c r="D1482" s="209"/>
      <c r="E1482" s="209"/>
      <c r="F1482" s="209"/>
      <c r="G1482" s="209"/>
      <c r="H1482" s="209"/>
      <c r="I1482" s="209"/>
      <c r="J1482" s="209"/>
      <c r="K1482" s="209"/>
      <c r="L1482" s="209"/>
      <c r="M1482" s="209"/>
      <c r="N1482" s="209"/>
      <c r="O1482" s="209"/>
      <c r="P1482" s="209"/>
      <c r="Q1482" s="209"/>
      <c r="R1482" s="209"/>
      <c r="S1482" s="209"/>
      <c r="T1482" s="209"/>
      <c r="U1482" s="209"/>
      <c r="V1482" s="209"/>
      <c r="W1482" s="209"/>
      <c r="X1482" s="209"/>
      <c r="Y1482" s="209"/>
      <c r="Z1482" s="209"/>
      <c r="AA1482" s="209"/>
      <c r="AB1482" s="209"/>
      <c r="AC1482" s="209"/>
      <c r="AD1482" s="209"/>
      <c r="AE1482" s="209"/>
      <c r="AF1482" s="209"/>
      <c r="AG1482" s="209"/>
      <c r="AH1482" s="209"/>
      <c r="AI1482" s="209"/>
      <c r="AJ1482" s="209"/>
      <c r="AK1482" s="209"/>
      <c r="AL1482" s="209"/>
      <c r="AM1482" s="209"/>
      <c r="AN1482" s="209"/>
      <c r="AO1482" s="209"/>
      <c r="AP1482" s="209"/>
    </row>
    <row r="1483">
      <c r="A1483" s="209"/>
      <c r="B1483" s="209"/>
      <c r="C1483" s="209"/>
      <c r="D1483" s="209"/>
      <c r="E1483" s="209"/>
      <c r="F1483" s="209"/>
      <c r="G1483" s="209"/>
      <c r="H1483" s="209"/>
      <c r="I1483" s="209"/>
      <c r="J1483" s="209"/>
      <c r="K1483" s="209"/>
      <c r="L1483" s="209"/>
      <c r="M1483" s="209"/>
      <c r="N1483" s="209"/>
      <c r="O1483" s="209"/>
      <c r="P1483" s="209"/>
      <c r="Q1483" s="209"/>
      <c r="R1483" s="209"/>
      <c r="S1483" s="209"/>
      <c r="T1483" s="209"/>
      <c r="U1483" s="209"/>
      <c r="V1483" s="209"/>
      <c r="W1483" s="209"/>
      <c r="X1483" s="209"/>
      <c r="Y1483" s="209"/>
      <c r="Z1483" s="209"/>
      <c r="AA1483" s="209"/>
      <c r="AB1483" s="209"/>
      <c r="AC1483" s="209"/>
      <c r="AD1483" s="209"/>
      <c r="AE1483" s="209"/>
      <c r="AF1483" s="209"/>
      <c r="AG1483" s="209"/>
      <c r="AH1483" s="209"/>
      <c r="AI1483" s="209"/>
      <c r="AJ1483" s="209"/>
      <c r="AK1483" s="209"/>
      <c r="AL1483" s="209"/>
      <c r="AM1483" s="209"/>
      <c r="AN1483" s="209"/>
      <c r="AO1483" s="209"/>
      <c r="AP1483" s="209"/>
    </row>
    <row r="1484">
      <c r="A1484" s="209"/>
      <c r="B1484" s="209"/>
      <c r="C1484" s="209"/>
      <c r="D1484" s="209"/>
      <c r="E1484" s="209"/>
      <c r="F1484" s="209"/>
      <c r="G1484" s="209"/>
      <c r="H1484" s="209"/>
      <c r="I1484" s="209"/>
      <c r="J1484" s="209"/>
      <c r="K1484" s="209"/>
      <c r="L1484" s="209"/>
      <c r="M1484" s="209"/>
      <c r="N1484" s="209"/>
      <c r="O1484" s="209"/>
      <c r="P1484" s="209"/>
      <c r="Q1484" s="209"/>
      <c r="R1484" s="209"/>
      <c r="S1484" s="209"/>
      <c r="T1484" s="209"/>
      <c r="U1484" s="209"/>
      <c r="V1484" s="209"/>
      <c r="W1484" s="209"/>
      <c r="X1484" s="209"/>
      <c r="Y1484" s="209"/>
      <c r="Z1484" s="209"/>
      <c r="AA1484" s="209"/>
      <c r="AB1484" s="209"/>
      <c r="AC1484" s="209"/>
      <c r="AD1484" s="209"/>
      <c r="AE1484" s="209"/>
      <c r="AF1484" s="209"/>
      <c r="AG1484" s="209"/>
      <c r="AH1484" s="209"/>
      <c r="AI1484" s="209"/>
      <c r="AJ1484" s="209"/>
      <c r="AK1484" s="209"/>
      <c r="AL1484" s="209"/>
      <c r="AM1484" s="209"/>
      <c r="AN1484" s="209"/>
      <c r="AO1484" s="209"/>
      <c r="AP1484" s="209"/>
    </row>
    <row r="1485">
      <c r="A1485" s="209"/>
      <c r="B1485" s="209"/>
      <c r="C1485" s="209"/>
      <c r="D1485" s="209"/>
      <c r="E1485" s="209"/>
      <c r="F1485" s="209"/>
      <c r="G1485" s="209"/>
      <c r="H1485" s="209"/>
      <c r="I1485" s="209"/>
      <c r="J1485" s="209"/>
      <c r="K1485" s="209"/>
      <c r="L1485" s="209"/>
      <c r="M1485" s="209"/>
      <c r="N1485" s="209"/>
      <c r="O1485" s="209"/>
      <c r="P1485" s="209"/>
      <c r="Q1485" s="209"/>
      <c r="R1485" s="209"/>
      <c r="S1485" s="209"/>
      <c r="T1485" s="209"/>
      <c r="U1485" s="209"/>
      <c r="V1485" s="209"/>
      <c r="W1485" s="209"/>
      <c r="X1485" s="209"/>
      <c r="Y1485" s="209"/>
      <c r="Z1485" s="209"/>
      <c r="AA1485" s="209"/>
      <c r="AB1485" s="209"/>
      <c r="AC1485" s="209"/>
      <c r="AD1485" s="209"/>
      <c r="AE1485" s="209"/>
      <c r="AF1485" s="209"/>
      <c r="AG1485" s="209"/>
      <c r="AH1485" s="209"/>
      <c r="AI1485" s="209"/>
      <c r="AJ1485" s="209"/>
      <c r="AK1485" s="209"/>
      <c r="AL1485" s="209"/>
      <c r="AM1485" s="209"/>
      <c r="AN1485" s="209"/>
      <c r="AO1485" s="209"/>
      <c r="AP1485" s="209"/>
    </row>
    <row r="1486">
      <c r="A1486" s="209"/>
      <c r="B1486" s="209"/>
      <c r="C1486" s="209"/>
      <c r="D1486" s="209"/>
      <c r="E1486" s="209"/>
      <c r="F1486" s="209"/>
      <c r="G1486" s="209"/>
      <c r="H1486" s="209"/>
      <c r="I1486" s="209"/>
      <c r="J1486" s="209"/>
      <c r="K1486" s="209"/>
      <c r="L1486" s="209"/>
      <c r="M1486" s="209"/>
      <c r="N1486" s="209"/>
      <c r="O1486" s="209"/>
      <c r="P1486" s="209"/>
      <c r="Q1486" s="209"/>
      <c r="R1486" s="209"/>
      <c r="S1486" s="209"/>
      <c r="T1486" s="209"/>
      <c r="U1486" s="209"/>
      <c r="V1486" s="209"/>
      <c r="W1486" s="209"/>
      <c r="X1486" s="209"/>
      <c r="Y1486" s="209"/>
      <c r="Z1486" s="209"/>
      <c r="AA1486" s="209"/>
      <c r="AB1486" s="209"/>
      <c r="AC1486" s="209"/>
      <c r="AD1486" s="209"/>
      <c r="AE1486" s="209"/>
      <c r="AF1486" s="209"/>
      <c r="AG1486" s="209"/>
      <c r="AH1486" s="209"/>
      <c r="AI1486" s="209"/>
      <c r="AJ1486" s="209"/>
      <c r="AK1486" s="209"/>
      <c r="AL1486" s="209"/>
      <c r="AM1486" s="209"/>
      <c r="AN1486" s="209"/>
      <c r="AO1486" s="209"/>
      <c r="AP1486" s="209"/>
    </row>
    <row r="1487">
      <c r="A1487" s="209"/>
      <c r="B1487" s="209"/>
      <c r="C1487" s="209"/>
      <c r="D1487" s="209"/>
      <c r="E1487" s="209"/>
      <c r="F1487" s="209"/>
      <c r="G1487" s="209"/>
      <c r="H1487" s="209"/>
      <c r="I1487" s="209"/>
      <c r="J1487" s="209"/>
      <c r="K1487" s="209"/>
      <c r="L1487" s="209"/>
      <c r="M1487" s="209"/>
      <c r="N1487" s="209"/>
      <c r="O1487" s="209"/>
      <c r="P1487" s="209"/>
      <c r="Q1487" s="209"/>
      <c r="R1487" s="209"/>
      <c r="S1487" s="209"/>
      <c r="T1487" s="209"/>
      <c r="U1487" s="209"/>
      <c r="V1487" s="209"/>
      <c r="W1487" s="209"/>
      <c r="X1487" s="209"/>
      <c r="Y1487" s="209"/>
      <c r="Z1487" s="209"/>
      <c r="AA1487" s="209"/>
      <c r="AB1487" s="209"/>
      <c r="AC1487" s="209"/>
      <c r="AD1487" s="209"/>
      <c r="AE1487" s="209"/>
      <c r="AF1487" s="209"/>
      <c r="AG1487" s="209"/>
      <c r="AH1487" s="209"/>
      <c r="AI1487" s="209"/>
      <c r="AJ1487" s="209"/>
      <c r="AK1487" s="209"/>
      <c r="AL1487" s="209"/>
      <c r="AM1487" s="209"/>
      <c r="AN1487" s="209"/>
      <c r="AO1487" s="209"/>
      <c r="AP1487" s="209"/>
    </row>
    <row r="1488">
      <c r="A1488" s="209"/>
      <c r="B1488" s="209"/>
      <c r="C1488" s="209"/>
      <c r="D1488" s="209"/>
      <c r="E1488" s="209"/>
      <c r="F1488" s="209"/>
      <c r="G1488" s="209"/>
      <c r="H1488" s="209"/>
      <c r="I1488" s="209"/>
      <c r="J1488" s="209"/>
      <c r="K1488" s="209"/>
      <c r="L1488" s="209"/>
      <c r="M1488" s="209"/>
      <c r="N1488" s="209"/>
      <c r="O1488" s="209"/>
      <c r="P1488" s="209"/>
      <c r="Q1488" s="209"/>
      <c r="R1488" s="209"/>
      <c r="S1488" s="209"/>
      <c r="T1488" s="209"/>
      <c r="U1488" s="209"/>
      <c r="V1488" s="209"/>
      <c r="W1488" s="209"/>
      <c r="X1488" s="209"/>
      <c r="Y1488" s="209"/>
      <c r="Z1488" s="209"/>
      <c r="AA1488" s="209"/>
      <c r="AB1488" s="209"/>
      <c r="AC1488" s="209"/>
      <c r="AD1488" s="209"/>
      <c r="AE1488" s="209"/>
      <c r="AF1488" s="209"/>
      <c r="AG1488" s="209"/>
      <c r="AH1488" s="209"/>
      <c r="AI1488" s="209"/>
      <c r="AJ1488" s="209"/>
      <c r="AK1488" s="209"/>
      <c r="AL1488" s="209"/>
      <c r="AM1488" s="209"/>
      <c r="AN1488" s="209"/>
      <c r="AO1488" s="209"/>
      <c r="AP1488" s="209"/>
    </row>
    <row r="1489">
      <c r="A1489" s="209"/>
      <c r="B1489" s="209"/>
      <c r="C1489" s="209"/>
      <c r="D1489" s="209"/>
      <c r="E1489" s="209"/>
      <c r="F1489" s="209"/>
      <c r="G1489" s="209"/>
      <c r="H1489" s="209"/>
      <c r="I1489" s="209"/>
      <c r="J1489" s="209"/>
      <c r="K1489" s="209"/>
      <c r="L1489" s="209"/>
      <c r="M1489" s="209"/>
      <c r="N1489" s="209"/>
      <c r="O1489" s="209"/>
      <c r="P1489" s="209"/>
      <c r="Q1489" s="209"/>
      <c r="R1489" s="209"/>
      <c r="S1489" s="209"/>
      <c r="T1489" s="209"/>
      <c r="U1489" s="209"/>
      <c r="V1489" s="209"/>
      <c r="W1489" s="209"/>
      <c r="X1489" s="209"/>
      <c r="Y1489" s="209"/>
      <c r="Z1489" s="209"/>
      <c r="AA1489" s="209"/>
      <c r="AB1489" s="209"/>
      <c r="AC1489" s="209"/>
      <c r="AD1489" s="209"/>
      <c r="AE1489" s="209"/>
      <c r="AF1489" s="209"/>
      <c r="AG1489" s="209"/>
      <c r="AH1489" s="209"/>
      <c r="AI1489" s="209"/>
      <c r="AJ1489" s="209"/>
      <c r="AK1489" s="209"/>
      <c r="AL1489" s="209"/>
      <c r="AM1489" s="209"/>
      <c r="AN1489" s="209"/>
      <c r="AO1489" s="209"/>
      <c r="AP1489" s="209"/>
    </row>
    <row r="1490">
      <c r="A1490" s="209"/>
      <c r="B1490" s="209"/>
      <c r="C1490" s="209"/>
      <c r="D1490" s="209"/>
      <c r="E1490" s="209"/>
      <c r="F1490" s="209"/>
      <c r="G1490" s="209"/>
      <c r="H1490" s="209"/>
      <c r="I1490" s="209"/>
      <c r="J1490" s="209"/>
      <c r="K1490" s="209"/>
      <c r="L1490" s="209"/>
      <c r="M1490" s="209"/>
      <c r="N1490" s="209"/>
      <c r="O1490" s="209"/>
      <c r="P1490" s="209"/>
      <c r="Q1490" s="209"/>
      <c r="R1490" s="209"/>
      <c r="S1490" s="209"/>
      <c r="T1490" s="209"/>
      <c r="U1490" s="209"/>
      <c r="V1490" s="209"/>
      <c r="W1490" s="209"/>
      <c r="X1490" s="209"/>
      <c r="Y1490" s="209"/>
      <c r="Z1490" s="209"/>
      <c r="AA1490" s="209"/>
      <c r="AB1490" s="209"/>
      <c r="AC1490" s="209"/>
      <c r="AD1490" s="209"/>
      <c r="AE1490" s="209"/>
      <c r="AF1490" s="209"/>
      <c r="AG1490" s="209"/>
      <c r="AH1490" s="209"/>
      <c r="AI1490" s="209"/>
      <c r="AJ1490" s="209"/>
      <c r="AK1490" s="209"/>
      <c r="AL1490" s="209"/>
      <c r="AM1490" s="209"/>
      <c r="AN1490" s="209"/>
      <c r="AO1490" s="209"/>
      <c r="AP1490" s="209"/>
    </row>
    <row r="1491">
      <c r="A1491" s="209"/>
      <c r="B1491" s="209"/>
      <c r="C1491" s="209"/>
      <c r="D1491" s="209"/>
      <c r="E1491" s="209"/>
      <c r="F1491" s="209"/>
      <c r="G1491" s="209"/>
      <c r="H1491" s="209"/>
      <c r="I1491" s="209"/>
      <c r="J1491" s="209"/>
      <c r="K1491" s="209"/>
      <c r="L1491" s="209"/>
      <c r="M1491" s="209"/>
      <c r="N1491" s="209"/>
      <c r="O1491" s="209"/>
      <c r="P1491" s="209"/>
      <c r="Q1491" s="209"/>
      <c r="R1491" s="209"/>
      <c r="S1491" s="209"/>
      <c r="T1491" s="209"/>
      <c r="U1491" s="209"/>
      <c r="V1491" s="209"/>
      <c r="W1491" s="209"/>
      <c r="X1491" s="209"/>
      <c r="Y1491" s="209"/>
      <c r="Z1491" s="209"/>
      <c r="AA1491" s="209"/>
      <c r="AB1491" s="209"/>
      <c r="AC1491" s="209"/>
      <c r="AD1491" s="209"/>
      <c r="AE1491" s="209"/>
      <c r="AF1491" s="209"/>
      <c r="AG1491" s="209"/>
      <c r="AH1491" s="209"/>
      <c r="AI1491" s="209"/>
      <c r="AJ1491" s="209"/>
      <c r="AK1491" s="209"/>
      <c r="AL1491" s="209"/>
      <c r="AM1491" s="209"/>
      <c r="AN1491" s="209"/>
      <c r="AO1491" s="209"/>
      <c r="AP1491" s="209"/>
    </row>
    <row r="1492">
      <c r="A1492" s="209"/>
      <c r="B1492" s="209"/>
      <c r="C1492" s="209"/>
      <c r="D1492" s="209"/>
      <c r="E1492" s="209"/>
      <c r="F1492" s="209"/>
      <c r="G1492" s="209"/>
      <c r="H1492" s="209"/>
      <c r="I1492" s="209"/>
      <c r="J1492" s="209"/>
      <c r="K1492" s="209"/>
      <c r="L1492" s="209"/>
      <c r="M1492" s="209"/>
      <c r="N1492" s="209"/>
      <c r="O1492" s="209"/>
      <c r="P1492" s="209"/>
      <c r="Q1492" s="209"/>
      <c r="R1492" s="209"/>
      <c r="S1492" s="209"/>
      <c r="T1492" s="209"/>
      <c r="U1492" s="209"/>
      <c r="V1492" s="209"/>
      <c r="W1492" s="209"/>
      <c r="X1492" s="209"/>
      <c r="Y1492" s="209"/>
      <c r="Z1492" s="209"/>
      <c r="AA1492" s="209"/>
      <c r="AB1492" s="209"/>
      <c r="AC1492" s="209"/>
      <c r="AD1492" s="209"/>
      <c r="AE1492" s="209"/>
      <c r="AF1492" s="209"/>
      <c r="AG1492" s="209"/>
      <c r="AH1492" s="209"/>
      <c r="AI1492" s="209"/>
      <c r="AJ1492" s="209"/>
      <c r="AK1492" s="209"/>
      <c r="AL1492" s="209"/>
      <c r="AM1492" s="209"/>
      <c r="AN1492" s="209"/>
      <c r="AO1492" s="209"/>
      <c r="AP1492" s="209"/>
    </row>
    <row r="1493">
      <c r="A1493" s="209"/>
      <c r="B1493" s="209"/>
      <c r="C1493" s="209"/>
      <c r="D1493" s="209"/>
      <c r="E1493" s="209"/>
      <c r="F1493" s="209"/>
      <c r="G1493" s="209"/>
      <c r="H1493" s="209"/>
      <c r="I1493" s="209"/>
      <c r="J1493" s="209"/>
      <c r="K1493" s="209"/>
      <c r="L1493" s="209"/>
      <c r="M1493" s="209"/>
      <c r="N1493" s="209"/>
      <c r="O1493" s="209"/>
      <c r="P1493" s="209"/>
      <c r="Q1493" s="209"/>
      <c r="R1493" s="209"/>
      <c r="S1493" s="209"/>
      <c r="T1493" s="209"/>
      <c r="U1493" s="209"/>
      <c r="V1493" s="209"/>
      <c r="W1493" s="209"/>
      <c r="X1493" s="209"/>
      <c r="Y1493" s="209"/>
      <c r="Z1493" s="209"/>
      <c r="AA1493" s="209"/>
      <c r="AB1493" s="209"/>
      <c r="AC1493" s="209"/>
      <c r="AD1493" s="209"/>
      <c r="AE1493" s="209"/>
      <c r="AF1493" s="209"/>
      <c r="AG1493" s="209"/>
      <c r="AH1493" s="209"/>
      <c r="AI1493" s="209"/>
      <c r="AJ1493" s="209"/>
      <c r="AK1493" s="209"/>
      <c r="AL1493" s="209"/>
      <c r="AM1493" s="209"/>
      <c r="AN1493" s="209"/>
      <c r="AO1493" s="209"/>
      <c r="AP1493" s="209"/>
    </row>
    <row r="1494">
      <c r="A1494" s="209"/>
      <c r="B1494" s="209"/>
      <c r="C1494" s="209"/>
      <c r="D1494" s="209"/>
      <c r="E1494" s="209"/>
      <c r="F1494" s="209"/>
      <c r="G1494" s="209"/>
      <c r="H1494" s="209"/>
      <c r="I1494" s="209"/>
      <c r="J1494" s="209"/>
      <c r="K1494" s="209"/>
      <c r="L1494" s="209"/>
      <c r="M1494" s="209"/>
      <c r="N1494" s="209"/>
      <c r="O1494" s="209"/>
      <c r="P1494" s="209"/>
      <c r="Q1494" s="209"/>
      <c r="R1494" s="209"/>
      <c r="S1494" s="209"/>
      <c r="T1494" s="209"/>
      <c r="U1494" s="209"/>
      <c r="V1494" s="209"/>
      <c r="W1494" s="209"/>
      <c r="X1494" s="209"/>
      <c r="Y1494" s="209"/>
      <c r="Z1494" s="209"/>
      <c r="AA1494" s="209"/>
      <c r="AB1494" s="209"/>
      <c r="AC1494" s="209"/>
      <c r="AD1494" s="209"/>
      <c r="AE1494" s="209"/>
      <c r="AF1494" s="209"/>
      <c r="AG1494" s="209"/>
      <c r="AH1494" s="209"/>
      <c r="AI1494" s="209"/>
      <c r="AJ1494" s="209"/>
      <c r="AK1494" s="209"/>
      <c r="AL1494" s="209"/>
      <c r="AM1494" s="209"/>
      <c r="AN1494" s="209"/>
      <c r="AO1494" s="209"/>
      <c r="AP1494" s="209"/>
    </row>
    <row r="1495">
      <c r="A1495" s="209"/>
      <c r="B1495" s="209"/>
      <c r="C1495" s="209"/>
      <c r="D1495" s="209"/>
      <c r="E1495" s="209"/>
      <c r="F1495" s="209"/>
      <c r="G1495" s="209"/>
      <c r="H1495" s="209"/>
      <c r="I1495" s="209"/>
      <c r="J1495" s="209"/>
      <c r="K1495" s="209"/>
      <c r="L1495" s="209"/>
      <c r="M1495" s="209"/>
      <c r="N1495" s="209"/>
      <c r="O1495" s="209"/>
      <c r="P1495" s="209"/>
      <c r="Q1495" s="209"/>
      <c r="R1495" s="209"/>
      <c r="S1495" s="209"/>
      <c r="T1495" s="209"/>
      <c r="U1495" s="209"/>
      <c r="V1495" s="209"/>
      <c r="W1495" s="209"/>
      <c r="X1495" s="209"/>
      <c r="Y1495" s="209"/>
      <c r="Z1495" s="209"/>
      <c r="AA1495" s="209"/>
      <c r="AB1495" s="209"/>
      <c r="AC1495" s="209"/>
      <c r="AD1495" s="209"/>
      <c r="AE1495" s="209"/>
      <c r="AF1495" s="209"/>
      <c r="AG1495" s="209"/>
      <c r="AH1495" s="209"/>
      <c r="AI1495" s="209"/>
      <c r="AJ1495" s="209"/>
      <c r="AK1495" s="209"/>
      <c r="AL1495" s="209"/>
      <c r="AM1495" s="209"/>
      <c r="AN1495" s="209"/>
      <c r="AO1495" s="209"/>
      <c r="AP1495" s="209"/>
    </row>
    <row r="1496">
      <c r="A1496" s="209"/>
      <c r="B1496" s="209"/>
      <c r="C1496" s="209"/>
      <c r="D1496" s="209"/>
      <c r="E1496" s="209"/>
      <c r="F1496" s="209"/>
      <c r="G1496" s="209"/>
      <c r="H1496" s="209"/>
      <c r="I1496" s="209"/>
      <c r="J1496" s="209"/>
      <c r="K1496" s="209"/>
      <c r="L1496" s="209"/>
      <c r="M1496" s="209"/>
      <c r="N1496" s="209"/>
      <c r="O1496" s="209"/>
      <c r="P1496" s="209"/>
      <c r="Q1496" s="209"/>
      <c r="R1496" s="209"/>
      <c r="S1496" s="209"/>
      <c r="T1496" s="209"/>
      <c r="U1496" s="209"/>
      <c r="V1496" s="209"/>
      <c r="W1496" s="209"/>
      <c r="X1496" s="209"/>
      <c r="Y1496" s="209"/>
      <c r="Z1496" s="209"/>
      <c r="AA1496" s="209"/>
      <c r="AB1496" s="209"/>
      <c r="AC1496" s="209"/>
      <c r="AD1496" s="209"/>
      <c r="AE1496" s="209"/>
      <c r="AF1496" s="209"/>
      <c r="AG1496" s="209"/>
      <c r="AH1496" s="209"/>
      <c r="AI1496" s="209"/>
      <c r="AJ1496" s="209"/>
      <c r="AK1496" s="209"/>
      <c r="AL1496" s="209"/>
      <c r="AM1496" s="209"/>
      <c r="AN1496" s="209"/>
      <c r="AO1496" s="209"/>
      <c r="AP1496" s="209"/>
    </row>
    <row r="1497">
      <c r="A1497" s="209"/>
      <c r="B1497" s="209"/>
      <c r="C1497" s="209"/>
      <c r="D1497" s="209"/>
      <c r="E1497" s="209"/>
      <c r="F1497" s="209"/>
      <c r="G1497" s="209"/>
      <c r="H1497" s="209"/>
      <c r="I1497" s="209"/>
      <c r="J1497" s="209"/>
      <c r="K1497" s="209"/>
      <c r="L1497" s="209"/>
      <c r="M1497" s="209"/>
      <c r="N1497" s="209"/>
      <c r="O1497" s="209"/>
      <c r="P1497" s="209"/>
      <c r="Q1497" s="209"/>
      <c r="R1497" s="209"/>
      <c r="S1497" s="209"/>
      <c r="T1497" s="209"/>
      <c r="U1497" s="209"/>
      <c r="V1497" s="209"/>
      <c r="W1497" s="209"/>
      <c r="X1497" s="209"/>
      <c r="Y1497" s="209"/>
      <c r="Z1497" s="209"/>
      <c r="AA1497" s="209"/>
      <c r="AB1497" s="209"/>
      <c r="AC1497" s="209"/>
      <c r="AD1497" s="209"/>
      <c r="AE1497" s="209"/>
      <c r="AF1497" s="209"/>
      <c r="AG1497" s="209"/>
      <c r="AH1497" s="209"/>
      <c r="AI1497" s="209"/>
      <c r="AJ1497" s="209"/>
      <c r="AK1497" s="209"/>
      <c r="AL1497" s="209"/>
      <c r="AM1497" s="209"/>
      <c r="AN1497" s="209"/>
      <c r="AO1497" s="209"/>
      <c r="AP1497" s="209"/>
    </row>
    <row r="1498">
      <c r="A1498" s="209"/>
      <c r="B1498" s="209"/>
      <c r="C1498" s="209"/>
      <c r="D1498" s="209"/>
      <c r="E1498" s="209"/>
      <c r="F1498" s="209"/>
      <c r="G1498" s="209"/>
      <c r="H1498" s="209"/>
      <c r="I1498" s="209"/>
      <c r="J1498" s="209"/>
      <c r="K1498" s="209"/>
      <c r="L1498" s="209"/>
      <c r="M1498" s="209"/>
      <c r="N1498" s="209"/>
      <c r="O1498" s="209"/>
      <c r="P1498" s="209"/>
      <c r="Q1498" s="209"/>
      <c r="R1498" s="209"/>
      <c r="S1498" s="209"/>
      <c r="T1498" s="209"/>
      <c r="U1498" s="209"/>
      <c r="V1498" s="209"/>
      <c r="W1498" s="209"/>
      <c r="X1498" s="209"/>
      <c r="Y1498" s="209"/>
      <c r="Z1498" s="209"/>
      <c r="AA1498" s="209"/>
      <c r="AB1498" s="209"/>
      <c r="AC1498" s="209"/>
      <c r="AD1498" s="209"/>
      <c r="AE1498" s="209"/>
      <c r="AF1498" s="209"/>
      <c r="AG1498" s="209"/>
      <c r="AH1498" s="209"/>
      <c r="AI1498" s="209"/>
      <c r="AJ1498" s="209"/>
      <c r="AK1498" s="209"/>
      <c r="AL1498" s="209"/>
      <c r="AM1498" s="209"/>
      <c r="AN1498" s="209"/>
      <c r="AO1498" s="209"/>
      <c r="AP1498" s="209"/>
    </row>
    <row r="1499">
      <c r="A1499" s="209"/>
      <c r="B1499" s="209"/>
      <c r="C1499" s="209"/>
      <c r="D1499" s="209"/>
      <c r="E1499" s="209"/>
      <c r="F1499" s="209"/>
      <c r="G1499" s="209"/>
      <c r="H1499" s="209"/>
      <c r="I1499" s="209"/>
      <c r="J1499" s="209"/>
      <c r="K1499" s="209"/>
      <c r="L1499" s="209"/>
      <c r="M1499" s="209"/>
      <c r="N1499" s="209"/>
      <c r="O1499" s="209"/>
      <c r="P1499" s="209"/>
      <c r="Q1499" s="209"/>
      <c r="R1499" s="209"/>
      <c r="S1499" s="209"/>
      <c r="T1499" s="209"/>
      <c r="U1499" s="209"/>
      <c r="V1499" s="209"/>
      <c r="W1499" s="209"/>
      <c r="X1499" s="209"/>
      <c r="Y1499" s="209"/>
      <c r="Z1499" s="209"/>
      <c r="AA1499" s="209"/>
      <c r="AB1499" s="209"/>
      <c r="AC1499" s="209"/>
      <c r="AD1499" s="209"/>
      <c r="AE1499" s="209"/>
      <c r="AF1499" s="209"/>
      <c r="AG1499" s="209"/>
      <c r="AH1499" s="209"/>
      <c r="AI1499" s="209"/>
      <c r="AJ1499" s="209"/>
      <c r="AK1499" s="209"/>
      <c r="AL1499" s="209"/>
      <c r="AM1499" s="209"/>
      <c r="AN1499" s="209"/>
      <c r="AO1499" s="209"/>
      <c r="AP1499" s="209"/>
    </row>
    <row r="1500">
      <c r="A1500" s="209"/>
      <c r="B1500" s="209"/>
      <c r="C1500" s="209"/>
      <c r="D1500" s="209"/>
      <c r="E1500" s="209"/>
      <c r="F1500" s="209"/>
      <c r="G1500" s="209"/>
      <c r="H1500" s="209"/>
      <c r="I1500" s="209"/>
      <c r="J1500" s="209"/>
      <c r="K1500" s="209"/>
      <c r="L1500" s="209"/>
      <c r="M1500" s="209"/>
      <c r="N1500" s="209"/>
      <c r="O1500" s="209"/>
      <c r="P1500" s="209"/>
      <c r="Q1500" s="209"/>
      <c r="R1500" s="209"/>
      <c r="S1500" s="209"/>
      <c r="T1500" s="209"/>
      <c r="U1500" s="209"/>
      <c r="V1500" s="209"/>
      <c r="W1500" s="209"/>
      <c r="X1500" s="209"/>
      <c r="Y1500" s="209"/>
      <c r="Z1500" s="209"/>
      <c r="AA1500" s="209"/>
      <c r="AB1500" s="209"/>
      <c r="AC1500" s="209"/>
      <c r="AD1500" s="209"/>
      <c r="AE1500" s="209"/>
      <c r="AF1500" s="209"/>
      <c r="AG1500" s="209"/>
      <c r="AH1500" s="209"/>
      <c r="AI1500" s="209"/>
      <c r="AJ1500" s="209"/>
      <c r="AK1500" s="209"/>
      <c r="AL1500" s="209"/>
      <c r="AM1500" s="209"/>
      <c r="AN1500" s="209"/>
      <c r="AO1500" s="209"/>
      <c r="AP1500" s="209"/>
    </row>
    <row r="1501">
      <c r="A1501" s="209"/>
      <c r="B1501" s="209"/>
      <c r="C1501" s="209"/>
      <c r="D1501" s="209"/>
      <c r="E1501" s="209"/>
      <c r="F1501" s="209"/>
      <c r="G1501" s="209"/>
      <c r="H1501" s="209"/>
      <c r="I1501" s="209"/>
      <c r="J1501" s="209"/>
      <c r="K1501" s="209"/>
      <c r="L1501" s="209"/>
      <c r="M1501" s="209"/>
      <c r="N1501" s="209"/>
      <c r="O1501" s="209"/>
      <c r="P1501" s="209"/>
      <c r="Q1501" s="209"/>
      <c r="R1501" s="209"/>
      <c r="S1501" s="209"/>
      <c r="T1501" s="209"/>
      <c r="U1501" s="209"/>
      <c r="V1501" s="209"/>
      <c r="W1501" s="209"/>
      <c r="X1501" s="209"/>
      <c r="Y1501" s="209"/>
      <c r="Z1501" s="209"/>
      <c r="AA1501" s="209"/>
      <c r="AB1501" s="209"/>
      <c r="AC1501" s="209"/>
      <c r="AD1501" s="209"/>
      <c r="AE1501" s="209"/>
      <c r="AF1501" s="209"/>
      <c r="AG1501" s="209"/>
      <c r="AH1501" s="209"/>
      <c r="AI1501" s="209"/>
      <c r="AJ1501" s="209"/>
      <c r="AK1501" s="209"/>
      <c r="AL1501" s="209"/>
      <c r="AM1501" s="209"/>
      <c r="AN1501" s="209"/>
      <c r="AO1501" s="209"/>
      <c r="AP1501" s="209"/>
    </row>
    <row r="1502">
      <c r="A1502" s="209"/>
      <c r="B1502" s="209"/>
      <c r="C1502" s="209"/>
      <c r="D1502" s="209"/>
      <c r="E1502" s="209"/>
      <c r="F1502" s="209"/>
      <c r="G1502" s="209"/>
      <c r="H1502" s="209"/>
      <c r="I1502" s="209"/>
      <c r="J1502" s="209"/>
      <c r="K1502" s="209"/>
      <c r="L1502" s="209"/>
      <c r="M1502" s="209"/>
      <c r="N1502" s="209"/>
      <c r="O1502" s="209"/>
      <c r="P1502" s="209"/>
      <c r="Q1502" s="209"/>
      <c r="R1502" s="209"/>
      <c r="S1502" s="209"/>
      <c r="T1502" s="209"/>
      <c r="U1502" s="209"/>
      <c r="V1502" s="209"/>
      <c r="W1502" s="209"/>
      <c r="X1502" s="209"/>
      <c r="Y1502" s="209"/>
      <c r="Z1502" s="209"/>
      <c r="AA1502" s="209"/>
      <c r="AB1502" s="209"/>
      <c r="AC1502" s="209"/>
      <c r="AD1502" s="209"/>
      <c r="AE1502" s="209"/>
      <c r="AF1502" s="209"/>
      <c r="AG1502" s="209"/>
      <c r="AH1502" s="209"/>
      <c r="AI1502" s="209"/>
      <c r="AJ1502" s="209"/>
      <c r="AK1502" s="209"/>
      <c r="AL1502" s="209"/>
      <c r="AM1502" s="209"/>
      <c r="AN1502" s="209"/>
      <c r="AO1502" s="209"/>
      <c r="AP1502" s="209"/>
    </row>
    <row r="1503">
      <c r="A1503" s="209"/>
      <c r="B1503" s="209"/>
      <c r="C1503" s="209"/>
      <c r="D1503" s="209"/>
      <c r="E1503" s="209"/>
      <c r="F1503" s="209"/>
      <c r="G1503" s="209"/>
      <c r="H1503" s="209"/>
      <c r="I1503" s="209"/>
      <c r="J1503" s="209"/>
      <c r="K1503" s="209"/>
      <c r="L1503" s="209"/>
      <c r="M1503" s="209"/>
      <c r="N1503" s="209"/>
      <c r="O1503" s="209"/>
      <c r="P1503" s="209"/>
      <c r="Q1503" s="209"/>
      <c r="R1503" s="209"/>
      <c r="S1503" s="209"/>
      <c r="T1503" s="209"/>
      <c r="U1503" s="209"/>
      <c r="V1503" s="209"/>
      <c r="W1503" s="209"/>
      <c r="X1503" s="209"/>
      <c r="Y1503" s="209"/>
      <c r="Z1503" s="209"/>
      <c r="AA1503" s="209"/>
      <c r="AB1503" s="209"/>
      <c r="AC1503" s="209"/>
      <c r="AD1503" s="209"/>
      <c r="AE1503" s="209"/>
      <c r="AF1503" s="209"/>
      <c r="AG1503" s="209"/>
      <c r="AH1503" s="209"/>
      <c r="AI1503" s="209"/>
      <c r="AJ1503" s="209"/>
      <c r="AK1503" s="209"/>
      <c r="AL1503" s="209"/>
      <c r="AM1503" s="209"/>
      <c r="AN1503" s="209"/>
      <c r="AO1503" s="209"/>
      <c r="AP1503" s="209"/>
    </row>
    <row r="1504">
      <c r="A1504" s="209"/>
      <c r="B1504" s="209"/>
      <c r="C1504" s="209"/>
      <c r="D1504" s="209"/>
      <c r="E1504" s="209"/>
      <c r="F1504" s="209"/>
      <c r="G1504" s="209"/>
      <c r="H1504" s="209"/>
      <c r="I1504" s="209"/>
      <c r="J1504" s="209"/>
      <c r="K1504" s="209"/>
      <c r="L1504" s="209"/>
      <c r="M1504" s="209"/>
      <c r="N1504" s="209"/>
      <c r="O1504" s="209"/>
      <c r="P1504" s="209"/>
      <c r="Q1504" s="209"/>
      <c r="R1504" s="209"/>
      <c r="S1504" s="209"/>
      <c r="T1504" s="209"/>
      <c r="U1504" s="209"/>
      <c r="V1504" s="209"/>
      <c r="W1504" s="209"/>
      <c r="X1504" s="209"/>
      <c r="Y1504" s="209"/>
      <c r="Z1504" s="209"/>
      <c r="AA1504" s="209"/>
      <c r="AB1504" s="209"/>
      <c r="AC1504" s="209"/>
      <c r="AD1504" s="209"/>
      <c r="AE1504" s="209"/>
      <c r="AF1504" s="209"/>
      <c r="AG1504" s="209"/>
      <c r="AH1504" s="209"/>
      <c r="AI1504" s="209"/>
      <c r="AJ1504" s="209"/>
      <c r="AK1504" s="209"/>
      <c r="AL1504" s="209"/>
      <c r="AM1504" s="209"/>
      <c r="AN1504" s="209"/>
      <c r="AO1504" s="209"/>
      <c r="AP1504" s="209"/>
    </row>
    <row r="1505">
      <c r="A1505" s="209"/>
      <c r="B1505" s="209"/>
      <c r="C1505" s="209"/>
      <c r="D1505" s="209"/>
      <c r="E1505" s="209"/>
      <c r="F1505" s="209"/>
      <c r="G1505" s="209"/>
      <c r="H1505" s="209"/>
      <c r="I1505" s="209"/>
      <c r="J1505" s="209"/>
      <c r="K1505" s="209"/>
      <c r="L1505" s="209"/>
      <c r="M1505" s="209"/>
      <c r="N1505" s="209"/>
      <c r="O1505" s="209"/>
      <c r="P1505" s="209"/>
      <c r="Q1505" s="209"/>
      <c r="R1505" s="209"/>
      <c r="S1505" s="209"/>
      <c r="T1505" s="209"/>
      <c r="U1505" s="209"/>
      <c r="V1505" s="209"/>
      <c r="W1505" s="209"/>
      <c r="X1505" s="209"/>
      <c r="Y1505" s="209"/>
      <c r="Z1505" s="209"/>
      <c r="AA1505" s="209"/>
      <c r="AB1505" s="209"/>
      <c r="AC1505" s="209"/>
      <c r="AD1505" s="209"/>
      <c r="AE1505" s="209"/>
      <c r="AF1505" s="209"/>
      <c r="AG1505" s="209"/>
      <c r="AH1505" s="209"/>
      <c r="AI1505" s="209"/>
      <c r="AJ1505" s="209"/>
      <c r="AK1505" s="209"/>
      <c r="AL1505" s="209"/>
      <c r="AM1505" s="209"/>
      <c r="AN1505" s="209"/>
      <c r="AO1505" s="209"/>
      <c r="AP1505" s="209"/>
    </row>
    <row r="1506">
      <c r="A1506" s="209"/>
      <c r="B1506" s="209"/>
      <c r="C1506" s="209"/>
      <c r="D1506" s="209"/>
      <c r="E1506" s="209"/>
      <c r="F1506" s="209"/>
      <c r="G1506" s="209"/>
      <c r="H1506" s="209"/>
      <c r="I1506" s="209"/>
      <c r="J1506" s="209"/>
      <c r="K1506" s="209"/>
      <c r="L1506" s="209"/>
      <c r="M1506" s="209"/>
      <c r="N1506" s="209"/>
      <c r="O1506" s="209"/>
      <c r="P1506" s="209"/>
      <c r="Q1506" s="209"/>
      <c r="R1506" s="209"/>
      <c r="S1506" s="209"/>
      <c r="T1506" s="209"/>
      <c r="U1506" s="209"/>
      <c r="V1506" s="209"/>
      <c r="W1506" s="209"/>
      <c r="X1506" s="209"/>
      <c r="Y1506" s="209"/>
      <c r="Z1506" s="209"/>
      <c r="AA1506" s="209"/>
      <c r="AB1506" s="209"/>
      <c r="AC1506" s="209"/>
      <c r="AD1506" s="209"/>
      <c r="AE1506" s="209"/>
      <c r="AF1506" s="209"/>
      <c r="AG1506" s="209"/>
      <c r="AH1506" s="209"/>
      <c r="AI1506" s="209"/>
      <c r="AJ1506" s="209"/>
      <c r="AK1506" s="209"/>
      <c r="AL1506" s="209"/>
      <c r="AM1506" s="209"/>
      <c r="AN1506" s="209"/>
      <c r="AO1506" s="209"/>
      <c r="AP1506" s="209"/>
    </row>
    <row r="1507">
      <c r="A1507" s="209"/>
      <c r="B1507" s="209"/>
      <c r="C1507" s="209"/>
      <c r="D1507" s="209"/>
      <c r="E1507" s="209"/>
      <c r="F1507" s="209"/>
      <c r="G1507" s="209"/>
      <c r="H1507" s="209"/>
      <c r="I1507" s="209"/>
      <c r="J1507" s="209"/>
      <c r="K1507" s="209"/>
      <c r="L1507" s="209"/>
      <c r="M1507" s="209"/>
      <c r="N1507" s="209"/>
      <c r="O1507" s="209"/>
      <c r="P1507" s="209"/>
      <c r="Q1507" s="209"/>
      <c r="R1507" s="209"/>
      <c r="S1507" s="209"/>
      <c r="T1507" s="209"/>
      <c r="U1507" s="209"/>
      <c r="V1507" s="209"/>
      <c r="W1507" s="209"/>
      <c r="X1507" s="209"/>
      <c r="Y1507" s="209"/>
      <c r="Z1507" s="209"/>
      <c r="AA1507" s="209"/>
      <c r="AB1507" s="209"/>
      <c r="AC1507" s="209"/>
      <c r="AD1507" s="209"/>
      <c r="AE1507" s="209"/>
      <c r="AF1507" s="209"/>
      <c r="AG1507" s="209"/>
      <c r="AH1507" s="209"/>
      <c r="AI1507" s="209"/>
      <c r="AJ1507" s="209"/>
      <c r="AK1507" s="209"/>
      <c r="AL1507" s="209"/>
      <c r="AM1507" s="209"/>
      <c r="AN1507" s="209"/>
      <c r="AO1507" s="209"/>
      <c r="AP1507" s="209"/>
    </row>
    <row r="1508">
      <c r="A1508" s="209"/>
      <c r="B1508" s="209"/>
      <c r="C1508" s="209"/>
      <c r="D1508" s="209"/>
      <c r="E1508" s="209"/>
      <c r="F1508" s="209"/>
      <c r="G1508" s="209"/>
      <c r="H1508" s="209"/>
      <c r="I1508" s="209"/>
      <c r="J1508" s="209"/>
      <c r="K1508" s="209"/>
      <c r="L1508" s="209"/>
      <c r="M1508" s="209"/>
      <c r="N1508" s="209"/>
      <c r="O1508" s="209"/>
      <c r="P1508" s="209"/>
      <c r="Q1508" s="209"/>
      <c r="R1508" s="209"/>
      <c r="S1508" s="209"/>
      <c r="T1508" s="209"/>
      <c r="U1508" s="209"/>
      <c r="V1508" s="209"/>
      <c r="W1508" s="209"/>
      <c r="X1508" s="209"/>
      <c r="Y1508" s="209"/>
      <c r="Z1508" s="209"/>
      <c r="AA1508" s="209"/>
      <c r="AB1508" s="209"/>
      <c r="AC1508" s="209"/>
      <c r="AD1508" s="209"/>
      <c r="AE1508" s="209"/>
      <c r="AF1508" s="209"/>
      <c r="AG1508" s="209"/>
      <c r="AH1508" s="209"/>
      <c r="AI1508" s="209"/>
      <c r="AJ1508" s="209"/>
      <c r="AK1508" s="209"/>
      <c r="AL1508" s="209"/>
      <c r="AM1508" s="209"/>
      <c r="AN1508" s="209"/>
      <c r="AO1508" s="209"/>
      <c r="AP1508" s="209"/>
    </row>
    <row r="1509">
      <c r="A1509" s="209"/>
      <c r="B1509" s="209"/>
      <c r="C1509" s="209"/>
      <c r="D1509" s="209"/>
      <c r="E1509" s="209"/>
      <c r="F1509" s="209"/>
      <c r="G1509" s="209"/>
      <c r="H1509" s="209"/>
      <c r="I1509" s="209"/>
      <c r="J1509" s="209"/>
      <c r="K1509" s="209"/>
      <c r="L1509" s="209"/>
      <c r="M1509" s="209"/>
      <c r="N1509" s="209"/>
      <c r="O1509" s="209"/>
      <c r="P1509" s="209"/>
      <c r="Q1509" s="209"/>
      <c r="R1509" s="209"/>
      <c r="S1509" s="209"/>
      <c r="T1509" s="209"/>
      <c r="U1509" s="209"/>
      <c r="V1509" s="209"/>
      <c r="W1509" s="209"/>
      <c r="X1509" s="209"/>
      <c r="Y1509" s="209"/>
      <c r="Z1509" s="209"/>
      <c r="AA1509" s="209"/>
      <c r="AB1509" s="209"/>
      <c r="AC1509" s="209"/>
      <c r="AD1509" s="209"/>
      <c r="AE1509" s="209"/>
      <c r="AF1509" s="209"/>
      <c r="AG1509" s="209"/>
      <c r="AH1509" s="209"/>
      <c r="AI1509" s="209"/>
      <c r="AJ1509" s="209"/>
      <c r="AK1509" s="209"/>
      <c r="AL1509" s="209"/>
      <c r="AM1509" s="209"/>
      <c r="AN1509" s="209"/>
      <c r="AO1509" s="209"/>
      <c r="AP1509" s="209"/>
    </row>
    <row r="1510">
      <c r="A1510" s="209"/>
      <c r="B1510" s="209"/>
      <c r="C1510" s="209"/>
      <c r="D1510" s="209"/>
      <c r="E1510" s="209"/>
      <c r="F1510" s="209"/>
      <c r="G1510" s="209"/>
      <c r="H1510" s="209"/>
      <c r="I1510" s="209"/>
      <c r="J1510" s="209"/>
      <c r="K1510" s="209"/>
      <c r="L1510" s="209"/>
      <c r="M1510" s="209"/>
      <c r="N1510" s="209"/>
      <c r="O1510" s="209"/>
      <c r="P1510" s="209"/>
      <c r="Q1510" s="209"/>
      <c r="R1510" s="209"/>
      <c r="S1510" s="209"/>
      <c r="T1510" s="209"/>
      <c r="U1510" s="209"/>
      <c r="V1510" s="209"/>
      <c r="W1510" s="209"/>
      <c r="X1510" s="209"/>
      <c r="Y1510" s="209"/>
      <c r="Z1510" s="209"/>
      <c r="AA1510" s="209"/>
      <c r="AB1510" s="209"/>
      <c r="AC1510" s="209"/>
      <c r="AD1510" s="209"/>
      <c r="AE1510" s="209"/>
      <c r="AF1510" s="209"/>
      <c r="AG1510" s="209"/>
      <c r="AH1510" s="209"/>
      <c r="AI1510" s="209"/>
      <c r="AJ1510" s="209"/>
      <c r="AK1510" s="209"/>
      <c r="AL1510" s="209"/>
      <c r="AM1510" s="209"/>
      <c r="AN1510" s="209"/>
      <c r="AO1510" s="209"/>
      <c r="AP1510" s="209"/>
    </row>
    <row r="1511">
      <c r="A1511" s="209"/>
      <c r="B1511" s="209"/>
      <c r="C1511" s="209"/>
      <c r="D1511" s="209"/>
      <c r="E1511" s="209"/>
      <c r="F1511" s="209"/>
      <c r="G1511" s="209"/>
      <c r="H1511" s="209"/>
      <c r="I1511" s="209"/>
      <c r="J1511" s="209"/>
      <c r="K1511" s="209"/>
      <c r="L1511" s="209"/>
      <c r="M1511" s="209"/>
      <c r="N1511" s="209"/>
      <c r="O1511" s="209"/>
      <c r="P1511" s="209"/>
      <c r="Q1511" s="209"/>
      <c r="R1511" s="209"/>
      <c r="S1511" s="209"/>
      <c r="T1511" s="209"/>
      <c r="U1511" s="209"/>
      <c r="V1511" s="209"/>
      <c r="W1511" s="209"/>
      <c r="X1511" s="209"/>
      <c r="Y1511" s="209"/>
      <c r="Z1511" s="209"/>
      <c r="AA1511" s="209"/>
      <c r="AB1511" s="209"/>
      <c r="AC1511" s="209"/>
      <c r="AD1511" s="209"/>
      <c r="AE1511" s="209"/>
      <c r="AF1511" s="209"/>
      <c r="AG1511" s="209"/>
      <c r="AH1511" s="209"/>
      <c r="AI1511" s="209"/>
      <c r="AJ1511" s="209"/>
      <c r="AK1511" s="209"/>
      <c r="AL1511" s="209"/>
      <c r="AM1511" s="209"/>
      <c r="AN1511" s="209"/>
      <c r="AO1511" s="209"/>
      <c r="AP1511" s="209"/>
    </row>
    <row r="1512">
      <c r="A1512" s="209"/>
      <c r="B1512" s="209"/>
      <c r="C1512" s="209"/>
      <c r="D1512" s="209"/>
      <c r="E1512" s="209"/>
      <c r="F1512" s="209"/>
      <c r="G1512" s="209"/>
      <c r="H1512" s="209"/>
      <c r="I1512" s="209"/>
      <c r="J1512" s="209"/>
      <c r="K1512" s="209"/>
      <c r="L1512" s="209"/>
      <c r="M1512" s="209"/>
      <c r="N1512" s="209"/>
      <c r="O1512" s="209"/>
      <c r="P1512" s="209"/>
      <c r="Q1512" s="209"/>
      <c r="R1512" s="209"/>
      <c r="S1512" s="209"/>
      <c r="T1512" s="209"/>
      <c r="U1512" s="209"/>
      <c r="V1512" s="209"/>
      <c r="W1512" s="209"/>
      <c r="X1512" s="209"/>
      <c r="Y1512" s="209"/>
      <c r="Z1512" s="209"/>
      <c r="AA1512" s="209"/>
      <c r="AB1512" s="209"/>
      <c r="AC1512" s="209"/>
      <c r="AD1512" s="209"/>
      <c r="AE1512" s="209"/>
      <c r="AF1512" s="209"/>
      <c r="AG1512" s="209"/>
      <c r="AH1512" s="209"/>
      <c r="AI1512" s="209"/>
      <c r="AJ1512" s="209"/>
      <c r="AK1512" s="209"/>
      <c r="AL1512" s="209"/>
      <c r="AM1512" s="209"/>
      <c r="AN1512" s="209"/>
      <c r="AO1512" s="209"/>
      <c r="AP1512" s="209"/>
    </row>
    <row r="1513">
      <c r="A1513" s="209"/>
      <c r="B1513" s="209"/>
      <c r="C1513" s="209"/>
      <c r="D1513" s="209"/>
      <c r="E1513" s="209"/>
      <c r="F1513" s="209"/>
      <c r="G1513" s="209"/>
      <c r="H1513" s="209"/>
      <c r="I1513" s="209"/>
      <c r="J1513" s="209"/>
      <c r="K1513" s="209"/>
      <c r="L1513" s="209"/>
      <c r="M1513" s="209"/>
      <c r="N1513" s="209"/>
      <c r="O1513" s="209"/>
      <c r="P1513" s="209"/>
      <c r="Q1513" s="209"/>
      <c r="R1513" s="209"/>
      <c r="S1513" s="209"/>
      <c r="T1513" s="209"/>
      <c r="U1513" s="209"/>
      <c r="V1513" s="209"/>
      <c r="W1513" s="209"/>
      <c r="X1513" s="209"/>
      <c r="Y1513" s="209"/>
      <c r="Z1513" s="209"/>
      <c r="AA1513" s="209"/>
      <c r="AB1513" s="209"/>
      <c r="AC1513" s="209"/>
      <c r="AD1513" s="209"/>
      <c r="AE1513" s="209"/>
      <c r="AF1513" s="209"/>
      <c r="AG1513" s="209"/>
      <c r="AH1513" s="209"/>
      <c r="AI1513" s="209"/>
      <c r="AJ1513" s="209"/>
      <c r="AK1513" s="209"/>
      <c r="AL1513" s="209"/>
      <c r="AM1513" s="209"/>
      <c r="AN1513" s="209"/>
      <c r="AO1513" s="209"/>
      <c r="AP1513" s="209"/>
    </row>
    <row r="1514">
      <c r="A1514" s="209"/>
      <c r="B1514" s="209"/>
      <c r="C1514" s="209"/>
      <c r="D1514" s="209"/>
      <c r="E1514" s="209"/>
      <c r="F1514" s="209"/>
      <c r="G1514" s="209"/>
      <c r="H1514" s="209"/>
      <c r="I1514" s="209"/>
      <c r="J1514" s="209"/>
      <c r="K1514" s="209"/>
      <c r="L1514" s="209"/>
      <c r="M1514" s="209"/>
      <c r="N1514" s="209"/>
      <c r="O1514" s="209"/>
      <c r="P1514" s="209"/>
      <c r="Q1514" s="209"/>
      <c r="R1514" s="209"/>
      <c r="S1514" s="209"/>
      <c r="T1514" s="209"/>
      <c r="U1514" s="209"/>
      <c r="V1514" s="209"/>
      <c r="W1514" s="209"/>
      <c r="X1514" s="209"/>
      <c r="Y1514" s="209"/>
      <c r="Z1514" s="209"/>
      <c r="AA1514" s="209"/>
      <c r="AB1514" s="209"/>
      <c r="AC1514" s="209"/>
      <c r="AD1514" s="209"/>
      <c r="AE1514" s="209"/>
      <c r="AF1514" s="209"/>
      <c r="AG1514" s="209"/>
      <c r="AH1514" s="209"/>
      <c r="AI1514" s="209"/>
      <c r="AJ1514" s="209"/>
      <c r="AK1514" s="209"/>
      <c r="AL1514" s="209"/>
      <c r="AM1514" s="209"/>
      <c r="AN1514" s="209"/>
      <c r="AO1514" s="209"/>
      <c r="AP1514" s="209"/>
    </row>
    <row r="1515">
      <c r="A1515" s="209"/>
      <c r="B1515" s="209"/>
      <c r="C1515" s="209"/>
      <c r="D1515" s="209"/>
      <c r="E1515" s="209"/>
      <c r="F1515" s="209"/>
      <c r="G1515" s="209"/>
      <c r="H1515" s="209"/>
      <c r="I1515" s="209"/>
      <c r="J1515" s="209"/>
      <c r="K1515" s="209"/>
      <c r="L1515" s="209"/>
      <c r="M1515" s="209"/>
      <c r="N1515" s="209"/>
      <c r="O1515" s="209"/>
      <c r="P1515" s="209"/>
      <c r="Q1515" s="209"/>
      <c r="R1515" s="209"/>
      <c r="S1515" s="209"/>
      <c r="T1515" s="209"/>
      <c r="U1515" s="209"/>
      <c r="V1515" s="209"/>
      <c r="W1515" s="209"/>
      <c r="X1515" s="209"/>
      <c r="Y1515" s="209"/>
      <c r="Z1515" s="209"/>
      <c r="AA1515" s="209"/>
      <c r="AB1515" s="209"/>
      <c r="AC1515" s="209"/>
      <c r="AD1515" s="209"/>
      <c r="AE1515" s="209"/>
      <c r="AF1515" s="209"/>
      <c r="AG1515" s="209"/>
      <c r="AH1515" s="209"/>
      <c r="AI1515" s="209"/>
      <c r="AJ1515" s="209"/>
      <c r="AK1515" s="209"/>
      <c r="AL1515" s="209"/>
      <c r="AM1515" s="209"/>
      <c r="AN1515" s="209"/>
      <c r="AO1515" s="209"/>
      <c r="AP1515" s="209"/>
    </row>
    <row r="1516">
      <c r="A1516" s="209"/>
      <c r="B1516" s="209"/>
      <c r="C1516" s="209"/>
      <c r="D1516" s="209"/>
      <c r="E1516" s="209"/>
      <c r="F1516" s="209"/>
      <c r="G1516" s="209"/>
      <c r="H1516" s="209"/>
      <c r="I1516" s="209"/>
      <c r="J1516" s="209"/>
      <c r="K1516" s="209"/>
      <c r="L1516" s="209"/>
      <c r="M1516" s="209"/>
      <c r="N1516" s="209"/>
      <c r="O1516" s="209"/>
      <c r="P1516" s="209"/>
      <c r="Q1516" s="209"/>
      <c r="R1516" s="209"/>
      <c r="S1516" s="209"/>
      <c r="T1516" s="209"/>
      <c r="U1516" s="209"/>
      <c r="V1516" s="209"/>
      <c r="W1516" s="209"/>
      <c r="X1516" s="209"/>
      <c r="Y1516" s="209"/>
      <c r="Z1516" s="209"/>
      <c r="AA1516" s="209"/>
      <c r="AB1516" s="209"/>
      <c r="AC1516" s="209"/>
      <c r="AD1516" s="209"/>
      <c r="AE1516" s="209"/>
      <c r="AF1516" s="209"/>
      <c r="AG1516" s="209"/>
      <c r="AH1516" s="209"/>
      <c r="AI1516" s="209"/>
      <c r="AJ1516" s="209"/>
      <c r="AK1516" s="209"/>
      <c r="AL1516" s="209"/>
      <c r="AM1516" s="209"/>
      <c r="AN1516" s="209"/>
      <c r="AO1516" s="209"/>
      <c r="AP1516" s="209"/>
    </row>
    <row r="1517">
      <c r="A1517" s="209"/>
      <c r="B1517" s="209"/>
      <c r="C1517" s="209"/>
      <c r="D1517" s="209"/>
      <c r="E1517" s="209"/>
      <c r="F1517" s="209"/>
      <c r="G1517" s="209"/>
      <c r="H1517" s="209"/>
      <c r="I1517" s="209"/>
      <c r="J1517" s="209"/>
      <c r="K1517" s="209"/>
      <c r="L1517" s="209"/>
      <c r="M1517" s="209"/>
      <c r="N1517" s="209"/>
      <c r="O1517" s="209"/>
      <c r="P1517" s="209"/>
      <c r="Q1517" s="209"/>
      <c r="R1517" s="209"/>
      <c r="S1517" s="209"/>
      <c r="T1517" s="209"/>
      <c r="U1517" s="209"/>
      <c r="V1517" s="209"/>
      <c r="W1517" s="209"/>
      <c r="X1517" s="209"/>
      <c r="Y1517" s="209"/>
      <c r="Z1517" s="209"/>
      <c r="AA1517" s="209"/>
      <c r="AB1517" s="209"/>
      <c r="AC1517" s="209"/>
      <c r="AD1517" s="209"/>
      <c r="AE1517" s="209"/>
      <c r="AF1517" s="209"/>
      <c r="AG1517" s="209"/>
      <c r="AH1517" s="209"/>
      <c r="AI1517" s="209"/>
      <c r="AJ1517" s="209"/>
      <c r="AK1517" s="209"/>
      <c r="AL1517" s="209"/>
      <c r="AM1517" s="209"/>
      <c r="AN1517" s="209"/>
      <c r="AO1517" s="209"/>
      <c r="AP1517" s="209"/>
    </row>
    <row r="1518">
      <c r="A1518" s="209"/>
      <c r="B1518" s="209"/>
      <c r="C1518" s="209"/>
      <c r="D1518" s="209"/>
      <c r="E1518" s="209"/>
      <c r="F1518" s="209"/>
      <c r="G1518" s="209"/>
      <c r="H1518" s="209"/>
      <c r="I1518" s="209"/>
      <c r="J1518" s="209"/>
      <c r="K1518" s="209"/>
      <c r="L1518" s="209"/>
      <c r="M1518" s="209"/>
      <c r="N1518" s="209"/>
      <c r="O1518" s="209"/>
      <c r="P1518" s="209"/>
      <c r="Q1518" s="209"/>
      <c r="R1518" s="209"/>
      <c r="S1518" s="209"/>
      <c r="T1518" s="209"/>
      <c r="U1518" s="209"/>
      <c r="V1518" s="209"/>
      <c r="W1518" s="209"/>
      <c r="X1518" s="209"/>
      <c r="Y1518" s="209"/>
      <c r="Z1518" s="209"/>
      <c r="AA1518" s="209"/>
      <c r="AB1518" s="209"/>
      <c r="AC1518" s="209"/>
      <c r="AD1518" s="209"/>
      <c r="AE1518" s="209"/>
      <c r="AF1518" s="209"/>
      <c r="AG1518" s="209"/>
      <c r="AH1518" s="209"/>
      <c r="AI1518" s="209"/>
      <c r="AJ1518" s="209"/>
      <c r="AK1518" s="209"/>
      <c r="AL1518" s="209"/>
      <c r="AM1518" s="209"/>
      <c r="AN1518" s="209"/>
      <c r="AO1518" s="209"/>
      <c r="AP1518" s="209"/>
    </row>
    <row r="1519">
      <c r="A1519" s="209"/>
      <c r="B1519" s="209"/>
      <c r="C1519" s="209"/>
      <c r="D1519" s="209"/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209"/>
      <c r="P1519" s="209"/>
      <c r="Q1519" s="209"/>
      <c r="R1519" s="209"/>
      <c r="S1519" s="209"/>
      <c r="T1519" s="209"/>
      <c r="U1519" s="209"/>
      <c r="V1519" s="209"/>
      <c r="W1519" s="209"/>
      <c r="X1519" s="209"/>
      <c r="Y1519" s="209"/>
      <c r="Z1519" s="209"/>
      <c r="AA1519" s="209"/>
      <c r="AB1519" s="209"/>
      <c r="AC1519" s="209"/>
      <c r="AD1519" s="209"/>
      <c r="AE1519" s="209"/>
      <c r="AF1519" s="209"/>
      <c r="AG1519" s="209"/>
      <c r="AH1519" s="209"/>
      <c r="AI1519" s="209"/>
      <c r="AJ1519" s="209"/>
      <c r="AK1519" s="209"/>
      <c r="AL1519" s="209"/>
      <c r="AM1519" s="209"/>
      <c r="AN1519" s="209"/>
      <c r="AO1519" s="209"/>
      <c r="AP1519" s="209"/>
    </row>
    <row r="1520">
      <c r="A1520" s="209"/>
      <c r="B1520" s="209"/>
      <c r="C1520" s="209"/>
      <c r="D1520" s="209"/>
      <c r="E1520" s="209"/>
      <c r="F1520" s="209"/>
      <c r="G1520" s="209"/>
      <c r="H1520" s="209"/>
      <c r="I1520" s="209"/>
      <c r="J1520" s="209"/>
      <c r="K1520" s="209"/>
      <c r="L1520" s="209"/>
      <c r="M1520" s="209"/>
      <c r="N1520" s="209"/>
      <c r="O1520" s="209"/>
      <c r="P1520" s="209"/>
      <c r="Q1520" s="209"/>
      <c r="R1520" s="209"/>
      <c r="S1520" s="209"/>
      <c r="T1520" s="209"/>
      <c r="U1520" s="209"/>
      <c r="V1520" s="209"/>
      <c r="W1520" s="209"/>
      <c r="X1520" s="209"/>
      <c r="Y1520" s="209"/>
      <c r="Z1520" s="209"/>
      <c r="AA1520" s="209"/>
      <c r="AB1520" s="209"/>
      <c r="AC1520" s="209"/>
      <c r="AD1520" s="209"/>
      <c r="AE1520" s="209"/>
      <c r="AF1520" s="209"/>
      <c r="AG1520" s="209"/>
      <c r="AH1520" s="209"/>
      <c r="AI1520" s="209"/>
      <c r="AJ1520" s="209"/>
      <c r="AK1520" s="209"/>
      <c r="AL1520" s="209"/>
      <c r="AM1520" s="209"/>
      <c r="AN1520" s="209"/>
      <c r="AO1520" s="209"/>
      <c r="AP1520" s="209"/>
    </row>
    <row r="1521">
      <c r="A1521" s="209"/>
      <c r="B1521" s="209"/>
      <c r="C1521" s="209"/>
      <c r="D1521" s="209"/>
      <c r="E1521" s="209"/>
      <c r="F1521" s="209"/>
      <c r="G1521" s="209"/>
      <c r="H1521" s="209"/>
      <c r="I1521" s="209"/>
      <c r="J1521" s="209"/>
      <c r="K1521" s="209"/>
      <c r="L1521" s="209"/>
      <c r="M1521" s="209"/>
      <c r="N1521" s="209"/>
      <c r="O1521" s="209"/>
      <c r="P1521" s="209"/>
      <c r="Q1521" s="209"/>
      <c r="R1521" s="209"/>
      <c r="S1521" s="209"/>
      <c r="T1521" s="209"/>
      <c r="U1521" s="209"/>
      <c r="V1521" s="209"/>
      <c r="W1521" s="209"/>
      <c r="X1521" s="209"/>
      <c r="Y1521" s="209"/>
      <c r="Z1521" s="209"/>
      <c r="AA1521" s="209"/>
      <c r="AB1521" s="209"/>
      <c r="AC1521" s="209"/>
      <c r="AD1521" s="209"/>
      <c r="AE1521" s="209"/>
      <c r="AF1521" s="209"/>
      <c r="AG1521" s="209"/>
      <c r="AH1521" s="209"/>
      <c r="AI1521" s="209"/>
      <c r="AJ1521" s="209"/>
      <c r="AK1521" s="209"/>
      <c r="AL1521" s="209"/>
      <c r="AM1521" s="209"/>
      <c r="AN1521" s="209"/>
      <c r="AO1521" s="209"/>
      <c r="AP1521" s="209"/>
    </row>
    <row r="1522">
      <c r="A1522" s="209"/>
      <c r="B1522" s="209"/>
      <c r="C1522" s="209"/>
      <c r="D1522" s="209"/>
      <c r="E1522" s="209"/>
      <c r="F1522" s="209"/>
      <c r="G1522" s="209"/>
      <c r="H1522" s="209"/>
      <c r="I1522" s="209"/>
      <c r="J1522" s="209"/>
      <c r="K1522" s="209"/>
      <c r="L1522" s="209"/>
      <c r="M1522" s="209"/>
      <c r="N1522" s="209"/>
      <c r="O1522" s="209"/>
      <c r="P1522" s="209"/>
      <c r="Q1522" s="209"/>
      <c r="R1522" s="209"/>
      <c r="S1522" s="209"/>
      <c r="T1522" s="209"/>
      <c r="U1522" s="209"/>
      <c r="V1522" s="209"/>
      <c r="W1522" s="209"/>
      <c r="X1522" s="209"/>
      <c r="Y1522" s="209"/>
      <c r="Z1522" s="209"/>
      <c r="AA1522" s="209"/>
      <c r="AB1522" s="209"/>
      <c r="AC1522" s="209"/>
      <c r="AD1522" s="209"/>
      <c r="AE1522" s="209"/>
      <c r="AF1522" s="209"/>
      <c r="AG1522" s="209"/>
      <c r="AH1522" s="209"/>
      <c r="AI1522" s="209"/>
      <c r="AJ1522" s="209"/>
      <c r="AK1522" s="209"/>
      <c r="AL1522" s="209"/>
      <c r="AM1522" s="209"/>
      <c r="AN1522" s="209"/>
      <c r="AO1522" s="209"/>
      <c r="AP1522" s="209"/>
    </row>
    <row r="1523">
      <c r="A1523" s="209"/>
      <c r="B1523" s="209"/>
      <c r="C1523" s="209"/>
      <c r="D1523" s="209"/>
      <c r="E1523" s="209"/>
      <c r="F1523" s="209"/>
      <c r="G1523" s="209"/>
      <c r="H1523" s="209"/>
      <c r="I1523" s="209"/>
      <c r="J1523" s="209"/>
      <c r="K1523" s="209"/>
      <c r="L1523" s="209"/>
      <c r="M1523" s="209"/>
      <c r="N1523" s="209"/>
      <c r="O1523" s="209"/>
      <c r="P1523" s="209"/>
      <c r="Q1523" s="209"/>
      <c r="R1523" s="209"/>
      <c r="S1523" s="209"/>
      <c r="T1523" s="209"/>
      <c r="U1523" s="209"/>
      <c r="V1523" s="209"/>
      <c r="W1523" s="209"/>
      <c r="X1523" s="209"/>
      <c r="Y1523" s="209"/>
      <c r="Z1523" s="209"/>
      <c r="AA1523" s="209"/>
      <c r="AB1523" s="209"/>
      <c r="AC1523" s="209"/>
      <c r="AD1523" s="209"/>
      <c r="AE1523" s="209"/>
      <c r="AF1523" s="209"/>
      <c r="AG1523" s="209"/>
      <c r="AH1523" s="209"/>
      <c r="AI1523" s="209"/>
      <c r="AJ1523" s="209"/>
      <c r="AK1523" s="209"/>
      <c r="AL1523" s="209"/>
      <c r="AM1523" s="209"/>
      <c r="AN1523" s="209"/>
      <c r="AO1523" s="209"/>
      <c r="AP1523" s="209"/>
    </row>
    <row r="1524">
      <c r="A1524" s="209"/>
      <c r="B1524" s="209"/>
      <c r="C1524" s="209"/>
      <c r="D1524" s="209"/>
      <c r="E1524" s="209"/>
      <c r="F1524" s="209"/>
      <c r="G1524" s="209"/>
      <c r="H1524" s="209"/>
      <c r="I1524" s="209"/>
      <c r="J1524" s="209"/>
      <c r="K1524" s="209"/>
      <c r="L1524" s="209"/>
      <c r="M1524" s="209"/>
      <c r="N1524" s="209"/>
      <c r="O1524" s="209"/>
      <c r="P1524" s="209"/>
      <c r="Q1524" s="209"/>
      <c r="R1524" s="209"/>
      <c r="S1524" s="209"/>
      <c r="T1524" s="209"/>
      <c r="U1524" s="209"/>
      <c r="V1524" s="209"/>
      <c r="W1524" s="209"/>
      <c r="X1524" s="209"/>
      <c r="Y1524" s="209"/>
      <c r="Z1524" s="209"/>
      <c r="AA1524" s="209"/>
      <c r="AB1524" s="209"/>
      <c r="AC1524" s="209"/>
      <c r="AD1524" s="209"/>
      <c r="AE1524" s="209"/>
      <c r="AF1524" s="209"/>
      <c r="AG1524" s="209"/>
      <c r="AH1524" s="209"/>
      <c r="AI1524" s="209"/>
      <c r="AJ1524" s="209"/>
      <c r="AK1524" s="209"/>
      <c r="AL1524" s="209"/>
      <c r="AM1524" s="209"/>
      <c r="AN1524" s="209"/>
      <c r="AO1524" s="209"/>
      <c r="AP1524" s="209"/>
    </row>
    <row r="1525">
      <c r="A1525" s="209"/>
      <c r="B1525" s="209"/>
      <c r="C1525" s="209"/>
      <c r="D1525" s="209"/>
      <c r="E1525" s="209"/>
      <c r="F1525" s="209"/>
      <c r="G1525" s="209"/>
      <c r="H1525" s="209"/>
      <c r="I1525" s="209"/>
      <c r="J1525" s="209"/>
      <c r="K1525" s="209"/>
      <c r="L1525" s="209"/>
      <c r="M1525" s="209"/>
      <c r="N1525" s="209"/>
      <c r="O1525" s="209"/>
      <c r="P1525" s="209"/>
      <c r="Q1525" s="209"/>
      <c r="R1525" s="209"/>
      <c r="S1525" s="209"/>
      <c r="T1525" s="209"/>
      <c r="U1525" s="209"/>
      <c r="V1525" s="209"/>
      <c r="W1525" s="209"/>
      <c r="X1525" s="209"/>
      <c r="Y1525" s="209"/>
      <c r="Z1525" s="209"/>
      <c r="AA1525" s="209"/>
      <c r="AB1525" s="209"/>
      <c r="AC1525" s="209"/>
      <c r="AD1525" s="209"/>
      <c r="AE1525" s="209"/>
      <c r="AF1525" s="209"/>
      <c r="AG1525" s="209"/>
      <c r="AH1525" s="209"/>
      <c r="AI1525" s="209"/>
      <c r="AJ1525" s="209"/>
      <c r="AK1525" s="209"/>
      <c r="AL1525" s="209"/>
      <c r="AM1525" s="209"/>
      <c r="AN1525" s="209"/>
      <c r="AO1525" s="209"/>
      <c r="AP1525" s="209"/>
    </row>
    <row r="1526">
      <c r="A1526" s="209"/>
      <c r="B1526" s="209"/>
      <c r="C1526" s="209"/>
      <c r="D1526" s="209"/>
      <c r="E1526" s="209"/>
      <c r="F1526" s="209"/>
      <c r="G1526" s="209"/>
      <c r="H1526" s="209"/>
      <c r="I1526" s="209"/>
      <c r="J1526" s="209"/>
      <c r="K1526" s="209"/>
      <c r="L1526" s="209"/>
      <c r="M1526" s="209"/>
      <c r="N1526" s="209"/>
      <c r="O1526" s="209"/>
      <c r="P1526" s="209"/>
      <c r="Q1526" s="209"/>
      <c r="R1526" s="209"/>
      <c r="S1526" s="209"/>
      <c r="T1526" s="209"/>
      <c r="U1526" s="209"/>
      <c r="V1526" s="209"/>
      <c r="W1526" s="209"/>
      <c r="X1526" s="209"/>
      <c r="Y1526" s="209"/>
      <c r="Z1526" s="209"/>
      <c r="AA1526" s="209"/>
      <c r="AB1526" s="209"/>
      <c r="AC1526" s="209"/>
      <c r="AD1526" s="209"/>
      <c r="AE1526" s="209"/>
      <c r="AF1526" s="209"/>
      <c r="AG1526" s="209"/>
      <c r="AH1526" s="209"/>
      <c r="AI1526" s="209"/>
      <c r="AJ1526" s="209"/>
      <c r="AK1526" s="209"/>
      <c r="AL1526" s="209"/>
      <c r="AM1526" s="209"/>
      <c r="AN1526" s="209"/>
      <c r="AO1526" s="209"/>
      <c r="AP1526" s="209"/>
    </row>
    <row r="1527">
      <c r="A1527" s="209"/>
      <c r="B1527" s="209"/>
      <c r="C1527" s="209"/>
      <c r="D1527" s="209"/>
      <c r="E1527" s="209"/>
      <c r="F1527" s="209"/>
      <c r="G1527" s="209"/>
      <c r="H1527" s="209"/>
      <c r="I1527" s="209"/>
      <c r="J1527" s="209"/>
      <c r="K1527" s="209"/>
      <c r="L1527" s="209"/>
      <c r="M1527" s="209"/>
      <c r="N1527" s="209"/>
      <c r="O1527" s="209"/>
      <c r="P1527" s="209"/>
      <c r="Q1527" s="209"/>
      <c r="R1527" s="209"/>
      <c r="S1527" s="209"/>
      <c r="T1527" s="209"/>
      <c r="U1527" s="209"/>
      <c r="V1527" s="209"/>
      <c r="W1527" s="209"/>
      <c r="X1527" s="209"/>
      <c r="Y1527" s="209"/>
      <c r="Z1527" s="209"/>
      <c r="AA1527" s="209"/>
      <c r="AB1527" s="209"/>
      <c r="AC1527" s="209"/>
      <c r="AD1527" s="209"/>
      <c r="AE1527" s="209"/>
      <c r="AF1527" s="209"/>
      <c r="AG1527" s="209"/>
      <c r="AH1527" s="209"/>
      <c r="AI1527" s="209"/>
      <c r="AJ1527" s="209"/>
      <c r="AK1527" s="209"/>
      <c r="AL1527" s="209"/>
      <c r="AM1527" s="209"/>
      <c r="AN1527" s="209"/>
      <c r="AO1527" s="209"/>
      <c r="AP1527" s="209"/>
    </row>
    <row r="1528">
      <c r="A1528" s="209"/>
      <c r="B1528" s="209"/>
      <c r="C1528" s="209"/>
      <c r="D1528" s="209"/>
      <c r="E1528" s="209"/>
      <c r="F1528" s="209"/>
      <c r="G1528" s="209"/>
      <c r="H1528" s="209"/>
      <c r="I1528" s="209"/>
      <c r="J1528" s="209"/>
      <c r="K1528" s="209"/>
      <c r="L1528" s="209"/>
      <c r="M1528" s="209"/>
      <c r="N1528" s="209"/>
      <c r="O1528" s="209"/>
      <c r="P1528" s="209"/>
      <c r="Q1528" s="209"/>
      <c r="R1528" s="209"/>
      <c r="S1528" s="209"/>
      <c r="T1528" s="209"/>
      <c r="U1528" s="209"/>
      <c r="V1528" s="209"/>
      <c r="W1528" s="209"/>
      <c r="X1528" s="209"/>
      <c r="Y1528" s="209"/>
      <c r="Z1528" s="209"/>
      <c r="AA1528" s="209"/>
      <c r="AB1528" s="209"/>
      <c r="AC1528" s="209"/>
      <c r="AD1528" s="209"/>
      <c r="AE1528" s="209"/>
      <c r="AF1528" s="209"/>
      <c r="AG1528" s="209"/>
      <c r="AH1528" s="209"/>
      <c r="AI1528" s="209"/>
      <c r="AJ1528" s="209"/>
      <c r="AK1528" s="209"/>
      <c r="AL1528" s="209"/>
      <c r="AM1528" s="209"/>
      <c r="AN1528" s="209"/>
      <c r="AO1528" s="209"/>
      <c r="AP1528" s="209"/>
    </row>
    <row r="1529">
      <c r="A1529" s="209"/>
      <c r="B1529" s="209"/>
      <c r="C1529" s="209"/>
      <c r="D1529" s="209"/>
      <c r="E1529" s="209"/>
      <c r="F1529" s="209"/>
      <c r="G1529" s="209"/>
      <c r="H1529" s="209"/>
      <c r="I1529" s="209"/>
      <c r="J1529" s="209"/>
      <c r="K1529" s="209"/>
      <c r="L1529" s="209"/>
      <c r="M1529" s="209"/>
      <c r="N1529" s="209"/>
      <c r="O1529" s="209"/>
      <c r="P1529" s="209"/>
      <c r="Q1529" s="209"/>
      <c r="R1529" s="209"/>
      <c r="S1529" s="209"/>
      <c r="T1529" s="209"/>
      <c r="U1529" s="209"/>
      <c r="V1529" s="209"/>
      <c r="W1529" s="209"/>
      <c r="X1529" s="209"/>
      <c r="Y1529" s="209"/>
      <c r="Z1529" s="209"/>
      <c r="AA1529" s="209"/>
      <c r="AB1529" s="209"/>
      <c r="AC1529" s="209"/>
      <c r="AD1529" s="209"/>
      <c r="AE1529" s="209"/>
      <c r="AF1529" s="209"/>
      <c r="AG1529" s="209"/>
      <c r="AH1529" s="209"/>
      <c r="AI1529" s="209"/>
      <c r="AJ1529" s="209"/>
      <c r="AK1529" s="209"/>
      <c r="AL1529" s="209"/>
      <c r="AM1529" s="209"/>
      <c r="AN1529" s="209"/>
      <c r="AO1529" s="209"/>
      <c r="AP1529" s="209"/>
    </row>
    <row r="1530">
      <c r="A1530" s="209"/>
      <c r="B1530" s="209"/>
      <c r="C1530" s="209"/>
      <c r="D1530" s="209"/>
      <c r="E1530" s="209"/>
      <c r="F1530" s="209"/>
      <c r="G1530" s="209"/>
      <c r="H1530" s="209"/>
      <c r="I1530" s="209"/>
      <c r="J1530" s="209"/>
      <c r="K1530" s="209"/>
      <c r="L1530" s="209"/>
      <c r="M1530" s="209"/>
      <c r="N1530" s="209"/>
      <c r="O1530" s="209"/>
      <c r="P1530" s="209"/>
      <c r="Q1530" s="209"/>
      <c r="R1530" s="209"/>
      <c r="S1530" s="209"/>
      <c r="T1530" s="209"/>
      <c r="U1530" s="209"/>
      <c r="V1530" s="209"/>
      <c r="W1530" s="209"/>
      <c r="X1530" s="209"/>
      <c r="Y1530" s="209"/>
      <c r="Z1530" s="209"/>
      <c r="AA1530" s="209"/>
      <c r="AB1530" s="209"/>
      <c r="AC1530" s="209"/>
      <c r="AD1530" s="209"/>
      <c r="AE1530" s="209"/>
      <c r="AF1530" s="209"/>
      <c r="AG1530" s="209"/>
      <c r="AH1530" s="209"/>
      <c r="AI1530" s="209"/>
      <c r="AJ1530" s="209"/>
      <c r="AK1530" s="209"/>
      <c r="AL1530" s="209"/>
      <c r="AM1530" s="209"/>
      <c r="AN1530" s="209"/>
      <c r="AO1530" s="209"/>
      <c r="AP1530" s="209"/>
    </row>
    <row r="1531">
      <c r="A1531" s="209"/>
      <c r="B1531" s="209"/>
      <c r="C1531" s="209"/>
      <c r="D1531" s="209"/>
      <c r="E1531" s="209"/>
      <c r="F1531" s="209"/>
      <c r="G1531" s="209"/>
      <c r="H1531" s="209"/>
      <c r="I1531" s="209"/>
      <c r="J1531" s="209"/>
      <c r="K1531" s="209"/>
      <c r="L1531" s="209"/>
      <c r="M1531" s="209"/>
      <c r="N1531" s="209"/>
      <c r="O1531" s="209"/>
      <c r="P1531" s="209"/>
      <c r="Q1531" s="209"/>
      <c r="R1531" s="209"/>
      <c r="S1531" s="209"/>
      <c r="T1531" s="209"/>
      <c r="U1531" s="209"/>
      <c r="V1531" s="209"/>
      <c r="W1531" s="209"/>
      <c r="X1531" s="209"/>
      <c r="Y1531" s="209"/>
      <c r="Z1531" s="209"/>
      <c r="AA1531" s="209"/>
      <c r="AB1531" s="209"/>
      <c r="AC1531" s="209"/>
      <c r="AD1531" s="209"/>
      <c r="AE1531" s="209"/>
      <c r="AF1531" s="209"/>
      <c r="AG1531" s="209"/>
      <c r="AH1531" s="209"/>
      <c r="AI1531" s="209"/>
      <c r="AJ1531" s="209"/>
      <c r="AK1531" s="209"/>
      <c r="AL1531" s="209"/>
      <c r="AM1531" s="209"/>
      <c r="AN1531" s="209"/>
      <c r="AO1531" s="209"/>
      <c r="AP1531" s="209"/>
    </row>
    <row r="1532">
      <c r="A1532" s="209"/>
      <c r="B1532" s="209"/>
      <c r="C1532" s="209"/>
      <c r="D1532" s="209"/>
      <c r="E1532" s="209"/>
      <c r="F1532" s="209"/>
      <c r="G1532" s="209"/>
      <c r="H1532" s="209"/>
      <c r="I1532" s="209"/>
      <c r="J1532" s="209"/>
      <c r="K1532" s="209"/>
      <c r="L1532" s="209"/>
      <c r="M1532" s="209"/>
      <c r="N1532" s="209"/>
      <c r="O1532" s="209"/>
      <c r="P1532" s="209"/>
      <c r="Q1532" s="209"/>
      <c r="R1532" s="209"/>
      <c r="S1532" s="209"/>
      <c r="T1532" s="209"/>
      <c r="U1532" s="209"/>
      <c r="V1532" s="209"/>
      <c r="W1532" s="209"/>
      <c r="X1532" s="209"/>
      <c r="Y1532" s="209"/>
      <c r="Z1532" s="209"/>
      <c r="AA1532" s="209"/>
      <c r="AB1532" s="209"/>
      <c r="AC1532" s="209"/>
      <c r="AD1532" s="209"/>
      <c r="AE1532" s="209"/>
      <c r="AF1532" s="209"/>
      <c r="AG1532" s="209"/>
      <c r="AH1532" s="209"/>
      <c r="AI1532" s="209"/>
      <c r="AJ1532" s="209"/>
      <c r="AK1532" s="209"/>
      <c r="AL1532" s="209"/>
      <c r="AM1532" s="209"/>
      <c r="AN1532" s="209"/>
      <c r="AO1532" s="209"/>
      <c r="AP1532" s="209"/>
    </row>
    <row r="1533">
      <c r="A1533" s="209"/>
      <c r="B1533" s="209"/>
      <c r="C1533" s="209"/>
      <c r="D1533" s="209"/>
      <c r="E1533" s="209"/>
      <c r="F1533" s="209"/>
      <c r="G1533" s="209"/>
      <c r="H1533" s="209"/>
      <c r="I1533" s="209"/>
      <c r="J1533" s="209"/>
      <c r="K1533" s="209"/>
      <c r="L1533" s="209"/>
      <c r="M1533" s="209"/>
      <c r="N1533" s="209"/>
      <c r="O1533" s="209"/>
      <c r="P1533" s="209"/>
      <c r="Q1533" s="209"/>
      <c r="R1533" s="209"/>
      <c r="S1533" s="209"/>
      <c r="T1533" s="209"/>
      <c r="U1533" s="209"/>
      <c r="V1533" s="209"/>
      <c r="W1533" s="209"/>
      <c r="X1533" s="209"/>
      <c r="Y1533" s="209"/>
      <c r="Z1533" s="209"/>
      <c r="AA1533" s="209"/>
      <c r="AB1533" s="209"/>
      <c r="AC1533" s="209"/>
      <c r="AD1533" s="209"/>
      <c r="AE1533" s="209"/>
      <c r="AF1533" s="209"/>
      <c r="AG1533" s="209"/>
      <c r="AH1533" s="209"/>
      <c r="AI1533" s="209"/>
      <c r="AJ1533" s="209"/>
      <c r="AK1533" s="209"/>
      <c r="AL1533" s="209"/>
      <c r="AM1533" s="209"/>
      <c r="AN1533" s="209"/>
      <c r="AO1533" s="209"/>
      <c r="AP1533" s="209"/>
    </row>
    <row r="1534">
      <c r="A1534" s="209"/>
      <c r="B1534" s="209"/>
      <c r="C1534" s="209"/>
      <c r="D1534" s="209"/>
      <c r="E1534" s="209"/>
      <c r="F1534" s="209"/>
      <c r="G1534" s="209"/>
      <c r="H1534" s="209"/>
      <c r="I1534" s="209"/>
      <c r="J1534" s="209"/>
      <c r="K1534" s="209"/>
      <c r="L1534" s="209"/>
      <c r="M1534" s="209"/>
      <c r="N1534" s="209"/>
      <c r="O1534" s="209"/>
      <c r="P1534" s="209"/>
      <c r="Q1534" s="209"/>
      <c r="R1534" s="209"/>
      <c r="S1534" s="209"/>
      <c r="T1534" s="209"/>
      <c r="U1534" s="209"/>
      <c r="V1534" s="209"/>
      <c r="W1534" s="209"/>
      <c r="X1534" s="209"/>
      <c r="Y1534" s="209"/>
      <c r="Z1534" s="209"/>
      <c r="AA1534" s="209"/>
      <c r="AB1534" s="209"/>
      <c r="AC1534" s="209"/>
      <c r="AD1534" s="209"/>
      <c r="AE1534" s="209"/>
      <c r="AF1534" s="209"/>
      <c r="AG1534" s="209"/>
      <c r="AH1534" s="209"/>
      <c r="AI1534" s="209"/>
      <c r="AJ1534" s="209"/>
      <c r="AK1534" s="209"/>
      <c r="AL1534" s="209"/>
      <c r="AM1534" s="209"/>
      <c r="AN1534" s="209"/>
      <c r="AO1534" s="209"/>
      <c r="AP1534" s="209"/>
    </row>
    <row r="1535">
      <c r="A1535" s="209"/>
      <c r="B1535" s="209"/>
      <c r="C1535" s="209"/>
      <c r="D1535" s="209"/>
      <c r="E1535" s="209"/>
      <c r="F1535" s="209"/>
      <c r="G1535" s="209"/>
      <c r="H1535" s="209"/>
      <c r="I1535" s="209"/>
      <c r="J1535" s="209"/>
      <c r="K1535" s="209"/>
      <c r="L1535" s="209"/>
      <c r="M1535" s="209"/>
      <c r="N1535" s="209"/>
      <c r="O1535" s="209"/>
      <c r="P1535" s="209"/>
      <c r="Q1535" s="209"/>
      <c r="R1535" s="209"/>
      <c r="S1535" s="209"/>
      <c r="T1535" s="209"/>
      <c r="U1535" s="209"/>
      <c r="V1535" s="209"/>
      <c r="W1535" s="209"/>
      <c r="X1535" s="209"/>
      <c r="Y1535" s="209"/>
      <c r="Z1535" s="209"/>
      <c r="AA1535" s="209"/>
      <c r="AB1535" s="209"/>
      <c r="AC1535" s="209"/>
      <c r="AD1535" s="209"/>
      <c r="AE1535" s="209"/>
      <c r="AF1535" s="209"/>
      <c r="AG1535" s="209"/>
      <c r="AH1535" s="209"/>
      <c r="AI1535" s="209"/>
      <c r="AJ1535" s="209"/>
      <c r="AK1535" s="209"/>
      <c r="AL1535" s="209"/>
      <c r="AM1535" s="209"/>
      <c r="AN1535" s="209"/>
      <c r="AO1535" s="209"/>
      <c r="AP1535" s="209"/>
    </row>
    <row r="1536">
      <c r="A1536" s="209"/>
      <c r="B1536" s="209"/>
      <c r="C1536" s="209"/>
      <c r="D1536" s="209"/>
      <c r="E1536" s="209"/>
      <c r="F1536" s="209"/>
      <c r="G1536" s="209"/>
      <c r="H1536" s="209"/>
      <c r="I1536" s="209"/>
      <c r="J1536" s="209"/>
      <c r="K1536" s="209"/>
      <c r="L1536" s="209"/>
      <c r="M1536" s="209"/>
      <c r="N1536" s="209"/>
      <c r="O1536" s="209"/>
      <c r="P1536" s="209"/>
      <c r="Q1536" s="209"/>
      <c r="R1536" s="209"/>
      <c r="S1536" s="209"/>
      <c r="T1536" s="209"/>
      <c r="U1536" s="209"/>
      <c r="V1536" s="209"/>
      <c r="W1536" s="209"/>
      <c r="X1536" s="209"/>
      <c r="Y1536" s="209"/>
      <c r="Z1536" s="209"/>
      <c r="AA1536" s="209"/>
      <c r="AB1536" s="209"/>
      <c r="AC1536" s="209"/>
      <c r="AD1536" s="209"/>
      <c r="AE1536" s="209"/>
      <c r="AF1536" s="209"/>
      <c r="AG1536" s="209"/>
      <c r="AH1536" s="209"/>
      <c r="AI1536" s="209"/>
      <c r="AJ1536" s="209"/>
      <c r="AK1536" s="209"/>
      <c r="AL1536" s="209"/>
      <c r="AM1536" s="209"/>
      <c r="AN1536" s="209"/>
      <c r="AO1536" s="209"/>
      <c r="AP1536" s="209"/>
    </row>
    <row r="1537">
      <c r="A1537" s="209"/>
      <c r="B1537" s="209"/>
      <c r="C1537" s="209"/>
      <c r="D1537" s="209"/>
      <c r="E1537" s="209"/>
      <c r="F1537" s="209"/>
      <c r="G1537" s="209"/>
      <c r="H1537" s="209"/>
      <c r="I1537" s="209"/>
      <c r="J1537" s="209"/>
      <c r="K1537" s="209"/>
      <c r="L1537" s="209"/>
      <c r="M1537" s="209"/>
      <c r="N1537" s="209"/>
      <c r="O1537" s="209"/>
      <c r="P1537" s="209"/>
      <c r="Q1537" s="209"/>
      <c r="R1537" s="209"/>
      <c r="S1537" s="209"/>
      <c r="T1537" s="209"/>
      <c r="U1537" s="209"/>
      <c r="V1537" s="209"/>
      <c r="W1537" s="209"/>
      <c r="X1537" s="209"/>
      <c r="Y1537" s="209"/>
      <c r="Z1537" s="209"/>
      <c r="AA1537" s="209"/>
      <c r="AB1537" s="209"/>
      <c r="AC1537" s="209"/>
      <c r="AD1537" s="209"/>
      <c r="AE1537" s="209"/>
      <c r="AF1537" s="209"/>
      <c r="AG1537" s="209"/>
      <c r="AH1537" s="209"/>
      <c r="AI1537" s="209"/>
      <c r="AJ1537" s="209"/>
      <c r="AK1537" s="209"/>
      <c r="AL1537" s="209"/>
      <c r="AM1537" s="209"/>
      <c r="AN1537" s="209"/>
      <c r="AO1537" s="209"/>
      <c r="AP1537" s="209"/>
    </row>
    <row r="1538">
      <c r="A1538" s="209"/>
      <c r="B1538" s="209"/>
      <c r="C1538" s="209"/>
      <c r="D1538" s="209"/>
      <c r="E1538" s="209"/>
      <c r="F1538" s="209"/>
      <c r="G1538" s="209"/>
      <c r="H1538" s="209"/>
      <c r="I1538" s="209"/>
      <c r="J1538" s="209"/>
      <c r="K1538" s="209"/>
      <c r="L1538" s="209"/>
      <c r="M1538" s="209"/>
      <c r="N1538" s="209"/>
      <c r="O1538" s="209"/>
      <c r="P1538" s="209"/>
      <c r="Q1538" s="209"/>
      <c r="R1538" s="209"/>
      <c r="S1538" s="209"/>
      <c r="T1538" s="209"/>
      <c r="U1538" s="209"/>
      <c r="V1538" s="209"/>
      <c r="W1538" s="209"/>
      <c r="X1538" s="209"/>
      <c r="Y1538" s="209"/>
      <c r="Z1538" s="209"/>
      <c r="AA1538" s="209"/>
      <c r="AB1538" s="209"/>
      <c r="AC1538" s="209"/>
      <c r="AD1538" s="209"/>
      <c r="AE1538" s="209"/>
      <c r="AF1538" s="209"/>
      <c r="AG1538" s="209"/>
      <c r="AH1538" s="209"/>
      <c r="AI1538" s="209"/>
      <c r="AJ1538" s="209"/>
      <c r="AK1538" s="209"/>
      <c r="AL1538" s="209"/>
      <c r="AM1538" s="209"/>
      <c r="AN1538" s="209"/>
      <c r="AO1538" s="209"/>
      <c r="AP1538" s="209"/>
    </row>
    <row r="1539">
      <c r="A1539" s="209"/>
      <c r="B1539" s="209"/>
      <c r="C1539" s="209"/>
      <c r="D1539" s="209"/>
      <c r="E1539" s="209"/>
      <c r="F1539" s="209"/>
      <c r="G1539" s="209"/>
      <c r="H1539" s="209"/>
      <c r="I1539" s="209"/>
      <c r="J1539" s="209"/>
      <c r="K1539" s="209"/>
      <c r="L1539" s="209"/>
      <c r="M1539" s="209"/>
      <c r="N1539" s="209"/>
      <c r="O1539" s="209"/>
      <c r="P1539" s="209"/>
      <c r="Q1539" s="209"/>
      <c r="R1539" s="209"/>
      <c r="S1539" s="209"/>
      <c r="T1539" s="209"/>
      <c r="U1539" s="209"/>
      <c r="V1539" s="209"/>
      <c r="W1539" s="209"/>
      <c r="X1539" s="209"/>
      <c r="Y1539" s="209"/>
      <c r="Z1539" s="209"/>
      <c r="AA1539" s="209"/>
      <c r="AB1539" s="209"/>
      <c r="AC1539" s="209"/>
      <c r="AD1539" s="209"/>
      <c r="AE1539" s="209"/>
      <c r="AF1539" s="209"/>
      <c r="AG1539" s="209"/>
      <c r="AH1539" s="209"/>
      <c r="AI1539" s="209"/>
      <c r="AJ1539" s="209"/>
      <c r="AK1539" s="209"/>
      <c r="AL1539" s="209"/>
      <c r="AM1539" s="209"/>
      <c r="AN1539" s="209"/>
      <c r="AO1539" s="209"/>
      <c r="AP1539" s="209"/>
    </row>
    <row r="1540">
      <c r="A1540" s="209"/>
      <c r="B1540" s="209"/>
      <c r="C1540" s="209"/>
      <c r="D1540" s="209"/>
      <c r="E1540" s="209"/>
      <c r="F1540" s="209"/>
      <c r="G1540" s="209"/>
      <c r="H1540" s="209"/>
      <c r="I1540" s="209"/>
      <c r="J1540" s="209"/>
      <c r="K1540" s="209"/>
      <c r="L1540" s="209"/>
      <c r="M1540" s="209"/>
      <c r="N1540" s="209"/>
      <c r="O1540" s="209"/>
      <c r="P1540" s="209"/>
      <c r="Q1540" s="209"/>
      <c r="R1540" s="209"/>
      <c r="S1540" s="209"/>
      <c r="T1540" s="209"/>
      <c r="U1540" s="209"/>
      <c r="V1540" s="209"/>
      <c r="W1540" s="209"/>
      <c r="X1540" s="209"/>
      <c r="Y1540" s="209"/>
      <c r="Z1540" s="209"/>
      <c r="AA1540" s="209"/>
      <c r="AB1540" s="209"/>
      <c r="AC1540" s="209"/>
      <c r="AD1540" s="209"/>
      <c r="AE1540" s="209"/>
      <c r="AF1540" s="209"/>
      <c r="AG1540" s="209"/>
      <c r="AH1540" s="209"/>
      <c r="AI1540" s="209"/>
      <c r="AJ1540" s="209"/>
      <c r="AK1540" s="209"/>
      <c r="AL1540" s="209"/>
      <c r="AM1540" s="209"/>
      <c r="AN1540" s="209"/>
      <c r="AO1540" s="209"/>
      <c r="AP1540" s="209"/>
    </row>
    <row r="1541">
      <c r="A1541" s="209"/>
      <c r="B1541" s="209"/>
      <c r="C1541" s="209"/>
      <c r="D1541" s="209"/>
      <c r="E1541" s="209"/>
      <c r="F1541" s="209"/>
      <c r="G1541" s="209"/>
      <c r="H1541" s="209"/>
      <c r="I1541" s="209"/>
      <c r="J1541" s="209"/>
      <c r="K1541" s="209"/>
      <c r="L1541" s="209"/>
      <c r="M1541" s="209"/>
      <c r="N1541" s="209"/>
      <c r="O1541" s="209"/>
      <c r="P1541" s="209"/>
      <c r="Q1541" s="209"/>
      <c r="R1541" s="209"/>
      <c r="S1541" s="209"/>
      <c r="T1541" s="209"/>
      <c r="U1541" s="209"/>
      <c r="V1541" s="209"/>
      <c r="W1541" s="209"/>
      <c r="X1541" s="209"/>
      <c r="Y1541" s="209"/>
      <c r="Z1541" s="209"/>
      <c r="AA1541" s="209"/>
      <c r="AB1541" s="209"/>
      <c r="AC1541" s="209"/>
      <c r="AD1541" s="209"/>
      <c r="AE1541" s="209"/>
      <c r="AF1541" s="209"/>
      <c r="AG1541" s="209"/>
      <c r="AH1541" s="209"/>
      <c r="AI1541" s="209"/>
      <c r="AJ1541" s="209"/>
      <c r="AK1541" s="209"/>
      <c r="AL1541" s="209"/>
      <c r="AM1541" s="209"/>
      <c r="AN1541" s="209"/>
      <c r="AO1541" s="209"/>
      <c r="AP1541" s="209"/>
    </row>
    <row r="1542">
      <c r="A1542" s="209"/>
      <c r="B1542" s="209"/>
      <c r="C1542" s="209"/>
      <c r="D1542" s="209"/>
      <c r="E1542" s="209"/>
      <c r="F1542" s="209"/>
      <c r="G1542" s="209"/>
      <c r="H1542" s="209"/>
      <c r="I1542" s="209"/>
      <c r="J1542" s="209"/>
      <c r="K1542" s="209"/>
      <c r="L1542" s="209"/>
      <c r="M1542" s="209"/>
      <c r="N1542" s="209"/>
      <c r="O1542" s="209"/>
      <c r="P1542" s="209"/>
      <c r="Q1542" s="209"/>
      <c r="R1542" s="209"/>
      <c r="S1542" s="209"/>
      <c r="T1542" s="209"/>
      <c r="U1542" s="209"/>
      <c r="V1542" s="209"/>
      <c r="W1542" s="209"/>
      <c r="X1542" s="209"/>
      <c r="Y1542" s="209"/>
      <c r="Z1542" s="209"/>
      <c r="AA1542" s="209"/>
      <c r="AB1542" s="209"/>
      <c r="AC1542" s="209"/>
      <c r="AD1542" s="209"/>
      <c r="AE1542" s="209"/>
      <c r="AF1542" s="209"/>
      <c r="AG1542" s="209"/>
      <c r="AH1542" s="209"/>
      <c r="AI1542" s="209"/>
      <c r="AJ1542" s="209"/>
      <c r="AK1542" s="209"/>
      <c r="AL1542" s="209"/>
      <c r="AM1542" s="209"/>
      <c r="AN1542" s="209"/>
      <c r="AO1542" s="209"/>
      <c r="AP1542" s="209"/>
    </row>
    <row r="1543">
      <c r="A1543" s="209"/>
      <c r="B1543" s="209"/>
      <c r="C1543" s="209"/>
      <c r="D1543" s="209"/>
      <c r="E1543" s="209"/>
      <c r="F1543" s="209"/>
      <c r="G1543" s="209"/>
      <c r="H1543" s="209"/>
      <c r="I1543" s="209"/>
      <c r="J1543" s="209"/>
      <c r="K1543" s="209"/>
      <c r="L1543" s="209"/>
      <c r="M1543" s="209"/>
      <c r="N1543" s="209"/>
      <c r="O1543" s="209"/>
      <c r="P1543" s="209"/>
      <c r="Q1543" s="209"/>
      <c r="R1543" s="209"/>
      <c r="S1543" s="209"/>
      <c r="T1543" s="209"/>
      <c r="U1543" s="209"/>
      <c r="V1543" s="209"/>
      <c r="W1543" s="209"/>
      <c r="X1543" s="209"/>
      <c r="Y1543" s="209"/>
      <c r="Z1543" s="209"/>
      <c r="AA1543" s="209"/>
      <c r="AB1543" s="209"/>
      <c r="AC1543" s="209"/>
      <c r="AD1543" s="209"/>
      <c r="AE1543" s="209"/>
      <c r="AF1543" s="209"/>
      <c r="AG1543" s="209"/>
      <c r="AH1543" s="209"/>
      <c r="AI1543" s="209"/>
      <c r="AJ1543" s="209"/>
      <c r="AK1543" s="209"/>
      <c r="AL1543" s="209"/>
      <c r="AM1543" s="209"/>
      <c r="AN1543" s="209"/>
      <c r="AO1543" s="209"/>
      <c r="AP1543" s="209"/>
    </row>
    <row r="1544">
      <c r="A1544" s="209"/>
      <c r="B1544" s="209"/>
      <c r="C1544" s="209"/>
      <c r="D1544" s="209"/>
      <c r="E1544" s="209"/>
      <c r="F1544" s="209"/>
      <c r="G1544" s="209"/>
      <c r="H1544" s="209"/>
      <c r="I1544" s="209"/>
      <c r="J1544" s="209"/>
      <c r="K1544" s="209"/>
      <c r="L1544" s="209"/>
      <c r="M1544" s="209"/>
      <c r="N1544" s="209"/>
      <c r="O1544" s="209"/>
      <c r="P1544" s="209"/>
      <c r="Q1544" s="209"/>
      <c r="R1544" s="209"/>
      <c r="S1544" s="209"/>
      <c r="T1544" s="209"/>
      <c r="U1544" s="209"/>
      <c r="V1544" s="209"/>
      <c r="W1544" s="209"/>
      <c r="X1544" s="209"/>
      <c r="Y1544" s="209"/>
      <c r="Z1544" s="209"/>
      <c r="AA1544" s="209"/>
      <c r="AB1544" s="209"/>
      <c r="AC1544" s="209"/>
      <c r="AD1544" s="209"/>
      <c r="AE1544" s="209"/>
      <c r="AF1544" s="209"/>
      <c r="AG1544" s="209"/>
      <c r="AH1544" s="209"/>
      <c r="AI1544" s="209"/>
      <c r="AJ1544" s="209"/>
      <c r="AK1544" s="209"/>
      <c r="AL1544" s="209"/>
      <c r="AM1544" s="209"/>
      <c r="AN1544" s="209"/>
      <c r="AO1544" s="209"/>
      <c r="AP1544" s="209"/>
    </row>
    <row r="1545">
      <c r="A1545" s="209"/>
      <c r="B1545" s="209"/>
      <c r="C1545" s="209"/>
      <c r="D1545" s="209"/>
      <c r="E1545" s="209"/>
      <c r="F1545" s="209"/>
      <c r="G1545" s="209"/>
      <c r="H1545" s="209"/>
      <c r="I1545" s="209"/>
      <c r="J1545" s="209"/>
      <c r="K1545" s="209"/>
      <c r="L1545" s="209"/>
      <c r="M1545" s="209"/>
      <c r="N1545" s="209"/>
      <c r="O1545" s="209"/>
      <c r="P1545" s="209"/>
      <c r="Q1545" s="209"/>
      <c r="R1545" s="209"/>
      <c r="S1545" s="209"/>
      <c r="T1545" s="209"/>
      <c r="U1545" s="209"/>
      <c r="V1545" s="209"/>
      <c r="W1545" s="209"/>
      <c r="X1545" s="209"/>
      <c r="Y1545" s="209"/>
      <c r="Z1545" s="209"/>
      <c r="AA1545" s="209"/>
      <c r="AB1545" s="209"/>
      <c r="AC1545" s="209"/>
      <c r="AD1545" s="209"/>
      <c r="AE1545" s="209"/>
      <c r="AF1545" s="209"/>
      <c r="AG1545" s="209"/>
      <c r="AH1545" s="209"/>
      <c r="AI1545" s="209"/>
      <c r="AJ1545" s="209"/>
      <c r="AK1545" s="209"/>
      <c r="AL1545" s="209"/>
      <c r="AM1545" s="209"/>
      <c r="AN1545" s="209"/>
      <c r="AO1545" s="209"/>
      <c r="AP1545" s="209"/>
    </row>
    <row r="1546">
      <c r="A1546" s="209"/>
      <c r="B1546" s="209"/>
      <c r="C1546" s="209"/>
      <c r="D1546" s="209"/>
      <c r="E1546" s="209"/>
      <c r="F1546" s="209"/>
      <c r="G1546" s="209"/>
      <c r="H1546" s="209"/>
      <c r="I1546" s="209"/>
      <c r="J1546" s="209"/>
      <c r="K1546" s="209"/>
      <c r="L1546" s="209"/>
      <c r="M1546" s="209"/>
      <c r="N1546" s="209"/>
      <c r="O1546" s="209"/>
      <c r="P1546" s="209"/>
      <c r="Q1546" s="209"/>
      <c r="R1546" s="209"/>
      <c r="S1546" s="209"/>
      <c r="T1546" s="209"/>
      <c r="U1546" s="209"/>
      <c r="V1546" s="209"/>
      <c r="W1546" s="209"/>
      <c r="X1546" s="209"/>
      <c r="Y1546" s="209"/>
      <c r="Z1546" s="209"/>
      <c r="AA1546" s="209"/>
      <c r="AB1546" s="209"/>
      <c r="AC1546" s="209"/>
      <c r="AD1546" s="209"/>
      <c r="AE1546" s="209"/>
      <c r="AF1546" s="209"/>
      <c r="AG1546" s="209"/>
      <c r="AH1546" s="209"/>
      <c r="AI1546" s="209"/>
      <c r="AJ1546" s="209"/>
      <c r="AK1546" s="209"/>
      <c r="AL1546" s="209"/>
      <c r="AM1546" s="209"/>
      <c r="AN1546" s="209"/>
      <c r="AO1546" s="209"/>
      <c r="AP1546" s="209"/>
    </row>
    <row r="1547">
      <c r="A1547" s="209"/>
      <c r="B1547" s="209"/>
      <c r="C1547" s="209"/>
      <c r="D1547" s="209"/>
      <c r="E1547" s="209"/>
      <c r="F1547" s="209"/>
      <c r="G1547" s="209"/>
      <c r="H1547" s="209"/>
      <c r="I1547" s="209"/>
      <c r="J1547" s="209"/>
      <c r="K1547" s="209"/>
      <c r="L1547" s="209"/>
      <c r="M1547" s="209"/>
      <c r="N1547" s="209"/>
      <c r="O1547" s="209"/>
      <c r="P1547" s="209"/>
      <c r="Q1547" s="209"/>
      <c r="R1547" s="209"/>
      <c r="S1547" s="209"/>
      <c r="T1547" s="209"/>
      <c r="U1547" s="209"/>
      <c r="V1547" s="209"/>
      <c r="W1547" s="209"/>
      <c r="X1547" s="209"/>
      <c r="Y1547" s="209"/>
      <c r="Z1547" s="209"/>
      <c r="AA1547" s="209"/>
      <c r="AB1547" s="209"/>
      <c r="AC1547" s="209"/>
      <c r="AD1547" s="209"/>
      <c r="AE1547" s="209"/>
      <c r="AF1547" s="209"/>
      <c r="AG1547" s="209"/>
      <c r="AH1547" s="209"/>
      <c r="AI1547" s="209"/>
      <c r="AJ1547" s="209"/>
      <c r="AK1547" s="209"/>
      <c r="AL1547" s="209"/>
      <c r="AM1547" s="209"/>
      <c r="AN1547" s="209"/>
      <c r="AO1547" s="209"/>
      <c r="AP1547" s="209"/>
    </row>
    <row r="1548">
      <c r="A1548" s="209"/>
      <c r="B1548" s="209"/>
      <c r="C1548" s="209"/>
      <c r="D1548" s="209"/>
      <c r="E1548" s="209"/>
      <c r="F1548" s="209"/>
      <c r="G1548" s="209"/>
      <c r="H1548" s="209"/>
      <c r="I1548" s="209"/>
      <c r="J1548" s="209"/>
      <c r="K1548" s="209"/>
      <c r="L1548" s="209"/>
      <c r="M1548" s="209"/>
      <c r="N1548" s="209"/>
      <c r="O1548" s="209"/>
      <c r="P1548" s="209"/>
      <c r="Q1548" s="209"/>
      <c r="R1548" s="209"/>
      <c r="S1548" s="209"/>
      <c r="T1548" s="209"/>
      <c r="U1548" s="209"/>
      <c r="V1548" s="209"/>
      <c r="W1548" s="209"/>
      <c r="X1548" s="209"/>
      <c r="Y1548" s="209"/>
      <c r="Z1548" s="209"/>
      <c r="AA1548" s="209"/>
      <c r="AB1548" s="209"/>
      <c r="AC1548" s="209"/>
      <c r="AD1548" s="209"/>
      <c r="AE1548" s="209"/>
      <c r="AF1548" s="209"/>
      <c r="AG1548" s="209"/>
      <c r="AH1548" s="209"/>
      <c r="AI1548" s="209"/>
      <c r="AJ1548" s="209"/>
      <c r="AK1548" s="209"/>
      <c r="AL1548" s="209"/>
      <c r="AM1548" s="209"/>
      <c r="AN1548" s="209"/>
      <c r="AO1548" s="209"/>
      <c r="AP1548" s="209"/>
    </row>
    <row r="1549">
      <c r="A1549" s="209"/>
      <c r="B1549" s="209"/>
      <c r="C1549" s="209"/>
      <c r="D1549" s="209"/>
      <c r="E1549" s="209"/>
      <c r="F1549" s="209"/>
      <c r="G1549" s="209"/>
      <c r="H1549" s="209"/>
      <c r="I1549" s="209"/>
      <c r="J1549" s="209"/>
      <c r="K1549" s="209"/>
      <c r="L1549" s="209"/>
      <c r="M1549" s="209"/>
      <c r="N1549" s="209"/>
      <c r="O1549" s="209"/>
      <c r="P1549" s="209"/>
      <c r="Q1549" s="209"/>
      <c r="R1549" s="209"/>
      <c r="S1549" s="209"/>
      <c r="T1549" s="209"/>
      <c r="U1549" s="209"/>
      <c r="V1549" s="209"/>
      <c r="W1549" s="209"/>
      <c r="X1549" s="209"/>
      <c r="Y1549" s="209"/>
      <c r="Z1549" s="209"/>
      <c r="AA1549" s="209"/>
      <c r="AB1549" s="209"/>
      <c r="AC1549" s="209"/>
      <c r="AD1549" s="209"/>
      <c r="AE1549" s="209"/>
      <c r="AF1549" s="209"/>
      <c r="AG1549" s="209"/>
      <c r="AH1549" s="209"/>
      <c r="AI1549" s="209"/>
      <c r="AJ1549" s="209"/>
      <c r="AK1549" s="209"/>
      <c r="AL1549" s="209"/>
      <c r="AM1549" s="209"/>
      <c r="AN1549" s="209"/>
      <c r="AO1549" s="209"/>
      <c r="AP1549" s="209"/>
    </row>
    <row r="1550">
      <c r="A1550" s="209"/>
      <c r="B1550" s="209"/>
      <c r="C1550" s="209"/>
      <c r="D1550" s="209"/>
      <c r="E1550" s="209"/>
      <c r="F1550" s="209"/>
      <c r="G1550" s="209"/>
      <c r="H1550" s="209"/>
      <c r="I1550" s="209"/>
      <c r="J1550" s="209"/>
      <c r="K1550" s="209"/>
      <c r="L1550" s="209"/>
      <c r="M1550" s="209"/>
      <c r="N1550" s="209"/>
      <c r="O1550" s="209"/>
      <c r="P1550" s="209"/>
      <c r="Q1550" s="209"/>
      <c r="R1550" s="209"/>
      <c r="S1550" s="209"/>
      <c r="T1550" s="209"/>
      <c r="U1550" s="209"/>
      <c r="V1550" s="209"/>
      <c r="W1550" s="209"/>
      <c r="X1550" s="209"/>
      <c r="Y1550" s="209"/>
      <c r="Z1550" s="209"/>
      <c r="AA1550" s="209"/>
      <c r="AB1550" s="209"/>
      <c r="AC1550" s="209"/>
      <c r="AD1550" s="209"/>
      <c r="AE1550" s="209"/>
      <c r="AF1550" s="209"/>
      <c r="AG1550" s="209"/>
      <c r="AH1550" s="209"/>
      <c r="AI1550" s="209"/>
      <c r="AJ1550" s="209"/>
      <c r="AK1550" s="209"/>
      <c r="AL1550" s="209"/>
      <c r="AM1550" s="209"/>
      <c r="AN1550" s="209"/>
      <c r="AO1550" s="209"/>
      <c r="AP1550" s="209"/>
    </row>
    <row r="1551">
      <c r="A1551" s="209"/>
      <c r="B1551" s="209"/>
      <c r="C1551" s="209"/>
      <c r="D1551" s="209"/>
      <c r="E1551" s="209"/>
      <c r="F1551" s="209"/>
      <c r="G1551" s="209"/>
      <c r="H1551" s="209"/>
      <c r="I1551" s="209"/>
      <c r="J1551" s="209"/>
      <c r="K1551" s="209"/>
      <c r="L1551" s="209"/>
      <c r="M1551" s="209"/>
      <c r="N1551" s="209"/>
      <c r="O1551" s="209"/>
      <c r="P1551" s="209"/>
      <c r="Q1551" s="209"/>
      <c r="R1551" s="209"/>
      <c r="S1551" s="209"/>
      <c r="T1551" s="209"/>
      <c r="U1551" s="209"/>
      <c r="V1551" s="209"/>
      <c r="W1551" s="209"/>
      <c r="X1551" s="209"/>
      <c r="Y1551" s="209"/>
      <c r="Z1551" s="209"/>
      <c r="AA1551" s="209"/>
      <c r="AB1551" s="209"/>
      <c r="AC1551" s="209"/>
      <c r="AD1551" s="209"/>
      <c r="AE1551" s="209"/>
      <c r="AF1551" s="209"/>
      <c r="AG1551" s="209"/>
      <c r="AH1551" s="209"/>
      <c r="AI1551" s="209"/>
      <c r="AJ1551" s="209"/>
      <c r="AK1551" s="209"/>
      <c r="AL1551" s="209"/>
      <c r="AM1551" s="209"/>
      <c r="AN1551" s="209"/>
      <c r="AO1551" s="209"/>
      <c r="AP1551" s="209"/>
    </row>
    <row r="1552">
      <c r="A1552" s="209"/>
      <c r="B1552" s="209"/>
      <c r="C1552" s="209"/>
      <c r="D1552" s="209"/>
      <c r="E1552" s="209"/>
      <c r="F1552" s="209"/>
      <c r="G1552" s="209"/>
      <c r="H1552" s="209"/>
      <c r="I1552" s="209"/>
      <c r="J1552" s="209"/>
      <c r="K1552" s="209"/>
      <c r="L1552" s="209"/>
      <c r="M1552" s="209"/>
      <c r="N1552" s="209"/>
      <c r="O1552" s="209"/>
      <c r="P1552" s="209"/>
      <c r="Q1552" s="209"/>
      <c r="R1552" s="209"/>
      <c r="S1552" s="209"/>
      <c r="T1552" s="209"/>
      <c r="U1552" s="209"/>
      <c r="V1552" s="209"/>
      <c r="W1552" s="209"/>
      <c r="X1552" s="209"/>
      <c r="Y1552" s="209"/>
      <c r="Z1552" s="209"/>
      <c r="AA1552" s="209"/>
      <c r="AB1552" s="209"/>
      <c r="AC1552" s="209"/>
      <c r="AD1552" s="209"/>
      <c r="AE1552" s="209"/>
      <c r="AF1552" s="209"/>
      <c r="AG1552" s="209"/>
      <c r="AH1552" s="209"/>
      <c r="AI1552" s="209"/>
      <c r="AJ1552" s="209"/>
      <c r="AK1552" s="209"/>
      <c r="AL1552" s="209"/>
      <c r="AM1552" s="209"/>
      <c r="AN1552" s="209"/>
      <c r="AO1552" s="209"/>
      <c r="AP1552" s="209"/>
    </row>
    <row r="1553">
      <c r="A1553" s="209"/>
      <c r="B1553" s="209"/>
      <c r="C1553" s="209"/>
      <c r="D1553" s="209"/>
      <c r="E1553" s="209"/>
      <c r="F1553" s="209"/>
      <c r="G1553" s="209"/>
      <c r="H1553" s="209"/>
      <c r="I1553" s="209"/>
      <c r="J1553" s="209"/>
      <c r="K1553" s="209"/>
      <c r="L1553" s="209"/>
      <c r="M1553" s="209"/>
      <c r="N1553" s="209"/>
      <c r="O1553" s="209"/>
      <c r="P1553" s="209"/>
      <c r="Q1553" s="209"/>
      <c r="R1553" s="209"/>
      <c r="S1553" s="209"/>
      <c r="T1553" s="209"/>
      <c r="U1553" s="209"/>
      <c r="V1553" s="209"/>
      <c r="W1553" s="209"/>
      <c r="X1553" s="209"/>
      <c r="Y1553" s="209"/>
      <c r="Z1553" s="209"/>
      <c r="AA1553" s="209"/>
      <c r="AB1553" s="209"/>
      <c r="AC1553" s="209"/>
      <c r="AD1553" s="209"/>
      <c r="AE1553" s="209"/>
      <c r="AF1553" s="209"/>
      <c r="AG1553" s="209"/>
      <c r="AH1553" s="209"/>
      <c r="AI1553" s="209"/>
      <c r="AJ1553" s="209"/>
      <c r="AK1553" s="209"/>
      <c r="AL1553" s="209"/>
      <c r="AM1553" s="209"/>
      <c r="AN1553" s="209"/>
      <c r="AO1553" s="209"/>
      <c r="AP1553" s="209"/>
    </row>
    <row r="1554">
      <c r="A1554" s="209"/>
      <c r="B1554" s="209"/>
      <c r="C1554" s="209"/>
      <c r="D1554" s="209"/>
      <c r="E1554" s="209"/>
      <c r="F1554" s="209"/>
      <c r="G1554" s="209"/>
      <c r="H1554" s="209"/>
      <c r="I1554" s="209"/>
      <c r="J1554" s="209"/>
      <c r="K1554" s="209"/>
      <c r="L1554" s="209"/>
      <c r="M1554" s="209"/>
      <c r="N1554" s="209"/>
      <c r="O1554" s="209"/>
      <c r="P1554" s="209"/>
      <c r="Q1554" s="209"/>
      <c r="R1554" s="209"/>
      <c r="S1554" s="209"/>
      <c r="T1554" s="209"/>
      <c r="U1554" s="209"/>
      <c r="V1554" s="209"/>
      <c r="W1554" s="209"/>
      <c r="X1554" s="209"/>
      <c r="Y1554" s="209"/>
      <c r="Z1554" s="209"/>
      <c r="AA1554" s="209"/>
      <c r="AB1554" s="209"/>
      <c r="AC1554" s="209"/>
      <c r="AD1554" s="209"/>
      <c r="AE1554" s="209"/>
      <c r="AF1554" s="209"/>
      <c r="AG1554" s="209"/>
      <c r="AH1554" s="209"/>
      <c r="AI1554" s="209"/>
      <c r="AJ1554" s="209"/>
      <c r="AK1554" s="209"/>
      <c r="AL1554" s="209"/>
      <c r="AM1554" s="209"/>
      <c r="AN1554" s="209"/>
      <c r="AO1554" s="209"/>
      <c r="AP1554" s="209"/>
    </row>
    <row r="1555">
      <c r="A1555" s="209"/>
      <c r="B1555" s="209"/>
      <c r="C1555" s="209"/>
      <c r="D1555" s="209"/>
      <c r="E1555" s="209"/>
      <c r="F1555" s="209"/>
      <c r="G1555" s="209"/>
      <c r="H1555" s="209"/>
      <c r="I1555" s="209"/>
      <c r="J1555" s="209"/>
      <c r="K1555" s="209"/>
      <c r="L1555" s="209"/>
      <c r="M1555" s="209"/>
      <c r="N1555" s="209"/>
      <c r="O1555" s="209"/>
      <c r="P1555" s="209"/>
      <c r="Q1555" s="209"/>
      <c r="R1555" s="209"/>
      <c r="S1555" s="209"/>
      <c r="T1555" s="209"/>
      <c r="U1555" s="209"/>
      <c r="V1555" s="209"/>
      <c r="W1555" s="209"/>
      <c r="X1555" s="209"/>
      <c r="Y1555" s="209"/>
      <c r="Z1555" s="209"/>
      <c r="AA1555" s="209"/>
      <c r="AB1555" s="209"/>
      <c r="AC1555" s="209"/>
      <c r="AD1555" s="209"/>
      <c r="AE1555" s="209"/>
      <c r="AF1555" s="209"/>
      <c r="AG1555" s="209"/>
      <c r="AH1555" s="209"/>
      <c r="AI1555" s="209"/>
      <c r="AJ1555" s="209"/>
      <c r="AK1555" s="209"/>
      <c r="AL1555" s="209"/>
      <c r="AM1555" s="209"/>
      <c r="AN1555" s="209"/>
      <c r="AO1555" s="209"/>
      <c r="AP1555" s="209"/>
    </row>
    <row r="1556">
      <c r="A1556" s="209"/>
      <c r="B1556" s="209"/>
      <c r="C1556" s="209"/>
      <c r="D1556" s="209"/>
      <c r="E1556" s="209"/>
      <c r="F1556" s="209"/>
      <c r="G1556" s="209"/>
      <c r="H1556" s="209"/>
      <c r="I1556" s="209"/>
      <c r="J1556" s="209"/>
      <c r="K1556" s="209"/>
      <c r="L1556" s="209"/>
      <c r="M1556" s="209"/>
      <c r="N1556" s="209"/>
      <c r="O1556" s="209"/>
      <c r="P1556" s="209"/>
      <c r="Q1556" s="209"/>
      <c r="R1556" s="209"/>
      <c r="S1556" s="209"/>
      <c r="T1556" s="209"/>
      <c r="U1556" s="209"/>
      <c r="V1556" s="209"/>
      <c r="W1556" s="209"/>
      <c r="X1556" s="209"/>
      <c r="Y1556" s="209"/>
      <c r="Z1556" s="209"/>
      <c r="AA1556" s="209"/>
      <c r="AB1556" s="209"/>
      <c r="AC1556" s="209"/>
      <c r="AD1556" s="209"/>
      <c r="AE1556" s="209"/>
      <c r="AF1556" s="209"/>
      <c r="AG1556" s="209"/>
      <c r="AH1556" s="209"/>
      <c r="AI1556" s="209"/>
      <c r="AJ1556" s="209"/>
      <c r="AK1556" s="209"/>
      <c r="AL1556" s="209"/>
      <c r="AM1556" s="209"/>
      <c r="AN1556" s="209"/>
      <c r="AO1556" s="209"/>
      <c r="AP1556" s="209"/>
    </row>
    <row r="1557">
      <c r="A1557" s="209"/>
      <c r="B1557" s="209"/>
      <c r="C1557" s="209"/>
      <c r="D1557" s="209"/>
      <c r="E1557" s="209"/>
      <c r="F1557" s="209"/>
      <c r="G1557" s="209"/>
      <c r="H1557" s="209"/>
      <c r="I1557" s="209"/>
      <c r="J1557" s="209"/>
      <c r="K1557" s="209"/>
      <c r="L1557" s="209"/>
      <c r="M1557" s="209"/>
      <c r="N1557" s="209"/>
      <c r="O1557" s="209"/>
      <c r="P1557" s="209"/>
      <c r="Q1557" s="209"/>
      <c r="R1557" s="209"/>
      <c r="S1557" s="209"/>
      <c r="T1557" s="209"/>
      <c r="U1557" s="209"/>
      <c r="V1557" s="209"/>
      <c r="W1557" s="209"/>
      <c r="X1557" s="209"/>
      <c r="Y1557" s="209"/>
      <c r="Z1557" s="209"/>
      <c r="AA1557" s="209"/>
      <c r="AB1557" s="209"/>
      <c r="AC1557" s="209"/>
      <c r="AD1557" s="209"/>
      <c r="AE1557" s="209"/>
      <c r="AF1557" s="209"/>
      <c r="AG1557" s="209"/>
      <c r="AH1557" s="209"/>
      <c r="AI1557" s="209"/>
      <c r="AJ1557" s="209"/>
      <c r="AK1557" s="209"/>
      <c r="AL1557" s="209"/>
      <c r="AM1557" s="209"/>
      <c r="AN1557" s="209"/>
      <c r="AO1557" s="209"/>
      <c r="AP1557" s="209"/>
    </row>
    <row r="1558">
      <c r="A1558" s="209"/>
      <c r="B1558" s="209"/>
      <c r="C1558" s="209"/>
      <c r="D1558" s="209"/>
      <c r="E1558" s="209"/>
      <c r="F1558" s="209"/>
      <c r="G1558" s="209"/>
      <c r="H1558" s="209"/>
      <c r="I1558" s="209"/>
      <c r="J1558" s="209"/>
      <c r="K1558" s="209"/>
      <c r="L1558" s="209"/>
      <c r="M1558" s="209"/>
      <c r="N1558" s="209"/>
      <c r="O1558" s="209"/>
      <c r="P1558" s="209"/>
      <c r="Q1558" s="209"/>
      <c r="R1558" s="209"/>
      <c r="S1558" s="209"/>
      <c r="T1558" s="209"/>
      <c r="U1558" s="209"/>
      <c r="V1558" s="209"/>
      <c r="W1558" s="209"/>
      <c r="X1558" s="209"/>
      <c r="Y1558" s="209"/>
      <c r="Z1558" s="209"/>
      <c r="AA1558" s="209"/>
      <c r="AB1558" s="209"/>
      <c r="AC1558" s="209"/>
      <c r="AD1558" s="209"/>
      <c r="AE1558" s="209"/>
      <c r="AF1558" s="209"/>
      <c r="AG1558" s="209"/>
      <c r="AH1558" s="209"/>
      <c r="AI1558" s="209"/>
      <c r="AJ1558" s="209"/>
      <c r="AK1558" s="209"/>
      <c r="AL1558" s="209"/>
      <c r="AM1558" s="209"/>
      <c r="AN1558" s="209"/>
      <c r="AO1558" s="209"/>
      <c r="AP1558" s="209"/>
    </row>
    <row r="1559">
      <c r="A1559" s="209"/>
      <c r="B1559" s="209"/>
      <c r="C1559" s="209"/>
      <c r="D1559" s="209"/>
      <c r="E1559" s="209"/>
      <c r="F1559" s="209"/>
      <c r="G1559" s="209"/>
      <c r="H1559" s="209"/>
      <c r="I1559" s="209"/>
      <c r="J1559" s="209"/>
      <c r="K1559" s="209"/>
      <c r="L1559" s="209"/>
      <c r="M1559" s="209"/>
      <c r="N1559" s="209"/>
      <c r="O1559" s="209"/>
      <c r="P1559" s="209"/>
      <c r="Q1559" s="209"/>
      <c r="R1559" s="209"/>
      <c r="S1559" s="209"/>
      <c r="T1559" s="209"/>
      <c r="U1559" s="209"/>
      <c r="V1559" s="209"/>
      <c r="W1559" s="209"/>
      <c r="X1559" s="209"/>
      <c r="Y1559" s="209"/>
      <c r="Z1559" s="209"/>
      <c r="AA1559" s="209"/>
      <c r="AB1559" s="209"/>
      <c r="AC1559" s="209"/>
      <c r="AD1559" s="209"/>
      <c r="AE1559" s="209"/>
      <c r="AF1559" s="209"/>
      <c r="AG1559" s="209"/>
      <c r="AH1559" s="209"/>
      <c r="AI1559" s="209"/>
      <c r="AJ1559" s="209"/>
      <c r="AK1559" s="209"/>
      <c r="AL1559" s="209"/>
      <c r="AM1559" s="209"/>
      <c r="AN1559" s="209"/>
      <c r="AO1559" s="209"/>
      <c r="AP1559" s="209"/>
    </row>
    <row r="1560">
      <c r="A1560" s="209"/>
      <c r="B1560" s="209"/>
      <c r="C1560" s="209"/>
      <c r="D1560" s="209"/>
      <c r="E1560" s="209"/>
      <c r="F1560" s="209"/>
      <c r="G1560" s="209"/>
      <c r="H1560" s="209"/>
      <c r="I1560" s="209"/>
      <c r="J1560" s="209"/>
      <c r="K1560" s="209"/>
      <c r="L1560" s="209"/>
      <c r="M1560" s="209"/>
      <c r="N1560" s="209"/>
      <c r="O1560" s="209"/>
      <c r="P1560" s="209"/>
      <c r="Q1560" s="209"/>
      <c r="R1560" s="209"/>
      <c r="S1560" s="209"/>
      <c r="T1560" s="209"/>
      <c r="U1560" s="209"/>
      <c r="V1560" s="209"/>
      <c r="W1560" s="209"/>
      <c r="X1560" s="209"/>
      <c r="Y1560" s="209"/>
      <c r="Z1560" s="209"/>
      <c r="AA1560" s="209"/>
      <c r="AB1560" s="209"/>
      <c r="AC1560" s="209"/>
      <c r="AD1560" s="209"/>
      <c r="AE1560" s="209"/>
      <c r="AF1560" s="209"/>
      <c r="AG1560" s="209"/>
      <c r="AH1560" s="209"/>
      <c r="AI1560" s="209"/>
      <c r="AJ1560" s="209"/>
      <c r="AK1560" s="209"/>
      <c r="AL1560" s="209"/>
      <c r="AM1560" s="209"/>
      <c r="AN1560" s="209"/>
      <c r="AO1560" s="209"/>
      <c r="AP1560" s="209"/>
    </row>
    <row r="1561">
      <c r="A1561" s="209"/>
      <c r="B1561" s="209"/>
      <c r="C1561" s="209"/>
      <c r="D1561" s="209"/>
      <c r="E1561" s="209"/>
      <c r="F1561" s="209"/>
      <c r="G1561" s="209"/>
      <c r="H1561" s="209"/>
      <c r="I1561" s="209"/>
      <c r="J1561" s="209"/>
      <c r="K1561" s="209"/>
      <c r="L1561" s="209"/>
      <c r="M1561" s="209"/>
      <c r="N1561" s="209"/>
      <c r="O1561" s="209"/>
      <c r="P1561" s="209"/>
      <c r="Q1561" s="209"/>
      <c r="R1561" s="209"/>
      <c r="S1561" s="209"/>
      <c r="T1561" s="209"/>
      <c r="U1561" s="209"/>
      <c r="V1561" s="209"/>
      <c r="W1561" s="209"/>
      <c r="X1561" s="209"/>
      <c r="Y1561" s="209"/>
      <c r="Z1561" s="209"/>
      <c r="AA1561" s="209"/>
      <c r="AB1561" s="209"/>
      <c r="AC1561" s="209"/>
      <c r="AD1561" s="209"/>
      <c r="AE1561" s="209"/>
      <c r="AF1561" s="209"/>
      <c r="AG1561" s="209"/>
      <c r="AH1561" s="209"/>
      <c r="AI1561" s="209"/>
      <c r="AJ1561" s="209"/>
      <c r="AK1561" s="209"/>
      <c r="AL1561" s="209"/>
      <c r="AM1561" s="209"/>
      <c r="AN1561" s="209"/>
      <c r="AO1561" s="209"/>
      <c r="AP1561" s="209"/>
    </row>
    <row r="1562">
      <c r="A1562" s="209"/>
      <c r="B1562" s="209"/>
      <c r="C1562" s="209"/>
      <c r="D1562" s="209"/>
      <c r="E1562" s="209"/>
      <c r="F1562" s="209"/>
      <c r="G1562" s="209"/>
      <c r="H1562" s="209"/>
      <c r="I1562" s="209"/>
      <c r="J1562" s="209"/>
      <c r="K1562" s="209"/>
      <c r="L1562" s="209"/>
      <c r="M1562" s="209"/>
      <c r="N1562" s="209"/>
      <c r="O1562" s="209"/>
      <c r="P1562" s="209"/>
      <c r="Q1562" s="209"/>
      <c r="R1562" s="209"/>
      <c r="S1562" s="209"/>
      <c r="T1562" s="209"/>
      <c r="U1562" s="209"/>
      <c r="V1562" s="209"/>
      <c r="W1562" s="209"/>
      <c r="X1562" s="209"/>
      <c r="Y1562" s="209"/>
      <c r="Z1562" s="209"/>
      <c r="AA1562" s="209"/>
      <c r="AB1562" s="209"/>
      <c r="AC1562" s="209"/>
      <c r="AD1562" s="209"/>
      <c r="AE1562" s="209"/>
      <c r="AF1562" s="209"/>
      <c r="AG1562" s="209"/>
      <c r="AH1562" s="209"/>
      <c r="AI1562" s="209"/>
      <c r="AJ1562" s="209"/>
      <c r="AK1562" s="209"/>
      <c r="AL1562" s="209"/>
      <c r="AM1562" s="209"/>
      <c r="AN1562" s="209"/>
      <c r="AO1562" s="209"/>
      <c r="AP1562" s="209"/>
    </row>
    <row r="1563">
      <c r="A1563" s="209"/>
      <c r="B1563" s="209"/>
      <c r="C1563" s="209"/>
      <c r="D1563" s="209"/>
      <c r="E1563" s="209"/>
      <c r="F1563" s="209"/>
      <c r="G1563" s="209"/>
      <c r="H1563" s="209"/>
      <c r="I1563" s="209"/>
      <c r="J1563" s="209"/>
      <c r="K1563" s="209"/>
      <c r="L1563" s="209"/>
      <c r="M1563" s="209"/>
      <c r="N1563" s="209"/>
      <c r="O1563" s="209"/>
      <c r="P1563" s="209"/>
      <c r="Q1563" s="209"/>
      <c r="R1563" s="209"/>
      <c r="S1563" s="209"/>
      <c r="T1563" s="209"/>
      <c r="U1563" s="209"/>
      <c r="V1563" s="209"/>
      <c r="W1563" s="209"/>
      <c r="X1563" s="209"/>
      <c r="Y1563" s="209"/>
      <c r="Z1563" s="209"/>
      <c r="AA1563" s="209"/>
      <c r="AB1563" s="209"/>
      <c r="AC1563" s="209"/>
      <c r="AD1563" s="209"/>
      <c r="AE1563" s="209"/>
      <c r="AF1563" s="209"/>
      <c r="AG1563" s="209"/>
      <c r="AH1563" s="209"/>
      <c r="AI1563" s="209"/>
      <c r="AJ1563" s="209"/>
      <c r="AK1563" s="209"/>
      <c r="AL1563" s="209"/>
      <c r="AM1563" s="209"/>
      <c r="AN1563" s="209"/>
      <c r="AO1563" s="209"/>
      <c r="AP1563" s="209"/>
    </row>
    <row r="1564">
      <c r="A1564" s="209"/>
      <c r="B1564" s="209"/>
      <c r="C1564" s="209"/>
      <c r="D1564" s="209"/>
      <c r="E1564" s="209"/>
      <c r="F1564" s="209"/>
      <c r="G1564" s="209"/>
      <c r="H1564" s="209"/>
      <c r="I1564" s="209"/>
      <c r="J1564" s="209"/>
      <c r="K1564" s="209"/>
      <c r="L1564" s="209"/>
      <c r="M1564" s="209"/>
      <c r="N1564" s="209"/>
      <c r="O1564" s="209"/>
      <c r="P1564" s="209"/>
      <c r="Q1564" s="209"/>
      <c r="R1564" s="209"/>
      <c r="S1564" s="209"/>
      <c r="T1564" s="209"/>
      <c r="U1564" s="209"/>
      <c r="V1564" s="209"/>
      <c r="W1564" s="209"/>
      <c r="X1564" s="209"/>
      <c r="Y1564" s="209"/>
      <c r="Z1564" s="209"/>
      <c r="AA1564" s="209"/>
      <c r="AB1564" s="209"/>
      <c r="AC1564" s="209"/>
      <c r="AD1564" s="209"/>
      <c r="AE1564" s="209"/>
      <c r="AF1564" s="209"/>
      <c r="AG1564" s="209"/>
      <c r="AH1564" s="209"/>
      <c r="AI1564" s="209"/>
      <c r="AJ1564" s="209"/>
      <c r="AK1564" s="209"/>
      <c r="AL1564" s="209"/>
      <c r="AM1564" s="209"/>
      <c r="AN1564" s="209"/>
      <c r="AO1564" s="209"/>
      <c r="AP1564" s="209"/>
    </row>
    <row r="1565">
      <c r="A1565" s="209"/>
      <c r="B1565" s="209"/>
      <c r="C1565" s="209"/>
      <c r="D1565" s="209"/>
      <c r="E1565" s="209"/>
      <c r="F1565" s="209"/>
      <c r="G1565" s="209"/>
      <c r="H1565" s="209"/>
      <c r="I1565" s="209"/>
      <c r="J1565" s="209"/>
      <c r="K1565" s="209"/>
      <c r="L1565" s="209"/>
      <c r="M1565" s="209"/>
      <c r="N1565" s="209"/>
      <c r="O1565" s="209"/>
      <c r="P1565" s="209"/>
      <c r="Q1565" s="209"/>
      <c r="R1565" s="209"/>
      <c r="S1565" s="209"/>
      <c r="T1565" s="209"/>
      <c r="U1565" s="209"/>
      <c r="V1565" s="209"/>
      <c r="W1565" s="209"/>
      <c r="X1565" s="209"/>
      <c r="Y1565" s="209"/>
      <c r="Z1565" s="209"/>
      <c r="AA1565" s="209"/>
      <c r="AB1565" s="209"/>
      <c r="AC1565" s="209"/>
      <c r="AD1565" s="209"/>
      <c r="AE1565" s="209"/>
      <c r="AF1565" s="209"/>
      <c r="AG1565" s="209"/>
      <c r="AH1565" s="209"/>
      <c r="AI1565" s="209"/>
      <c r="AJ1565" s="209"/>
      <c r="AK1565" s="209"/>
      <c r="AL1565" s="209"/>
      <c r="AM1565" s="209"/>
      <c r="AN1565" s="209"/>
      <c r="AO1565" s="209"/>
      <c r="AP1565" s="209"/>
    </row>
    <row r="1566">
      <c r="A1566" s="209"/>
      <c r="B1566" s="209"/>
      <c r="C1566" s="209"/>
      <c r="D1566" s="209"/>
      <c r="E1566" s="209"/>
      <c r="F1566" s="209"/>
      <c r="G1566" s="209"/>
      <c r="H1566" s="209"/>
      <c r="I1566" s="209"/>
      <c r="J1566" s="209"/>
      <c r="K1566" s="209"/>
      <c r="L1566" s="209"/>
      <c r="M1566" s="209"/>
      <c r="N1566" s="209"/>
      <c r="O1566" s="209"/>
      <c r="P1566" s="209"/>
      <c r="Q1566" s="209"/>
      <c r="R1566" s="209"/>
      <c r="S1566" s="209"/>
      <c r="T1566" s="209"/>
      <c r="U1566" s="209"/>
      <c r="V1566" s="209"/>
      <c r="W1566" s="209"/>
      <c r="X1566" s="209"/>
      <c r="Y1566" s="209"/>
      <c r="Z1566" s="209"/>
      <c r="AA1566" s="209"/>
      <c r="AB1566" s="209"/>
      <c r="AC1566" s="209"/>
      <c r="AD1566" s="209"/>
      <c r="AE1566" s="209"/>
      <c r="AF1566" s="209"/>
      <c r="AG1566" s="209"/>
      <c r="AH1566" s="209"/>
      <c r="AI1566" s="209"/>
      <c r="AJ1566" s="209"/>
      <c r="AK1566" s="209"/>
      <c r="AL1566" s="209"/>
      <c r="AM1566" s="209"/>
      <c r="AN1566" s="209"/>
      <c r="AO1566" s="209"/>
      <c r="AP1566" s="209"/>
    </row>
    <row r="1567">
      <c r="A1567" s="209"/>
      <c r="B1567" s="209"/>
      <c r="C1567" s="209"/>
      <c r="D1567" s="209"/>
      <c r="E1567" s="209"/>
      <c r="F1567" s="209"/>
      <c r="G1567" s="209"/>
      <c r="H1567" s="209"/>
      <c r="I1567" s="209"/>
      <c r="J1567" s="209"/>
      <c r="K1567" s="209"/>
      <c r="L1567" s="209"/>
      <c r="M1567" s="209"/>
      <c r="N1567" s="209"/>
      <c r="O1567" s="209"/>
      <c r="P1567" s="209"/>
      <c r="Q1567" s="209"/>
      <c r="R1567" s="209"/>
      <c r="S1567" s="209"/>
      <c r="T1567" s="209"/>
      <c r="U1567" s="209"/>
      <c r="V1567" s="209"/>
      <c r="W1567" s="209"/>
      <c r="X1567" s="209"/>
      <c r="Y1567" s="209"/>
      <c r="Z1567" s="209"/>
      <c r="AA1567" s="209"/>
      <c r="AB1567" s="209"/>
      <c r="AC1567" s="209"/>
      <c r="AD1567" s="209"/>
      <c r="AE1567" s="209"/>
      <c r="AF1567" s="209"/>
      <c r="AG1567" s="209"/>
      <c r="AH1567" s="209"/>
      <c r="AI1567" s="209"/>
      <c r="AJ1567" s="209"/>
      <c r="AK1567" s="209"/>
      <c r="AL1567" s="209"/>
      <c r="AM1567" s="209"/>
      <c r="AN1567" s="209"/>
      <c r="AO1567" s="209"/>
      <c r="AP1567" s="209"/>
    </row>
    <row r="1568">
      <c r="A1568" s="209"/>
      <c r="B1568" s="209"/>
      <c r="C1568" s="209"/>
      <c r="D1568" s="209"/>
      <c r="E1568" s="209"/>
      <c r="F1568" s="209"/>
      <c r="G1568" s="209"/>
      <c r="H1568" s="209"/>
      <c r="I1568" s="209"/>
      <c r="J1568" s="209"/>
      <c r="K1568" s="209"/>
      <c r="L1568" s="209"/>
      <c r="M1568" s="209"/>
      <c r="N1568" s="209"/>
      <c r="O1568" s="209"/>
      <c r="P1568" s="209"/>
      <c r="Q1568" s="209"/>
      <c r="R1568" s="209"/>
      <c r="S1568" s="209"/>
      <c r="T1568" s="209"/>
      <c r="U1568" s="209"/>
      <c r="V1568" s="209"/>
      <c r="W1568" s="209"/>
      <c r="X1568" s="209"/>
      <c r="Y1568" s="209"/>
      <c r="Z1568" s="209"/>
      <c r="AA1568" s="209"/>
      <c r="AB1568" s="209"/>
      <c r="AC1568" s="209"/>
      <c r="AD1568" s="209"/>
      <c r="AE1568" s="209"/>
      <c r="AF1568" s="209"/>
      <c r="AG1568" s="209"/>
      <c r="AH1568" s="209"/>
      <c r="AI1568" s="209"/>
      <c r="AJ1568" s="209"/>
      <c r="AK1568" s="209"/>
      <c r="AL1568" s="209"/>
      <c r="AM1568" s="209"/>
      <c r="AN1568" s="209"/>
      <c r="AO1568" s="209"/>
      <c r="AP1568" s="209"/>
    </row>
    <row r="1569">
      <c r="A1569" s="209"/>
      <c r="B1569" s="209"/>
      <c r="C1569" s="209"/>
      <c r="D1569" s="209"/>
      <c r="E1569" s="209"/>
      <c r="F1569" s="209"/>
      <c r="G1569" s="209"/>
      <c r="H1569" s="209"/>
      <c r="I1569" s="209"/>
      <c r="J1569" s="209"/>
      <c r="K1569" s="209"/>
      <c r="L1569" s="209"/>
      <c r="M1569" s="209"/>
      <c r="N1569" s="209"/>
      <c r="O1569" s="209"/>
      <c r="P1569" s="209"/>
      <c r="Q1569" s="209"/>
      <c r="R1569" s="209"/>
      <c r="S1569" s="209"/>
      <c r="T1569" s="209"/>
      <c r="U1569" s="209"/>
      <c r="V1569" s="209"/>
      <c r="W1569" s="209"/>
      <c r="X1569" s="209"/>
      <c r="Y1569" s="209"/>
      <c r="Z1569" s="209"/>
      <c r="AA1569" s="209"/>
      <c r="AB1569" s="209"/>
      <c r="AC1569" s="209"/>
      <c r="AD1569" s="209"/>
      <c r="AE1569" s="209"/>
      <c r="AF1569" s="209"/>
      <c r="AG1569" s="209"/>
      <c r="AH1569" s="209"/>
      <c r="AI1569" s="209"/>
      <c r="AJ1569" s="209"/>
      <c r="AK1569" s="209"/>
      <c r="AL1569" s="209"/>
      <c r="AM1569" s="209"/>
      <c r="AN1569" s="209"/>
      <c r="AO1569" s="209"/>
      <c r="AP1569" s="209"/>
    </row>
    <row r="1570">
      <c r="A1570" s="209"/>
      <c r="B1570" s="209"/>
      <c r="C1570" s="209"/>
      <c r="D1570" s="209"/>
      <c r="E1570" s="209"/>
      <c r="F1570" s="209"/>
      <c r="G1570" s="209"/>
      <c r="H1570" s="209"/>
      <c r="I1570" s="209"/>
      <c r="J1570" s="209"/>
      <c r="K1570" s="209"/>
      <c r="L1570" s="209"/>
      <c r="M1570" s="209"/>
      <c r="N1570" s="209"/>
      <c r="O1570" s="209"/>
      <c r="P1570" s="209"/>
      <c r="Q1570" s="209"/>
      <c r="R1570" s="209"/>
      <c r="S1570" s="209"/>
      <c r="T1570" s="209"/>
      <c r="U1570" s="209"/>
      <c r="V1570" s="209"/>
      <c r="W1570" s="209"/>
      <c r="X1570" s="209"/>
      <c r="Y1570" s="209"/>
      <c r="Z1570" s="209"/>
      <c r="AA1570" s="209"/>
      <c r="AB1570" s="209"/>
      <c r="AC1570" s="209"/>
      <c r="AD1570" s="209"/>
      <c r="AE1570" s="209"/>
      <c r="AF1570" s="209"/>
      <c r="AG1570" s="209"/>
      <c r="AH1570" s="209"/>
      <c r="AI1570" s="209"/>
      <c r="AJ1570" s="209"/>
      <c r="AK1570" s="209"/>
      <c r="AL1570" s="209"/>
      <c r="AM1570" s="209"/>
      <c r="AN1570" s="209"/>
      <c r="AO1570" s="209"/>
      <c r="AP1570" s="209"/>
    </row>
    <row r="1571">
      <c r="A1571" s="209"/>
      <c r="B1571" s="209"/>
      <c r="C1571" s="209"/>
      <c r="D1571" s="209"/>
      <c r="E1571" s="209"/>
      <c r="F1571" s="209"/>
      <c r="G1571" s="209"/>
      <c r="H1571" s="209"/>
      <c r="I1571" s="209"/>
      <c r="J1571" s="209"/>
      <c r="K1571" s="209"/>
      <c r="L1571" s="209"/>
      <c r="M1571" s="209"/>
      <c r="N1571" s="209"/>
      <c r="O1571" s="209"/>
      <c r="P1571" s="209"/>
      <c r="Q1571" s="209"/>
      <c r="R1571" s="209"/>
      <c r="S1571" s="209"/>
      <c r="T1571" s="209"/>
      <c r="U1571" s="209"/>
      <c r="V1571" s="209"/>
      <c r="W1571" s="209"/>
      <c r="X1571" s="209"/>
      <c r="Y1571" s="209"/>
      <c r="Z1571" s="209"/>
      <c r="AA1571" s="209"/>
      <c r="AB1571" s="209"/>
      <c r="AC1571" s="209"/>
      <c r="AD1571" s="209"/>
      <c r="AE1571" s="209"/>
      <c r="AF1571" s="209"/>
      <c r="AG1571" s="209"/>
      <c r="AH1571" s="209"/>
      <c r="AI1571" s="209"/>
      <c r="AJ1571" s="209"/>
      <c r="AK1571" s="209"/>
      <c r="AL1571" s="209"/>
      <c r="AM1571" s="209"/>
      <c r="AN1571" s="209"/>
      <c r="AO1571" s="209"/>
      <c r="AP1571" s="209"/>
    </row>
    <row r="1572">
      <c r="A1572" s="209"/>
      <c r="B1572" s="209"/>
      <c r="C1572" s="209"/>
      <c r="D1572" s="209"/>
      <c r="E1572" s="209"/>
      <c r="F1572" s="209"/>
      <c r="G1572" s="209"/>
      <c r="H1572" s="209"/>
      <c r="I1572" s="209"/>
      <c r="J1572" s="209"/>
      <c r="K1572" s="209"/>
      <c r="L1572" s="209"/>
      <c r="M1572" s="209"/>
      <c r="N1572" s="209"/>
      <c r="O1572" s="209"/>
      <c r="P1572" s="209"/>
      <c r="Q1572" s="209"/>
      <c r="R1572" s="209"/>
      <c r="S1572" s="209"/>
      <c r="T1572" s="209"/>
      <c r="U1572" s="209"/>
      <c r="V1572" s="209"/>
      <c r="W1572" s="209"/>
      <c r="X1572" s="209"/>
      <c r="Y1572" s="209"/>
      <c r="Z1572" s="209"/>
      <c r="AA1572" s="209"/>
      <c r="AB1572" s="209"/>
      <c r="AC1572" s="209"/>
      <c r="AD1572" s="209"/>
      <c r="AE1572" s="209"/>
      <c r="AF1572" s="209"/>
      <c r="AG1572" s="209"/>
      <c r="AH1572" s="209"/>
      <c r="AI1572" s="209"/>
      <c r="AJ1572" s="209"/>
      <c r="AK1572" s="209"/>
      <c r="AL1572" s="209"/>
      <c r="AM1572" s="209"/>
      <c r="AN1572" s="209"/>
      <c r="AO1572" s="209"/>
      <c r="AP1572" s="209"/>
    </row>
    <row r="1573">
      <c r="A1573" s="209"/>
      <c r="B1573" s="209"/>
      <c r="C1573" s="209"/>
      <c r="D1573" s="209"/>
      <c r="E1573" s="209"/>
      <c r="F1573" s="209"/>
      <c r="G1573" s="209"/>
      <c r="H1573" s="209"/>
      <c r="I1573" s="209"/>
      <c r="J1573" s="209"/>
      <c r="K1573" s="209"/>
      <c r="L1573" s="209"/>
      <c r="M1573" s="209"/>
      <c r="N1573" s="209"/>
      <c r="O1573" s="209"/>
      <c r="P1573" s="209"/>
      <c r="Q1573" s="209"/>
      <c r="R1573" s="209"/>
      <c r="S1573" s="209"/>
      <c r="T1573" s="209"/>
      <c r="U1573" s="209"/>
      <c r="V1573" s="209"/>
      <c r="W1573" s="209"/>
      <c r="X1573" s="209"/>
      <c r="Y1573" s="209"/>
      <c r="Z1573" s="209"/>
      <c r="AA1573" s="209"/>
      <c r="AB1573" s="209"/>
      <c r="AC1573" s="209"/>
      <c r="AD1573" s="209"/>
      <c r="AE1573" s="209"/>
      <c r="AF1573" s="209"/>
      <c r="AG1573" s="209"/>
      <c r="AH1573" s="209"/>
      <c r="AI1573" s="209"/>
      <c r="AJ1573" s="209"/>
      <c r="AK1573" s="209"/>
      <c r="AL1573" s="209"/>
      <c r="AM1573" s="209"/>
      <c r="AN1573" s="209"/>
      <c r="AO1573" s="209"/>
      <c r="AP1573" s="209"/>
    </row>
    <row r="1574">
      <c r="A1574" s="209"/>
      <c r="B1574" s="209"/>
      <c r="C1574" s="209"/>
      <c r="D1574" s="209"/>
      <c r="E1574" s="209"/>
      <c r="F1574" s="209"/>
      <c r="G1574" s="209"/>
      <c r="H1574" s="209"/>
      <c r="I1574" s="209"/>
      <c r="J1574" s="209"/>
      <c r="K1574" s="209"/>
      <c r="L1574" s="209"/>
      <c r="M1574" s="209"/>
      <c r="N1574" s="209"/>
      <c r="O1574" s="209"/>
      <c r="P1574" s="209"/>
      <c r="Q1574" s="209"/>
      <c r="R1574" s="209"/>
      <c r="S1574" s="209"/>
      <c r="T1574" s="209"/>
      <c r="U1574" s="209"/>
      <c r="V1574" s="209"/>
      <c r="W1574" s="209"/>
      <c r="X1574" s="209"/>
      <c r="Y1574" s="209"/>
      <c r="Z1574" s="209"/>
      <c r="AA1574" s="209"/>
      <c r="AB1574" s="209"/>
      <c r="AC1574" s="209"/>
      <c r="AD1574" s="209"/>
      <c r="AE1574" s="209"/>
      <c r="AF1574" s="209"/>
      <c r="AG1574" s="209"/>
      <c r="AH1574" s="209"/>
      <c r="AI1574" s="209"/>
      <c r="AJ1574" s="209"/>
      <c r="AK1574" s="209"/>
      <c r="AL1574" s="209"/>
      <c r="AM1574" s="209"/>
      <c r="AN1574" s="209"/>
      <c r="AO1574" s="209"/>
      <c r="AP1574" s="209"/>
    </row>
    <row r="1575">
      <c r="A1575" s="209"/>
      <c r="B1575" s="209"/>
      <c r="C1575" s="209"/>
      <c r="D1575" s="209"/>
      <c r="E1575" s="209"/>
      <c r="F1575" s="209"/>
      <c r="G1575" s="209"/>
      <c r="H1575" s="209"/>
      <c r="I1575" s="209"/>
      <c r="J1575" s="209"/>
      <c r="K1575" s="209"/>
      <c r="L1575" s="209"/>
      <c r="M1575" s="209"/>
      <c r="N1575" s="209"/>
      <c r="O1575" s="209"/>
      <c r="P1575" s="209"/>
      <c r="Q1575" s="209"/>
      <c r="R1575" s="209"/>
      <c r="S1575" s="209"/>
      <c r="T1575" s="209"/>
      <c r="U1575" s="209"/>
      <c r="V1575" s="209"/>
      <c r="W1575" s="209"/>
      <c r="X1575" s="209"/>
      <c r="Y1575" s="209"/>
      <c r="Z1575" s="209"/>
      <c r="AA1575" s="209"/>
      <c r="AB1575" s="209"/>
      <c r="AC1575" s="209"/>
      <c r="AD1575" s="209"/>
      <c r="AE1575" s="209"/>
      <c r="AF1575" s="209"/>
      <c r="AG1575" s="209"/>
      <c r="AH1575" s="209"/>
      <c r="AI1575" s="209"/>
      <c r="AJ1575" s="209"/>
      <c r="AK1575" s="209"/>
      <c r="AL1575" s="209"/>
      <c r="AM1575" s="209"/>
      <c r="AN1575" s="209"/>
      <c r="AO1575" s="209"/>
      <c r="AP1575" s="209"/>
    </row>
    <row r="1576">
      <c r="A1576" s="209"/>
      <c r="B1576" s="209"/>
      <c r="C1576" s="209"/>
      <c r="D1576" s="209"/>
      <c r="E1576" s="209"/>
      <c r="F1576" s="209"/>
      <c r="G1576" s="209"/>
      <c r="H1576" s="209"/>
      <c r="I1576" s="209"/>
      <c r="J1576" s="209"/>
      <c r="K1576" s="209"/>
      <c r="L1576" s="209"/>
      <c r="M1576" s="209"/>
      <c r="N1576" s="209"/>
      <c r="O1576" s="209"/>
      <c r="P1576" s="209"/>
      <c r="Q1576" s="209"/>
      <c r="R1576" s="209"/>
      <c r="S1576" s="209"/>
      <c r="T1576" s="209"/>
      <c r="U1576" s="209"/>
      <c r="V1576" s="209"/>
      <c r="W1576" s="209"/>
      <c r="X1576" s="209"/>
      <c r="Y1576" s="209"/>
      <c r="Z1576" s="209"/>
      <c r="AA1576" s="209"/>
      <c r="AB1576" s="209"/>
      <c r="AC1576" s="209"/>
      <c r="AD1576" s="209"/>
      <c r="AE1576" s="209"/>
      <c r="AF1576" s="209"/>
      <c r="AG1576" s="209"/>
      <c r="AH1576" s="209"/>
      <c r="AI1576" s="209"/>
      <c r="AJ1576" s="209"/>
      <c r="AK1576" s="209"/>
      <c r="AL1576" s="209"/>
      <c r="AM1576" s="209"/>
      <c r="AN1576" s="209"/>
      <c r="AO1576" s="209"/>
      <c r="AP1576" s="209"/>
    </row>
    <row r="1577">
      <c r="A1577" s="209"/>
      <c r="B1577" s="209"/>
      <c r="C1577" s="209"/>
      <c r="D1577" s="209"/>
      <c r="E1577" s="209"/>
      <c r="F1577" s="209"/>
      <c r="G1577" s="209"/>
      <c r="H1577" s="209"/>
      <c r="I1577" s="209"/>
      <c r="J1577" s="209"/>
      <c r="K1577" s="209"/>
      <c r="L1577" s="209"/>
      <c r="M1577" s="209"/>
      <c r="N1577" s="209"/>
      <c r="O1577" s="209"/>
      <c r="P1577" s="209"/>
      <c r="Q1577" s="209"/>
      <c r="R1577" s="209"/>
      <c r="S1577" s="209"/>
      <c r="T1577" s="209"/>
      <c r="U1577" s="209"/>
      <c r="V1577" s="209"/>
      <c r="W1577" s="209"/>
      <c r="X1577" s="209"/>
      <c r="Y1577" s="209"/>
      <c r="Z1577" s="209"/>
      <c r="AA1577" s="209"/>
      <c r="AB1577" s="209"/>
      <c r="AC1577" s="209"/>
      <c r="AD1577" s="209"/>
      <c r="AE1577" s="209"/>
      <c r="AF1577" s="209"/>
      <c r="AG1577" s="209"/>
      <c r="AH1577" s="209"/>
      <c r="AI1577" s="209"/>
      <c r="AJ1577" s="209"/>
      <c r="AK1577" s="209"/>
      <c r="AL1577" s="209"/>
      <c r="AM1577" s="209"/>
      <c r="AN1577" s="209"/>
      <c r="AO1577" s="209"/>
      <c r="AP1577" s="209"/>
    </row>
    <row r="1578">
      <c r="A1578" s="209"/>
      <c r="B1578" s="209"/>
      <c r="C1578" s="209"/>
      <c r="D1578" s="209"/>
      <c r="E1578" s="209"/>
      <c r="F1578" s="209"/>
      <c r="G1578" s="209"/>
      <c r="H1578" s="209"/>
      <c r="I1578" s="209"/>
      <c r="J1578" s="209"/>
      <c r="K1578" s="209"/>
      <c r="L1578" s="209"/>
      <c r="M1578" s="209"/>
      <c r="N1578" s="209"/>
      <c r="O1578" s="209"/>
      <c r="P1578" s="209"/>
      <c r="Q1578" s="209"/>
      <c r="R1578" s="209"/>
      <c r="S1578" s="209"/>
      <c r="T1578" s="209"/>
      <c r="U1578" s="209"/>
      <c r="V1578" s="209"/>
      <c r="W1578" s="209"/>
      <c r="X1578" s="209"/>
      <c r="Y1578" s="209"/>
      <c r="Z1578" s="209"/>
      <c r="AA1578" s="209"/>
      <c r="AB1578" s="209"/>
      <c r="AC1578" s="209"/>
      <c r="AD1578" s="209"/>
      <c r="AE1578" s="209"/>
      <c r="AF1578" s="209"/>
      <c r="AG1578" s="209"/>
      <c r="AH1578" s="209"/>
      <c r="AI1578" s="209"/>
      <c r="AJ1578" s="209"/>
      <c r="AK1578" s="209"/>
      <c r="AL1578" s="209"/>
      <c r="AM1578" s="209"/>
      <c r="AN1578" s="209"/>
      <c r="AO1578" s="209"/>
      <c r="AP1578" s="209"/>
    </row>
    <row r="1579">
      <c r="A1579" s="209"/>
      <c r="B1579" s="209"/>
      <c r="C1579" s="209"/>
      <c r="D1579" s="209"/>
      <c r="E1579" s="209"/>
      <c r="F1579" s="209"/>
      <c r="G1579" s="209"/>
      <c r="H1579" s="209"/>
      <c r="I1579" s="209"/>
      <c r="J1579" s="209"/>
      <c r="K1579" s="209"/>
      <c r="L1579" s="209"/>
      <c r="M1579" s="209"/>
      <c r="N1579" s="209"/>
      <c r="O1579" s="209"/>
      <c r="P1579" s="209"/>
      <c r="Q1579" s="209"/>
      <c r="R1579" s="209"/>
      <c r="S1579" s="209"/>
      <c r="T1579" s="209"/>
      <c r="U1579" s="209"/>
      <c r="V1579" s="209"/>
      <c r="W1579" s="209"/>
      <c r="X1579" s="209"/>
      <c r="Y1579" s="209"/>
      <c r="Z1579" s="209"/>
      <c r="AA1579" s="209"/>
      <c r="AB1579" s="209"/>
      <c r="AC1579" s="209"/>
      <c r="AD1579" s="209"/>
      <c r="AE1579" s="209"/>
      <c r="AF1579" s="209"/>
      <c r="AG1579" s="209"/>
      <c r="AH1579" s="209"/>
      <c r="AI1579" s="209"/>
      <c r="AJ1579" s="209"/>
      <c r="AK1579" s="209"/>
      <c r="AL1579" s="209"/>
      <c r="AM1579" s="209"/>
      <c r="AN1579" s="209"/>
      <c r="AO1579" s="209"/>
      <c r="AP1579" s="209"/>
    </row>
    <row r="1580">
      <c r="A1580" s="209"/>
      <c r="B1580" s="209"/>
      <c r="C1580" s="209"/>
      <c r="D1580" s="209"/>
      <c r="E1580" s="209"/>
      <c r="F1580" s="209"/>
      <c r="G1580" s="209"/>
      <c r="H1580" s="209"/>
      <c r="I1580" s="209"/>
      <c r="J1580" s="209"/>
      <c r="K1580" s="209"/>
      <c r="L1580" s="209"/>
      <c r="M1580" s="209"/>
      <c r="N1580" s="209"/>
      <c r="O1580" s="209"/>
      <c r="P1580" s="209"/>
      <c r="Q1580" s="209"/>
      <c r="R1580" s="209"/>
      <c r="S1580" s="209"/>
      <c r="T1580" s="209"/>
      <c r="U1580" s="209"/>
      <c r="V1580" s="209"/>
      <c r="W1580" s="209"/>
      <c r="X1580" s="209"/>
      <c r="Y1580" s="209"/>
      <c r="Z1580" s="209"/>
      <c r="AA1580" s="209"/>
      <c r="AB1580" s="209"/>
      <c r="AC1580" s="209"/>
      <c r="AD1580" s="209"/>
      <c r="AE1580" s="209"/>
      <c r="AF1580" s="209"/>
      <c r="AG1580" s="209"/>
      <c r="AH1580" s="209"/>
      <c r="AI1580" s="209"/>
      <c r="AJ1580" s="209"/>
      <c r="AK1580" s="209"/>
      <c r="AL1580" s="209"/>
      <c r="AM1580" s="209"/>
      <c r="AN1580" s="209"/>
      <c r="AO1580" s="209"/>
      <c r="AP1580" s="209"/>
    </row>
    <row r="1581">
      <c r="A1581" s="209"/>
      <c r="B1581" s="209"/>
      <c r="C1581" s="209"/>
      <c r="D1581" s="209"/>
      <c r="E1581" s="209"/>
      <c r="F1581" s="209"/>
      <c r="G1581" s="209"/>
      <c r="H1581" s="209"/>
      <c r="I1581" s="209"/>
      <c r="J1581" s="209"/>
      <c r="K1581" s="209"/>
      <c r="L1581" s="209"/>
      <c r="M1581" s="209"/>
      <c r="N1581" s="209"/>
      <c r="O1581" s="209"/>
      <c r="P1581" s="209"/>
      <c r="Q1581" s="209"/>
      <c r="R1581" s="209"/>
      <c r="S1581" s="209"/>
      <c r="T1581" s="209"/>
      <c r="U1581" s="209"/>
      <c r="V1581" s="209"/>
      <c r="W1581" s="209"/>
      <c r="X1581" s="209"/>
      <c r="Y1581" s="209"/>
      <c r="Z1581" s="209"/>
      <c r="AA1581" s="209"/>
      <c r="AB1581" s="209"/>
      <c r="AC1581" s="209"/>
      <c r="AD1581" s="209"/>
      <c r="AE1581" s="209"/>
      <c r="AF1581" s="209"/>
      <c r="AG1581" s="209"/>
      <c r="AH1581" s="209"/>
      <c r="AI1581" s="209"/>
      <c r="AJ1581" s="209"/>
      <c r="AK1581" s="209"/>
      <c r="AL1581" s="209"/>
      <c r="AM1581" s="209"/>
      <c r="AN1581" s="209"/>
      <c r="AO1581" s="209"/>
      <c r="AP1581" s="209"/>
    </row>
    <row r="1582">
      <c r="A1582" s="209"/>
      <c r="B1582" s="209"/>
      <c r="C1582" s="209"/>
      <c r="D1582" s="209"/>
      <c r="E1582" s="209"/>
      <c r="F1582" s="209"/>
      <c r="G1582" s="209"/>
      <c r="H1582" s="209"/>
      <c r="I1582" s="209"/>
      <c r="J1582" s="209"/>
      <c r="K1582" s="209"/>
      <c r="L1582" s="209"/>
      <c r="M1582" s="209"/>
      <c r="N1582" s="209"/>
      <c r="O1582" s="209"/>
      <c r="P1582" s="209"/>
      <c r="Q1582" s="209"/>
      <c r="R1582" s="209"/>
      <c r="S1582" s="209"/>
      <c r="T1582" s="209"/>
      <c r="U1582" s="209"/>
      <c r="V1582" s="209"/>
      <c r="W1582" s="209"/>
      <c r="X1582" s="209"/>
      <c r="Y1582" s="209"/>
      <c r="Z1582" s="209"/>
      <c r="AA1582" s="209"/>
      <c r="AB1582" s="209"/>
      <c r="AC1582" s="209"/>
      <c r="AD1582" s="209"/>
      <c r="AE1582" s="209"/>
      <c r="AF1582" s="209"/>
      <c r="AG1582" s="209"/>
      <c r="AH1582" s="209"/>
      <c r="AI1582" s="209"/>
      <c r="AJ1582" s="209"/>
      <c r="AK1582" s="209"/>
      <c r="AL1582" s="209"/>
      <c r="AM1582" s="209"/>
      <c r="AN1582" s="209"/>
      <c r="AO1582" s="209"/>
      <c r="AP1582" s="209"/>
    </row>
    <row r="1583">
      <c r="A1583" s="209"/>
      <c r="B1583" s="209"/>
      <c r="C1583" s="209"/>
      <c r="D1583" s="209"/>
      <c r="E1583" s="209"/>
      <c r="F1583" s="209"/>
      <c r="G1583" s="209"/>
      <c r="H1583" s="209"/>
      <c r="I1583" s="209"/>
      <c r="J1583" s="209"/>
      <c r="K1583" s="209"/>
      <c r="L1583" s="209"/>
      <c r="M1583" s="209"/>
      <c r="N1583" s="209"/>
      <c r="O1583" s="209"/>
      <c r="P1583" s="209"/>
      <c r="Q1583" s="209"/>
      <c r="R1583" s="209"/>
      <c r="S1583" s="209"/>
      <c r="T1583" s="209"/>
      <c r="U1583" s="209"/>
      <c r="V1583" s="209"/>
      <c r="W1583" s="209"/>
      <c r="X1583" s="209"/>
      <c r="Y1583" s="209"/>
      <c r="Z1583" s="209"/>
      <c r="AA1583" s="209"/>
      <c r="AB1583" s="209"/>
      <c r="AC1583" s="209"/>
      <c r="AD1583" s="209"/>
      <c r="AE1583" s="209"/>
      <c r="AF1583" s="209"/>
      <c r="AG1583" s="209"/>
      <c r="AH1583" s="209"/>
      <c r="AI1583" s="209"/>
      <c r="AJ1583" s="209"/>
      <c r="AK1583" s="209"/>
      <c r="AL1583" s="209"/>
      <c r="AM1583" s="209"/>
      <c r="AN1583" s="209"/>
      <c r="AO1583" s="209"/>
      <c r="AP1583" s="209"/>
    </row>
    <row r="1584">
      <c r="A1584" s="209"/>
      <c r="B1584" s="209"/>
      <c r="C1584" s="209"/>
      <c r="D1584" s="209"/>
      <c r="E1584" s="209"/>
      <c r="F1584" s="209"/>
      <c r="G1584" s="209"/>
      <c r="H1584" s="209"/>
      <c r="I1584" s="209"/>
      <c r="J1584" s="209"/>
      <c r="K1584" s="209"/>
      <c r="L1584" s="209"/>
      <c r="M1584" s="209"/>
      <c r="N1584" s="209"/>
      <c r="O1584" s="209"/>
      <c r="P1584" s="209"/>
      <c r="Q1584" s="209"/>
      <c r="R1584" s="209"/>
      <c r="S1584" s="209"/>
      <c r="T1584" s="209"/>
      <c r="U1584" s="209"/>
      <c r="V1584" s="209"/>
      <c r="W1584" s="209"/>
      <c r="X1584" s="209"/>
      <c r="Y1584" s="209"/>
      <c r="Z1584" s="209"/>
      <c r="AA1584" s="209"/>
      <c r="AB1584" s="209"/>
      <c r="AC1584" s="209"/>
      <c r="AD1584" s="209"/>
      <c r="AE1584" s="209"/>
      <c r="AF1584" s="209"/>
      <c r="AG1584" s="209"/>
      <c r="AH1584" s="209"/>
      <c r="AI1584" s="209"/>
      <c r="AJ1584" s="209"/>
      <c r="AK1584" s="209"/>
      <c r="AL1584" s="209"/>
      <c r="AM1584" s="209"/>
      <c r="AN1584" s="209"/>
      <c r="AO1584" s="209"/>
      <c r="AP1584" s="209"/>
    </row>
    <row r="1585">
      <c r="A1585" s="209"/>
      <c r="B1585" s="209"/>
      <c r="C1585" s="209"/>
      <c r="D1585" s="209"/>
      <c r="E1585" s="209"/>
      <c r="F1585" s="209"/>
      <c r="G1585" s="209"/>
      <c r="H1585" s="209"/>
      <c r="I1585" s="209"/>
      <c r="J1585" s="209"/>
      <c r="K1585" s="209"/>
      <c r="L1585" s="209"/>
      <c r="M1585" s="209"/>
      <c r="N1585" s="209"/>
      <c r="O1585" s="209"/>
      <c r="P1585" s="209"/>
      <c r="Q1585" s="209"/>
      <c r="R1585" s="209"/>
      <c r="S1585" s="209"/>
      <c r="T1585" s="209"/>
      <c r="U1585" s="209"/>
      <c r="V1585" s="209"/>
      <c r="W1585" s="209"/>
      <c r="X1585" s="209"/>
      <c r="Y1585" s="209"/>
      <c r="Z1585" s="209"/>
      <c r="AA1585" s="209"/>
      <c r="AB1585" s="209"/>
      <c r="AC1585" s="209"/>
      <c r="AD1585" s="209"/>
      <c r="AE1585" s="209"/>
      <c r="AF1585" s="209"/>
      <c r="AG1585" s="209"/>
      <c r="AH1585" s="209"/>
      <c r="AI1585" s="209"/>
      <c r="AJ1585" s="209"/>
      <c r="AK1585" s="209"/>
      <c r="AL1585" s="209"/>
      <c r="AM1585" s="209"/>
      <c r="AN1585" s="209"/>
      <c r="AO1585" s="209"/>
      <c r="AP1585" s="209"/>
    </row>
    <row r="1586">
      <c r="A1586" s="209"/>
      <c r="B1586" s="209"/>
      <c r="C1586" s="209"/>
      <c r="D1586" s="209"/>
      <c r="E1586" s="209"/>
      <c r="F1586" s="209"/>
      <c r="G1586" s="209"/>
      <c r="H1586" s="209"/>
      <c r="I1586" s="209"/>
      <c r="J1586" s="209"/>
      <c r="K1586" s="209"/>
      <c r="L1586" s="209"/>
      <c r="M1586" s="209"/>
      <c r="N1586" s="209"/>
      <c r="O1586" s="209"/>
      <c r="P1586" s="209"/>
      <c r="Q1586" s="209"/>
      <c r="R1586" s="209"/>
      <c r="S1586" s="209"/>
      <c r="T1586" s="209"/>
      <c r="U1586" s="209"/>
      <c r="V1586" s="209"/>
      <c r="W1586" s="209"/>
      <c r="X1586" s="209"/>
      <c r="Y1586" s="209"/>
      <c r="Z1586" s="209"/>
      <c r="AA1586" s="209"/>
      <c r="AB1586" s="209"/>
      <c r="AC1586" s="209"/>
      <c r="AD1586" s="209"/>
      <c r="AE1586" s="209"/>
      <c r="AF1586" s="209"/>
      <c r="AG1586" s="209"/>
      <c r="AH1586" s="209"/>
      <c r="AI1586" s="209"/>
      <c r="AJ1586" s="209"/>
      <c r="AK1586" s="209"/>
      <c r="AL1586" s="209"/>
      <c r="AM1586" s="209"/>
      <c r="AN1586" s="209"/>
      <c r="AO1586" s="209"/>
      <c r="AP1586" s="209"/>
    </row>
    <row r="1587">
      <c r="A1587" s="209"/>
      <c r="B1587" s="209"/>
      <c r="C1587" s="209"/>
      <c r="D1587" s="209"/>
      <c r="E1587" s="209"/>
      <c r="F1587" s="209"/>
      <c r="G1587" s="209"/>
      <c r="H1587" s="209"/>
      <c r="I1587" s="209"/>
      <c r="J1587" s="209"/>
      <c r="K1587" s="209"/>
      <c r="L1587" s="209"/>
      <c r="M1587" s="209"/>
      <c r="N1587" s="209"/>
      <c r="O1587" s="209"/>
      <c r="P1587" s="209"/>
      <c r="Q1587" s="209"/>
      <c r="R1587" s="209"/>
      <c r="S1587" s="209"/>
      <c r="T1587" s="209"/>
      <c r="U1587" s="209"/>
      <c r="V1587" s="209"/>
      <c r="W1587" s="209"/>
      <c r="X1587" s="209"/>
      <c r="Y1587" s="209"/>
      <c r="Z1587" s="209"/>
      <c r="AA1587" s="209"/>
      <c r="AB1587" s="209"/>
      <c r="AC1587" s="209"/>
      <c r="AD1587" s="209"/>
      <c r="AE1587" s="209"/>
      <c r="AF1587" s="209"/>
      <c r="AG1587" s="209"/>
      <c r="AH1587" s="209"/>
      <c r="AI1587" s="209"/>
      <c r="AJ1587" s="209"/>
      <c r="AK1587" s="209"/>
      <c r="AL1587" s="209"/>
      <c r="AM1587" s="209"/>
      <c r="AN1587" s="209"/>
      <c r="AO1587" s="209"/>
      <c r="AP1587" s="209"/>
    </row>
    <row r="1588">
      <c r="A1588" s="209"/>
      <c r="B1588" s="209"/>
      <c r="C1588" s="209"/>
      <c r="D1588" s="209"/>
      <c r="E1588" s="209"/>
      <c r="F1588" s="209"/>
      <c r="G1588" s="209"/>
      <c r="H1588" s="209"/>
      <c r="I1588" s="209"/>
      <c r="J1588" s="209"/>
      <c r="K1588" s="209"/>
      <c r="L1588" s="209"/>
      <c r="M1588" s="209"/>
      <c r="N1588" s="209"/>
      <c r="O1588" s="209"/>
      <c r="P1588" s="209"/>
      <c r="Q1588" s="209"/>
      <c r="R1588" s="209"/>
      <c r="S1588" s="209"/>
      <c r="T1588" s="209"/>
      <c r="U1588" s="209"/>
      <c r="V1588" s="209"/>
      <c r="W1588" s="209"/>
      <c r="X1588" s="209"/>
      <c r="Y1588" s="209"/>
      <c r="Z1588" s="209"/>
      <c r="AA1588" s="209"/>
      <c r="AB1588" s="209"/>
      <c r="AC1588" s="209"/>
      <c r="AD1588" s="209"/>
      <c r="AE1588" s="209"/>
      <c r="AF1588" s="209"/>
      <c r="AG1588" s="209"/>
      <c r="AH1588" s="209"/>
      <c r="AI1588" s="209"/>
      <c r="AJ1588" s="209"/>
      <c r="AK1588" s="209"/>
      <c r="AL1588" s="209"/>
      <c r="AM1588" s="209"/>
      <c r="AN1588" s="209"/>
      <c r="AO1588" s="209"/>
      <c r="AP1588" s="209"/>
    </row>
    <row r="1589">
      <c r="A1589" s="209"/>
      <c r="B1589" s="209"/>
      <c r="C1589" s="209"/>
      <c r="D1589" s="209"/>
      <c r="E1589" s="209"/>
      <c r="F1589" s="209"/>
      <c r="G1589" s="209"/>
      <c r="H1589" s="209"/>
      <c r="I1589" s="209"/>
      <c r="J1589" s="209"/>
      <c r="K1589" s="209"/>
      <c r="L1589" s="209"/>
      <c r="M1589" s="209"/>
      <c r="N1589" s="209"/>
      <c r="O1589" s="209"/>
      <c r="P1589" s="209"/>
      <c r="Q1589" s="209"/>
      <c r="R1589" s="209"/>
      <c r="S1589" s="209"/>
      <c r="T1589" s="209"/>
      <c r="U1589" s="209"/>
      <c r="V1589" s="209"/>
      <c r="W1589" s="209"/>
      <c r="X1589" s="209"/>
      <c r="Y1589" s="209"/>
      <c r="Z1589" s="209"/>
      <c r="AA1589" s="209"/>
      <c r="AB1589" s="209"/>
      <c r="AC1589" s="209"/>
      <c r="AD1589" s="209"/>
      <c r="AE1589" s="209"/>
      <c r="AF1589" s="209"/>
      <c r="AG1589" s="209"/>
      <c r="AH1589" s="209"/>
      <c r="AI1589" s="209"/>
      <c r="AJ1589" s="209"/>
      <c r="AK1589" s="209"/>
      <c r="AL1589" s="209"/>
      <c r="AM1589" s="209"/>
      <c r="AN1589" s="209"/>
      <c r="AO1589" s="209"/>
      <c r="AP1589" s="209"/>
    </row>
    <row r="1590">
      <c r="A1590" s="209"/>
      <c r="B1590" s="209"/>
      <c r="C1590" s="209"/>
      <c r="D1590" s="209"/>
      <c r="E1590" s="209"/>
      <c r="F1590" s="209"/>
      <c r="G1590" s="209"/>
      <c r="H1590" s="209"/>
      <c r="I1590" s="209"/>
      <c r="J1590" s="209"/>
      <c r="K1590" s="209"/>
      <c r="L1590" s="209"/>
      <c r="M1590" s="209"/>
      <c r="N1590" s="209"/>
      <c r="O1590" s="209"/>
      <c r="P1590" s="209"/>
      <c r="Q1590" s="209"/>
      <c r="R1590" s="209"/>
      <c r="S1590" s="209"/>
      <c r="T1590" s="209"/>
      <c r="U1590" s="209"/>
      <c r="V1590" s="209"/>
      <c r="W1590" s="209"/>
      <c r="X1590" s="209"/>
      <c r="Y1590" s="209"/>
      <c r="Z1590" s="209"/>
      <c r="AA1590" s="209"/>
      <c r="AB1590" s="209"/>
      <c r="AC1590" s="209"/>
      <c r="AD1590" s="209"/>
      <c r="AE1590" s="209"/>
      <c r="AF1590" s="209"/>
      <c r="AG1590" s="209"/>
      <c r="AH1590" s="209"/>
      <c r="AI1590" s="209"/>
      <c r="AJ1590" s="209"/>
      <c r="AK1590" s="209"/>
      <c r="AL1590" s="209"/>
      <c r="AM1590" s="209"/>
      <c r="AN1590" s="209"/>
      <c r="AO1590" s="209"/>
      <c r="AP1590" s="209"/>
    </row>
    <row r="1591">
      <c r="A1591" s="209"/>
      <c r="B1591" s="209"/>
      <c r="C1591" s="209"/>
      <c r="D1591" s="209"/>
      <c r="E1591" s="209"/>
      <c r="F1591" s="209"/>
      <c r="G1591" s="209"/>
      <c r="H1591" s="209"/>
      <c r="I1591" s="209"/>
      <c r="J1591" s="209"/>
      <c r="K1591" s="209"/>
      <c r="L1591" s="209"/>
      <c r="M1591" s="209"/>
      <c r="N1591" s="209"/>
      <c r="O1591" s="209"/>
      <c r="P1591" s="209"/>
      <c r="Q1591" s="209"/>
      <c r="R1591" s="209"/>
      <c r="S1591" s="209"/>
      <c r="T1591" s="209"/>
      <c r="U1591" s="209"/>
      <c r="V1591" s="209"/>
      <c r="W1591" s="209"/>
      <c r="X1591" s="209"/>
      <c r="Y1591" s="209"/>
      <c r="Z1591" s="209"/>
      <c r="AA1591" s="209"/>
      <c r="AB1591" s="209"/>
      <c r="AC1591" s="209"/>
      <c r="AD1591" s="209"/>
      <c r="AE1591" s="209"/>
      <c r="AF1591" s="209"/>
      <c r="AG1591" s="209"/>
      <c r="AH1591" s="209"/>
      <c r="AI1591" s="209"/>
      <c r="AJ1591" s="209"/>
      <c r="AK1591" s="209"/>
      <c r="AL1591" s="209"/>
      <c r="AM1591" s="209"/>
      <c r="AN1591" s="209"/>
      <c r="AO1591" s="209"/>
      <c r="AP1591" s="209"/>
    </row>
    <row r="1592">
      <c r="A1592" s="209"/>
      <c r="B1592" s="209"/>
      <c r="C1592" s="209"/>
      <c r="D1592" s="209"/>
      <c r="E1592" s="209"/>
      <c r="F1592" s="209"/>
      <c r="G1592" s="209"/>
      <c r="H1592" s="209"/>
      <c r="I1592" s="209"/>
      <c r="J1592" s="209"/>
      <c r="K1592" s="209"/>
      <c r="L1592" s="209"/>
      <c r="M1592" s="209"/>
      <c r="N1592" s="209"/>
      <c r="O1592" s="209"/>
      <c r="P1592" s="209"/>
      <c r="Q1592" s="209"/>
      <c r="R1592" s="209"/>
      <c r="S1592" s="209"/>
      <c r="T1592" s="209"/>
      <c r="U1592" s="209"/>
      <c r="V1592" s="209"/>
      <c r="W1592" s="209"/>
      <c r="X1592" s="209"/>
      <c r="Y1592" s="209"/>
      <c r="Z1592" s="209"/>
      <c r="AA1592" s="209"/>
      <c r="AB1592" s="209"/>
      <c r="AC1592" s="209"/>
      <c r="AD1592" s="209"/>
      <c r="AE1592" s="209"/>
      <c r="AF1592" s="209"/>
      <c r="AG1592" s="209"/>
      <c r="AH1592" s="209"/>
      <c r="AI1592" s="209"/>
      <c r="AJ1592" s="209"/>
      <c r="AK1592" s="209"/>
      <c r="AL1592" s="209"/>
      <c r="AM1592" s="209"/>
      <c r="AN1592" s="209"/>
      <c r="AO1592" s="209"/>
      <c r="AP1592" s="209"/>
    </row>
    <row r="1593">
      <c r="A1593" s="209"/>
      <c r="B1593" s="209"/>
      <c r="C1593" s="209"/>
      <c r="D1593" s="209"/>
      <c r="E1593" s="209"/>
      <c r="F1593" s="209"/>
      <c r="G1593" s="209"/>
      <c r="H1593" s="209"/>
      <c r="I1593" s="209"/>
      <c r="J1593" s="209"/>
      <c r="K1593" s="209"/>
      <c r="L1593" s="209"/>
      <c r="M1593" s="209"/>
      <c r="N1593" s="209"/>
      <c r="O1593" s="209"/>
      <c r="P1593" s="209"/>
      <c r="Q1593" s="209"/>
      <c r="R1593" s="209"/>
      <c r="S1593" s="209"/>
      <c r="T1593" s="209"/>
      <c r="U1593" s="209"/>
      <c r="V1593" s="209"/>
      <c r="W1593" s="209"/>
      <c r="X1593" s="209"/>
      <c r="Y1593" s="209"/>
      <c r="Z1593" s="209"/>
      <c r="AA1593" s="209"/>
      <c r="AB1593" s="209"/>
      <c r="AC1593" s="209"/>
      <c r="AD1593" s="209"/>
      <c r="AE1593" s="209"/>
      <c r="AF1593" s="209"/>
      <c r="AG1593" s="209"/>
      <c r="AH1593" s="209"/>
      <c r="AI1593" s="209"/>
      <c r="AJ1593" s="209"/>
      <c r="AK1593" s="209"/>
      <c r="AL1593" s="209"/>
      <c r="AM1593" s="209"/>
      <c r="AN1593" s="209"/>
      <c r="AO1593" s="209"/>
      <c r="AP1593" s="209"/>
    </row>
    <row r="1594">
      <c r="A1594" s="209"/>
      <c r="B1594" s="209"/>
      <c r="C1594" s="209"/>
      <c r="D1594" s="209"/>
      <c r="E1594" s="209"/>
      <c r="F1594" s="209"/>
      <c r="G1594" s="209"/>
      <c r="H1594" s="209"/>
      <c r="I1594" s="209"/>
      <c r="J1594" s="209"/>
      <c r="K1594" s="209"/>
      <c r="L1594" s="209"/>
      <c r="M1594" s="209"/>
      <c r="N1594" s="209"/>
      <c r="O1594" s="209"/>
      <c r="P1594" s="209"/>
      <c r="Q1594" s="209"/>
      <c r="R1594" s="209"/>
      <c r="S1594" s="209"/>
      <c r="T1594" s="209"/>
      <c r="U1594" s="209"/>
      <c r="V1594" s="209"/>
      <c r="W1594" s="209"/>
      <c r="X1594" s="209"/>
      <c r="Y1594" s="209"/>
      <c r="Z1594" s="209"/>
      <c r="AA1594" s="209"/>
      <c r="AB1594" s="209"/>
      <c r="AC1594" s="209"/>
      <c r="AD1594" s="209"/>
      <c r="AE1594" s="209"/>
      <c r="AF1594" s="209"/>
      <c r="AG1594" s="209"/>
      <c r="AH1594" s="209"/>
      <c r="AI1594" s="209"/>
      <c r="AJ1594" s="209"/>
      <c r="AK1594" s="209"/>
      <c r="AL1594" s="209"/>
      <c r="AM1594" s="209"/>
      <c r="AN1594" s="209"/>
      <c r="AO1594" s="209"/>
      <c r="AP1594" s="209"/>
    </row>
    <row r="1595">
      <c r="A1595" s="209"/>
      <c r="B1595" s="209"/>
      <c r="C1595" s="209"/>
      <c r="D1595" s="209"/>
      <c r="E1595" s="209"/>
      <c r="F1595" s="209"/>
      <c r="G1595" s="209"/>
      <c r="H1595" s="209"/>
      <c r="I1595" s="209"/>
      <c r="J1595" s="209"/>
      <c r="K1595" s="209"/>
      <c r="L1595" s="209"/>
      <c r="M1595" s="209"/>
      <c r="N1595" s="209"/>
      <c r="O1595" s="209"/>
      <c r="P1595" s="209"/>
      <c r="Q1595" s="209"/>
      <c r="R1595" s="209"/>
      <c r="S1595" s="209"/>
      <c r="T1595" s="209"/>
      <c r="U1595" s="209"/>
      <c r="V1595" s="209"/>
      <c r="W1595" s="209"/>
      <c r="X1595" s="209"/>
      <c r="Y1595" s="209"/>
      <c r="Z1595" s="209"/>
      <c r="AA1595" s="209"/>
      <c r="AB1595" s="209"/>
      <c r="AC1595" s="209"/>
      <c r="AD1595" s="209"/>
      <c r="AE1595" s="209"/>
      <c r="AF1595" s="209"/>
      <c r="AG1595" s="209"/>
      <c r="AH1595" s="209"/>
      <c r="AI1595" s="209"/>
      <c r="AJ1595" s="209"/>
      <c r="AK1595" s="209"/>
      <c r="AL1595" s="209"/>
      <c r="AM1595" s="209"/>
      <c r="AN1595" s="209"/>
      <c r="AO1595" s="209"/>
      <c r="AP1595" s="209"/>
    </row>
    <row r="1596">
      <c r="A1596" s="209"/>
      <c r="B1596" s="209"/>
      <c r="C1596" s="209"/>
      <c r="D1596" s="209"/>
      <c r="E1596" s="209"/>
      <c r="F1596" s="209"/>
      <c r="G1596" s="209"/>
      <c r="H1596" s="209"/>
      <c r="I1596" s="209"/>
      <c r="J1596" s="209"/>
      <c r="K1596" s="209"/>
      <c r="L1596" s="209"/>
      <c r="M1596" s="209"/>
      <c r="N1596" s="209"/>
      <c r="O1596" s="209"/>
      <c r="P1596" s="209"/>
      <c r="Q1596" s="209"/>
      <c r="R1596" s="209"/>
      <c r="S1596" s="209"/>
      <c r="T1596" s="209"/>
      <c r="U1596" s="209"/>
      <c r="V1596" s="209"/>
      <c r="W1596" s="209"/>
      <c r="X1596" s="209"/>
      <c r="Y1596" s="209"/>
      <c r="Z1596" s="209"/>
      <c r="AA1596" s="209"/>
      <c r="AB1596" s="209"/>
      <c r="AC1596" s="209"/>
      <c r="AD1596" s="209"/>
      <c r="AE1596" s="209"/>
      <c r="AF1596" s="209"/>
      <c r="AG1596" s="209"/>
      <c r="AH1596" s="209"/>
      <c r="AI1596" s="209"/>
      <c r="AJ1596" s="209"/>
      <c r="AK1596" s="209"/>
      <c r="AL1596" s="209"/>
      <c r="AM1596" s="209"/>
      <c r="AN1596" s="209"/>
      <c r="AO1596" s="209"/>
      <c r="AP1596" s="209"/>
    </row>
    <row r="1597">
      <c r="A1597" s="209"/>
      <c r="B1597" s="209"/>
      <c r="C1597" s="209"/>
      <c r="D1597" s="209"/>
      <c r="E1597" s="209"/>
      <c r="F1597" s="209"/>
      <c r="G1597" s="209"/>
      <c r="H1597" s="209"/>
      <c r="I1597" s="209"/>
      <c r="J1597" s="209"/>
      <c r="K1597" s="209"/>
      <c r="L1597" s="209"/>
      <c r="M1597" s="209"/>
      <c r="N1597" s="209"/>
      <c r="O1597" s="209"/>
      <c r="P1597" s="209"/>
      <c r="Q1597" s="209"/>
      <c r="R1597" s="209"/>
      <c r="S1597" s="209"/>
      <c r="T1597" s="209"/>
      <c r="U1597" s="209"/>
      <c r="V1597" s="209"/>
      <c r="W1597" s="209"/>
      <c r="X1597" s="209"/>
      <c r="Y1597" s="209"/>
      <c r="Z1597" s="209"/>
      <c r="AA1597" s="209"/>
      <c r="AB1597" s="209"/>
      <c r="AC1597" s="209"/>
      <c r="AD1597" s="209"/>
      <c r="AE1597" s="209"/>
      <c r="AF1597" s="209"/>
      <c r="AG1597" s="209"/>
      <c r="AH1597" s="209"/>
      <c r="AI1597" s="209"/>
      <c r="AJ1597" s="209"/>
      <c r="AK1597" s="209"/>
      <c r="AL1597" s="209"/>
      <c r="AM1597" s="209"/>
      <c r="AN1597" s="209"/>
      <c r="AO1597" s="209"/>
      <c r="AP1597" s="209"/>
    </row>
    <row r="1598">
      <c r="A1598" s="209"/>
      <c r="B1598" s="209"/>
      <c r="C1598" s="209"/>
      <c r="D1598" s="209"/>
      <c r="E1598" s="209"/>
      <c r="F1598" s="209"/>
      <c r="G1598" s="209"/>
      <c r="H1598" s="209"/>
      <c r="I1598" s="209"/>
      <c r="J1598" s="209"/>
      <c r="K1598" s="209"/>
      <c r="L1598" s="209"/>
      <c r="M1598" s="209"/>
      <c r="N1598" s="209"/>
      <c r="O1598" s="209"/>
      <c r="P1598" s="209"/>
      <c r="Q1598" s="209"/>
      <c r="R1598" s="209"/>
      <c r="S1598" s="209"/>
      <c r="T1598" s="209"/>
      <c r="U1598" s="209"/>
      <c r="V1598" s="209"/>
      <c r="W1598" s="209"/>
      <c r="X1598" s="209"/>
      <c r="Y1598" s="209"/>
      <c r="Z1598" s="209"/>
      <c r="AA1598" s="209"/>
      <c r="AB1598" s="209"/>
      <c r="AC1598" s="209"/>
      <c r="AD1598" s="209"/>
      <c r="AE1598" s="209"/>
      <c r="AF1598" s="209"/>
      <c r="AG1598" s="209"/>
      <c r="AH1598" s="209"/>
      <c r="AI1598" s="209"/>
      <c r="AJ1598" s="209"/>
      <c r="AK1598" s="209"/>
      <c r="AL1598" s="209"/>
      <c r="AM1598" s="209"/>
      <c r="AN1598" s="209"/>
      <c r="AO1598" s="209"/>
      <c r="AP1598" s="209"/>
    </row>
    <row r="1599">
      <c r="A1599" s="209"/>
      <c r="B1599" s="209"/>
      <c r="C1599" s="209"/>
      <c r="D1599" s="209"/>
      <c r="E1599" s="209"/>
      <c r="F1599" s="209"/>
      <c r="G1599" s="209"/>
      <c r="H1599" s="209"/>
      <c r="I1599" s="209"/>
      <c r="J1599" s="209"/>
      <c r="K1599" s="209"/>
      <c r="L1599" s="209"/>
      <c r="M1599" s="209"/>
      <c r="N1599" s="209"/>
      <c r="O1599" s="209"/>
      <c r="P1599" s="209"/>
      <c r="Q1599" s="209"/>
      <c r="R1599" s="209"/>
      <c r="S1599" s="209"/>
      <c r="T1599" s="209"/>
      <c r="U1599" s="209"/>
      <c r="V1599" s="209"/>
      <c r="W1599" s="209"/>
      <c r="X1599" s="209"/>
      <c r="Y1599" s="209"/>
      <c r="Z1599" s="209"/>
      <c r="AA1599" s="209"/>
      <c r="AB1599" s="209"/>
      <c r="AC1599" s="209"/>
      <c r="AD1599" s="209"/>
      <c r="AE1599" s="209"/>
      <c r="AF1599" s="209"/>
      <c r="AG1599" s="209"/>
      <c r="AH1599" s="209"/>
      <c r="AI1599" s="209"/>
      <c r="AJ1599" s="209"/>
      <c r="AK1599" s="209"/>
      <c r="AL1599" s="209"/>
      <c r="AM1599" s="209"/>
      <c r="AN1599" s="209"/>
      <c r="AO1599" s="209"/>
      <c r="AP1599" s="209"/>
    </row>
    <row r="1600">
      <c r="A1600" s="209"/>
      <c r="B1600" s="209"/>
      <c r="C1600" s="209"/>
      <c r="D1600" s="209"/>
      <c r="E1600" s="209"/>
      <c r="F1600" s="209"/>
      <c r="G1600" s="209"/>
      <c r="H1600" s="209"/>
      <c r="I1600" s="209"/>
      <c r="J1600" s="209"/>
      <c r="K1600" s="209"/>
      <c r="L1600" s="209"/>
      <c r="M1600" s="209"/>
      <c r="N1600" s="209"/>
      <c r="O1600" s="209"/>
      <c r="P1600" s="209"/>
      <c r="Q1600" s="209"/>
      <c r="R1600" s="209"/>
      <c r="S1600" s="209"/>
      <c r="T1600" s="209"/>
      <c r="U1600" s="209"/>
      <c r="V1600" s="209"/>
      <c r="W1600" s="209"/>
      <c r="X1600" s="209"/>
      <c r="Y1600" s="209"/>
      <c r="Z1600" s="209"/>
      <c r="AA1600" s="209"/>
      <c r="AB1600" s="209"/>
      <c r="AC1600" s="209"/>
      <c r="AD1600" s="209"/>
      <c r="AE1600" s="209"/>
      <c r="AF1600" s="209"/>
      <c r="AG1600" s="209"/>
      <c r="AH1600" s="209"/>
      <c r="AI1600" s="209"/>
      <c r="AJ1600" s="209"/>
      <c r="AK1600" s="209"/>
      <c r="AL1600" s="209"/>
      <c r="AM1600" s="209"/>
      <c r="AN1600" s="209"/>
      <c r="AO1600" s="209"/>
      <c r="AP1600" s="209"/>
    </row>
    <row r="1601">
      <c r="A1601" s="209"/>
      <c r="B1601" s="209"/>
      <c r="C1601" s="209"/>
      <c r="D1601" s="209"/>
      <c r="E1601" s="209"/>
      <c r="F1601" s="209"/>
      <c r="G1601" s="209"/>
      <c r="H1601" s="209"/>
      <c r="I1601" s="209"/>
      <c r="J1601" s="209"/>
      <c r="K1601" s="209"/>
      <c r="L1601" s="209"/>
      <c r="M1601" s="209"/>
      <c r="N1601" s="209"/>
      <c r="O1601" s="209"/>
      <c r="P1601" s="209"/>
      <c r="Q1601" s="209"/>
      <c r="R1601" s="209"/>
      <c r="S1601" s="209"/>
      <c r="T1601" s="209"/>
      <c r="U1601" s="209"/>
      <c r="V1601" s="209"/>
      <c r="W1601" s="209"/>
      <c r="X1601" s="209"/>
      <c r="Y1601" s="209"/>
      <c r="Z1601" s="209"/>
      <c r="AA1601" s="209"/>
      <c r="AB1601" s="209"/>
      <c r="AC1601" s="209"/>
      <c r="AD1601" s="209"/>
      <c r="AE1601" s="209"/>
      <c r="AF1601" s="209"/>
      <c r="AG1601" s="209"/>
      <c r="AH1601" s="209"/>
      <c r="AI1601" s="209"/>
      <c r="AJ1601" s="209"/>
      <c r="AK1601" s="209"/>
      <c r="AL1601" s="209"/>
      <c r="AM1601" s="209"/>
      <c r="AN1601" s="209"/>
      <c r="AO1601" s="209"/>
      <c r="AP1601" s="209"/>
    </row>
    <row r="1602">
      <c r="A1602" s="209"/>
      <c r="B1602" s="209"/>
      <c r="C1602" s="209"/>
      <c r="D1602" s="209"/>
      <c r="E1602" s="209"/>
      <c r="F1602" s="209"/>
      <c r="G1602" s="209"/>
      <c r="H1602" s="209"/>
      <c r="I1602" s="209"/>
      <c r="J1602" s="209"/>
      <c r="K1602" s="209"/>
      <c r="L1602" s="209"/>
      <c r="M1602" s="209"/>
      <c r="N1602" s="209"/>
      <c r="O1602" s="209"/>
      <c r="P1602" s="209"/>
      <c r="Q1602" s="209"/>
      <c r="R1602" s="209"/>
      <c r="S1602" s="209"/>
      <c r="T1602" s="209"/>
      <c r="U1602" s="209"/>
      <c r="V1602" s="209"/>
      <c r="W1602" s="209"/>
      <c r="X1602" s="209"/>
      <c r="Y1602" s="209"/>
      <c r="Z1602" s="209"/>
      <c r="AA1602" s="209"/>
      <c r="AB1602" s="209"/>
      <c r="AC1602" s="209"/>
      <c r="AD1602" s="209"/>
      <c r="AE1602" s="209"/>
      <c r="AF1602" s="209"/>
      <c r="AG1602" s="209"/>
      <c r="AH1602" s="209"/>
      <c r="AI1602" s="209"/>
      <c r="AJ1602" s="209"/>
      <c r="AK1602" s="209"/>
      <c r="AL1602" s="209"/>
      <c r="AM1602" s="209"/>
      <c r="AN1602" s="209"/>
      <c r="AO1602" s="209"/>
      <c r="AP1602" s="209"/>
    </row>
    <row r="1603">
      <c r="A1603" s="209"/>
      <c r="B1603" s="209"/>
      <c r="C1603" s="209"/>
      <c r="D1603" s="209"/>
      <c r="E1603" s="209"/>
      <c r="F1603" s="209"/>
      <c r="G1603" s="209"/>
      <c r="H1603" s="209"/>
      <c r="I1603" s="209"/>
      <c r="J1603" s="209"/>
      <c r="K1603" s="209"/>
      <c r="L1603" s="209"/>
      <c r="M1603" s="209"/>
      <c r="N1603" s="209"/>
      <c r="O1603" s="209"/>
      <c r="P1603" s="209"/>
      <c r="Q1603" s="209"/>
      <c r="R1603" s="209"/>
      <c r="S1603" s="209"/>
      <c r="T1603" s="209"/>
      <c r="U1603" s="209"/>
      <c r="V1603" s="209"/>
      <c r="W1603" s="209"/>
      <c r="X1603" s="209"/>
      <c r="Y1603" s="209"/>
      <c r="Z1603" s="209"/>
      <c r="AA1603" s="209"/>
      <c r="AB1603" s="209"/>
      <c r="AC1603" s="209"/>
      <c r="AD1603" s="209"/>
      <c r="AE1603" s="209"/>
      <c r="AF1603" s="209"/>
      <c r="AG1603" s="209"/>
      <c r="AH1603" s="209"/>
      <c r="AI1603" s="209"/>
      <c r="AJ1603" s="209"/>
      <c r="AK1603" s="209"/>
      <c r="AL1603" s="209"/>
      <c r="AM1603" s="209"/>
      <c r="AN1603" s="209"/>
      <c r="AO1603" s="209"/>
      <c r="AP1603" s="209"/>
    </row>
    <row r="1604">
      <c r="A1604" s="209"/>
      <c r="B1604" s="209"/>
      <c r="C1604" s="209"/>
      <c r="D1604" s="209"/>
      <c r="E1604" s="209"/>
      <c r="F1604" s="209"/>
      <c r="G1604" s="209"/>
      <c r="H1604" s="209"/>
      <c r="I1604" s="209"/>
      <c r="J1604" s="209"/>
      <c r="K1604" s="209"/>
      <c r="L1604" s="209"/>
      <c r="M1604" s="209"/>
      <c r="N1604" s="209"/>
      <c r="O1604" s="209"/>
      <c r="P1604" s="209"/>
      <c r="Q1604" s="209"/>
      <c r="R1604" s="209"/>
      <c r="S1604" s="209"/>
      <c r="T1604" s="209"/>
      <c r="U1604" s="209"/>
      <c r="V1604" s="209"/>
      <c r="W1604" s="209"/>
      <c r="X1604" s="209"/>
      <c r="Y1604" s="209"/>
      <c r="Z1604" s="209"/>
      <c r="AA1604" s="209"/>
      <c r="AB1604" s="209"/>
      <c r="AC1604" s="209"/>
      <c r="AD1604" s="209"/>
      <c r="AE1604" s="209"/>
      <c r="AF1604" s="209"/>
      <c r="AG1604" s="209"/>
      <c r="AH1604" s="209"/>
      <c r="AI1604" s="209"/>
      <c r="AJ1604" s="209"/>
      <c r="AK1604" s="209"/>
      <c r="AL1604" s="209"/>
      <c r="AM1604" s="209"/>
      <c r="AN1604" s="209"/>
      <c r="AO1604" s="209"/>
      <c r="AP1604" s="209"/>
    </row>
    <row r="1605">
      <c r="A1605" s="209"/>
      <c r="B1605" s="209"/>
      <c r="C1605" s="209"/>
      <c r="D1605" s="209"/>
      <c r="E1605" s="209"/>
      <c r="F1605" s="209"/>
      <c r="G1605" s="209"/>
      <c r="H1605" s="209"/>
      <c r="I1605" s="209"/>
      <c r="J1605" s="209"/>
      <c r="K1605" s="209"/>
      <c r="L1605" s="209"/>
      <c r="M1605" s="209"/>
      <c r="N1605" s="209"/>
      <c r="O1605" s="209"/>
      <c r="P1605" s="209"/>
      <c r="Q1605" s="209"/>
      <c r="R1605" s="209"/>
      <c r="S1605" s="209"/>
      <c r="T1605" s="209"/>
      <c r="U1605" s="209"/>
      <c r="V1605" s="209"/>
      <c r="W1605" s="209"/>
      <c r="X1605" s="209"/>
      <c r="Y1605" s="209"/>
      <c r="Z1605" s="209"/>
      <c r="AA1605" s="209"/>
      <c r="AB1605" s="209"/>
      <c r="AC1605" s="209"/>
      <c r="AD1605" s="209"/>
      <c r="AE1605" s="209"/>
      <c r="AF1605" s="209"/>
      <c r="AG1605" s="209"/>
      <c r="AH1605" s="209"/>
      <c r="AI1605" s="209"/>
      <c r="AJ1605" s="209"/>
      <c r="AK1605" s="209"/>
      <c r="AL1605" s="209"/>
      <c r="AM1605" s="209"/>
      <c r="AN1605" s="209"/>
      <c r="AO1605" s="209"/>
      <c r="AP1605" s="209"/>
    </row>
    <row r="1606">
      <c r="A1606" s="209"/>
      <c r="B1606" s="209"/>
      <c r="C1606" s="209"/>
      <c r="D1606" s="209"/>
      <c r="E1606" s="209"/>
      <c r="F1606" s="209"/>
      <c r="G1606" s="209"/>
      <c r="H1606" s="209"/>
      <c r="I1606" s="209"/>
      <c r="J1606" s="209"/>
      <c r="K1606" s="209"/>
      <c r="L1606" s="209"/>
      <c r="M1606" s="209"/>
      <c r="N1606" s="209"/>
      <c r="O1606" s="209"/>
      <c r="P1606" s="209"/>
      <c r="Q1606" s="209"/>
      <c r="R1606" s="209"/>
      <c r="S1606" s="209"/>
      <c r="T1606" s="209"/>
      <c r="U1606" s="209"/>
      <c r="V1606" s="209"/>
      <c r="W1606" s="209"/>
      <c r="X1606" s="209"/>
      <c r="Y1606" s="209"/>
      <c r="Z1606" s="209"/>
      <c r="AA1606" s="209"/>
      <c r="AB1606" s="209"/>
      <c r="AC1606" s="209"/>
      <c r="AD1606" s="209"/>
      <c r="AE1606" s="209"/>
      <c r="AF1606" s="209"/>
      <c r="AG1606" s="209"/>
      <c r="AH1606" s="209"/>
      <c r="AI1606" s="209"/>
      <c r="AJ1606" s="209"/>
      <c r="AK1606" s="209"/>
      <c r="AL1606" s="209"/>
      <c r="AM1606" s="209"/>
      <c r="AN1606" s="209"/>
      <c r="AO1606" s="209"/>
      <c r="AP1606" s="209"/>
    </row>
    <row r="1607">
      <c r="A1607" s="209"/>
      <c r="B1607" s="209"/>
      <c r="C1607" s="209"/>
      <c r="D1607" s="209"/>
      <c r="E1607" s="209"/>
      <c r="F1607" s="209"/>
      <c r="G1607" s="209"/>
      <c r="H1607" s="209"/>
      <c r="I1607" s="209"/>
      <c r="J1607" s="209"/>
      <c r="K1607" s="209"/>
      <c r="L1607" s="209"/>
      <c r="M1607" s="209"/>
      <c r="N1607" s="209"/>
      <c r="O1607" s="209"/>
      <c r="P1607" s="209"/>
      <c r="Q1607" s="209"/>
      <c r="R1607" s="209"/>
      <c r="S1607" s="209"/>
      <c r="T1607" s="209"/>
      <c r="U1607" s="209"/>
      <c r="V1607" s="209"/>
      <c r="W1607" s="209"/>
      <c r="X1607" s="209"/>
      <c r="Y1607" s="209"/>
      <c r="Z1607" s="209"/>
      <c r="AA1607" s="209"/>
      <c r="AB1607" s="209"/>
      <c r="AC1607" s="209"/>
      <c r="AD1607" s="209"/>
      <c r="AE1607" s="209"/>
      <c r="AF1607" s="209"/>
      <c r="AG1607" s="209"/>
      <c r="AH1607" s="209"/>
      <c r="AI1607" s="209"/>
      <c r="AJ1607" s="209"/>
      <c r="AK1607" s="209"/>
      <c r="AL1607" s="209"/>
      <c r="AM1607" s="209"/>
      <c r="AN1607" s="209"/>
      <c r="AO1607" s="209"/>
      <c r="AP1607" s="209"/>
    </row>
    <row r="1608">
      <c r="A1608" s="209"/>
      <c r="B1608" s="209"/>
      <c r="C1608" s="209"/>
      <c r="D1608" s="209"/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209"/>
      <c r="P1608" s="209"/>
      <c r="Q1608" s="209"/>
      <c r="R1608" s="209"/>
      <c r="S1608" s="209"/>
      <c r="T1608" s="209"/>
      <c r="U1608" s="209"/>
      <c r="V1608" s="209"/>
      <c r="W1608" s="209"/>
      <c r="X1608" s="209"/>
      <c r="Y1608" s="209"/>
      <c r="Z1608" s="209"/>
      <c r="AA1608" s="209"/>
      <c r="AB1608" s="209"/>
      <c r="AC1608" s="209"/>
      <c r="AD1608" s="209"/>
      <c r="AE1608" s="209"/>
      <c r="AF1608" s="209"/>
      <c r="AG1608" s="209"/>
      <c r="AH1608" s="209"/>
      <c r="AI1608" s="209"/>
      <c r="AJ1608" s="209"/>
      <c r="AK1608" s="209"/>
      <c r="AL1608" s="209"/>
      <c r="AM1608" s="209"/>
      <c r="AN1608" s="209"/>
      <c r="AO1608" s="209"/>
      <c r="AP1608" s="209"/>
    </row>
    <row r="1609">
      <c r="A1609" s="209"/>
      <c r="B1609" s="209"/>
      <c r="C1609" s="209"/>
      <c r="D1609" s="209"/>
      <c r="E1609" s="209"/>
      <c r="F1609" s="209"/>
      <c r="G1609" s="209"/>
      <c r="H1609" s="209"/>
      <c r="I1609" s="209"/>
      <c r="J1609" s="209"/>
      <c r="K1609" s="209"/>
      <c r="L1609" s="209"/>
      <c r="M1609" s="209"/>
      <c r="N1609" s="209"/>
      <c r="O1609" s="209"/>
      <c r="P1609" s="209"/>
      <c r="Q1609" s="209"/>
      <c r="R1609" s="209"/>
      <c r="S1609" s="209"/>
      <c r="T1609" s="209"/>
      <c r="U1609" s="209"/>
      <c r="V1609" s="209"/>
      <c r="W1609" s="209"/>
      <c r="X1609" s="209"/>
      <c r="Y1609" s="209"/>
      <c r="Z1609" s="209"/>
      <c r="AA1609" s="209"/>
      <c r="AB1609" s="209"/>
      <c r="AC1609" s="209"/>
      <c r="AD1609" s="209"/>
      <c r="AE1609" s="209"/>
      <c r="AF1609" s="209"/>
      <c r="AG1609" s="209"/>
      <c r="AH1609" s="209"/>
      <c r="AI1609" s="209"/>
      <c r="AJ1609" s="209"/>
      <c r="AK1609" s="209"/>
      <c r="AL1609" s="209"/>
      <c r="AM1609" s="209"/>
      <c r="AN1609" s="209"/>
      <c r="AO1609" s="209"/>
      <c r="AP1609" s="209"/>
    </row>
    <row r="1610">
      <c r="A1610" s="209"/>
      <c r="B1610" s="209"/>
      <c r="C1610" s="209"/>
      <c r="D1610" s="209"/>
      <c r="E1610" s="209"/>
      <c r="F1610" s="209"/>
      <c r="G1610" s="209"/>
      <c r="H1610" s="209"/>
      <c r="I1610" s="209"/>
      <c r="J1610" s="209"/>
      <c r="K1610" s="209"/>
      <c r="L1610" s="209"/>
      <c r="M1610" s="209"/>
      <c r="N1610" s="209"/>
      <c r="O1610" s="209"/>
      <c r="P1610" s="209"/>
      <c r="Q1610" s="209"/>
      <c r="R1610" s="209"/>
      <c r="S1610" s="209"/>
      <c r="T1610" s="209"/>
      <c r="U1610" s="209"/>
      <c r="V1610" s="209"/>
      <c r="W1610" s="209"/>
      <c r="X1610" s="209"/>
      <c r="Y1610" s="209"/>
      <c r="Z1610" s="209"/>
      <c r="AA1610" s="209"/>
      <c r="AB1610" s="209"/>
      <c r="AC1610" s="209"/>
      <c r="AD1610" s="209"/>
      <c r="AE1610" s="209"/>
      <c r="AF1610" s="209"/>
      <c r="AG1610" s="209"/>
      <c r="AH1610" s="209"/>
      <c r="AI1610" s="209"/>
      <c r="AJ1610" s="209"/>
      <c r="AK1610" s="209"/>
      <c r="AL1610" s="209"/>
      <c r="AM1610" s="209"/>
      <c r="AN1610" s="209"/>
      <c r="AO1610" s="209"/>
      <c r="AP1610" s="209"/>
    </row>
    <row r="1611">
      <c r="A1611" s="209"/>
      <c r="B1611" s="209"/>
      <c r="C1611" s="209"/>
      <c r="D1611" s="209"/>
      <c r="E1611" s="209"/>
      <c r="F1611" s="209"/>
      <c r="G1611" s="209"/>
      <c r="H1611" s="209"/>
      <c r="I1611" s="209"/>
      <c r="J1611" s="209"/>
      <c r="K1611" s="209"/>
      <c r="L1611" s="209"/>
      <c r="M1611" s="209"/>
      <c r="N1611" s="209"/>
      <c r="O1611" s="209"/>
      <c r="P1611" s="209"/>
      <c r="Q1611" s="209"/>
      <c r="R1611" s="209"/>
      <c r="S1611" s="209"/>
      <c r="T1611" s="209"/>
      <c r="U1611" s="209"/>
      <c r="V1611" s="209"/>
      <c r="W1611" s="209"/>
      <c r="X1611" s="209"/>
      <c r="Y1611" s="209"/>
      <c r="Z1611" s="209"/>
      <c r="AA1611" s="209"/>
      <c r="AB1611" s="209"/>
      <c r="AC1611" s="209"/>
      <c r="AD1611" s="209"/>
      <c r="AE1611" s="209"/>
      <c r="AF1611" s="209"/>
      <c r="AG1611" s="209"/>
      <c r="AH1611" s="209"/>
      <c r="AI1611" s="209"/>
      <c r="AJ1611" s="209"/>
      <c r="AK1611" s="209"/>
      <c r="AL1611" s="209"/>
      <c r="AM1611" s="209"/>
      <c r="AN1611" s="209"/>
      <c r="AO1611" s="209"/>
      <c r="AP1611" s="209"/>
    </row>
    <row r="1612">
      <c r="A1612" s="209"/>
      <c r="B1612" s="209"/>
      <c r="C1612" s="209"/>
      <c r="D1612" s="209"/>
      <c r="E1612" s="209"/>
      <c r="F1612" s="209"/>
      <c r="G1612" s="209"/>
      <c r="H1612" s="209"/>
      <c r="I1612" s="209"/>
      <c r="J1612" s="209"/>
      <c r="K1612" s="209"/>
      <c r="L1612" s="209"/>
      <c r="M1612" s="209"/>
      <c r="N1612" s="209"/>
      <c r="O1612" s="209"/>
      <c r="P1612" s="209"/>
      <c r="Q1612" s="209"/>
      <c r="R1612" s="209"/>
      <c r="S1612" s="209"/>
      <c r="T1612" s="209"/>
      <c r="U1612" s="209"/>
      <c r="V1612" s="209"/>
      <c r="W1612" s="209"/>
      <c r="X1612" s="209"/>
      <c r="Y1612" s="209"/>
      <c r="Z1612" s="209"/>
      <c r="AA1612" s="209"/>
      <c r="AB1612" s="209"/>
      <c r="AC1612" s="209"/>
      <c r="AD1612" s="209"/>
      <c r="AE1612" s="209"/>
      <c r="AF1612" s="209"/>
      <c r="AG1612" s="209"/>
      <c r="AH1612" s="209"/>
      <c r="AI1612" s="209"/>
      <c r="AJ1612" s="209"/>
      <c r="AK1612" s="209"/>
      <c r="AL1612" s="209"/>
      <c r="AM1612" s="209"/>
      <c r="AN1612" s="209"/>
      <c r="AO1612" s="209"/>
      <c r="AP1612" s="209"/>
    </row>
    <row r="1613">
      <c r="A1613" s="209"/>
      <c r="B1613" s="209"/>
      <c r="C1613" s="209"/>
      <c r="D1613" s="209"/>
      <c r="E1613" s="209"/>
      <c r="F1613" s="209"/>
      <c r="G1613" s="209"/>
      <c r="H1613" s="209"/>
      <c r="I1613" s="209"/>
      <c r="J1613" s="209"/>
      <c r="K1613" s="209"/>
      <c r="L1613" s="209"/>
      <c r="M1613" s="209"/>
      <c r="N1613" s="209"/>
      <c r="O1613" s="209"/>
      <c r="P1613" s="209"/>
      <c r="Q1613" s="209"/>
      <c r="R1613" s="209"/>
      <c r="S1613" s="209"/>
      <c r="T1613" s="209"/>
      <c r="U1613" s="209"/>
      <c r="V1613" s="209"/>
      <c r="W1613" s="209"/>
      <c r="X1613" s="209"/>
      <c r="Y1613" s="209"/>
      <c r="Z1613" s="209"/>
      <c r="AA1613" s="209"/>
      <c r="AB1613" s="209"/>
      <c r="AC1613" s="209"/>
      <c r="AD1613" s="209"/>
      <c r="AE1613" s="209"/>
      <c r="AF1613" s="209"/>
      <c r="AG1613" s="209"/>
      <c r="AH1613" s="209"/>
      <c r="AI1613" s="209"/>
      <c r="AJ1613" s="209"/>
      <c r="AK1613" s="209"/>
      <c r="AL1613" s="209"/>
      <c r="AM1613" s="209"/>
      <c r="AN1613" s="209"/>
      <c r="AO1613" s="209"/>
      <c r="AP1613" s="209"/>
    </row>
    <row r="1614">
      <c r="A1614" s="209"/>
      <c r="B1614" s="209"/>
      <c r="C1614" s="209"/>
      <c r="D1614" s="209"/>
      <c r="E1614" s="209"/>
      <c r="F1614" s="209"/>
      <c r="G1614" s="209"/>
      <c r="H1614" s="209"/>
      <c r="I1614" s="209"/>
      <c r="J1614" s="209"/>
      <c r="K1614" s="209"/>
      <c r="L1614" s="209"/>
      <c r="M1614" s="209"/>
      <c r="N1614" s="209"/>
      <c r="O1614" s="209"/>
      <c r="P1614" s="209"/>
      <c r="Q1614" s="209"/>
      <c r="R1614" s="209"/>
      <c r="S1614" s="209"/>
      <c r="T1614" s="209"/>
      <c r="U1614" s="209"/>
      <c r="V1614" s="209"/>
      <c r="W1614" s="209"/>
      <c r="X1614" s="209"/>
      <c r="Y1614" s="209"/>
      <c r="Z1614" s="209"/>
      <c r="AA1614" s="209"/>
      <c r="AB1614" s="209"/>
      <c r="AC1614" s="209"/>
      <c r="AD1614" s="209"/>
      <c r="AE1614" s="209"/>
      <c r="AF1614" s="209"/>
      <c r="AG1614" s="209"/>
      <c r="AH1614" s="209"/>
      <c r="AI1614" s="209"/>
      <c r="AJ1614" s="209"/>
      <c r="AK1614" s="209"/>
      <c r="AL1614" s="209"/>
      <c r="AM1614" s="209"/>
      <c r="AN1614" s="209"/>
      <c r="AO1614" s="209"/>
      <c r="AP1614" s="209"/>
    </row>
    <row r="1615">
      <c r="A1615" s="209"/>
      <c r="B1615" s="209"/>
      <c r="C1615" s="209"/>
      <c r="D1615" s="209"/>
      <c r="E1615" s="209"/>
      <c r="F1615" s="209"/>
      <c r="G1615" s="209"/>
      <c r="H1615" s="209"/>
      <c r="I1615" s="209"/>
      <c r="J1615" s="209"/>
      <c r="K1615" s="209"/>
      <c r="L1615" s="209"/>
      <c r="M1615" s="209"/>
      <c r="N1615" s="209"/>
      <c r="O1615" s="209"/>
      <c r="P1615" s="209"/>
      <c r="Q1615" s="209"/>
      <c r="R1615" s="209"/>
      <c r="S1615" s="209"/>
      <c r="T1615" s="209"/>
      <c r="U1615" s="209"/>
      <c r="V1615" s="209"/>
      <c r="W1615" s="209"/>
      <c r="X1615" s="209"/>
      <c r="Y1615" s="209"/>
      <c r="Z1615" s="209"/>
      <c r="AA1615" s="209"/>
      <c r="AB1615" s="209"/>
      <c r="AC1615" s="209"/>
      <c r="AD1615" s="209"/>
      <c r="AE1615" s="209"/>
      <c r="AF1615" s="209"/>
      <c r="AG1615" s="209"/>
      <c r="AH1615" s="209"/>
      <c r="AI1615" s="209"/>
      <c r="AJ1615" s="209"/>
      <c r="AK1615" s="209"/>
      <c r="AL1615" s="209"/>
      <c r="AM1615" s="209"/>
      <c r="AN1615" s="209"/>
      <c r="AO1615" s="209"/>
      <c r="AP1615" s="209"/>
    </row>
    <row r="1616">
      <c r="A1616" s="209"/>
      <c r="B1616" s="209"/>
      <c r="C1616" s="209"/>
      <c r="D1616" s="209"/>
      <c r="E1616" s="209"/>
      <c r="F1616" s="209"/>
      <c r="G1616" s="209"/>
      <c r="H1616" s="209"/>
      <c r="I1616" s="209"/>
      <c r="J1616" s="209"/>
      <c r="K1616" s="209"/>
      <c r="L1616" s="209"/>
      <c r="M1616" s="209"/>
      <c r="N1616" s="209"/>
      <c r="O1616" s="209"/>
      <c r="P1616" s="209"/>
      <c r="Q1616" s="209"/>
      <c r="R1616" s="209"/>
      <c r="S1616" s="209"/>
      <c r="T1616" s="209"/>
      <c r="U1616" s="209"/>
      <c r="V1616" s="209"/>
      <c r="W1616" s="209"/>
      <c r="X1616" s="209"/>
      <c r="Y1616" s="209"/>
      <c r="Z1616" s="209"/>
      <c r="AA1616" s="209"/>
      <c r="AB1616" s="209"/>
      <c r="AC1616" s="209"/>
      <c r="AD1616" s="209"/>
      <c r="AE1616" s="209"/>
      <c r="AF1616" s="209"/>
      <c r="AG1616" s="209"/>
      <c r="AH1616" s="209"/>
      <c r="AI1616" s="209"/>
      <c r="AJ1616" s="209"/>
      <c r="AK1616" s="209"/>
      <c r="AL1616" s="209"/>
      <c r="AM1616" s="209"/>
      <c r="AN1616" s="209"/>
      <c r="AO1616" s="209"/>
      <c r="AP1616" s="209"/>
    </row>
    <row r="1617">
      <c r="A1617" s="209"/>
      <c r="B1617" s="209"/>
      <c r="C1617" s="209"/>
      <c r="D1617" s="209"/>
      <c r="E1617" s="209"/>
      <c r="F1617" s="209"/>
      <c r="G1617" s="209"/>
      <c r="H1617" s="209"/>
      <c r="I1617" s="209"/>
      <c r="J1617" s="209"/>
      <c r="K1617" s="209"/>
      <c r="L1617" s="209"/>
      <c r="M1617" s="209"/>
      <c r="N1617" s="209"/>
      <c r="O1617" s="209"/>
      <c r="P1617" s="209"/>
      <c r="Q1617" s="209"/>
      <c r="R1617" s="209"/>
      <c r="S1617" s="209"/>
      <c r="T1617" s="209"/>
      <c r="U1617" s="209"/>
      <c r="V1617" s="209"/>
      <c r="W1617" s="209"/>
      <c r="X1617" s="209"/>
      <c r="Y1617" s="209"/>
      <c r="Z1617" s="209"/>
      <c r="AA1617" s="209"/>
      <c r="AB1617" s="209"/>
      <c r="AC1617" s="209"/>
      <c r="AD1617" s="209"/>
      <c r="AE1617" s="209"/>
      <c r="AF1617" s="209"/>
      <c r="AG1617" s="209"/>
      <c r="AH1617" s="209"/>
      <c r="AI1617" s="209"/>
      <c r="AJ1617" s="209"/>
      <c r="AK1617" s="209"/>
      <c r="AL1617" s="209"/>
      <c r="AM1617" s="209"/>
      <c r="AN1617" s="209"/>
      <c r="AO1617" s="209"/>
      <c r="AP1617" s="209"/>
    </row>
    <row r="1618">
      <c r="A1618" s="209"/>
      <c r="B1618" s="209"/>
      <c r="C1618" s="209"/>
      <c r="D1618" s="209"/>
      <c r="E1618" s="209"/>
      <c r="F1618" s="209"/>
      <c r="G1618" s="209"/>
      <c r="H1618" s="209"/>
      <c r="I1618" s="209"/>
      <c r="J1618" s="209"/>
      <c r="K1618" s="209"/>
      <c r="L1618" s="209"/>
      <c r="M1618" s="209"/>
      <c r="N1618" s="209"/>
      <c r="O1618" s="209"/>
      <c r="P1618" s="209"/>
      <c r="Q1618" s="209"/>
      <c r="R1618" s="209"/>
      <c r="S1618" s="209"/>
      <c r="T1618" s="209"/>
      <c r="U1618" s="209"/>
      <c r="V1618" s="209"/>
      <c r="W1618" s="209"/>
      <c r="X1618" s="209"/>
      <c r="Y1618" s="209"/>
      <c r="Z1618" s="209"/>
      <c r="AA1618" s="209"/>
      <c r="AB1618" s="209"/>
      <c r="AC1618" s="209"/>
      <c r="AD1618" s="209"/>
      <c r="AE1618" s="209"/>
      <c r="AF1618" s="209"/>
      <c r="AG1618" s="209"/>
      <c r="AH1618" s="209"/>
      <c r="AI1618" s="209"/>
      <c r="AJ1618" s="209"/>
      <c r="AK1618" s="209"/>
      <c r="AL1618" s="209"/>
      <c r="AM1618" s="209"/>
      <c r="AN1618" s="209"/>
      <c r="AO1618" s="209"/>
      <c r="AP1618" s="209"/>
    </row>
    <row r="1619">
      <c r="A1619" s="209"/>
      <c r="B1619" s="209"/>
      <c r="C1619" s="209"/>
      <c r="D1619" s="209"/>
      <c r="E1619" s="209"/>
      <c r="F1619" s="209"/>
      <c r="G1619" s="209"/>
      <c r="H1619" s="209"/>
      <c r="I1619" s="209"/>
      <c r="J1619" s="209"/>
      <c r="K1619" s="209"/>
      <c r="L1619" s="209"/>
      <c r="M1619" s="209"/>
      <c r="N1619" s="209"/>
      <c r="O1619" s="209"/>
      <c r="P1619" s="209"/>
      <c r="Q1619" s="209"/>
      <c r="R1619" s="209"/>
      <c r="S1619" s="209"/>
      <c r="T1619" s="209"/>
      <c r="U1619" s="209"/>
      <c r="V1619" s="209"/>
      <c r="W1619" s="209"/>
      <c r="X1619" s="209"/>
      <c r="Y1619" s="209"/>
      <c r="Z1619" s="209"/>
      <c r="AA1619" s="209"/>
      <c r="AB1619" s="209"/>
      <c r="AC1619" s="209"/>
      <c r="AD1619" s="209"/>
      <c r="AE1619" s="209"/>
      <c r="AF1619" s="209"/>
      <c r="AG1619" s="209"/>
      <c r="AH1619" s="209"/>
      <c r="AI1619" s="209"/>
      <c r="AJ1619" s="209"/>
      <c r="AK1619" s="209"/>
      <c r="AL1619" s="209"/>
      <c r="AM1619" s="209"/>
      <c r="AN1619" s="209"/>
      <c r="AO1619" s="209"/>
      <c r="AP1619" s="209"/>
    </row>
    <row r="1620">
      <c r="A1620" s="209"/>
      <c r="B1620" s="209"/>
      <c r="C1620" s="209"/>
      <c r="D1620" s="209"/>
      <c r="E1620" s="209"/>
      <c r="F1620" s="209"/>
      <c r="G1620" s="209"/>
      <c r="H1620" s="209"/>
      <c r="I1620" s="209"/>
      <c r="J1620" s="209"/>
      <c r="K1620" s="209"/>
      <c r="L1620" s="209"/>
      <c r="M1620" s="209"/>
      <c r="N1620" s="209"/>
      <c r="O1620" s="209"/>
      <c r="P1620" s="209"/>
      <c r="Q1620" s="209"/>
      <c r="R1620" s="209"/>
      <c r="S1620" s="209"/>
      <c r="T1620" s="209"/>
      <c r="U1620" s="209"/>
      <c r="V1620" s="209"/>
      <c r="W1620" s="209"/>
      <c r="X1620" s="209"/>
      <c r="Y1620" s="209"/>
      <c r="Z1620" s="209"/>
      <c r="AA1620" s="209"/>
      <c r="AB1620" s="209"/>
      <c r="AC1620" s="209"/>
      <c r="AD1620" s="209"/>
      <c r="AE1620" s="209"/>
      <c r="AF1620" s="209"/>
      <c r="AG1620" s="209"/>
      <c r="AH1620" s="209"/>
      <c r="AI1620" s="209"/>
      <c r="AJ1620" s="209"/>
      <c r="AK1620" s="209"/>
      <c r="AL1620" s="209"/>
      <c r="AM1620" s="209"/>
      <c r="AN1620" s="209"/>
      <c r="AO1620" s="209"/>
      <c r="AP1620" s="209"/>
    </row>
    <row r="1621">
      <c r="A1621" s="209"/>
      <c r="B1621" s="209"/>
      <c r="C1621" s="209"/>
      <c r="D1621" s="209"/>
      <c r="E1621" s="209"/>
      <c r="F1621" s="209"/>
      <c r="G1621" s="209"/>
      <c r="H1621" s="209"/>
      <c r="I1621" s="209"/>
      <c r="J1621" s="209"/>
      <c r="K1621" s="209"/>
      <c r="L1621" s="209"/>
      <c r="M1621" s="209"/>
      <c r="N1621" s="209"/>
      <c r="O1621" s="209"/>
      <c r="P1621" s="209"/>
      <c r="Q1621" s="209"/>
      <c r="R1621" s="209"/>
      <c r="S1621" s="209"/>
      <c r="T1621" s="209"/>
      <c r="U1621" s="209"/>
      <c r="V1621" s="209"/>
      <c r="W1621" s="209"/>
      <c r="X1621" s="209"/>
      <c r="Y1621" s="209"/>
      <c r="Z1621" s="209"/>
      <c r="AA1621" s="209"/>
      <c r="AB1621" s="209"/>
      <c r="AC1621" s="209"/>
      <c r="AD1621" s="209"/>
      <c r="AE1621" s="209"/>
      <c r="AF1621" s="209"/>
      <c r="AG1621" s="209"/>
      <c r="AH1621" s="209"/>
      <c r="AI1621" s="209"/>
      <c r="AJ1621" s="209"/>
      <c r="AK1621" s="209"/>
      <c r="AL1621" s="209"/>
      <c r="AM1621" s="209"/>
      <c r="AN1621" s="209"/>
      <c r="AO1621" s="209"/>
      <c r="AP1621" s="209"/>
    </row>
    <row r="1622">
      <c r="A1622" s="209"/>
      <c r="B1622" s="209"/>
      <c r="C1622" s="209"/>
      <c r="D1622" s="209"/>
      <c r="E1622" s="209"/>
      <c r="F1622" s="209"/>
      <c r="G1622" s="209"/>
      <c r="H1622" s="209"/>
      <c r="I1622" s="209"/>
      <c r="J1622" s="209"/>
      <c r="K1622" s="209"/>
      <c r="L1622" s="209"/>
      <c r="M1622" s="209"/>
      <c r="N1622" s="209"/>
      <c r="O1622" s="209"/>
      <c r="P1622" s="209"/>
      <c r="Q1622" s="209"/>
      <c r="R1622" s="209"/>
      <c r="S1622" s="209"/>
      <c r="T1622" s="209"/>
      <c r="U1622" s="209"/>
      <c r="V1622" s="209"/>
      <c r="W1622" s="209"/>
      <c r="X1622" s="209"/>
      <c r="Y1622" s="209"/>
      <c r="Z1622" s="209"/>
      <c r="AA1622" s="209"/>
      <c r="AB1622" s="209"/>
      <c r="AC1622" s="209"/>
      <c r="AD1622" s="209"/>
      <c r="AE1622" s="209"/>
      <c r="AF1622" s="209"/>
      <c r="AG1622" s="209"/>
      <c r="AH1622" s="209"/>
      <c r="AI1622" s="209"/>
      <c r="AJ1622" s="209"/>
      <c r="AK1622" s="209"/>
      <c r="AL1622" s="209"/>
      <c r="AM1622" s="209"/>
      <c r="AN1622" s="209"/>
      <c r="AO1622" s="209"/>
      <c r="AP1622" s="209"/>
    </row>
    <row r="1623">
      <c r="A1623" s="209"/>
      <c r="B1623" s="209"/>
      <c r="C1623" s="209"/>
      <c r="D1623" s="209"/>
      <c r="E1623" s="209"/>
      <c r="F1623" s="209"/>
      <c r="G1623" s="209"/>
      <c r="H1623" s="209"/>
      <c r="I1623" s="209"/>
      <c r="J1623" s="209"/>
      <c r="K1623" s="209"/>
      <c r="L1623" s="209"/>
      <c r="M1623" s="209"/>
      <c r="N1623" s="209"/>
      <c r="O1623" s="209"/>
      <c r="P1623" s="209"/>
      <c r="Q1623" s="209"/>
      <c r="R1623" s="209"/>
      <c r="S1623" s="209"/>
      <c r="T1623" s="209"/>
      <c r="U1623" s="209"/>
      <c r="V1623" s="209"/>
      <c r="W1623" s="209"/>
      <c r="X1623" s="209"/>
      <c r="Y1623" s="209"/>
      <c r="Z1623" s="209"/>
      <c r="AA1623" s="209"/>
      <c r="AB1623" s="209"/>
      <c r="AC1623" s="209"/>
      <c r="AD1623" s="209"/>
      <c r="AE1623" s="209"/>
      <c r="AF1623" s="209"/>
      <c r="AG1623" s="209"/>
      <c r="AH1623" s="209"/>
      <c r="AI1623" s="209"/>
      <c r="AJ1623" s="209"/>
      <c r="AK1623" s="209"/>
      <c r="AL1623" s="209"/>
      <c r="AM1623" s="209"/>
      <c r="AN1623" s="209"/>
      <c r="AO1623" s="209"/>
      <c r="AP1623" s="209"/>
    </row>
    <row r="1624">
      <c r="A1624" s="209"/>
      <c r="B1624" s="209"/>
      <c r="C1624" s="209"/>
      <c r="D1624" s="209"/>
      <c r="E1624" s="209"/>
      <c r="F1624" s="209"/>
      <c r="G1624" s="209"/>
      <c r="H1624" s="209"/>
      <c r="I1624" s="209"/>
      <c r="J1624" s="209"/>
      <c r="K1624" s="209"/>
      <c r="L1624" s="209"/>
      <c r="M1624" s="209"/>
      <c r="N1624" s="209"/>
      <c r="O1624" s="209"/>
      <c r="P1624" s="209"/>
      <c r="Q1624" s="209"/>
      <c r="R1624" s="209"/>
      <c r="S1624" s="209"/>
      <c r="T1624" s="209"/>
      <c r="U1624" s="209"/>
      <c r="V1624" s="209"/>
      <c r="W1624" s="209"/>
      <c r="X1624" s="209"/>
      <c r="Y1624" s="209"/>
      <c r="Z1624" s="209"/>
      <c r="AA1624" s="209"/>
      <c r="AB1624" s="209"/>
      <c r="AC1624" s="209"/>
      <c r="AD1624" s="209"/>
      <c r="AE1624" s="209"/>
      <c r="AF1624" s="209"/>
      <c r="AG1624" s="209"/>
      <c r="AH1624" s="209"/>
      <c r="AI1624" s="209"/>
      <c r="AJ1624" s="209"/>
      <c r="AK1624" s="209"/>
      <c r="AL1624" s="209"/>
      <c r="AM1624" s="209"/>
      <c r="AN1624" s="209"/>
      <c r="AO1624" s="209"/>
      <c r="AP1624" s="209"/>
    </row>
    <row r="1625">
      <c r="A1625" s="209"/>
      <c r="B1625" s="209"/>
      <c r="C1625" s="209"/>
      <c r="D1625" s="209"/>
      <c r="E1625" s="209"/>
      <c r="F1625" s="209"/>
      <c r="G1625" s="209"/>
      <c r="H1625" s="209"/>
      <c r="I1625" s="209"/>
      <c r="J1625" s="209"/>
      <c r="K1625" s="209"/>
      <c r="L1625" s="209"/>
      <c r="M1625" s="209"/>
      <c r="N1625" s="209"/>
      <c r="O1625" s="209"/>
      <c r="P1625" s="209"/>
      <c r="Q1625" s="209"/>
      <c r="R1625" s="209"/>
      <c r="S1625" s="209"/>
      <c r="T1625" s="209"/>
      <c r="U1625" s="209"/>
      <c r="V1625" s="209"/>
      <c r="W1625" s="209"/>
      <c r="X1625" s="209"/>
      <c r="Y1625" s="209"/>
      <c r="Z1625" s="209"/>
      <c r="AA1625" s="209"/>
      <c r="AB1625" s="209"/>
      <c r="AC1625" s="209"/>
      <c r="AD1625" s="209"/>
      <c r="AE1625" s="209"/>
      <c r="AF1625" s="209"/>
      <c r="AG1625" s="209"/>
      <c r="AH1625" s="209"/>
      <c r="AI1625" s="209"/>
      <c r="AJ1625" s="209"/>
      <c r="AK1625" s="209"/>
      <c r="AL1625" s="209"/>
      <c r="AM1625" s="209"/>
      <c r="AN1625" s="209"/>
      <c r="AO1625" s="209"/>
      <c r="AP1625" s="209"/>
    </row>
    <row r="1626">
      <c r="A1626" s="209"/>
      <c r="B1626" s="209"/>
      <c r="C1626" s="209"/>
      <c r="D1626" s="209"/>
      <c r="E1626" s="209"/>
      <c r="F1626" s="209"/>
      <c r="G1626" s="209"/>
      <c r="H1626" s="209"/>
      <c r="I1626" s="209"/>
      <c r="J1626" s="209"/>
      <c r="K1626" s="209"/>
      <c r="L1626" s="209"/>
      <c r="M1626" s="209"/>
      <c r="N1626" s="209"/>
      <c r="O1626" s="209"/>
      <c r="P1626" s="209"/>
      <c r="Q1626" s="209"/>
      <c r="R1626" s="209"/>
      <c r="S1626" s="209"/>
      <c r="T1626" s="209"/>
      <c r="U1626" s="209"/>
      <c r="V1626" s="209"/>
      <c r="W1626" s="209"/>
      <c r="X1626" s="209"/>
      <c r="Y1626" s="209"/>
      <c r="Z1626" s="209"/>
      <c r="AA1626" s="209"/>
      <c r="AB1626" s="209"/>
      <c r="AC1626" s="209"/>
      <c r="AD1626" s="209"/>
      <c r="AE1626" s="209"/>
      <c r="AF1626" s="209"/>
      <c r="AG1626" s="209"/>
      <c r="AH1626" s="209"/>
      <c r="AI1626" s="209"/>
      <c r="AJ1626" s="209"/>
      <c r="AK1626" s="209"/>
      <c r="AL1626" s="209"/>
      <c r="AM1626" s="209"/>
      <c r="AN1626" s="209"/>
      <c r="AO1626" s="209"/>
      <c r="AP1626" s="209"/>
    </row>
    <row r="1627">
      <c r="A1627" s="209"/>
      <c r="B1627" s="209"/>
      <c r="C1627" s="209"/>
      <c r="D1627" s="209"/>
      <c r="E1627" s="209"/>
      <c r="F1627" s="209"/>
      <c r="G1627" s="209"/>
      <c r="H1627" s="209"/>
      <c r="I1627" s="209"/>
      <c r="J1627" s="209"/>
      <c r="K1627" s="209"/>
      <c r="L1627" s="209"/>
      <c r="M1627" s="209"/>
      <c r="N1627" s="209"/>
      <c r="O1627" s="209"/>
      <c r="P1627" s="209"/>
      <c r="Q1627" s="209"/>
      <c r="R1627" s="209"/>
      <c r="S1627" s="209"/>
      <c r="T1627" s="209"/>
      <c r="U1627" s="209"/>
      <c r="V1627" s="209"/>
      <c r="W1627" s="209"/>
      <c r="X1627" s="209"/>
      <c r="Y1627" s="209"/>
      <c r="Z1627" s="209"/>
      <c r="AA1627" s="209"/>
      <c r="AB1627" s="209"/>
      <c r="AC1627" s="209"/>
      <c r="AD1627" s="209"/>
      <c r="AE1627" s="209"/>
      <c r="AF1627" s="209"/>
      <c r="AG1627" s="209"/>
      <c r="AH1627" s="209"/>
      <c r="AI1627" s="209"/>
      <c r="AJ1627" s="209"/>
      <c r="AK1627" s="209"/>
      <c r="AL1627" s="209"/>
      <c r="AM1627" s="209"/>
      <c r="AN1627" s="209"/>
      <c r="AO1627" s="209"/>
      <c r="AP1627" s="209"/>
    </row>
    <row r="1628">
      <c r="A1628" s="209"/>
      <c r="B1628" s="209"/>
      <c r="C1628" s="209"/>
      <c r="D1628" s="209"/>
      <c r="E1628" s="209"/>
      <c r="F1628" s="209"/>
      <c r="G1628" s="209"/>
      <c r="H1628" s="209"/>
      <c r="I1628" s="209"/>
      <c r="J1628" s="209"/>
      <c r="K1628" s="209"/>
      <c r="L1628" s="209"/>
      <c r="M1628" s="209"/>
      <c r="N1628" s="209"/>
      <c r="O1628" s="209"/>
      <c r="P1628" s="209"/>
      <c r="Q1628" s="209"/>
      <c r="R1628" s="209"/>
      <c r="S1628" s="209"/>
      <c r="T1628" s="209"/>
      <c r="U1628" s="209"/>
      <c r="V1628" s="209"/>
      <c r="W1628" s="209"/>
      <c r="X1628" s="209"/>
      <c r="Y1628" s="209"/>
      <c r="Z1628" s="209"/>
      <c r="AA1628" s="209"/>
      <c r="AB1628" s="209"/>
      <c r="AC1628" s="209"/>
      <c r="AD1628" s="209"/>
      <c r="AE1628" s="209"/>
      <c r="AF1628" s="209"/>
      <c r="AG1628" s="209"/>
      <c r="AH1628" s="209"/>
      <c r="AI1628" s="209"/>
      <c r="AJ1628" s="209"/>
      <c r="AK1628" s="209"/>
      <c r="AL1628" s="209"/>
      <c r="AM1628" s="209"/>
      <c r="AN1628" s="209"/>
      <c r="AO1628" s="209"/>
      <c r="AP1628" s="209"/>
    </row>
    <row r="1629">
      <c r="A1629" s="209"/>
      <c r="B1629" s="209"/>
      <c r="C1629" s="209"/>
      <c r="D1629" s="209"/>
      <c r="E1629" s="209"/>
      <c r="F1629" s="209"/>
      <c r="G1629" s="209"/>
      <c r="H1629" s="209"/>
      <c r="I1629" s="209"/>
      <c r="J1629" s="209"/>
      <c r="K1629" s="209"/>
      <c r="L1629" s="209"/>
      <c r="M1629" s="209"/>
      <c r="N1629" s="209"/>
      <c r="O1629" s="209"/>
      <c r="P1629" s="209"/>
      <c r="Q1629" s="209"/>
      <c r="R1629" s="209"/>
      <c r="S1629" s="209"/>
      <c r="T1629" s="209"/>
      <c r="U1629" s="209"/>
      <c r="V1629" s="209"/>
      <c r="W1629" s="209"/>
      <c r="X1629" s="209"/>
      <c r="Y1629" s="209"/>
      <c r="Z1629" s="209"/>
      <c r="AA1629" s="209"/>
      <c r="AB1629" s="209"/>
      <c r="AC1629" s="209"/>
      <c r="AD1629" s="209"/>
      <c r="AE1629" s="209"/>
      <c r="AF1629" s="209"/>
      <c r="AG1629" s="209"/>
      <c r="AH1629" s="209"/>
      <c r="AI1629" s="209"/>
      <c r="AJ1629" s="209"/>
      <c r="AK1629" s="209"/>
      <c r="AL1629" s="209"/>
      <c r="AM1629" s="209"/>
      <c r="AN1629" s="209"/>
      <c r="AO1629" s="209"/>
      <c r="AP1629" s="209"/>
    </row>
    <row r="1630">
      <c r="A1630" s="209"/>
      <c r="B1630" s="209"/>
      <c r="C1630" s="209"/>
      <c r="D1630" s="209"/>
      <c r="E1630" s="209"/>
      <c r="F1630" s="209"/>
      <c r="G1630" s="209"/>
      <c r="H1630" s="209"/>
      <c r="I1630" s="209"/>
      <c r="J1630" s="209"/>
      <c r="K1630" s="209"/>
      <c r="L1630" s="209"/>
      <c r="M1630" s="209"/>
      <c r="N1630" s="209"/>
      <c r="O1630" s="209"/>
      <c r="P1630" s="209"/>
      <c r="Q1630" s="209"/>
      <c r="R1630" s="209"/>
      <c r="S1630" s="209"/>
      <c r="T1630" s="209"/>
      <c r="U1630" s="209"/>
      <c r="V1630" s="209"/>
      <c r="W1630" s="209"/>
      <c r="X1630" s="209"/>
      <c r="Y1630" s="209"/>
      <c r="Z1630" s="209"/>
      <c r="AA1630" s="209"/>
      <c r="AB1630" s="209"/>
      <c r="AC1630" s="209"/>
      <c r="AD1630" s="209"/>
      <c r="AE1630" s="209"/>
      <c r="AF1630" s="209"/>
      <c r="AG1630" s="209"/>
      <c r="AH1630" s="209"/>
      <c r="AI1630" s="209"/>
      <c r="AJ1630" s="209"/>
      <c r="AK1630" s="209"/>
      <c r="AL1630" s="209"/>
      <c r="AM1630" s="209"/>
      <c r="AN1630" s="209"/>
      <c r="AO1630" s="209"/>
      <c r="AP1630" s="209"/>
    </row>
    <row r="1631">
      <c r="A1631" s="209"/>
      <c r="B1631" s="209"/>
      <c r="C1631" s="209"/>
      <c r="D1631" s="209"/>
      <c r="E1631" s="209"/>
      <c r="F1631" s="209"/>
      <c r="G1631" s="209"/>
      <c r="H1631" s="209"/>
      <c r="I1631" s="209"/>
      <c r="J1631" s="209"/>
      <c r="K1631" s="209"/>
      <c r="L1631" s="209"/>
      <c r="M1631" s="209"/>
      <c r="N1631" s="209"/>
      <c r="O1631" s="209"/>
      <c r="P1631" s="209"/>
      <c r="Q1631" s="209"/>
      <c r="R1631" s="209"/>
      <c r="S1631" s="209"/>
      <c r="T1631" s="209"/>
      <c r="U1631" s="209"/>
      <c r="V1631" s="209"/>
      <c r="W1631" s="209"/>
      <c r="X1631" s="209"/>
      <c r="Y1631" s="209"/>
      <c r="Z1631" s="209"/>
      <c r="AA1631" s="209"/>
      <c r="AB1631" s="209"/>
      <c r="AC1631" s="209"/>
      <c r="AD1631" s="209"/>
      <c r="AE1631" s="209"/>
      <c r="AF1631" s="209"/>
      <c r="AG1631" s="209"/>
      <c r="AH1631" s="209"/>
      <c r="AI1631" s="209"/>
      <c r="AJ1631" s="209"/>
      <c r="AK1631" s="209"/>
      <c r="AL1631" s="209"/>
      <c r="AM1631" s="209"/>
      <c r="AN1631" s="209"/>
      <c r="AO1631" s="209"/>
      <c r="AP1631" s="209"/>
    </row>
    <row r="1632">
      <c r="A1632" s="209"/>
      <c r="B1632" s="209"/>
      <c r="C1632" s="209"/>
      <c r="D1632" s="209"/>
      <c r="E1632" s="209"/>
      <c r="F1632" s="209"/>
      <c r="G1632" s="209"/>
      <c r="H1632" s="209"/>
      <c r="I1632" s="209"/>
      <c r="J1632" s="209"/>
      <c r="K1632" s="209"/>
      <c r="L1632" s="209"/>
      <c r="M1632" s="209"/>
      <c r="N1632" s="209"/>
      <c r="O1632" s="209"/>
      <c r="P1632" s="209"/>
      <c r="Q1632" s="209"/>
      <c r="R1632" s="209"/>
      <c r="S1632" s="209"/>
      <c r="T1632" s="209"/>
      <c r="U1632" s="209"/>
      <c r="V1632" s="209"/>
      <c r="W1632" s="209"/>
      <c r="X1632" s="209"/>
      <c r="Y1632" s="209"/>
      <c r="Z1632" s="209"/>
      <c r="AA1632" s="209"/>
      <c r="AB1632" s="209"/>
      <c r="AC1632" s="209"/>
      <c r="AD1632" s="209"/>
      <c r="AE1632" s="209"/>
      <c r="AF1632" s="209"/>
      <c r="AG1632" s="209"/>
      <c r="AH1632" s="209"/>
      <c r="AI1632" s="209"/>
      <c r="AJ1632" s="209"/>
      <c r="AK1632" s="209"/>
      <c r="AL1632" s="209"/>
      <c r="AM1632" s="209"/>
      <c r="AN1632" s="209"/>
      <c r="AO1632" s="209"/>
      <c r="AP1632" s="209"/>
    </row>
  </sheetData>
  <mergeCells count="161">
    <mergeCell ref="O186:O197"/>
    <mergeCell ref="O201:O205"/>
    <mergeCell ref="O213:O217"/>
    <mergeCell ref="O113:O118"/>
    <mergeCell ref="O120:O126"/>
    <mergeCell ref="O128:O135"/>
    <mergeCell ref="O137:O142"/>
    <mergeCell ref="O144:O156"/>
    <mergeCell ref="O158:O170"/>
    <mergeCell ref="O172:O184"/>
    <mergeCell ref="O207:O211"/>
    <mergeCell ref="O219:O223"/>
    <mergeCell ref="O225:O229"/>
    <mergeCell ref="O231:O235"/>
    <mergeCell ref="O244:O252"/>
    <mergeCell ref="O254:O259"/>
    <mergeCell ref="O261:O266"/>
    <mergeCell ref="O274:O278"/>
    <mergeCell ref="O62:O71"/>
    <mergeCell ref="O73:O77"/>
    <mergeCell ref="O79:O83"/>
    <mergeCell ref="O85:O90"/>
    <mergeCell ref="O92:O96"/>
    <mergeCell ref="O98:O103"/>
    <mergeCell ref="O105:O111"/>
    <mergeCell ref="L1:M1"/>
    <mergeCell ref="AN1:AO1"/>
    <mergeCell ref="A2:M3"/>
    <mergeCell ref="O2:AA3"/>
    <mergeCell ref="AC2:AM3"/>
    <mergeCell ref="A5:A13"/>
    <mergeCell ref="A15:A25"/>
    <mergeCell ref="O5:O16"/>
    <mergeCell ref="O18:O26"/>
    <mergeCell ref="A27:A38"/>
    <mergeCell ref="O28:O36"/>
    <mergeCell ref="O38:O46"/>
    <mergeCell ref="A40:A48"/>
    <mergeCell ref="O48:O60"/>
    <mergeCell ref="AC71:AC74"/>
    <mergeCell ref="AC76:AC78"/>
    <mergeCell ref="AC80:AC81"/>
    <mergeCell ref="AC83:AC84"/>
    <mergeCell ref="AC86:AC89"/>
    <mergeCell ref="Z1:AA1"/>
    <mergeCell ref="AC5:AC21"/>
    <mergeCell ref="AC23:AC33"/>
    <mergeCell ref="AC35:AC46"/>
    <mergeCell ref="AC48:AC52"/>
    <mergeCell ref="AC54:AC61"/>
    <mergeCell ref="AC63:AC69"/>
    <mergeCell ref="A50:A58"/>
    <mergeCell ref="A60:A69"/>
    <mergeCell ref="A71:A79"/>
    <mergeCell ref="A81:A91"/>
    <mergeCell ref="A93:A103"/>
    <mergeCell ref="A105:A115"/>
    <mergeCell ref="A117:A123"/>
    <mergeCell ref="A206:A216"/>
    <mergeCell ref="A218:A226"/>
    <mergeCell ref="A228:A234"/>
    <mergeCell ref="A236:A244"/>
    <mergeCell ref="O237:O241"/>
    <mergeCell ref="O268:O272"/>
    <mergeCell ref="M288:M292"/>
    <mergeCell ref="A125:A134"/>
    <mergeCell ref="A136:A146"/>
    <mergeCell ref="A148:A158"/>
    <mergeCell ref="A160:A171"/>
    <mergeCell ref="A173:A182"/>
    <mergeCell ref="A184:A193"/>
    <mergeCell ref="A195:A204"/>
    <mergeCell ref="A797:A801"/>
    <mergeCell ref="A803:A807"/>
    <mergeCell ref="A809:A813"/>
    <mergeCell ref="A815:A819"/>
    <mergeCell ref="A821:A825"/>
    <mergeCell ref="A827:A831"/>
    <mergeCell ref="A833:A837"/>
    <mergeCell ref="A839:A843"/>
    <mergeCell ref="A845:A849"/>
    <mergeCell ref="A851:A855"/>
    <mergeCell ref="A857:A881"/>
    <mergeCell ref="A883:A887"/>
    <mergeCell ref="A889:A893"/>
    <mergeCell ref="A895:A899"/>
    <mergeCell ref="A901:A905"/>
    <mergeCell ref="A907:A911"/>
    <mergeCell ref="A913:A917"/>
    <mergeCell ref="A919:A923"/>
    <mergeCell ref="A925:A929"/>
    <mergeCell ref="A931:A935"/>
    <mergeCell ref="A937:A941"/>
    <mergeCell ref="A943:A947"/>
    <mergeCell ref="A949:A953"/>
    <mergeCell ref="A955:A959"/>
    <mergeCell ref="A961:A968"/>
    <mergeCell ref="A970:A975"/>
    <mergeCell ref="A977:A983"/>
    <mergeCell ref="A985:A991"/>
    <mergeCell ref="A1087:A1096"/>
    <mergeCell ref="A1098:A1105"/>
    <mergeCell ref="A1107:A1114"/>
    <mergeCell ref="A1116:A1132"/>
    <mergeCell ref="A1134:A1148"/>
    <mergeCell ref="A993:A996"/>
    <mergeCell ref="A998:A1019"/>
    <mergeCell ref="A1021:A1035"/>
    <mergeCell ref="A1037:A1038"/>
    <mergeCell ref="A1040:A1052"/>
    <mergeCell ref="A1054:A1072"/>
    <mergeCell ref="A1074:A1085"/>
    <mergeCell ref="A246:A254"/>
    <mergeCell ref="A256:A264"/>
    <mergeCell ref="A266:A277"/>
    <mergeCell ref="A279:A288"/>
    <mergeCell ref="A290:A296"/>
    <mergeCell ref="A298:A308"/>
    <mergeCell ref="A310:A318"/>
    <mergeCell ref="A320:A338"/>
    <mergeCell ref="A340:A348"/>
    <mergeCell ref="A350:A356"/>
    <mergeCell ref="A358:A368"/>
    <mergeCell ref="A370:A379"/>
    <mergeCell ref="A381:A386"/>
    <mergeCell ref="A388:A395"/>
    <mergeCell ref="A397:A406"/>
    <mergeCell ref="A408:A415"/>
    <mergeCell ref="A417:A426"/>
    <mergeCell ref="A428:A436"/>
    <mergeCell ref="A438:A447"/>
    <mergeCell ref="A449:A455"/>
    <mergeCell ref="A457:A465"/>
    <mergeCell ref="A467:A475"/>
    <mergeCell ref="A477:A484"/>
    <mergeCell ref="A486:A506"/>
    <mergeCell ref="A508:A528"/>
    <mergeCell ref="A530:A542"/>
    <mergeCell ref="A544:A550"/>
    <mergeCell ref="A552:A563"/>
    <mergeCell ref="A565:A570"/>
    <mergeCell ref="A572:A578"/>
    <mergeCell ref="A580:A586"/>
    <mergeCell ref="A588:A594"/>
    <mergeCell ref="A596:A606"/>
    <mergeCell ref="A608:A618"/>
    <mergeCell ref="A620:A623"/>
    <mergeCell ref="A625:A634"/>
    <mergeCell ref="A636:A648"/>
    <mergeCell ref="A650:A656"/>
    <mergeCell ref="A658:A664"/>
    <mergeCell ref="A666:A671"/>
    <mergeCell ref="A673:A679"/>
    <mergeCell ref="A681:A684"/>
    <mergeCell ref="A686:A693"/>
    <mergeCell ref="A695:A700"/>
    <mergeCell ref="A702:A707"/>
    <mergeCell ref="A709:A741"/>
    <mergeCell ref="A743:A775"/>
    <mergeCell ref="A777:A789"/>
    <mergeCell ref="A791:A795"/>
  </mergeCells>
  <dataValidations>
    <dataValidation type="list" allowBlank="1" showErrorMessage="1" sqref="F6:H13 T6:V16 AH6:AJ21 F16:H25 T19:V26 AH24:AJ33 T29:V36 F28:H38 T39:V46 AH36:AJ46 F41:H48 AH49:AJ52 F51:H58 T49:V60 AH55:AJ61 F61:H69 AH64:AJ69 T63:V71 AH72:AJ74 T74:V77 AH77:AJ78 F72:H79 AH81:AJ81 T80:V83 AH84:AJ84 AH87:AJ89 T86:V90 F82:H91 T93:V96 F94:H103 T99:V103 T106:V111 F106:H115 T114:V118 F118:H123 T121:V126 F126:H134 T129:V135 T138:V142 F137:H146 T145:V156 F149:H158 T159:V170 F161:H171 F174:H182 T173:V184 F185:H193 T187:V197 T199:V199 F196:H204 T202:V205 T208:V211 F207:H216 T214:V217 T220:V223 F219:H226 T226:V229 F229:H234 T232:V235 T238:V241 F237:H244 T245:V252 F247:H254 T255:V259 F257:H264 T262:V266 T269:V272 F267:H277 T275:V278 F280:H288 F291:H296 F299:H308 F311:H318 F321:H338 F341:H348 F351:H356 F359:H368 F371:H379 F382:H386 F389:H395 F398:H406 F409:H415 F418:H426 F429:H436 F439:H447 F450:H455 F458:H465 F468:H475 F478:H484 F487:H506 F509:H528 F531:H542 F545:H550 F553:H563 F566:H570 F573:H578 F581:H586 F589:H594 F597:H606 F609:H618 F621:H623 F626:H634 F637:H648 F651:H656 F659:H664 F667:H671 F674:H679 F682:H684 F687:H693 F696:H700 F703:H707 F710:H741 F744:H775 F778:H789 F792:H795 F798:H801 F804:H807 F810:H813 F816:H819 F822:H825 F828:H831 F834:H837 F840:H843 F846:H849 F852:H855 F858:H881 F884:H887 F890:H893 F896:H899 F902:H905 F908:H911 F914:H917 F920:H923 F926:H929 F932:H935 F938:H941 F944:H947 F950:H953 F956:H959 F962:H968 F971:H975 F978:H983 F986:H991 F994:H996 F999:H1019 F1022:H1035 F1038:H1038 F1041:H1052 F1055:H1072 F1075:H1085 F1088:H1096 F1099:H1105 F1108:H1114 F1117:H1132 F1135:H1148">
      <formula1>"Amazon Marketplace Issue,Non-Combined Reviews,Split Variation,Variation Names Incorrect,Listing Suppressed,Buy Box Issue/Unauthorized Seller,Copy Issue,Product Specs Issue,Title Issue,Incorrect Bullet Points,Missing Bullet Points,Image Issue,Incorrect Ima"&amp;"ges,Missing Images,Inactive,OOS,Discontinued,Other Sub-Issue,Pending Product Launch"</formula1>
    </dataValidation>
  </dataValidations>
  <hyperlinks>
    <hyperlink r:id="rId2" ref="B5"/>
    <hyperlink r:id="rId3" ref="P5"/>
    <hyperlink r:id="rId4" ref="AD5"/>
    <hyperlink r:id="rId5" ref="B15"/>
    <hyperlink r:id="rId6" ref="P18"/>
    <hyperlink r:id="rId7" ref="AD23"/>
    <hyperlink r:id="rId8" ref="B27"/>
    <hyperlink r:id="rId9" ref="P28"/>
    <hyperlink r:id="rId10" ref="AD35"/>
    <hyperlink r:id="rId11" ref="P38"/>
    <hyperlink r:id="rId12" ref="B40"/>
    <hyperlink r:id="rId13" ref="AD40"/>
    <hyperlink r:id="rId14" ref="P48"/>
    <hyperlink r:id="rId15" ref="AD48"/>
    <hyperlink r:id="rId16" ref="B50"/>
    <hyperlink r:id="rId17" ref="AD54"/>
    <hyperlink r:id="rId18" ref="B60"/>
    <hyperlink r:id="rId19" ref="P62"/>
    <hyperlink r:id="rId20" ref="AD63"/>
    <hyperlink r:id="rId21" ref="B71"/>
    <hyperlink r:id="rId22" ref="AD71"/>
    <hyperlink r:id="rId23" ref="P73"/>
    <hyperlink r:id="rId24" ref="AD76"/>
    <hyperlink r:id="rId25" ref="P79"/>
    <hyperlink r:id="rId26" ref="AD80"/>
    <hyperlink r:id="rId27" ref="B81"/>
    <hyperlink r:id="rId28" ref="AD83"/>
    <hyperlink r:id="rId29" ref="P85"/>
    <hyperlink r:id="rId30" ref="AD86"/>
    <hyperlink r:id="rId31" ref="P92"/>
    <hyperlink r:id="rId32" ref="B93"/>
    <hyperlink r:id="rId33" ref="P98"/>
    <hyperlink r:id="rId34" ref="B105"/>
    <hyperlink r:id="rId35" ref="P105"/>
    <hyperlink r:id="rId36" ref="P113"/>
    <hyperlink r:id="rId37" ref="B117"/>
    <hyperlink r:id="rId38" ref="P120"/>
    <hyperlink r:id="rId39" ref="B125"/>
    <hyperlink r:id="rId40" ref="P128"/>
    <hyperlink r:id="rId41" ref="B136"/>
    <hyperlink r:id="rId42" ref="P137"/>
    <hyperlink r:id="rId43" ref="P144"/>
    <hyperlink r:id="rId44" ref="B148"/>
    <hyperlink r:id="rId45" ref="P158"/>
    <hyperlink r:id="rId46" ref="B160"/>
    <hyperlink r:id="rId47" ref="P172"/>
    <hyperlink r:id="rId48" ref="B173"/>
    <hyperlink r:id="rId49" ref="B184"/>
    <hyperlink r:id="rId50" ref="P186"/>
    <hyperlink r:id="rId51" ref="B195"/>
    <hyperlink r:id="rId52" ref="P201"/>
    <hyperlink r:id="rId53" ref="B206"/>
    <hyperlink r:id="rId54" ref="P207"/>
    <hyperlink r:id="rId55" ref="P213"/>
    <hyperlink r:id="rId56" ref="B218"/>
    <hyperlink r:id="rId57" ref="P219"/>
    <hyperlink r:id="rId58" ref="P225"/>
    <hyperlink r:id="rId59" ref="B228"/>
    <hyperlink r:id="rId60" ref="P231"/>
    <hyperlink r:id="rId61" ref="B236"/>
    <hyperlink r:id="rId62" ref="P237"/>
    <hyperlink r:id="rId63" ref="P244"/>
    <hyperlink r:id="rId64" ref="B246"/>
    <hyperlink r:id="rId65" ref="P254"/>
    <hyperlink r:id="rId66" ref="B256"/>
    <hyperlink r:id="rId67" ref="P261"/>
    <hyperlink r:id="rId68" ref="B266"/>
    <hyperlink r:id="rId69" ref="P268"/>
    <hyperlink r:id="rId70" ref="P274"/>
    <hyperlink r:id="rId71" ref="B279"/>
    <hyperlink r:id="rId72" ref="B290"/>
    <hyperlink r:id="rId73" ref="B298"/>
    <hyperlink r:id="rId74" ref="B310"/>
    <hyperlink r:id="rId75" ref="B320"/>
    <hyperlink r:id="rId76" ref="B340"/>
    <hyperlink r:id="rId77" ref="B350"/>
    <hyperlink r:id="rId78" ref="B358"/>
    <hyperlink r:id="rId79" ref="B370"/>
    <hyperlink r:id="rId80" ref="B381"/>
    <hyperlink r:id="rId81" ref="B388"/>
    <hyperlink r:id="rId82" ref="B397"/>
    <hyperlink r:id="rId83" ref="B408"/>
    <hyperlink r:id="rId84" ref="B417"/>
    <hyperlink r:id="rId85" ref="B428"/>
    <hyperlink r:id="rId86" ref="B438"/>
    <hyperlink r:id="rId87" ref="B449"/>
    <hyperlink r:id="rId88" ref="B457"/>
    <hyperlink r:id="rId89" ref="B467"/>
    <hyperlink r:id="rId90" ref="B477"/>
    <hyperlink r:id="rId91" ref="B486"/>
    <hyperlink r:id="rId92" ref="B508"/>
    <hyperlink r:id="rId93" ref="B530"/>
    <hyperlink r:id="rId94" ref="B544"/>
    <hyperlink r:id="rId95" ref="B552"/>
    <hyperlink r:id="rId96" ref="B565"/>
    <hyperlink r:id="rId97" ref="B572"/>
    <hyperlink r:id="rId98" ref="B580"/>
    <hyperlink r:id="rId99" ref="B588"/>
    <hyperlink r:id="rId100" ref="B596"/>
    <hyperlink r:id="rId101" ref="B608"/>
    <hyperlink r:id="rId102" ref="B620"/>
    <hyperlink r:id="rId103" ref="B625"/>
    <hyperlink r:id="rId104" ref="B636"/>
    <hyperlink r:id="rId105" ref="B650"/>
    <hyperlink r:id="rId106" ref="B658"/>
    <hyperlink r:id="rId107" ref="B666"/>
    <hyperlink r:id="rId108" ref="B673"/>
    <hyperlink r:id="rId109" ref="B681"/>
    <hyperlink r:id="rId110" ref="B686"/>
    <hyperlink r:id="rId111" ref="B695"/>
    <hyperlink r:id="rId112" ref="B702"/>
    <hyperlink r:id="rId113" ref="B709"/>
    <hyperlink r:id="rId114" ref="B743"/>
    <hyperlink r:id="rId115" ref="B777"/>
    <hyperlink r:id="rId116" ref="B791"/>
    <hyperlink r:id="rId117" ref="B797"/>
    <hyperlink r:id="rId118" ref="B803"/>
    <hyperlink r:id="rId119" ref="B809"/>
    <hyperlink r:id="rId120" ref="B815"/>
    <hyperlink r:id="rId121" ref="B821"/>
    <hyperlink r:id="rId122" ref="B827"/>
    <hyperlink r:id="rId123" ref="B833"/>
    <hyperlink r:id="rId124" ref="B839"/>
    <hyperlink r:id="rId125" ref="B845"/>
    <hyperlink r:id="rId126" ref="B851"/>
    <hyperlink r:id="rId127" ref="B857"/>
    <hyperlink r:id="rId128" ref="B883"/>
    <hyperlink r:id="rId129" ref="B889"/>
    <hyperlink r:id="rId130" ref="B895"/>
    <hyperlink r:id="rId131" ref="B901"/>
    <hyperlink r:id="rId132" ref="B907"/>
    <hyperlink r:id="rId133" ref="B913"/>
    <hyperlink r:id="rId134" ref="B919"/>
    <hyperlink r:id="rId135" ref="B925"/>
    <hyperlink r:id="rId136" ref="B931"/>
    <hyperlink r:id="rId137" ref="B937"/>
    <hyperlink r:id="rId138" ref="B943"/>
    <hyperlink r:id="rId139" ref="B949"/>
    <hyperlink r:id="rId140" ref="B955"/>
    <hyperlink r:id="rId141" ref="B961"/>
    <hyperlink r:id="rId142" ref="B970"/>
    <hyperlink r:id="rId143" ref="B977"/>
    <hyperlink r:id="rId144" ref="B985"/>
    <hyperlink r:id="rId145" ref="B993"/>
    <hyperlink r:id="rId146" ref="B998"/>
    <hyperlink r:id="rId147" ref="B1021"/>
    <hyperlink r:id="rId148" ref="B1038"/>
    <hyperlink r:id="rId149" ref="B1040"/>
    <hyperlink r:id="rId150" ref="B1054"/>
    <hyperlink r:id="rId151" ref="B1074"/>
    <hyperlink r:id="rId152" ref="B1087"/>
    <hyperlink r:id="rId153" ref="B1098"/>
    <hyperlink r:id="rId154" ref="B1107"/>
    <hyperlink r:id="rId155" ref="B1116"/>
    <hyperlink r:id="rId156" ref="B1134"/>
  </hyperlinks>
  <drawing r:id="rId157"/>
  <legacyDrawing r:id="rId158"/>
</worksheet>
</file>